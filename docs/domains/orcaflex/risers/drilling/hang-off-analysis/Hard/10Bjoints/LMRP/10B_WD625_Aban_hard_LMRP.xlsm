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0730" windowHeight="11040" firstSheet="1" activeTab="13"/>
  </bookViews>
  <sheets>
    <sheet name="MetOcean" sheetId="66" state="hidden" r:id="rId1"/>
    <sheet name="Input" sheetId="73" r:id="rId2"/>
    <sheet name="Pre-process-Soft" sheetId="60" r:id="rId3"/>
    <sheet name="__$Orcina_Hidden_Sheet$__" sheetId="5" state="veryHidden" r:id="rId4"/>
    <sheet name="Pre-processing Tp(wind)" sheetId="109" state="hidden" r:id="rId5"/>
    <sheet name="Post-10yr-Hmx-Tmx" sheetId="117" state="hidden" r:id="rId6"/>
    <sheet name="Post-1yr-Hmx-Tmod1" sheetId="110" state="hidden" r:id="rId7"/>
    <sheet name="Post-10yr-Hmx-Tmod1" sheetId="118" state="hidden" r:id="rId8"/>
    <sheet name="Results-10yr-Hmx-T" sheetId="119" state="hidden" r:id="rId9"/>
    <sheet name="Results-1yr" sheetId="68" state="hidden" r:id="rId10"/>
    <sheet name="Post-50yr" sheetId="136" r:id="rId11"/>
    <sheet name="50yr_Hard_10B" sheetId="137" r:id="rId12"/>
    <sheet name="Post-10yr" sheetId="133" r:id="rId13"/>
    <sheet name="10yr_Hard_10B" sheetId="134" r:id="rId14"/>
  </sheets>
  <calcPr calcId="125725"/>
</workbook>
</file>

<file path=xl/calcChain.xml><?xml version="1.0" encoding="utf-8"?>
<calcChain xmlns="http://schemas.openxmlformats.org/spreadsheetml/2006/main">
  <c r="E58" i="134"/>
  <c r="D58"/>
  <c r="C58"/>
  <c r="E56"/>
  <c r="D56"/>
  <c r="C56"/>
  <c r="E54"/>
  <c r="D54"/>
  <c r="C54"/>
  <c r="E52"/>
  <c r="D52"/>
  <c r="C52"/>
  <c r="D10"/>
  <c r="E10"/>
  <c r="F10"/>
  <c r="G10"/>
  <c r="H10"/>
  <c r="C10"/>
  <c r="D8"/>
  <c r="E8"/>
  <c r="F8"/>
  <c r="G8"/>
  <c r="H8"/>
  <c r="C8"/>
  <c r="D6"/>
  <c r="E6"/>
  <c r="F6"/>
  <c r="G6"/>
  <c r="H6"/>
  <c r="C6"/>
  <c r="D4"/>
  <c r="E4"/>
  <c r="F4"/>
  <c r="G4"/>
  <c r="H4"/>
  <c r="C4"/>
  <c r="K5" l="1"/>
  <c r="D10" i="137"/>
  <c r="E10"/>
  <c r="F10"/>
  <c r="G10"/>
  <c r="H10"/>
  <c r="C10"/>
  <c r="D8"/>
  <c r="E8"/>
  <c r="F8"/>
  <c r="G8"/>
  <c r="H8"/>
  <c r="C8"/>
  <c r="D6"/>
  <c r="E6"/>
  <c r="F6"/>
  <c r="G6"/>
  <c r="H6"/>
  <c r="C6"/>
  <c r="D4"/>
  <c r="E4"/>
  <c r="F4"/>
  <c r="G4"/>
  <c r="H4"/>
  <c r="C4"/>
  <c r="K5"/>
  <c r="B1"/>
  <c r="L21" i="60" l="1"/>
  <c r="L20"/>
  <c r="L19"/>
  <c r="L18"/>
  <c r="L17"/>
  <c r="L16"/>
  <c r="L15"/>
  <c r="L14"/>
  <c r="L13"/>
  <c r="L12"/>
  <c r="L11"/>
  <c r="B11"/>
  <c r="B1" i="134"/>
  <c r="B49" s="1"/>
  <c r="H18" i="60" l="1"/>
  <c r="H19"/>
  <c r="H20"/>
  <c r="H21"/>
  <c r="H17"/>
  <c r="G18"/>
  <c r="G19"/>
  <c r="G20"/>
  <c r="G21"/>
  <c r="G17"/>
  <c r="J18"/>
  <c r="J19"/>
  <c r="J20"/>
  <c r="J21"/>
  <c r="H12"/>
  <c r="H13"/>
  <c r="H14"/>
  <c r="H15"/>
  <c r="H16"/>
  <c r="H11"/>
  <c r="G13"/>
  <c r="G14"/>
  <c r="G15"/>
  <c r="G16"/>
  <c r="G12"/>
  <c r="D13"/>
  <c r="D14" s="1"/>
  <c r="D15" s="1"/>
  <c r="D16" s="1"/>
  <c r="D17" s="1"/>
  <c r="D18" s="1"/>
  <c r="D19" s="1"/>
  <c r="D20" s="1"/>
  <c r="D21" s="1"/>
  <c r="C12"/>
  <c r="C13" s="1"/>
  <c r="C14" s="1"/>
  <c r="C15" s="1"/>
  <c r="C16" s="1"/>
  <c r="C17" s="1"/>
  <c r="C18" s="1"/>
  <c r="C19" s="1"/>
  <c r="C20" s="1"/>
  <c r="C21" s="1"/>
  <c r="L105" i="73" l="1"/>
  <c r="K105"/>
  <c r="H105"/>
  <c r="L104"/>
  <c r="K104"/>
  <c r="H104"/>
  <c r="L103"/>
  <c r="K103"/>
  <c r="H103"/>
  <c r="L102"/>
  <c r="K102"/>
  <c r="H102"/>
  <c r="L101"/>
  <c r="K101"/>
  <c r="H101"/>
  <c r="L100"/>
  <c r="K100"/>
  <c r="H100"/>
  <c r="L99"/>
  <c r="K99"/>
  <c r="H99"/>
  <c r="L98"/>
  <c r="K98"/>
  <c r="H98"/>
  <c r="H107" s="1"/>
  <c r="L97"/>
  <c r="K97"/>
  <c r="H97"/>
  <c r="L96"/>
  <c r="K96"/>
  <c r="H96"/>
  <c r="H95"/>
  <c r="H94"/>
  <c r="L112" l="1"/>
  <c r="K113"/>
  <c r="H108"/>
  <c r="L113"/>
  <c r="H109"/>
  <c r="K112"/>
  <c r="K115" s="1"/>
  <c r="K111"/>
  <c r="L111"/>
  <c r="L43" l="1"/>
  <c r="K43"/>
  <c r="J43"/>
  <c r="J44" s="1"/>
  <c r="J46" s="1"/>
  <c r="J47" s="1"/>
  <c r="J50" s="1"/>
  <c r="H43"/>
  <c r="G43"/>
  <c r="F43"/>
  <c r="F44" s="1"/>
  <c r="F46" s="1"/>
  <c r="F47" s="1"/>
  <c r="F50" s="1"/>
  <c r="E43"/>
  <c r="M43" s="1"/>
  <c r="M44" s="1"/>
  <c r="M46" s="1"/>
  <c r="M47" s="1"/>
  <c r="M50" s="1"/>
  <c r="E44"/>
  <c r="E55" s="1"/>
  <c r="E56" s="1"/>
  <c r="G44"/>
  <c r="G46" s="1"/>
  <c r="G47" s="1"/>
  <c r="G50" s="1"/>
  <c r="H44"/>
  <c r="H46" s="1"/>
  <c r="H47" s="1"/>
  <c r="H50" s="1"/>
  <c r="K44"/>
  <c r="K46" s="1"/>
  <c r="K47" s="1"/>
  <c r="K50" s="1"/>
  <c r="L44"/>
  <c r="L46" s="1"/>
  <c r="J17" i="60"/>
  <c r="L48" i="73" l="1"/>
  <c r="L59" s="1"/>
  <c r="L47"/>
  <c r="L50" s="1"/>
  <c r="I43"/>
  <c r="I44" s="1"/>
  <c r="I46" s="1"/>
  <c r="I47" s="1"/>
  <c r="I50" s="1"/>
  <c r="E46"/>
  <c r="E47" s="1"/>
  <c r="E50" s="1"/>
  <c r="G48"/>
  <c r="G59" s="1"/>
  <c r="H48"/>
  <c r="H59" s="1"/>
  <c r="J48"/>
  <c r="J59" s="1"/>
  <c r="F55"/>
  <c r="F56" s="1"/>
  <c r="G55"/>
  <c r="G56" s="1"/>
  <c r="H55"/>
  <c r="H56" s="1"/>
  <c r="I55"/>
  <c r="I56" s="1"/>
  <c r="J55"/>
  <c r="J56" s="1"/>
  <c r="B45"/>
  <c r="J60" l="1"/>
  <c r="J61" s="1"/>
  <c r="J62"/>
  <c r="G60"/>
  <c r="G61" s="1"/>
  <c r="G62"/>
  <c r="H60"/>
  <c r="H61" s="1"/>
  <c r="H62"/>
  <c r="L62"/>
  <c r="L60"/>
  <c r="L61" s="1"/>
  <c r="I48"/>
  <c r="I59" s="1"/>
  <c r="K55"/>
  <c r="K56" s="1"/>
  <c r="K48"/>
  <c r="K59" s="1"/>
  <c r="F48"/>
  <c r="F59" s="1"/>
  <c r="K62" l="1"/>
  <c r="K60"/>
  <c r="K61" s="1"/>
  <c r="I60"/>
  <c r="I61" s="1"/>
  <c r="I62"/>
  <c r="F60"/>
  <c r="F61" s="1"/>
  <c r="F62"/>
  <c r="E48"/>
  <c r="E59" s="1"/>
  <c r="J13" i="60"/>
  <c r="J14"/>
  <c r="J15"/>
  <c r="J16"/>
  <c r="E60" i="73" l="1"/>
  <c r="E61" s="1"/>
  <c r="E62"/>
  <c r="B12" i="60"/>
  <c r="B13" s="1"/>
  <c r="B14" s="1"/>
  <c r="B15" s="1"/>
  <c r="B16" s="1"/>
  <c r="B17" s="1"/>
  <c r="B18" s="1"/>
  <c r="B19" s="1"/>
  <c r="B20" s="1"/>
  <c r="B21" s="1"/>
  <c r="A12" l="1"/>
  <c r="A13" s="1"/>
  <c r="A14" s="1"/>
  <c r="A15" s="1"/>
  <c r="A16" s="1"/>
  <c r="A17" s="1"/>
  <c r="A18" s="1"/>
  <c r="A19" s="1"/>
  <c r="A20" s="1"/>
  <c r="A21" s="1"/>
  <c r="C100" i="119" l="1"/>
  <c r="D100"/>
  <c r="E100"/>
  <c r="F100"/>
  <c r="G100"/>
  <c r="H100"/>
  <c r="I100"/>
  <c r="J100"/>
  <c r="K100"/>
  <c r="L100"/>
  <c r="M100"/>
  <c r="N100"/>
  <c r="O100"/>
  <c r="P100"/>
  <c r="C92"/>
  <c r="D92"/>
  <c r="E92"/>
  <c r="F92"/>
  <c r="G92"/>
  <c r="H92"/>
  <c r="I92"/>
  <c r="J92"/>
  <c r="K92"/>
  <c r="L92"/>
  <c r="M92"/>
  <c r="N92"/>
  <c r="O92"/>
  <c r="P92"/>
  <c r="C84"/>
  <c r="D84"/>
  <c r="E84"/>
  <c r="F84"/>
  <c r="G84"/>
  <c r="H84"/>
  <c r="I84"/>
  <c r="J84"/>
  <c r="K84"/>
  <c r="L84"/>
  <c r="M84"/>
  <c r="N84"/>
  <c r="O84"/>
  <c r="P84"/>
  <c r="C76"/>
  <c r="D76"/>
  <c r="E76"/>
  <c r="F76"/>
  <c r="G76"/>
  <c r="H76"/>
  <c r="I76"/>
  <c r="J76"/>
  <c r="K76"/>
  <c r="L76"/>
  <c r="M76"/>
  <c r="N76"/>
  <c r="O76"/>
  <c r="P76"/>
  <c r="B76"/>
  <c r="C68"/>
  <c r="D68"/>
  <c r="E68"/>
  <c r="F68"/>
  <c r="G68"/>
  <c r="H68"/>
  <c r="I68"/>
  <c r="J68"/>
  <c r="K68"/>
  <c r="L68"/>
  <c r="M68"/>
  <c r="N68"/>
  <c r="O68"/>
  <c r="P68"/>
  <c r="B68"/>
  <c r="C60"/>
  <c r="D60"/>
  <c r="E60"/>
  <c r="F60"/>
  <c r="G60"/>
  <c r="H60"/>
  <c r="I60"/>
  <c r="J60"/>
  <c r="K60"/>
  <c r="L60"/>
  <c r="M60"/>
  <c r="N60"/>
  <c r="O60"/>
  <c r="P60"/>
  <c r="B60"/>
  <c r="C52"/>
  <c r="D52"/>
  <c r="E52"/>
  <c r="F52"/>
  <c r="G52"/>
  <c r="H52"/>
  <c r="I52"/>
  <c r="J52"/>
  <c r="K52"/>
  <c r="L52"/>
  <c r="M52"/>
  <c r="N52"/>
  <c r="O52"/>
  <c r="P52"/>
  <c r="B52"/>
  <c r="B100" l="1"/>
  <c r="R96"/>
  <c r="P95"/>
  <c r="O95"/>
  <c r="N95"/>
  <c r="M95"/>
  <c r="L95"/>
  <c r="K95"/>
  <c r="J95"/>
  <c r="I95"/>
  <c r="H95"/>
  <c r="G95"/>
  <c r="F95"/>
  <c r="E95"/>
  <c r="D95"/>
  <c r="C95"/>
  <c r="B95"/>
  <c r="R94"/>
  <c r="B92"/>
  <c r="R88"/>
  <c r="P87"/>
  <c r="O87"/>
  <c r="N87"/>
  <c r="M87"/>
  <c r="L87"/>
  <c r="K87"/>
  <c r="J87"/>
  <c r="I87"/>
  <c r="H87"/>
  <c r="G87"/>
  <c r="F87"/>
  <c r="E87"/>
  <c r="D87"/>
  <c r="C87"/>
  <c r="B87"/>
  <c r="R86"/>
  <c r="B84"/>
  <c r="R80"/>
  <c r="P79"/>
  <c r="O79"/>
  <c r="N79"/>
  <c r="M79"/>
  <c r="L79"/>
  <c r="K79"/>
  <c r="J79"/>
  <c r="I79"/>
  <c r="H79"/>
  <c r="G79"/>
  <c r="F79"/>
  <c r="E79"/>
  <c r="D79"/>
  <c r="C79"/>
  <c r="B79"/>
  <c r="R78"/>
  <c r="R72"/>
  <c r="P71"/>
  <c r="O71"/>
  <c r="N71"/>
  <c r="M71"/>
  <c r="L71"/>
  <c r="K71"/>
  <c r="J71"/>
  <c r="I71"/>
  <c r="H71"/>
  <c r="G71"/>
  <c r="F71"/>
  <c r="E71"/>
  <c r="D71"/>
  <c r="C71"/>
  <c r="B71"/>
  <c r="R70"/>
  <c r="R64"/>
  <c r="P63"/>
  <c r="O63"/>
  <c r="N63"/>
  <c r="M63"/>
  <c r="L63"/>
  <c r="K63"/>
  <c r="J63"/>
  <c r="I63"/>
  <c r="H63"/>
  <c r="G63"/>
  <c r="F63"/>
  <c r="E63"/>
  <c r="D63"/>
  <c r="C63"/>
  <c r="B63"/>
  <c r="R62"/>
  <c r="R56"/>
  <c r="P55"/>
  <c r="O55"/>
  <c r="N55"/>
  <c r="M55"/>
  <c r="L55"/>
  <c r="K55"/>
  <c r="J55"/>
  <c r="I55"/>
  <c r="H55"/>
  <c r="G55"/>
  <c r="F55"/>
  <c r="E55"/>
  <c r="D55"/>
  <c r="C55"/>
  <c r="B55"/>
  <c r="R54"/>
  <c r="R48"/>
  <c r="P47"/>
  <c r="O47"/>
  <c r="N47"/>
  <c r="M47"/>
  <c r="L47"/>
  <c r="K47"/>
  <c r="J47"/>
  <c r="I47"/>
  <c r="H47"/>
  <c r="G47"/>
  <c r="F47"/>
  <c r="E47"/>
  <c r="D47"/>
  <c r="C47"/>
  <c r="B47"/>
  <c r="R46"/>
  <c r="P44"/>
  <c r="O44"/>
  <c r="N44"/>
  <c r="M44"/>
  <c r="L44"/>
  <c r="K44"/>
  <c r="J44"/>
  <c r="I44"/>
  <c r="H44"/>
  <c r="G44"/>
  <c r="F44"/>
  <c r="E44"/>
  <c r="D44"/>
  <c r="C44"/>
  <c r="B44"/>
  <c r="T42"/>
  <c r="R40"/>
  <c r="P39"/>
  <c r="O39"/>
  <c r="N39"/>
  <c r="M39"/>
  <c r="L39"/>
  <c r="K39"/>
  <c r="J39"/>
  <c r="I39"/>
  <c r="H39"/>
  <c r="G39"/>
  <c r="F39"/>
  <c r="E39"/>
  <c r="D39"/>
  <c r="C39"/>
  <c r="B39"/>
  <c r="T38"/>
  <c r="R38"/>
  <c r="R37"/>
  <c r="R123" s="1"/>
  <c r="P35"/>
  <c r="O35"/>
  <c r="N35"/>
  <c r="M35"/>
  <c r="L35"/>
  <c r="K35"/>
  <c r="J35"/>
  <c r="I35"/>
  <c r="H35"/>
  <c r="G35"/>
  <c r="F35"/>
  <c r="E35"/>
  <c r="D35"/>
  <c r="C35"/>
  <c r="B35"/>
  <c r="T33"/>
  <c r="B36" s="1"/>
  <c r="P28"/>
  <c r="O28"/>
  <c r="N28"/>
  <c r="M28"/>
  <c r="L28"/>
  <c r="K28"/>
  <c r="J28"/>
  <c r="I28"/>
  <c r="H28"/>
  <c r="G28"/>
  <c r="F28"/>
  <c r="E28"/>
  <c r="D28"/>
  <c r="C28"/>
  <c r="B28"/>
  <c r="R26"/>
  <c r="P24"/>
  <c r="O24"/>
  <c r="N24"/>
  <c r="M24"/>
  <c r="L24"/>
  <c r="K24"/>
  <c r="J24"/>
  <c r="I24"/>
  <c r="H24"/>
  <c r="G24"/>
  <c r="F24"/>
  <c r="E24"/>
  <c r="D24"/>
  <c r="C24"/>
  <c r="B24"/>
  <c r="T16"/>
  <c r="P16"/>
  <c r="O16"/>
  <c r="N16"/>
  <c r="M16"/>
  <c r="L16"/>
  <c r="K16"/>
  <c r="J16"/>
  <c r="I16"/>
  <c r="H16"/>
  <c r="G16"/>
  <c r="F16"/>
  <c r="E16"/>
  <c r="D16"/>
  <c r="C16"/>
  <c r="B16"/>
  <c r="P14"/>
  <c r="O14"/>
  <c r="N14"/>
  <c r="M14"/>
  <c r="L14"/>
  <c r="K14"/>
  <c r="J14"/>
  <c r="I14"/>
  <c r="H14"/>
  <c r="G14"/>
  <c r="F14"/>
  <c r="E14"/>
  <c r="D14"/>
  <c r="C14"/>
  <c r="B14"/>
  <c r="T10"/>
  <c r="P10"/>
  <c r="O10"/>
  <c r="N10"/>
  <c r="M10"/>
  <c r="L10"/>
  <c r="K10"/>
  <c r="J10"/>
  <c r="I10"/>
  <c r="H10"/>
  <c r="G10"/>
  <c r="F10"/>
  <c r="E10"/>
  <c r="D10"/>
  <c r="C10"/>
  <c r="B10"/>
  <c r="P8"/>
  <c r="O8"/>
  <c r="N8"/>
  <c r="M8"/>
  <c r="L8"/>
  <c r="K8"/>
  <c r="J8"/>
  <c r="I8"/>
  <c r="H8"/>
  <c r="G8"/>
  <c r="F8"/>
  <c r="E8"/>
  <c r="D8"/>
  <c r="C8"/>
  <c r="B8"/>
  <c r="S7"/>
  <c r="T5"/>
  <c r="T4"/>
  <c r="R10" l="1"/>
  <c r="R111" s="1"/>
  <c r="R55"/>
  <c r="R71"/>
  <c r="R79"/>
  <c r="N89"/>
  <c r="M97"/>
  <c r="E97"/>
  <c r="L97"/>
  <c r="D97"/>
  <c r="B97"/>
  <c r="P97"/>
  <c r="J97"/>
  <c r="H97"/>
  <c r="K97"/>
  <c r="C97"/>
  <c r="I97"/>
  <c r="O97"/>
  <c r="G97"/>
  <c r="N97"/>
  <c r="F97"/>
  <c r="R87"/>
  <c r="R63"/>
  <c r="R39"/>
  <c r="R47"/>
  <c r="R95"/>
  <c r="R8"/>
  <c r="R110" s="1"/>
  <c r="R28"/>
  <c r="R119" s="1"/>
  <c r="R100"/>
  <c r="R14"/>
  <c r="R114" s="1"/>
  <c r="R128"/>
  <c r="R16"/>
  <c r="R115" s="1"/>
  <c r="R24"/>
  <c r="R117" s="1"/>
  <c r="R35"/>
  <c r="R121" s="1"/>
  <c r="R125"/>
  <c r="R44"/>
  <c r="R52"/>
  <c r="R60"/>
  <c r="R68"/>
  <c r="R76"/>
  <c r="R84"/>
  <c r="R92"/>
  <c r="B41"/>
  <c r="F41"/>
  <c r="J41"/>
  <c r="N41"/>
  <c r="E49"/>
  <c r="I49"/>
  <c r="M49"/>
  <c r="E57"/>
  <c r="I57"/>
  <c r="M57"/>
  <c r="E65"/>
  <c r="I65"/>
  <c r="M65"/>
  <c r="E73"/>
  <c r="I73"/>
  <c r="M73"/>
  <c r="E81"/>
  <c r="I81"/>
  <c r="M81"/>
  <c r="E89"/>
  <c r="I89"/>
  <c r="M89"/>
  <c r="E41"/>
  <c r="I41"/>
  <c r="M41"/>
  <c r="D49"/>
  <c r="H49"/>
  <c r="L49"/>
  <c r="P49"/>
  <c r="D57"/>
  <c r="H57"/>
  <c r="L57"/>
  <c r="P57"/>
  <c r="D65"/>
  <c r="H65"/>
  <c r="L65"/>
  <c r="P65"/>
  <c r="D73"/>
  <c r="H73"/>
  <c r="L73"/>
  <c r="P73"/>
  <c r="D81"/>
  <c r="H81"/>
  <c r="L81"/>
  <c r="P81"/>
  <c r="D89"/>
  <c r="H89"/>
  <c r="L89"/>
  <c r="P89"/>
  <c r="D41"/>
  <c r="H41"/>
  <c r="L41"/>
  <c r="P41"/>
  <c r="C49"/>
  <c r="G49"/>
  <c r="K49"/>
  <c r="O49"/>
  <c r="C57"/>
  <c r="G57"/>
  <c r="K57"/>
  <c r="O57"/>
  <c r="C65"/>
  <c r="G65"/>
  <c r="K65"/>
  <c r="O65"/>
  <c r="C73"/>
  <c r="G73"/>
  <c r="K73"/>
  <c r="O73"/>
  <c r="C81"/>
  <c r="G81"/>
  <c r="K81"/>
  <c r="O81"/>
  <c r="C89"/>
  <c r="G89"/>
  <c r="K89"/>
  <c r="O89"/>
  <c r="C41"/>
  <c r="G41"/>
  <c r="K41"/>
  <c r="O41"/>
  <c r="B49"/>
  <c r="F49"/>
  <c r="J49"/>
  <c r="N49"/>
  <c r="B57"/>
  <c r="F57"/>
  <c r="J57"/>
  <c r="N57"/>
  <c r="B65"/>
  <c r="F65"/>
  <c r="J65"/>
  <c r="N65"/>
  <c r="B73"/>
  <c r="F73"/>
  <c r="J73"/>
  <c r="N73"/>
  <c r="B81"/>
  <c r="F81"/>
  <c r="J81"/>
  <c r="N81"/>
  <c r="B89"/>
  <c r="F89"/>
  <c r="J89"/>
  <c r="R131" l="1"/>
  <c r="E17"/>
  <c r="E18" s="1"/>
  <c r="F17"/>
  <c r="F18" s="1"/>
  <c r="R126"/>
  <c r="R81"/>
  <c r="R65"/>
  <c r="R49"/>
  <c r="R41"/>
  <c r="R89"/>
  <c r="R73"/>
  <c r="R57"/>
  <c r="R97"/>
  <c r="N17"/>
  <c r="N18" s="1"/>
  <c r="B17"/>
  <c r="B18" s="1"/>
  <c r="J17"/>
  <c r="J18" s="1"/>
  <c r="M17"/>
  <c r="M18" s="1"/>
  <c r="K17"/>
  <c r="K18" s="1"/>
  <c r="O17"/>
  <c r="O18" s="1"/>
  <c r="L17"/>
  <c r="L18" s="1"/>
  <c r="C17"/>
  <c r="C18" s="1"/>
  <c r="P17"/>
  <c r="P18" s="1"/>
  <c r="G17"/>
  <c r="G18" s="1"/>
  <c r="D17"/>
  <c r="D18" s="1"/>
  <c r="I17"/>
  <c r="I18" s="1"/>
  <c r="H17"/>
  <c r="H18" s="1"/>
  <c r="R18" l="1"/>
  <c r="R112" s="1"/>
  <c r="R129"/>
  <c r="Y27" i="109"/>
  <c r="Y28"/>
  <c r="Y29"/>
  <c r="Y30"/>
  <c r="Y31"/>
  <c r="Y32"/>
  <c r="Y33"/>
  <c r="Y34"/>
  <c r="Y35"/>
  <c r="Y36"/>
  <c r="Y37"/>
  <c r="L28" l="1"/>
  <c r="L32" s="1"/>
  <c r="L29"/>
  <c r="L37" s="1"/>
  <c r="M26"/>
  <c r="M34" s="1"/>
  <c r="L26"/>
  <c r="L16"/>
  <c r="L17"/>
  <c r="M14"/>
  <c r="L14"/>
  <c r="U27"/>
  <c r="F27" s="1"/>
  <c r="U28"/>
  <c r="G28" s="1"/>
  <c r="U29"/>
  <c r="F29" s="1"/>
  <c r="U30"/>
  <c r="F30" s="1"/>
  <c r="U31"/>
  <c r="F31" s="1"/>
  <c r="U32"/>
  <c r="G32" s="1"/>
  <c r="U33"/>
  <c r="F33" s="1"/>
  <c r="U34"/>
  <c r="F34" s="1"/>
  <c r="U35"/>
  <c r="F35" s="1"/>
  <c r="U36"/>
  <c r="F36" s="1"/>
  <c r="U37"/>
  <c r="F37" s="1"/>
  <c r="U26"/>
  <c r="F26" s="1"/>
  <c r="U15"/>
  <c r="F15" s="1"/>
  <c r="U16"/>
  <c r="G16" s="1"/>
  <c r="U17"/>
  <c r="F17" s="1"/>
  <c r="U18"/>
  <c r="F18" s="1"/>
  <c r="U19"/>
  <c r="F19" s="1"/>
  <c r="U20"/>
  <c r="G20" s="1"/>
  <c r="U21"/>
  <c r="G21" s="1"/>
  <c r="U22"/>
  <c r="F22" s="1"/>
  <c r="U23"/>
  <c r="F23" s="1"/>
  <c r="U24"/>
  <c r="F24" s="1"/>
  <c r="U25"/>
  <c r="G25" s="1"/>
  <c r="U14"/>
  <c r="F14" s="1"/>
  <c r="V37"/>
  <c r="T37"/>
  <c r="S37"/>
  <c r="AA37" s="1"/>
  <c r="V36"/>
  <c r="T36"/>
  <c r="S36"/>
  <c r="W36" s="1"/>
  <c r="AA35"/>
  <c r="V35"/>
  <c r="T35"/>
  <c r="AA34"/>
  <c r="V34"/>
  <c r="T34"/>
  <c r="AA33"/>
  <c r="Z33"/>
  <c r="V33"/>
  <c r="T33"/>
  <c r="AA32"/>
  <c r="V32"/>
  <c r="T32"/>
  <c r="V31"/>
  <c r="T31"/>
  <c r="S31"/>
  <c r="Z31" s="1"/>
  <c r="N31"/>
  <c r="V30"/>
  <c r="T30"/>
  <c r="S30"/>
  <c r="W30" s="1"/>
  <c r="AA29"/>
  <c r="Z29"/>
  <c r="V29"/>
  <c r="T29"/>
  <c r="AA28"/>
  <c r="Z28"/>
  <c r="W28"/>
  <c r="V28"/>
  <c r="T28"/>
  <c r="R28"/>
  <c r="R29" s="1"/>
  <c r="Q28"/>
  <c r="Q29" s="1"/>
  <c r="P28"/>
  <c r="P29" s="1"/>
  <c r="O28"/>
  <c r="O29" s="1"/>
  <c r="AA27"/>
  <c r="Z27"/>
  <c r="W27"/>
  <c r="V27"/>
  <c r="T27"/>
  <c r="R27"/>
  <c r="Q27"/>
  <c r="P27"/>
  <c r="O27"/>
  <c r="N27"/>
  <c r="N28" s="1"/>
  <c r="N29" s="1"/>
  <c r="AA26"/>
  <c r="Z26"/>
  <c r="Y26"/>
  <c r="W26"/>
  <c r="V26"/>
  <c r="T26"/>
  <c r="R26"/>
  <c r="Q26"/>
  <c r="P26"/>
  <c r="O26"/>
  <c r="L30"/>
  <c r="V25"/>
  <c r="T25"/>
  <c r="S25"/>
  <c r="Z25" s="1"/>
  <c r="H25"/>
  <c r="V24"/>
  <c r="T24"/>
  <c r="S24"/>
  <c r="Z24" s="1"/>
  <c r="H24"/>
  <c r="AA23"/>
  <c r="V23"/>
  <c r="T23"/>
  <c r="AA22"/>
  <c r="V22"/>
  <c r="T22"/>
  <c r="AA21"/>
  <c r="Z21"/>
  <c r="V21"/>
  <c r="T21"/>
  <c r="AA20"/>
  <c r="V20"/>
  <c r="T20"/>
  <c r="V19"/>
  <c r="T19"/>
  <c r="S19"/>
  <c r="Z19" s="1"/>
  <c r="N19"/>
  <c r="V18"/>
  <c r="T18"/>
  <c r="S18"/>
  <c r="Z18" s="1"/>
  <c r="AA17"/>
  <c r="Z17"/>
  <c r="V17"/>
  <c r="T17"/>
  <c r="AA16"/>
  <c r="Z16"/>
  <c r="W16"/>
  <c r="V16"/>
  <c r="T16"/>
  <c r="R16"/>
  <c r="R17" s="1"/>
  <c r="Q16"/>
  <c r="Q17" s="1"/>
  <c r="P16"/>
  <c r="P20" s="1"/>
  <c r="P24" s="1"/>
  <c r="O16"/>
  <c r="O17" s="1"/>
  <c r="O21" s="1"/>
  <c r="O25" s="1"/>
  <c r="AA15"/>
  <c r="Z15"/>
  <c r="X15"/>
  <c r="X16" s="1"/>
  <c r="Y16" s="1"/>
  <c r="W15"/>
  <c r="V15"/>
  <c r="T15"/>
  <c r="R15"/>
  <c r="Q15"/>
  <c r="P15"/>
  <c r="P19" s="1"/>
  <c r="P23" s="1"/>
  <c r="O15"/>
  <c r="O19" s="1"/>
  <c r="O23" s="1"/>
  <c r="N15"/>
  <c r="N16" s="1"/>
  <c r="N17" s="1"/>
  <c r="AA14"/>
  <c r="Z14"/>
  <c r="Y14"/>
  <c r="W14"/>
  <c r="V14"/>
  <c r="T14"/>
  <c r="R14"/>
  <c r="Q14"/>
  <c r="P14"/>
  <c r="P18" s="1"/>
  <c r="P22" s="1"/>
  <c r="O14"/>
  <c r="O18" s="1"/>
  <c r="O22" s="1"/>
  <c r="AA13"/>
  <c r="Y13"/>
  <c r="G13"/>
  <c r="F13"/>
  <c r="AA12"/>
  <c r="Y12"/>
  <c r="G12"/>
  <c r="F12"/>
  <c r="AA11"/>
  <c r="Y11"/>
  <c r="G11"/>
  <c r="F11"/>
  <c r="E11"/>
  <c r="E21" s="1"/>
  <c r="G26" l="1"/>
  <c r="F28"/>
  <c r="G23"/>
  <c r="G35"/>
  <c r="Z30"/>
  <c r="Z36"/>
  <c r="G22"/>
  <c r="G15"/>
  <c r="G19"/>
  <c r="F32"/>
  <c r="G18"/>
  <c r="Y15"/>
  <c r="G37"/>
  <c r="P17"/>
  <c r="P21" s="1"/>
  <c r="P25" s="1"/>
  <c r="E12"/>
  <c r="E13" s="1"/>
  <c r="AA30"/>
  <c r="G34"/>
  <c r="Z37"/>
  <c r="E17"/>
  <c r="G27"/>
  <c r="G31"/>
  <c r="L36"/>
  <c r="G17"/>
  <c r="M30"/>
  <c r="G33"/>
  <c r="L34"/>
  <c r="AA36"/>
  <c r="O20"/>
  <c r="O24" s="1"/>
  <c r="G24"/>
  <c r="F20"/>
  <c r="F21"/>
  <c r="F16"/>
  <c r="F25"/>
  <c r="X17"/>
  <c r="Y17" s="1"/>
  <c r="E25"/>
  <c r="E28" s="1"/>
  <c r="E31" s="1"/>
  <c r="W31"/>
  <c r="X18"/>
  <c r="W24"/>
  <c r="AA24"/>
  <c r="G29"/>
  <c r="G30"/>
  <c r="AA31"/>
  <c r="G36"/>
  <c r="G14"/>
  <c r="W18"/>
  <c r="AA18"/>
  <c r="W19"/>
  <c r="AA19"/>
  <c r="AA25"/>
  <c r="L33"/>
  <c r="E14" l="1"/>
  <c r="E15" s="1"/>
  <c r="E16" s="1"/>
  <c r="E18" s="1"/>
  <c r="E19" s="1"/>
  <c r="E20" s="1"/>
  <c r="E22" s="1"/>
  <c r="E23" s="1"/>
  <c r="E26" s="1"/>
  <c r="E29" s="1"/>
  <c r="X19"/>
  <c r="Y18"/>
  <c r="E34"/>
  <c r="E37" s="1"/>
  <c r="E24" l="1"/>
  <c r="E27" s="1"/>
  <c r="E30" s="1"/>
  <c r="X20"/>
  <c r="Y19"/>
  <c r="E32"/>
  <c r="E35" s="1"/>
  <c r="X22" l="1"/>
  <c r="Y20"/>
  <c r="X21"/>
  <c r="Y21" s="1"/>
  <c r="E33"/>
  <c r="X23" l="1"/>
  <c r="Y22"/>
  <c r="E36"/>
  <c r="Y23" l="1"/>
  <c r="X24"/>
  <c r="Y24" l="1"/>
  <c r="X25"/>
  <c r="Y25" s="1"/>
  <c r="M15" l="1"/>
  <c r="L15"/>
  <c r="M17"/>
  <c r="M16"/>
  <c r="M29"/>
  <c r="M28"/>
  <c r="M27"/>
  <c r="L27"/>
  <c r="L35" l="1"/>
  <c r="L31"/>
  <c r="M31"/>
  <c r="M35"/>
  <c r="M36"/>
  <c r="M32"/>
  <c r="M37"/>
  <c r="M33"/>
  <c r="K26" i="68" l="1"/>
  <c r="L26"/>
  <c r="M26"/>
  <c r="J33"/>
  <c r="K33"/>
  <c r="L33"/>
  <c r="M33"/>
  <c r="C22"/>
  <c r="D22"/>
  <c r="E22"/>
  <c r="F22"/>
  <c r="G22"/>
  <c r="H22"/>
  <c r="I22"/>
  <c r="J22"/>
  <c r="K22"/>
  <c r="L22"/>
  <c r="M22"/>
  <c r="B22"/>
  <c r="C16"/>
  <c r="D16"/>
  <c r="E16"/>
  <c r="F16"/>
  <c r="G16"/>
  <c r="H16"/>
  <c r="I16"/>
  <c r="J16"/>
  <c r="K16"/>
  <c r="L16"/>
  <c r="M16"/>
  <c r="B16"/>
  <c r="C14"/>
  <c r="D14"/>
  <c r="E14"/>
  <c r="F14"/>
  <c r="G14"/>
  <c r="H14"/>
  <c r="I14"/>
  <c r="J14"/>
  <c r="K14"/>
  <c r="L14"/>
  <c r="M14"/>
  <c r="B14"/>
  <c r="C10"/>
  <c r="D10"/>
  <c r="E10"/>
  <c r="F10"/>
  <c r="G10"/>
  <c r="H10"/>
  <c r="I10"/>
  <c r="J10"/>
  <c r="K10"/>
  <c r="L10"/>
  <c r="M10"/>
  <c r="B10"/>
  <c r="C8"/>
  <c r="D8"/>
  <c r="E8"/>
  <c r="F8"/>
  <c r="G8"/>
  <c r="H8"/>
  <c r="I8"/>
  <c r="J8"/>
  <c r="K8"/>
  <c r="L8"/>
  <c r="M8"/>
  <c r="B8"/>
  <c r="C6"/>
  <c r="D6"/>
  <c r="E6"/>
  <c r="F6"/>
  <c r="G6"/>
  <c r="H6"/>
  <c r="I6"/>
  <c r="J6"/>
  <c r="K6"/>
  <c r="L6"/>
  <c r="M6"/>
  <c r="C5"/>
  <c r="D5"/>
  <c r="E5"/>
  <c r="F5"/>
  <c r="G5"/>
  <c r="H5"/>
  <c r="I5"/>
  <c r="J5"/>
  <c r="K5"/>
  <c r="L5"/>
  <c r="M5"/>
  <c r="B5"/>
  <c r="P4"/>
  <c r="P16"/>
  <c r="P31"/>
  <c r="C34" s="1"/>
  <c r="P40"/>
  <c r="L67" s="1"/>
  <c r="C33"/>
  <c r="D33"/>
  <c r="E33"/>
  <c r="F33"/>
  <c r="G33"/>
  <c r="H33"/>
  <c r="I33"/>
  <c r="B33"/>
  <c r="D26"/>
  <c r="E26"/>
  <c r="G26"/>
  <c r="H26"/>
  <c r="I26"/>
  <c r="C26"/>
  <c r="B6"/>
  <c r="J11" i="60"/>
  <c r="J12"/>
  <c r="M39" i="68" l="1"/>
  <c r="I39"/>
  <c r="E39"/>
  <c r="C43"/>
  <c r="G43"/>
  <c r="K43"/>
  <c r="C47"/>
  <c r="G47"/>
  <c r="K47"/>
  <c r="C51"/>
  <c r="G51"/>
  <c r="K51"/>
  <c r="C55"/>
  <c r="G55"/>
  <c r="K55"/>
  <c r="C59"/>
  <c r="G59"/>
  <c r="K59"/>
  <c r="C63"/>
  <c r="G63"/>
  <c r="K63"/>
  <c r="C67"/>
  <c r="G67"/>
  <c r="K67"/>
  <c r="L34"/>
  <c r="H34"/>
  <c r="D34"/>
  <c r="P5"/>
  <c r="J39"/>
  <c r="F39"/>
  <c r="B43"/>
  <c r="F43"/>
  <c r="J43"/>
  <c r="B47"/>
  <c r="F47"/>
  <c r="J47"/>
  <c r="B51"/>
  <c r="F51"/>
  <c r="J51"/>
  <c r="B55"/>
  <c r="F55"/>
  <c r="J55"/>
  <c r="B59"/>
  <c r="F59"/>
  <c r="J59"/>
  <c r="B63"/>
  <c r="F63"/>
  <c r="J63"/>
  <c r="B67"/>
  <c r="F67"/>
  <c r="J67"/>
  <c r="M34"/>
  <c r="I34"/>
  <c r="E34"/>
  <c r="K39"/>
  <c r="G39"/>
  <c r="C39"/>
  <c r="E43"/>
  <c r="I43"/>
  <c r="M43"/>
  <c r="E47"/>
  <c r="I47"/>
  <c r="M47"/>
  <c r="E51"/>
  <c r="I51"/>
  <c r="M51"/>
  <c r="E55"/>
  <c r="I55"/>
  <c r="M55"/>
  <c r="E59"/>
  <c r="I59"/>
  <c r="M59"/>
  <c r="E63"/>
  <c r="I63"/>
  <c r="M63"/>
  <c r="E67"/>
  <c r="I67"/>
  <c r="M67"/>
  <c r="B34"/>
  <c r="J34"/>
  <c r="F34"/>
  <c r="L39"/>
  <c r="H39"/>
  <c r="D39"/>
  <c r="D43"/>
  <c r="H43"/>
  <c r="L43"/>
  <c r="D47"/>
  <c r="H47"/>
  <c r="L47"/>
  <c r="D51"/>
  <c r="H51"/>
  <c r="L51"/>
  <c r="D55"/>
  <c r="H55"/>
  <c r="L55"/>
  <c r="D59"/>
  <c r="H59"/>
  <c r="L59"/>
  <c r="D63"/>
  <c r="H63"/>
  <c r="L63"/>
  <c r="D67"/>
  <c r="H67"/>
  <c r="K34"/>
  <c r="G34"/>
</calcChain>
</file>

<file path=xl/sharedStrings.xml><?xml version="1.0" encoding="utf-8"?>
<sst xmlns="http://schemas.openxmlformats.org/spreadsheetml/2006/main" count="16657" uniqueCount="1465">
  <si>
    <t>Output</t>
  </si>
  <si>
    <t>Sheet</t>
  </si>
  <si>
    <t>Cell</t>
  </si>
  <si>
    <t>Simulation</t>
  </si>
  <si>
    <t>Object</t>
  </si>
  <si>
    <t>Name</t>
  </si>
  <si>
    <t>Period</t>
  </si>
  <si>
    <t>Command</t>
  </si>
  <si>
    <t>Label</t>
  </si>
  <si>
    <t>Additional</t>
  </si>
  <si>
    <t xml:space="preserve">// Case </t>
  </si>
  <si>
    <t>LoadData</t>
  </si>
  <si>
    <t>Select Environment</t>
  </si>
  <si>
    <t>Select WaveTrain "Wave1"</t>
  </si>
  <si>
    <t>SaveData</t>
  </si>
  <si>
    <t>Script Table</t>
  </si>
  <si>
    <t>Data</t>
  </si>
  <si>
    <t>Variable</t>
  </si>
  <si>
    <t>Duplicate - Script file name</t>
  </si>
  <si>
    <t>Duplicate - Sheet base name</t>
  </si>
  <si>
    <t>SpecifiedPeriodFrom</t>
  </si>
  <si>
    <t>SpecifiedPeriodTo</t>
  </si>
  <si>
    <t>Duplicate - Xoffset</t>
  </si>
  <si>
    <t>Duplicate - Yoffset</t>
  </si>
  <si>
    <t>Duplicate - Different sheets</t>
  </si>
  <si>
    <t>Duplicate - Specified Files</t>
  </si>
  <si>
    <t>Duplicate - Number of Files</t>
  </si>
  <si>
    <t>Duplicate - First File</t>
  </si>
  <si>
    <t>Results</t>
  </si>
  <si>
    <t>ArcLength</t>
  </si>
  <si>
    <t>Section</t>
  </si>
  <si>
    <t>Version</t>
  </si>
  <si>
    <t>OverwriteLabels</t>
  </si>
  <si>
    <t>ClearanceLineindex</t>
  </si>
  <si>
    <t>FileName</t>
  </si>
  <si>
    <t>GetDataIndex</t>
  </si>
  <si>
    <t>InsertMethod</t>
  </si>
  <si>
    <t>LabelCell</t>
  </si>
  <si>
    <t>LinePosition</t>
  </si>
  <si>
    <t>NodeNumber</t>
  </si>
  <si>
    <t>ObjectIndex</t>
  </si>
  <si>
    <t>OutputCell</t>
  </si>
  <si>
    <t>Radius</t>
  </si>
  <si>
    <t>ArcLengthRange</t>
  </si>
  <si>
    <t>SubObject</t>
  </si>
  <si>
    <t>ResultsSheetName</t>
  </si>
  <si>
    <t>Theta</t>
  </si>
  <si>
    <t>FromArcLength</t>
  </si>
  <si>
    <t>ToArcLength</t>
  </si>
  <si>
    <t>UseDefaultLabel</t>
  </si>
  <si>
    <t>SelectedVarIDs</t>
  </si>
  <si>
    <t>WinchConnectionPoint</t>
  </si>
  <si>
    <t>WingIndex</t>
  </si>
  <si>
    <t>ClearSheetName</t>
  </si>
  <si>
    <t>SourceSheetName</t>
  </si>
  <si>
    <t>DestinationSheetName</t>
  </si>
  <si>
    <t>RangeMin</t>
  </si>
  <si>
    <t>RangeMax</t>
  </si>
  <si>
    <t>RangeMean</t>
  </si>
  <si>
    <t>RangeStdDev</t>
  </si>
  <si>
    <t>RangeArcLength</t>
  </si>
  <si>
    <t>RangeUpper</t>
  </si>
  <si>
    <t>RangeLower</t>
  </si>
  <si>
    <t>ClearSheetMethod</t>
  </si>
  <si>
    <t>ClearSheetRange</t>
  </si>
  <si>
    <t>Position.X</t>
  </si>
  <si>
    <t>Position.Y</t>
  </si>
  <si>
    <t>Sheet2</t>
  </si>
  <si>
    <t>A1:E10</t>
  </si>
  <si>
    <t>Position.Z (Global)</t>
  </si>
  <si>
    <t>Position.Z (Local)</t>
  </si>
  <si>
    <t>Requires</t>
  </si>
  <si>
    <t>BatchName</t>
  </si>
  <si>
    <t>9.3c1</t>
  </si>
  <si>
    <t>WaveDirection =</t>
  </si>
  <si>
    <t>WaveHeight =</t>
  </si>
  <si>
    <t>IgnoreErrors</t>
  </si>
  <si>
    <t>ContainsDependencies</t>
  </si>
  <si>
    <t>InstructionsSheetIndex</t>
  </si>
  <si>
    <t>Duplicate - Duplicate Labels</t>
  </si>
  <si>
    <t>RayleighExtremesStormDuration</t>
  </si>
  <si>
    <t>RayleighExtremesRiskFactor</t>
  </si>
  <si>
    <t>RayleighExtremesToAnalyse</t>
  </si>
  <si>
    <t>Sheet1</t>
  </si>
  <si>
    <t>Duplicate - Sheet name method</t>
  </si>
  <si>
    <t>ExcludeHeaderText</t>
  </si>
  <si>
    <t>~</t>
  </si>
  <si>
    <t>9.6c</t>
  </si>
  <si>
    <t>Analysis Folder</t>
  </si>
  <si>
    <t>// Base model</t>
  </si>
  <si>
    <t>// Loadcases</t>
  </si>
  <si>
    <t xml:space="preserve">WindSpeed = </t>
  </si>
  <si>
    <t xml:space="preserve">WindDirection = </t>
  </si>
  <si>
    <t>Select General</t>
  </si>
  <si>
    <t>StageDuration[1]=</t>
  </si>
  <si>
    <t>StageDuration[2]=</t>
  </si>
  <si>
    <t>SimulationIntegrationMethod=</t>
  </si>
  <si>
    <t>Select WaveTrain Wave1</t>
  </si>
  <si>
    <t>WavePeriod =</t>
  </si>
  <si>
    <t>ActiveCurrent=</t>
  </si>
  <si>
    <t>Select Current</t>
  </si>
  <si>
    <t>RefCurrentDirection=</t>
  </si>
  <si>
    <t>10ppg</t>
  </si>
  <si>
    <t>14ppg</t>
  </si>
  <si>
    <t>Loadcases.txt</t>
  </si>
  <si>
    <t>Explicit</t>
  </si>
  <si>
    <t>Select "Riser"</t>
  </si>
  <si>
    <t>ContentsDensity=</t>
  </si>
  <si>
    <t>1.2 kg/m3</t>
  </si>
  <si>
    <t>14 ppg</t>
  </si>
  <si>
    <t>1.67 kg/m3</t>
  </si>
  <si>
    <t>Riser</t>
  </si>
  <si>
    <t>Max</t>
  </si>
  <si>
    <t>End A</t>
  </si>
  <si>
    <t>Effective Tension</t>
  </si>
  <si>
    <t>Range Graph Max</t>
  </si>
  <si>
    <t>C3</t>
  </si>
  <si>
    <t>D3</t>
  </si>
  <si>
    <t>Bend Moment</t>
  </si>
  <si>
    <t>E3</t>
  </si>
  <si>
    <t>Range Graph Min</t>
  </si>
  <si>
    <t>C9</t>
  </si>
  <si>
    <t>D9</t>
  </si>
  <si>
    <t>TJ Stroke length</t>
  </si>
  <si>
    <t>C11</t>
  </si>
  <si>
    <t>D11</t>
  </si>
  <si>
    <t>X</t>
  </si>
  <si>
    <t>Min</t>
  </si>
  <si>
    <t>Y</t>
  </si>
  <si>
    <t>E9</t>
  </si>
  <si>
    <t>E11</t>
  </si>
  <si>
    <t>deg</t>
  </si>
  <si>
    <t>m</t>
  </si>
  <si>
    <t>Operating condition</t>
  </si>
  <si>
    <t>Survival Condition</t>
  </si>
  <si>
    <t>Ref.</t>
  </si>
  <si>
    <t>Drilling</t>
  </si>
  <si>
    <t>Page 2-6 of Op. manual SV</t>
  </si>
  <si>
    <t>Combination of Wave + Wind</t>
  </si>
  <si>
    <t>Wave height</t>
  </si>
  <si>
    <t>Wave period</t>
  </si>
  <si>
    <t>s</t>
  </si>
  <si>
    <t>Wind</t>
  </si>
  <si>
    <t>knots</t>
  </si>
  <si>
    <t>Current Only</t>
  </si>
  <si>
    <t>Current</t>
  </si>
  <si>
    <t xml:space="preserve">Current </t>
  </si>
  <si>
    <t>Water Depth = 900m</t>
  </si>
  <si>
    <t>Stabiliy booklet of SV</t>
  </si>
  <si>
    <t>10 yr RP</t>
  </si>
  <si>
    <t>50 yr RP</t>
  </si>
  <si>
    <t>Wave</t>
  </si>
  <si>
    <t>Hs</t>
  </si>
  <si>
    <t>Hmax</t>
  </si>
  <si>
    <t>T</t>
  </si>
  <si>
    <t>Stability booklet SV</t>
  </si>
  <si>
    <t>Currrent</t>
  </si>
  <si>
    <t>surface</t>
  </si>
  <si>
    <t>m/sec</t>
  </si>
  <si>
    <t xml:space="preserve">top 10 m </t>
  </si>
  <si>
    <t>1 Hr mean</t>
  </si>
  <si>
    <t>1 min. mean</t>
  </si>
  <si>
    <t>3 sec Gust</t>
  </si>
  <si>
    <t>A5</t>
  </si>
  <si>
    <t>A4</t>
  </si>
  <si>
    <t>A7</t>
  </si>
  <si>
    <t>A9</t>
  </si>
  <si>
    <t>A11</t>
  </si>
  <si>
    <t>B3</t>
  </si>
  <si>
    <t>M3</t>
  </si>
  <si>
    <t>A13</t>
  </si>
  <si>
    <t>A15</t>
  </si>
  <si>
    <t>A16</t>
  </si>
  <si>
    <t>Vessel Excursion in X direction (m)</t>
  </si>
  <si>
    <t>A27</t>
  </si>
  <si>
    <t>A29</t>
  </si>
  <si>
    <t>B9</t>
  </si>
  <si>
    <t>B11</t>
  </si>
  <si>
    <t>M1</t>
  </si>
  <si>
    <t>M2</t>
  </si>
  <si>
    <t>M4</t>
  </si>
  <si>
    <t>M5</t>
  </si>
  <si>
    <t>M6</t>
  </si>
  <si>
    <t>M7</t>
  </si>
  <si>
    <t>M8</t>
  </si>
  <si>
    <t>A21</t>
  </si>
  <si>
    <t>A24</t>
  </si>
  <si>
    <t>Riser Bend Moment Whole Simulation (kN.m)</t>
  </si>
  <si>
    <t>Riser Effective Tension (End A) Whole Simulation (Kn)</t>
  </si>
  <si>
    <t>Vessel Excursion in negative X direction (m)</t>
  </si>
  <si>
    <t>Vessel Excursion in Y direction (m)</t>
  </si>
  <si>
    <t>Vessel Excursion in negative Y direction (m)</t>
  </si>
  <si>
    <t>Max Tension in Mooring line M1 (Kn)</t>
  </si>
  <si>
    <t>Max Tension in Mooring line M2 (Kn)</t>
  </si>
  <si>
    <t>Max Tension in Mooring line M3 (Kn)</t>
  </si>
  <si>
    <t>Max Tension in Mooring line M4 (Kn)</t>
  </si>
  <si>
    <t>Max Tension in Mooring line M5 (Kn)</t>
  </si>
  <si>
    <t>Max Tension in Mooring line M6 (Kn)</t>
  </si>
  <si>
    <t>Max Tension in Mooring line M7 (Kn)</t>
  </si>
  <si>
    <t>Max Tension in Mooring line M8 (Kn)</t>
  </si>
  <si>
    <t>WD</t>
  </si>
  <si>
    <t>5 % OF WD</t>
  </si>
  <si>
    <t>Flex Joint Angle +/-</t>
  </si>
  <si>
    <t>Declination allowed +/-</t>
  </si>
  <si>
    <t>Worst ZZ Stress</t>
  </si>
  <si>
    <t>Breaking load of  Chain</t>
  </si>
  <si>
    <t>Kn</t>
  </si>
  <si>
    <t>Proof load of chain</t>
  </si>
  <si>
    <t>Breaking load of  Wire Rope</t>
  </si>
  <si>
    <t>389 MT</t>
  </si>
  <si>
    <t>kN</t>
  </si>
  <si>
    <t>A33</t>
  </si>
  <si>
    <t>Offset (m)</t>
  </si>
  <si>
    <t>Line Clearance</t>
  </si>
  <si>
    <t>A41</t>
  </si>
  <si>
    <t>Max Declination at EndB for M1 (deg)</t>
  </si>
  <si>
    <t>Max Declination at EndB for M2 (deg)</t>
  </si>
  <si>
    <t>Max Declination at EndB for M3 (deg)</t>
  </si>
  <si>
    <t>Max Declination at EndB for M4 (deg)</t>
  </si>
  <si>
    <t>Max Declination at EndB for M5 (deg)</t>
  </si>
  <si>
    <t>Max Declination at EndB for M6 (deg)</t>
  </si>
  <si>
    <t>Max Declination at EndB for M7 (deg)</t>
  </si>
  <si>
    <t>Max Declination at EndB for M8 (deg)</t>
  </si>
  <si>
    <t>Allowed Declination at Mooring EndB</t>
  </si>
  <si>
    <t>Orcaflex Declination</t>
  </si>
  <si>
    <t>Riser Joint grade</t>
  </si>
  <si>
    <t>X-80</t>
  </si>
  <si>
    <t>ksi</t>
  </si>
  <si>
    <t>80 ksi</t>
  </si>
  <si>
    <t>kPa</t>
  </si>
  <si>
    <t xml:space="preserve">1 kPa = </t>
  </si>
  <si>
    <t>Max yield stress</t>
  </si>
  <si>
    <t>Max von Mises Stress</t>
  </si>
  <si>
    <t>B13</t>
  </si>
  <si>
    <t>A18</t>
  </si>
  <si>
    <t>C13</t>
  </si>
  <si>
    <t>D13</t>
  </si>
  <si>
    <t>E13</t>
  </si>
  <si>
    <t>A10</t>
  </si>
  <si>
    <t>A8</t>
  </si>
  <si>
    <t>Length</t>
  </si>
  <si>
    <t>Latest Wave</t>
  </si>
  <si>
    <t>Cauvery Basin</t>
  </si>
  <si>
    <t>10ppg_0deg</t>
  </si>
  <si>
    <t>10ppg_90deg</t>
  </si>
  <si>
    <t>14ppg_0deg</t>
  </si>
  <si>
    <t>14ppg_90deg</t>
  </si>
  <si>
    <t>Flex Joint1</t>
  </si>
  <si>
    <t>Flexible Joint Bend Stiffness</t>
  </si>
  <si>
    <t>kN.m/deg</t>
  </si>
  <si>
    <t>A31</t>
  </si>
  <si>
    <t>A37</t>
  </si>
  <si>
    <t>A49</t>
  </si>
  <si>
    <t>A57</t>
  </si>
  <si>
    <t>Time Period</t>
  </si>
  <si>
    <t>Depth</t>
  </si>
  <si>
    <t>speed (m/s)</t>
  </si>
  <si>
    <t>m/s</t>
  </si>
  <si>
    <t>Environment</t>
  </si>
  <si>
    <t>10ppg_45deg</t>
  </si>
  <si>
    <t>14ppg_45deg</t>
  </si>
  <si>
    <t>F3</t>
  </si>
  <si>
    <t>G3</t>
  </si>
  <si>
    <t>F9</t>
  </si>
  <si>
    <t>F11</t>
  </si>
  <si>
    <t>F13</t>
  </si>
  <si>
    <t>G9</t>
  </si>
  <si>
    <t>G11</t>
  </si>
  <si>
    <t>G13</t>
  </si>
  <si>
    <t>Significant Wave Ht (Hs)</t>
  </si>
  <si>
    <t xml:space="preserve">GlobalAppliedLoadOriginX[1] = </t>
  </si>
  <si>
    <t xml:space="preserve">GlobalAppliedLoadOriginY[1] = </t>
  </si>
  <si>
    <t xml:space="preserve">GlobalAppliedLoadOriginZ[1] = </t>
  </si>
  <si>
    <t>GlobalAppliedForceX[1] =</t>
  </si>
  <si>
    <t>GlobalAppliedForceY[1] =</t>
  </si>
  <si>
    <t xml:space="preserve">1 Kn = </t>
  </si>
  <si>
    <t>kips</t>
  </si>
  <si>
    <t>Stroke range in latest wave (m)</t>
  </si>
  <si>
    <t>A6</t>
  </si>
  <si>
    <t>A20</t>
  </si>
  <si>
    <t>A26</t>
  </si>
  <si>
    <t>A34</t>
  </si>
  <si>
    <t>A38</t>
  </si>
  <si>
    <t>A46</t>
  </si>
  <si>
    <t>A50</t>
  </si>
  <si>
    <t>A54</t>
  </si>
  <si>
    <t>A58</t>
  </si>
  <si>
    <t>B15</t>
  </si>
  <si>
    <t>B20</t>
  </si>
  <si>
    <t>B37</t>
  </si>
  <si>
    <t>C15</t>
  </si>
  <si>
    <t>C20</t>
  </si>
  <si>
    <t>C37</t>
  </si>
  <si>
    <t>D15</t>
  </si>
  <si>
    <t>D20</t>
  </si>
  <si>
    <t>D37</t>
  </si>
  <si>
    <t>E15</t>
  </si>
  <si>
    <t>E20</t>
  </si>
  <si>
    <t>E37</t>
  </si>
  <si>
    <t>F15</t>
  </si>
  <si>
    <t>F20</t>
  </si>
  <si>
    <t>F37</t>
  </si>
  <si>
    <t>G15</t>
  </si>
  <si>
    <t>G20</t>
  </si>
  <si>
    <t>G37</t>
  </si>
  <si>
    <t>Max. TJ Stroke length Z (1) Latest Wave (m)</t>
  </si>
  <si>
    <t>Min. TJ Stroke length Z (1) Latest Wave (m)</t>
  </si>
  <si>
    <t>A42</t>
  </si>
  <si>
    <t>A60</t>
  </si>
  <si>
    <t>NoCurrent</t>
  </si>
  <si>
    <t>10ppg_NoLoad</t>
  </si>
  <si>
    <t>14ppg_NoLoad</t>
  </si>
  <si>
    <t>Max. Riser Effective Tension (28.446 to 269.598) (Kn)</t>
  </si>
  <si>
    <t>Max. Riser Effective Tension (28.446 to 269.598) (kips)</t>
  </si>
  <si>
    <t>Min. Riser Effective Tension (28.446 to 269.598) (Kn)</t>
  </si>
  <si>
    <t>Min. Riser Effective Tension (28.446 to 269.598) (kips)</t>
  </si>
  <si>
    <t>Max Von Mises Stress (28.446 to 269.598) (kPa)</t>
  </si>
  <si>
    <t>Max Von Mises Stress (28.446 to 269.598) (ksi)</t>
  </si>
  <si>
    <t>Max Bend Moment at LFJ (267.714 to 269.598) (kN.m)</t>
  </si>
  <si>
    <t>Min Bend Moment at LFJ (267.714 to 269.598) (kN.m)</t>
  </si>
  <si>
    <t>Riser Bend Moment at 279.628 (top of Well head) (kN.m)</t>
  </si>
  <si>
    <t>Stroke length at Zero Load Environment (m)</t>
  </si>
  <si>
    <t>5% of Water Depth (m)</t>
  </si>
  <si>
    <t>Vertical Tension pulled (kips)</t>
  </si>
  <si>
    <t>Vertical Tension pulled (kN)</t>
  </si>
  <si>
    <t>Well head is assumed vertical in calculation of LFJ angle - It is important to consider the relative angle when considering results</t>
  </si>
  <si>
    <t>Tension in Each Tensioner (among 12 No.s) (kip)</t>
  </si>
  <si>
    <t>H3</t>
  </si>
  <si>
    <t>A14</t>
  </si>
  <si>
    <t>A22</t>
  </si>
  <si>
    <t>A32</t>
  </si>
  <si>
    <t>A36</t>
  </si>
  <si>
    <t>A40</t>
  </si>
  <si>
    <t>A44</t>
  </si>
  <si>
    <t>A48</t>
  </si>
  <si>
    <t>A52</t>
  </si>
  <si>
    <t>A56</t>
  </si>
  <si>
    <t>A62</t>
  </si>
  <si>
    <t>A64</t>
  </si>
  <si>
    <t>A65</t>
  </si>
  <si>
    <t>A66</t>
  </si>
  <si>
    <t>Load 10ppg_NoLoad.sim</t>
  </si>
  <si>
    <t>C7</t>
  </si>
  <si>
    <t>C21</t>
  </si>
  <si>
    <t>C31</t>
  </si>
  <si>
    <t>C32</t>
  </si>
  <si>
    <t>C40</t>
  </si>
  <si>
    <t>C48</t>
  </si>
  <si>
    <t>C56</t>
  </si>
  <si>
    <t>C64</t>
  </si>
  <si>
    <t>G7</t>
  </si>
  <si>
    <t>G21</t>
  </si>
  <si>
    <t>G31</t>
  </si>
  <si>
    <t>G32</t>
  </si>
  <si>
    <t>G36</t>
  </si>
  <si>
    <t>G40</t>
  </si>
  <si>
    <t>G48</t>
  </si>
  <si>
    <t>G56</t>
  </si>
  <si>
    <t>G64</t>
  </si>
  <si>
    <t>I3</t>
  </si>
  <si>
    <t>F7</t>
  </si>
  <si>
    <t>F21</t>
  </si>
  <si>
    <t>F31</t>
  </si>
  <si>
    <t>F32</t>
  </si>
  <si>
    <t>F40</t>
  </si>
  <si>
    <t>F48</t>
  </si>
  <si>
    <t>F56</t>
  </si>
  <si>
    <t>F64</t>
  </si>
  <si>
    <t>Load 14ppg_NoLoad.sim</t>
  </si>
  <si>
    <t>B7</t>
  </si>
  <si>
    <t>B21</t>
  </si>
  <si>
    <t>B31</t>
  </si>
  <si>
    <t>B32</t>
  </si>
  <si>
    <t>B40</t>
  </si>
  <si>
    <t>B48</t>
  </si>
  <si>
    <t>B56</t>
  </si>
  <si>
    <t>B64</t>
  </si>
  <si>
    <t>D7</t>
  </si>
  <si>
    <t>D21</t>
  </si>
  <si>
    <t>D31</t>
  </si>
  <si>
    <t>D32</t>
  </si>
  <si>
    <t>D36</t>
  </si>
  <si>
    <t>D40</t>
  </si>
  <si>
    <t>D48</t>
  </si>
  <si>
    <t>D56</t>
  </si>
  <si>
    <t>D64</t>
  </si>
  <si>
    <t>E7</t>
  </si>
  <si>
    <t>E21</t>
  </si>
  <si>
    <t>E31</t>
  </si>
  <si>
    <t>E32</t>
  </si>
  <si>
    <t>E40</t>
  </si>
  <si>
    <t>E48</t>
  </si>
  <si>
    <t>E56</t>
  </si>
  <si>
    <t>E64</t>
  </si>
  <si>
    <t>H7</t>
  </si>
  <si>
    <t>H9</t>
  </si>
  <si>
    <t>H11</t>
  </si>
  <si>
    <t>H13</t>
  </si>
  <si>
    <t>H15</t>
  </si>
  <si>
    <t>H20</t>
  </si>
  <si>
    <t>H21</t>
  </si>
  <si>
    <t>H31</t>
  </si>
  <si>
    <t>H32</t>
  </si>
  <si>
    <t>H37</t>
  </si>
  <si>
    <t>H40</t>
  </si>
  <si>
    <t>H48</t>
  </si>
  <si>
    <t>H56</t>
  </si>
  <si>
    <t>H64</t>
  </si>
  <si>
    <t>I7</t>
  </si>
  <si>
    <t>I9</t>
  </si>
  <si>
    <t>I11</t>
  </si>
  <si>
    <t>I13</t>
  </si>
  <si>
    <t>I15</t>
  </si>
  <si>
    <t>I20</t>
  </si>
  <si>
    <t>I21</t>
  </si>
  <si>
    <t>I31</t>
  </si>
  <si>
    <t>I32</t>
  </si>
  <si>
    <t>I37</t>
  </si>
  <si>
    <t>I40</t>
  </si>
  <si>
    <t>I48</t>
  </si>
  <si>
    <t>I56</t>
  </si>
  <si>
    <t>I64</t>
  </si>
  <si>
    <t>Degraded Breaking Strength (Wrope)</t>
  </si>
  <si>
    <t xml:space="preserve">M1 Factor of Safety against degraded Breaking strength </t>
  </si>
  <si>
    <t xml:space="preserve">M2 Factor of Safety against degraded Breaking strength </t>
  </si>
  <si>
    <t xml:space="preserve">M3 Factor of Safety against degraded Breaking strength </t>
  </si>
  <si>
    <t xml:space="preserve">M4 Factor of Safety against degraded Breaking strength </t>
  </si>
  <si>
    <t xml:space="preserve">M5 Factor of Safety against degraded Breaking strength </t>
  </si>
  <si>
    <t xml:space="preserve">M6 Factor of Safety against degraded Breaking strength </t>
  </si>
  <si>
    <t xml:space="preserve">M7 Factor of Safety against degraded Breaking strength </t>
  </si>
  <si>
    <t xml:space="preserve">M8 Factor of Safety against degraded Breaking strength </t>
  </si>
  <si>
    <t>Riser Moonpool Clearance (m)</t>
  </si>
  <si>
    <t>Highest Riser ZZ Stress (28.446 to 269.598) (kPa)</t>
  </si>
  <si>
    <t>Highest Riser ZZ Stress (28.446 to 269.598) (ksi)</t>
  </si>
  <si>
    <t>Max Flex Joint angle (deg)</t>
  </si>
  <si>
    <t>End of Duplicated Instructions</t>
  </si>
  <si>
    <t>16ppg</t>
  </si>
  <si>
    <t>1yrcurrent</t>
  </si>
  <si>
    <t>10yrcurrent</t>
  </si>
  <si>
    <t>1.92 kg/m3</t>
  </si>
  <si>
    <t>16ppg_NoLoad</t>
  </si>
  <si>
    <t>16ppg_0deg</t>
  </si>
  <si>
    <t>16ppg_45deg</t>
  </si>
  <si>
    <t>16ppg_90deg</t>
  </si>
  <si>
    <t>J3</t>
  </si>
  <si>
    <t>K3</t>
  </si>
  <si>
    <t>L3</t>
  </si>
  <si>
    <t>A35</t>
  </si>
  <si>
    <t>J7</t>
  </si>
  <si>
    <t>J9</t>
  </si>
  <si>
    <t>J11</t>
  </si>
  <si>
    <t>J13</t>
  </si>
  <si>
    <t>J15</t>
  </si>
  <si>
    <t>J20</t>
  </si>
  <si>
    <t>J21</t>
  </si>
  <si>
    <t>J31</t>
  </si>
  <si>
    <t>J32</t>
  </si>
  <si>
    <t>J36</t>
  </si>
  <si>
    <t>J37</t>
  </si>
  <si>
    <t>J40</t>
  </si>
  <si>
    <t>J48</t>
  </si>
  <si>
    <t>J56</t>
  </si>
  <si>
    <t>J64</t>
  </si>
  <si>
    <t>K7</t>
  </si>
  <si>
    <t>K9</t>
  </si>
  <si>
    <t>K11</t>
  </si>
  <si>
    <t>K13</t>
  </si>
  <si>
    <t>K15</t>
  </si>
  <si>
    <t>K20</t>
  </si>
  <si>
    <t>K21</t>
  </si>
  <si>
    <t>K31</t>
  </si>
  <si>
    <t>K32</t>
  </si>
  <si>
    <t>K37</t>
  </si>
  <si>
    <t>K40</t>
  </si>
  <si>
    <t>K48</t>
  </si>
  <si>
    <t>K56</t>
  </si>
  <si>
    <t>K64</t>
  </si>
  <si>
    <t>L7</t>
  </si>
  <si>
    <t>L9</t>
  </si>
  <si>
    <t>L11</t>
  </si>
  <si>
    <t>L13</t>
  </si>
  <si>
    <t>L15</t>
  </si>
  <si>
    <t>L20</t>
  </si>
  <si>
    <t>L21</t>
  </si>
  <si>
    <t>L31</t>
  </si>
  <si>
    <t>L32</t>
  </si>
  <si>
    <t>L37</t>
  </si>
  <si>
    <t>L40</t>
  </si>
  <si>
    <t>L48</t>
  </si>
  <si>
    <t>L56</t>
  </si>
  <si>
    <t>L64</t>
  </si>
  <si>
    <t>M9</t>
  </si>
  <si>
    <t>M11</t>
  </si>
  <si>
    <t>M13</t>
  </si>
  <si>
    <t>M15</t>
  </si>
  <si>
    <t>M20</t>
  </si>
  <si>
    <t>M21</t>
  </si>
  <si>
    <t>M31</t>
  </si>
  <si>
    <t>M32</t>
  </si>
  <si>
    <t>M36</t>
  </si>
  <si>
    <t>M37</t>
  </si>
  <si>
    <t>M40</t>
  </si>
  <si>
    <t>M48</t>
  </si>
  <si>
    <t>M56</t>
  </si>
  <si>
    <t>M64</t>
  </si>
  <si>
    <t>Load 16ppg_NoLoad.sim</t>
  </si>
  <si>
    <t>10ppg NoLoad</t>
  </si>
  <si>
    <t>10ppg 0deg</t>
  </si>
  <si>
    <t>10ppg 45deg</t>
  </si>
  <si>
    <t>10ppg 90deg</t>
  </si>
  <si>
    <t>14ppg NoLoad</t>
  </si>
  <si>
    <t>14ppg 0deg</t>
  </si>
  <si>
    <t>14ppg 45deg</t>
  </si>
  <si>
    <t>14ppg 90deg</t>
  </si>
  <si>
    <t>16ppg NoLoad</t>
  </si>
  <si>
    <t>16ppg 0deg</t>
  </si>
  <si>
    <t>16ppg 45deg</t>
  </si>
  <si>
    <t>16ppg 90deg</t>
  </si>
  <si>
    <t>1 yr RP - 100% Tension = 960kips</t>
  </si>
  <si>
    <t>Tp</t>
  </si>
  <si>
    <t>Hs-T</t>
  </si>
  <si>
    <t>No_Load</t>
  </si>
  <si>
    <t>1RP</t>
  </si>
  <si>
    <t>10RP</t>
  </si>
  <si>
    <t>10ppg_270deg</t>
  </si>
  <si>
    <t>14ppg_270deg</t>
  </si>
  <si>
    <t>16ppg_270deg</t>
  </si>
  <si>
    <t>N3</t>
  </si>
  <si>
    <t>O3</t>
  </si>
  <si>
    <t>P3</t>
  </si>
  <si>
    <t xml:space="preserve">M1 Wire Rope F.S against degraded Breaking strength </t>
  </si>
  <si>
    <t xml:space="preserve">M1 Chain F.S against degraded Breaking strength </t>
  </si>
  <si>
    <t>A39</t>
  </si>
  <si>
    <t xml:space="preserve">M2 Wire Rope F.S against degraded Breaking strength </t>
  </si>
  <si>
    <t xml:space="preserve">M2 Chain F.S against degraded Breaking strength </t>
  </si>
  <si>
    <t xml:space="preserve">M3 Wire Rope F.S against degraded Breaking strength </t>
  </si>
  <si>
    <t xml:space="preserve">M3 Chain F.S against degraded Breaking strength </t>
  </si>
  <si>
    <t>A47</t>
  </si>
  <si>
    <t xml:space="preserve">M4 Wire Rope F.S against degraded Breaking strength </t>
  </si>
  <si>
    <t xml:space="preserve">M4 Chain F.S against degraded Breaking strength </t>
  </si>
  <si>
    <t xml:space="preserve">M5 Wire Rope F.S against degraded Breaking strength </t>
  </si>
  <si>
    <t xml:space="preserve">M5 Chain F.S against degraded Breaking strength </t>
  </si>
  <si>
    <t xml:space="preserve">M6 Wire Rope F.S against degraded Breaking strength </t>
  </si>
  <si>
    <t xml:space="preserve">M6 Chain F.S against degraded Breaking strength </t>
  </si>
  <si>
    <t xml:space="preserve">M7 Wire Rope F.S against degraded Breaking strength </t>
  </si>
  <si>
    <t xml:space="preserve">M7 Chain F.S against degraded Breaking strength </t>
  </si>
  <si>
    <t xml:space="preserve">M8 Wire Rope F.S against degraded Breaking strength </t>
  </si>
  <si>
    <t xml:space="preserve">M8 Chain F.S against degraded Breaking strength </t>
  </si>
  <si>
    <t>A63</t>
  </si>
  <si>
    <t>A68</t>
  </si>
  <si>
    <t>A71</t>
  </si>
  <si>
    <t>A72</t>
  </si>
  <si>
    <t>A73</t>
  </si>
  <si>
    <t>A74</t>
  </si>
  <si>
    <t>Max Tension in M1 Wire Rope ( kN)</t>
  </si>
  <si>
    <t>Max Tension in M1 Chain ( kN)</t>
  </si>
  <si>
    <t>Max Tension in M2 Wire Rope ( kN)</t>
  </si>
  <si>
    <t>Max Tension in M2 Chain ( kN)</t>
  </si>
  <si>
    <t>Max Tension in M3 Wire Rope ( kN)</t>
  </si>
  <si>
    <t>Max Tension in M3 Chain ( kN)</t>
  </si>
  <si>
    <t>Max Tension in M4 Wire Rope ( kN)</t>
  </si>
  <si>
    <t>Max Tension in M4 Chain ( kN)</t>
  </si>
  <si>
    <t>Max Tension in M5 Wire Rope ( kN)</t>
  </si>
  <si>
    <t>Max Tension in M5 Chain ( kN)</t>
  </si>
  <si>
    <t>Max Tension in M6 Wire Rope ( kN)</t>
  </si>
  <si>
    <t>Max Tension in M6 Chain ( kN)</t>
  </si>
  <si>
    <t>Max Tension in M7 Wire Rope ( kN)</t>
  </si>
  <si>
    <t>Max Tension in M7 Chain ( kN)</t>
  </si>
  <si>
    <t>Max Tension in M8 Wire Rope ( kN)</t>
  </si>
  <si>
    <t>Max Tension in M8 Chain ( kN)</t>
  </si>
  <si>
    <t>C38</t>
  </si>
  <si>
    <t>Touchdown</t>
  </si>
  <si>
    <t>Arc Length</t>
  </si>
  <si>
    <t>Length of Mooring line M1 on Seabed (m)</t>
  </si>
  <si>
    <t>Total Length of Mooring line M1 (m)</t>
  </si>
  <si>
    <t>Total Length of Mooring line M2 (m)</t>
  </si>
  <si>
    <t>Length of Mooring line M2 on Seabed (m)</t>
  </si>
  <si>
    <t>Total Length of Mooring line M3 (m)</t>
  </si>
  <si>
    <t>Length of Mooring line M3 on Seabed (m)</t>
  </si>
  <si>
    <t>Min Arc Length of M1 at Touch Down (m)</t>
  </si>
  <si>
    <t>Min Arc Length of M2 at Touch Down (m)</t>
  </si>
  <si>
    <t>Min Arc Length of M3 at Touch Down (m)</t>
  </si>
  <si>
    <t>Total Length of Mooring line M4 (m)</t>
  </si>
  <si>
    <t>Min Arc Length of M4 at Touch Down (m)</t>
  </si>
  <si>
    <t>Length of Mooring line M4 on Seabed (m)</t>
  </si>
  <si>
    <t>Total Length of Mooring line M5 (m)</t>
  </si>
  <si>
    <t>Min Arc Length of M5 at Touch Down (m)</t>
  </si>
  <si>
    <t>Length of Mooring line M5 on Seabed (m)</t>
  </si>
  <si>
    <t>Total Length of Mooring line M6 (m)</t>
  </si>
  <si>
    <t>Min Arc Length of M6 at Touch Down (m)</t>
  </si>
  <si>
    <t>Length of Mooring line M6 on Seabed (m)</t>
  </si>
  <si>
    <t>Total Length of Mooring line M7 (m)</t>
  </si>
  <si>
    <t>Min Arc Length of M7 at Touch Down (m)</t>
  </si>
  <si>
    <t>Length of Mooring line M7 on Seabed (m)</t>
  </si>
  <si>
    <t>Total Length of Mooring line M8 (m)</t>
  </si>
  <si>
    <t>Min Arc Length of M8 at Touch Down (m)</t>
  </si>
  <si>
    <t>Length of Mooring line M8 on Seabed (m)</t>
  </si>
  <si>
    <t>A55</t>
  </si>
  <si>
    <t>A70</t>
  </si>
  <si>
    <t>A76</t>
  </si>
  <si>
    <t>A78</t>
  </si>
  <si>
    <t>A79</t>
  </si>
  <si>
    <t>A80</t>
  </si>
  <si>
    <t>A81</t>
  </si>
  <si>
    <t>A82</t>
  </si>
  <si>
    <t>A84</t>
  </si>
  <si>
    <t>A86</t>
  </si>
  <si>
    <t>A87</t>
  </si>
  <si>
    <t>A88</t>
  </si>
  <si>
    <t>A89</t>
  </si>
  <si>
    <t>A90</t>
  </si>
  <si>
    <t>A92</t>
  </si>
  <si>
    <t>A94</t>
  </si>
  <si>
    <t>A95</t>
  </si>
  <si>
    <t>A96</t>
  </si>
  <si>
    <t>A97</t>
  </si>
  <si>
    <t>A98</t>
  </si>
  <si>
    <t>C46</t>
  </si>
  <si>
    <t>C62</t>
  </si>
  <si>
    <t>C70</t>
  </si>
  <si>
    <t>C78</t>
  </si>
  <si>
    <t>C86</t>
  </si>
  <si>
    <t>C94</t>
  </si>
  <si>
    <t>B38</t>
  </si>
  <si>
    <t>B46</t>
  </si>
  <si>
    <t>B62</t>
  </si>
  <si>
    <t>B70</t>
  </si>
  <si>
    <t>B78</t>
  </si>
  <si>
    <t>B86</t>
  </si>
  <si>
    <t>B94</t>
  </si>
  <si>
    <t>G70</t>
  </si>
  <si>
    <t>G78</t>
  </si>
  <si>
    <t>G86</t>
  </si>
  <si>
    <t>G94</t>
  </si>
  <si>
    <t>D38</t>
  </si>
  <si>
    <t>D46</t>
  </si>
  <si>
    <t>D62</t>
  </si>
  <si>
    <t>D70</t>
  </si>
  <si>
    <t>D78</t>
  </si>
  <si>
    <t>D86</t>
  </si>
  <si>
    <t>D94</t>
  </si>
  <si>
    <t>E38</t>
  </si>
  <si>
    <t>E46</t>
  </si>
  <si>
    <t>E62</t>
  </si>
  <si>
    <t>E70</t>
  </si>
  <si>
    <t>E78</t>
  </si>
  <si>
    <t>E86</t>
  </si>
  <si>
    <t>E94</t>
  </si>
  <si>
    <t>F38</t>
  </si>
  <si>
    <t>F46</t>
  </si>
  <si>
    <t>F62</t>
  </si>
  <si>
    <t>F70</t>
  </si>
  <si>
    <t>F78</t>
  </si>
  <si>
    <t>F86</t>
  </si>
  <si>
    <t>F94</t>
  </si>
  <si>
    <t>G38</t>
  </si>
  <si>
    <t>G46</t>
  </si>
  <si>
    <t>G62</t>
  </si>
  <si>
    <t>H38</t>
  </si>
  <si>
    <t>H46</t>
  </si>
  <si>
    <t>H62</t>
  </si>
  <si>
    <t>H70</t>
  </si>
  <si>
    <t>H78</t>
  </si>
  <si>
    <t>H86</t>
  </si>
  <si>
    <t>H94</t>
  </si>
  <si>
    <t>I38</t>
  </si>
  <si>
    <t>I46</t>
  </si>
  <si>
    <t>I62</t>
  </si>
  <si>
    <t>I70</t>
  </si>
  <si>
    <t>I78</t>
  </si>
  <si>
    <t>I86</t>
  </si>
  <si>
    <t>I94</t>
  </si>
  <si>
    <t>J38</t>
  </si>
  <si>
    <t>J46</t>
  </si>
  <si>
    <t>J62</t>
  </si>
  <si>
    <t>J70</t>
  </si>
  <si>
    <t>J78</t>
  </si>
  <si>
    <t>J86</t>
  </si>
  <si>
    <t>J94</t>
  </si>
  <si>
    <t>K38</t>
  </si>
  <si>
    <t>K46</t>
  </si>
  <si>
    <t>K62</t>
  </si>
  <si>
    <t>K70</t>
  </si>
  <si>
    <t>K78</t>
  </si>
  <si>
    <t>K86</t>
  </si>
  <si>
    <t>K94</t>
  </si>
  <si>
    <t>L38</t>
  </si>
  <si>
    <t>L46</t>
  </si>
  <si>
    <t>L62</t>
  </si>
  <si>
    <t>L70</t>
  </si>
  <si>
    <t>L78</t>
  </si>
  <si>
    <t>L86</t>
  </si>
  <si>
    <t>L94</t>
  </si>
  <si>
    <t>M38</t>
  </si>
  <si>
    <t>M46</t>
  </si>
  <si>
    <t>M62</t>
  </si>
  <si>
    <t>M70</t>
  </si>
  <si>
    <t>M78</t>
  </si>
  <si>
    <t>M86</t>
  </si>
  <si>
    <t>M94</t>
  </si>
  <si>
    <t>N7</t>
  </si>
  <si>
    <t>N9</t>
  </si>
  <si>
    <t>N11</t>
  </si>
  <si>
    <t>N13</t>
  </si>
  <si>
    <t>N15</t>
  </si>
  <si>
    <t>N20</t>
  </si>
  <si>
    <t>N21</t>
  </si>
  <si>
    <t>N31</t>
  </si>
  <si>
    <t>N32</t>
  </si>
  <si>
    <t>N38</t>
  </si>
  <si>
    <t>N46</t>
  </si>
  <si>
    <t>N62</t>
  </si>
  <si>
    <t>N70</t>
  </si>
  <si>
    <t>N78</t>
  </si>
  <si>
    <t>N86</t>
  </si>
  <si>
    <t>N94</t>
  </si>
  <si>
    <t>O7</t>
  </si>
  <si>
    <t>O9</t>
  </si>
  <si>
    <t>O11</t>
  </si>
  <si>
    <t>O13</t>
  </si>
  <si>
    <t>O15</t>
  </si>
  <si>
    <t>O20</t>
  </si>
  <si>
    <t>O21</t>
  </si>
  <si>
    <t>O31</t>
  </si>
  <si>
    <t>O32</t>
  </si>
  <si>
    <t>O38</t>
  </si>
  <si>
    <t>O46</t>
  </si>
  <si>
    <t>O62</t>
  </si>
  <si>
    <t>O70</t>
  </si>
  <si>
    <t>O78</t>
  </si>
  <si>
    <t>O86</t>
  </si>
  <si>
    <t>O94</t>
  </si>
  <si>
    <t>P7</t>
  </si>
  <si>
    <t>P9</t>
  </si>
  <si>
    <t>P11</t>
  </si>
  <si>
    <t>P13</t>
  </si>
  <si>
    <t>P15</t>
  </si>
  <si>
    <t>P20</t>
  </si>
  <si>
    <t>P21</t>
  </si>
  <si>
    <t>P31</t>
  </si>
  <si>
    <t>P32</t>
  </si>
  <si>
    <t>P36</t>
  </si>
  <si>
    <t>P38</t>
  </si>
  <si>
    <t>P46</t>
  </si>
  <si>
    <t>P62</t>
  </si>
  <si>
    <t>P70</t>
  </si>
  <si>
    <t>P78</t>
  </si>
  <si>
    <t>P86</t>
  </si>
  <si>
    <t>P94</t>
  </si>
  <si>
    <t>Degraded Breaking Strength (Chain)</t>
  </si>
  <si>
    <t>Load 10ppg_0deg_Hmax-T_1RP.sim</t>
  </si>
  <si>
    <t>Load 10ppg_45deg_Hmax-T_1RP.sim</t>
  </si>
  <si>
    <t>Load 10ppg_90deg_Hmax-T_1RP.sim</t>
  </si>
  <si>
    <t>Load 10ppg_270deg_Hmax-T_1RP.sim</t>
  </si>
  <si>
    <t>Load 14ppg_0deg_Hmax-T_1RP.sim</t>
  </si>
  <si>
    <t>Load 14ppg_45deg_Hmax-T_1RP.sim</t>
  </si>
  <si>
    <t>Load 14ppg_90deg_Hmax-T_1RP.sim</t>
  </si>
  <si>
    <t>Load 14ppg_270deg_Hmax-T_1RP.sim</t>
  </si>
  <si>
    <t>Load 16ppg_0deg_Hmax-T_1RP.sim</t>
  </si>
  <si>
    <t>Load 16ppg_45deg_Hmax-T_1RP.sim</t>
  </si>
  <si>
    <t>Load 16ppg_90deg_Hmax-T_1RP.sim</t>
  </si>
  <si>
    <t>Load 16ppg_270deg_Hmax-T_1RP.sim</t>
  </si>
  <si>
    <t>16ppg_45deg_Hmax-T_1RP.sim</t>
  </si>
  <si>
    <t>16ppg_90deg_Hmax-T_1RP.sim</t>
  </si>
  <si>
    <t>16ppg_270deg_Hmax-T_1RP.sim</t>
  </si>
  <si>
    <t>16ppg_NoLoad.sim</t>
  </si>
  <si>
    <t>Load 16ppg_270deg_Hmax-T_10RP.sim</t>
  </si>
  <si>
    <t>Load 16ppg_90deg_Hmax-T_10RP.sim</t>
  </si>
  <si>
    <t>Load 16ppg_45deg_Hmax-T_10RP.sim</t>
  </si>
  <si>
    <t>Load 16ppg_0deg_Hmax-T_10RP.sim</t>
  </si>
  <si>
    <t>Load 14ppg_270deg_Hmax-T_10RP.sim</t>
  </si>
  <si>
    <t>Load 14ppg_90deg_Hmax-T_10RP.sim</t>
  </si>
  <si>
    <t>Load 14ppg_45deg_Hmax-T_10RP.sim</t>
  </si>
  <si>
    <t>Load 14ppg_0deg_Hmax-T_10RP.sim</t>
  </si>
  <si>
    <t>Load 10ppg_270deg_Hmax-T_10RP.sim</t>
  </si>
  <si>
    <t>Load 10ppg_90deg_Hmax-T_10RP.sim</t>
  </si>
  <si>
    <t>Load 10ppg_45deg_Hmax-T_10RP.sim</t>
  </si>
  <si>
    <t>Load 10ppg_0deg_Hmax-T_10RP.sim</t>
  </si>
  <si>
    <t>Load 16ppg_270deg_Hs-T_10RP.sim</t>
  </si>
  <si>
    <t>Load 16ppg_90deg_Hs-T_10RP.sim</t>
  </si>
  <si>
    <t>Load 16ppg_45deg_Hs-T_10RP.sim</t>
  </si>
  <si>
    <t>Load 16ppg_0deg_Hs-T_10RP.sim</t>
  </si>
  <si>
    <t>Load 14ppg_270deg_Hs-T_10RP.sim</t>
  </si>
  <si>
    <t>Load 14ppg_90deg_Hs-T_10RP.sim</t>
  </si>
  <si>
    <t>Load 14ppg_45deg_Hs-T_10RP.sim</t>
  </si>
  <si>
    <t>Load 14ppg_0deg_Hs-T_10RP.sim</t>
  </si>
  <si>
    <t>Load 10ppg_270deg_Hs-T_10RP.sim</t>
  </si>
  <si>
    <t>Load 10ppg_90deg_Hs-T_10RP.sim</t>
  </si>
  <si>
    <t>Load 10ppg_45deg_Hs-T_10RP.sim</t>
  </si>
  <si>
    <t>Load 10ppg_0deg_Hs-T_10RP.sim</t>
  </si>
  <si>
    <t>Minimum Line on Seabed</t>
  </si>
  <si>
    <t>Max Tension on Wire Rope</t>
  </si>
  <si>
    <t>Max Tension on Chain</t>
  </si>
  <si>
    <t>Min Riser Clearance</t>
  </si>
  <si>
    <t>Max Riser Tension</t>
  </si>
  <si>
    <t>Min Riser Tension</t>
  </si>
  <si>
    <t>Highest Riser ZZ stress</t>
  </si>
  <si>
    <t>Max von Mises stress</t>
  </si>
  <si>
    <t>Max LFJ angle</t>
  </si>
  <si>
    <t>Max Telescopic Joint Stroke (m)</t>
  </si>
  <si>
    <t>Max Vessel Offset</t>
  </si>
  <si>
    <t>Max
 values</t>
  </si>
  <si>
    <t>10yr</t>
  </si>
  <si>
    <t>D:\PROJECTS\ONGC\ONGC Work\Basemodels\265m WD\2nd Presentation\Rev 2\40%T</t>
  </si>
  <si>
    <t>A2</t>
  </si>
  <si>
    <t>D2</t>
  </si>
  <si>
    <t>G2</t>
  </si>
  <si>
    <t>J2</t>
  </si>
  <si>
    <t>P2</t>
  </si>
  <si>
    <t>S2</t>
  </si>
  <si>
    <t>V2</t>
  </si>
  <si>
    <t>Y2</t>
  </si>
  <si>
    <t>AB2</t>
  </si>
  <si>
    <t>AE2</t>
  </si>
  <si>
    <t>AH2</t>
  </si>
  <si>
    <t>AK2</t>
  </si>
  <si>
    <t>AN2</t>
  </si>
  <si>
    <t>AQ2</t>
  </si>
  <si>
    <t>A1</t>
  </si>
  <si>
    <t>von Mise stress ( kPa)</t>
  </si>
  <si>
    <t>Bending stress ( kPa)</t>
  </si>
  <si>
    <t>A3</t>
  </si>
  <si>
    <t>Range Graph</t>
  </si>
  <si>
    <t>Max Bending Stress</t>
  </si>
  <si>
    <t>AE3</t>
  </si>
  <si>
    <t>AE36</t>
  </si>
  <si>
    <t>S3</t>
  </si>
  <si>
    <t>S36</t>
  </si>
  <si>
    <t>V3</t>
  </si>
  <si>
    <t>V36</t>
  </si>
  <si>
    <t>Y3</t>
  </si>
  <si>
    <t>Y36</t>
  </si>
  <si>
    <t>AB3</t>
  </si>
  <si>
    <t>AB36</t>
  </si>
  <si>
    <t>AH3</t>
  </si>
  <si>
    <t>AH36</t>
  </si>
  <si>
    <t>AK3</t>
  </si>
  <si>
    <t>AK36</t>
  </si>
  <si>
    <t>AN3</t>
  </si>
  <si>
    <t>AN36</t>
  </si>
  <si>
    <t>AQ3</t>
  </si>
  <si>
    <t>AQ36</t>
  </si>
  <si>
    <t>Select SagarBhushan</t>
  </si>
  <si>
    <t>WindCoeffSurgeArea=</t>
  </si>
  <si>
    <t>WindCoeffSwayArea=</t>
  </si>
  <si>
    <t>CurrentCoeffSurgeArea=</t>
  </si>
  <si>
    <t>CurrentCoeffSwayArea=</t>
  </si>
  <si>
    <t>Select Draught 6.7m</t>
  </si>
  <si>
    <t>Select "Vessel Type1"</t>
  </si>
  <si>
    <t>SB_WD322_60%T_Rev1</t>
  </si>
  <si>
    <t>Max. Riser Effective Tension (25.42 to 327.172) (Kn)</t>
  </si>
  <si>
    <t>Max. Riser Effective Tension (25.42 to 327.172) (kips)</t>
  </si>
  <si>
    <t>Min. Riser Effective Tension (25.42 to 327.172) (Kn)</t>
  </si>
  <si>
    <t>Min. Riser Effective Tension (25.42 to 327.172) (kips)</t>
  </si>
  <si>
    <t>Highest Riser ZZ Stress (25.42 to 327.172) (kPa)</t>
  </si>
  <si>
    <t>Highest Riser ZZ Stress (25.42 to 327.172) (ksi)</t>
  </si>
  <si>
    <t>Max Von Mises Stress (25.42 to 327.172) (kPa)</t>
  </si>
  <si>
    <t>Max Von Mises Stress (25.42 to 327.172) (ksi)</t>
  </si>
  <si>
    <t>Riser Bend Moment at 337.722 (top of Well head) (kN.m)</t>
  </si>
  <si>
    <t>Max Bend Moment at LFJ (328.052 to 328.852) (kN.m)</t>
  </si>
  <si>
    <t>Min Bend Moment at LFJ (328.052 to 328.852) (kN.m)</t>
  </si>
  <si>
    <t>Significant Stress Range (25.42 to 327.172) (kPa)</t>
  </si>
  <si>
    <t>Significant Stress Range (25.42 to 327.172) (ksi)</t>
  </si>
  <si>
    <t>25.42 to 327.172</t>
  </si>
  <si>
    <t>337.722 to 337.722</t>
  </si>
  <si>
    <t>25.42 to 327.172; Min; Max</t>
  </si>
  <si>
    <t>SagarBhushan</t>
  </si>
  <si>
    <t>A23</t>
  </si>
  <si>
    <t>A28</t>
  </si>
  <si>
    <t>A43</t>
  </si>
  <si>
    <t>A51</t>
  </si>
  <si>
    <t>A59</t>
  </si>
  <si>
    <t>A67</t>
  </si>
  <si>
    <t>A75</t>
  </si>
  <si>
    <t>A83</t>
  </si>
  <si>
    <t>A91</t>
  </si>
  <si>
    <t>A99</t>
  </si>
  <si>
    <t>A100</t>
  </si>
  <si>
    <t>A17</t>
  </si>
  <si>
    <t>B22</t>
  </si>
  <si>
    <t>B23</t>
  </si>
  <si>
    <t>B26</t>
  </si>
  <si>
    <t>B27</t>
  </si>
  <si>
    <t>B33</t>
  </si>
  <si>
    <t>B34</t>
  </si>
  <si>
    <t>B51</t>
  </si>
  <si>
    <t>B59</t>
  </si>
  <si>
    <t>B67</t>
  </si>
  <si>
    <t>B72</t>
  </si>
  <si>
    <t>B75</t>
  </si>
  <si>
    <t>B80</t>
  </si>
  <si>
    <t>B83</t>
  </si>
  <si>
    <t>B88</t>
  </si>
  <si>
    <t>B91</t>
  </si>
  <si>
    <t>B96</t>
  </si>
  <si>
    <t>L22</t>
  </si>
  <si>
    <t>L23</t>
  </si>
  <si>
    <t>L26</t>
  </si>
  <si>
    <t>L27</t>
  </si>
  <si>
    <t>L33</t>
  </si>
  <si>
    <t>L34</t>
  </si>
  <si>
    <t>L51</t>
  </si>
  <si>
    <t>L59</t>
  </si>
  <si>
    <t>L67</t>
  </si>
  <si>
    <t>L72</t>
  </si>
  <si>
    <t>L75</t>
  </si>
  <si>
    <t>L80</t>
  </si>
  <si>
    <t>L83</t>
  </si>
  <si>
    <t>L88</t>
  </si>
  <si>
    <t>L91</t>
  </si>
  <si>
    <t>L96</t>
  </si>
  <si>
    <t>G22</t>
  </si>
  <si>
    <t>G23</t>
  </si>
  <si>
    <t>G26</t>
  </si>
  <si>
    <t>G27</t>
  </si>
  <si>
    <t>G33</t>
  </si>
  <si>
    <t>G34</t>
  </si>
  <si>
    <t>G51</t>
  </si>
  <si>
    <t>G59</t>
  </si>
  <si>
    <t>G67</t>
  </si>
  <si>
    <t>G72</t>
  </si>
  <si>
    <t>G75</t>
  </si>
  <si>
    <t>G80</t>
  </si>
  <si>
    <t>G83</t>
  </si>
  <si>
    <t>G88</t>
  </si>
  <si>
    <t>G91</t>
  </si>
  <si>
    <t>G96</t>
  </si>
  <si>
    <t>C22</t>
  </si>
  <si>
    <t>C23</t>
  </si>
  <si>
    <t>C26</t>
  </si>
  <si>
    <t>C27</t>
  </si>
  <si>
    <t>C33</t>
  </si>
  <si>
    <t>C34</t>
  </si>
  <si>
    <t>C51</t>
  </si>
  <si>
    <t>C59</t>
  </si>
  <si>
    <t>C67</t>
  </si>
  <si>
    <t>C72</t>
  </si>
  <si>
    <t>C75</t>
  </si>
  <si>
    <t>C80</t>
  </si>
  <si>
    <t>C83</t>
  </si>
  <si>
    <t>C88</t>
  </si>
  <si>
    <t>C91</t>
  </si>
  <si>
    <t>C96</t>
  </si>
  <si>
    <t>D22</t>
  </si>
  <si>
    <t>D23</t>
  </si>
  <si>
    <t>D26</t>
  </si>
  <si>
    <t>D27</t>
  </si>
  <si>
    <t>D33</t>
  </si>
  <si>
    <t>D34</t>
  </si>
  <si>
    <t>D51</t>
  </si>
  <si>
    <t>D59</t>
  </si>
  <si>
    <t>D67</t>
  </si>
  <si>
    <t>D72</t>
  </si>
  <si>
    <t>D75</t>
  </si>
  <si>
    <t>D80</t>
  </si>
  <si>
    <t>D83</t>
  </si>
  <si>
    <t>D88</t>
  </si>
  <si>
    <t>D91</t>
  </si>
  <si>
    <t>D96</t>
  </si>
  <si>
    <t>E22</t>
  </si>
  <si>
    <t>E23</t>
  </si>
  <si>
    <t>E26</t>
  </si>
  <si>
    <t>E27</t>
  </si>
  <si>
    <t>E33</t>
  </si>
  <si>
    <t>E34</t>
  </si>
  <si>
    <t>E51</t>
  </si>
  <si>
    <t>E59</t>
  </si>
  <si>
    <t>E67</t>
  </si>
  <si>
    <t>E72</t>
  </si>
  <si>
    <t>E75</t>
  </si>
  <si>
    <t>E80</t>
  </si>
  <si>
    <t>E83</t>
  </si>
  <si>
    <t>E88</t>
  </si>
  <si>
    <t>E91</t>
  </si>
  <si>
    <t>E96</t>
  </si>
  <si>
    <t>F22</t>
  </si>
  <si>
    <t>F23</t>
  </si>
  <si>
    <t>F26</t>
  </si>
  <si>
    <t>F27</t>
  </si>
  <si>
    <t>F33</t>
  </si>
  <si>
    <t>F34</t>
  </si>
  <si>
    <t>F51</t>
  </si>
  <si>
    <t>F59</t>
  </si>
  <si>
    <t>F67</t>
  </si>
  <si>
    <t>F72</t>
  </si>
  <si>
    <t>F75</t>
  </si>
  <si>
    <t>F80</t>
  </si>
  <si>
    <t>F83</t>
  </si>
  <si>
    <t>F88</t>
  </si>
  <si>
    <t>F91</t>
  </si>
  <si>
    <t>F96</t>
  </si>
  <si>
    <t>H22</t>
  </si>
  <si>
    <t>H23</t>
  </si>
  <si>
    <t>H26</t>
  </si>
  <si>
    <t>H27</t>
  </si>
  <si>
    <t>H33</t>
  </si>
  <si>
    <t>H34</t>
  </si>
  <si>
    <t>H51</t>
  </si>
  <si>
    <t>H59</t>
  </si>
  <si>
    <t>H67</t>
  </si>
  <si>
    <t>H72</t>
  </si>
  <si>
    <t>H75</t>
  </si>
  <si>
    <t>H80</t>
  </si>
  <si>
    <t>H83</t>
  </si>
  <si>
    <t>H88</t>
  </si>
  <si>
    <t>H91</t>
  </si>
  <si>
    <t>H96</t>
  </si>
  <si>
    <t>I22</t>
  </si>
  <si>
    <t>I23</t>
  </si>
  <si>
    <t>I26</t>
  </si>
  <si>
    <t>I27</t>
  </si>
  <si>
    <t>I33</t>
  </si>
  <si>
    <t>I34</t>
  </si>
  <si>
    <t>I51</t>
  </si>
  <si>
    <t>I59</t>
  </si>
  <si>
    <t>I67</t>
  </si>
  <si>
    <t>I72</t>
  </si>
  <si>
    <t>I75</t>
  </si>
  <si>
    <t>I80</t>
  </si>
  <si>
    <t>I83</t>
  </si>
  <si>
    <t>I88</t>
  </si>
  <si>
    <t>I91</t>
  </si>
  <si>
    <t>I96</t>
  </si>
  <si>
    <t>J22</t>
  </si>
  <si>
    <t>J23</t>
  </si>
  <si>
    <t>J26</t>
  </si>
  <si>
    <t>J27</t>
  </si>
  <si>
    <t>J33</t>
  </si>
  <si>
    <t>J34</t>
  </si>
  <si>
    <t>J51</t>
  </si>
  <si>
    <t>J59</t>
  </si>
  <si>
    <t>J67</t>
  </si>
  <si>
    <t>J72</t>
  </si>
  <si>
    <t>J75</t>
  </si>
  <si>
    <t>J80</t>
  </si>
  <si>
    <t>J83</t>
  </si>
  <si>
    <t>J88</t>
  </si>
  <si>
    <t>J91</t>
  </si>
  <si>
    <t>J96</t>
  </si>
  <si>
    <t>K22</t>
  </si>
  <si>
    <t>K23</t>
  </si>
  <si>
    <t>K26</t>
  </si>
  <si>
    <t>K27</t>
  </si>
  <si>
    <t>K33</t>
  </si>
  <si>
    <t>K34</t>
  </si>
  <si>
    <t>K51</t>
  </si>
  <si>
    <t>K59</t>
  </si>
  <si>
    <t>K67</t>
  </si>
  <si>
    <t>K72</t>
  </si>
  <si>
    <t>K75</t>
  </si>
  <si>
    <t>K80</t>
  </si>
  <si>
    <t>K83</t>
  </si>
  <si>
    <t>K88</t>
  </si>
  <si>
    <t>K91</t>
  </si>
  <si>
    <t>K96</t>
  </si>
  <si>
    <t>M22</t>
  </si>
  <si>
    <t>M23</t>
  </si>
  <si>
    <t>M26</t>
  </si>
  <si>
    <t>M27</t>
  </si>
  <si>
    <t>M33</t>
  </si>
  <si>
    <t>M34</t>
  </si>
  <si>
    <t>M51</t>
  </si>
  <si>
    <t>M59</t>
  </si>
  <si>
    <t>M67</t>
  </si>
  <si>
    <t>M72</t>
  </si>
  <si>
    <t>M75</t>
  </si>
  <si>
    <t>M80</t>
  </si>
  <si>
    <t>M83</t>
  </si>
  <si>
    <t>M88</t>
  </si>
  <si>
    <t>M91</t>
  </si>
  <si>
    <t>M96</t>
  </si>
  <si>
    <t>N22</t>
  </si>
  <si>
    <t>N23</t>
  </si>
  <si>
    <t>N26</t>
  </si>
  <si>
    <t>N27</t>
  </si>
  <si>
    <t>N33</t>
  </si>
  <si>
    <t>N34</t>
  </si>
  <si>
    <t>N37</t>
  </si>
  <si>
    <t>N40</t>
  </si>
  <si>
    <t>N48</t>
  </si>
  <si>
    <t>N51</t>
  </si>
  <si>
    <t>N56</t>
  </si>
  <si>
    <t>N59</t>
  </si>
  <si>
    <t>N64</t>
  </si>
  <si>
    <t>N67</t>
  </si>
  <si>
    <t>N72</t>
  </si>
  <si>
    <t>N75</t>
  </si>
  <si>
    <t>N80</t>
  </si>
  <si>
    <t>N83</t>
  </si>
  <si>
    <t>N88</t>
  </si>
  <si>
    <t>N91</t>
  </si>
  <si>
    <t>N96</t>
  </si>
  <si>
    <t>O22</t>
  </si>
  <si>
    <t>O23</t>
  </si>
  <si>
    <t>O26</t>
  </si>
  <si>
    <t>O27</t>
  </si>
  <si>
    <t>O33</t>
  </si>
  <si>
    <t>O34</t>
  </si>
  <si>
    <t>O37</t>
  </si>
  <si>
    <t>O40</t>
  </si>
  <si>
    <t>O48</t>
  </si>
  <si>
    <t>O51</t>
  </si>
  <si>
    <t>O56</t>
  </si>
  <si>
    <t>O59</t>
  </si>
  <si>
    <t>O64</t>
  </si>
  <si>
    <t>O67</t>
  </si>
  <si>
    <t>O72</t>
  </si>
  <si>
    <t>O75</t>
  </si>
  <si>
    <t>O80</t>
  </si>
  <si>
    <t>O83</t>
  </si>
  <si>
    <t>O88</t>
  </si>
  <si>
    <t>O91</t>
  </si>
  <si>
    <t>O96</t>
  </si>
  <si>
    <t>P22</t>
  </si>
  <si>
    <t>P23</t>
  </si>
  <si>
    <t>P26</t>
  </si>
  <si>
    <t>P27</t>
  </si>
  <si>
    <t>P33</t>
  </si>
  <si>
    <t>P34</t>
  </si>
  <si>
    <t>P37</t>
  </si>
  <si>
    <t>P40</t>
  </si>
  <si>
    <t>P48</t>
  </si>
  <si>
    <t>P51</t>
  </si>
  <si>
    <t>P56</t>
  </si>
  <si>
    <t>P59</t>
  </si>
  <si>
    <t>P64</t>
  </si>
  <si>
    <t>P67</t>
  </si>
  <si>
    <t>P72</t>
  </si>
  <si>
    <t>P75</t>
  </si>
  <si>
    <t>P80</t>
  </si>
  <si>
    <t>P83</t>
  </si>
  <si>
    <t>P88</t>
  </si>
  <si>
    <t>P91</t>
  </si>
  <si>
    <t>P96</t>
  </si>
  <si>
    <t>Results-10yr-Hs-Tp(swell)</t>
  </si>
  <si>
    <t>Stresses-10yr-Hs-Tp(swell)</t>
  </si>
  <si>
    <t>Results-1yr-Hmx-T</t>
  </si>
  <si>
    <t>Stresses-1yr-Hmx-Tp</t>
  </si>
  <si>
    <t>Results-10yr-Hmx-T</t>
  </si>
  <si>
    <t>Stresses-10yr-Hmx-T</t>
  </si>
  <si>
    <t>B43</t>
  </si>
  <si>
    <t>B54</t>
  </si>
  <si>
    <t>B99</t>
  </si>
  <si>
    <t>G43</t>
  </si>
  <si>
    <t>G54</t>
  </si>
  <si>
    <t>G99</t>
  </si>
  <si>
    <t>L43</t>
  </si>
  <si>
    <t>L54</t>
  </si>
  <si>
    <t>L99</t>
  </si>
  <si>
    <t>C43</t>
  </si>
  <si>
    <t>C54</t>
  </si>
  <si>
    <t>C99</t>
  </si>
  <si>
    <t>D43</t>
  </si>
  <si>
    <t>D54</t>
  </si>
  <si>
    <t>D99</t>
  </si>
  <si>
    <t>E43</t>
  </si>
  <si>
    <t>E54</t>
  </si>
  <si>
    <t>E99</t>
  </si>
  <si>
    <t>F43</t>
  </si>
  <si>
    <t>F54</t>
  </si>
  <si>
    <t>F99</t>
  </si>
  <si>
    <t>H43</t>
  </si>
  <si>
    <t>H54</t>
  </si>
  <si>
    <t>H99</t>
  </si>
  <si>
    <t>I43</t>
  </si>
  <si>
    <t>I54</t>
  </si>
  <si>
    <t>I99</t>
  </si>
  <si>
    <t>J43</t>
  </si>
  <si>
    <t>J54</t>
  </si>
  <si>
    <t>J99</t>
  </si>
  <si>
    <t>K43</t>
  </si>
  <si>
    <t>K54</t>
  </si>
  <si>
    <t>K99</t>
  </si>
  <si>
    <t>M43</t>
  </si>
  <si>
    <t>M54</t>
  </si>
  <si>
    <t>M99</t>
  </si>
  <si>
    <t>N43</t>
  </si>
  <si>
    <t>N54</t>
  </si>
  <si>
    <t>N99</t>
  </si>
  <si>
    <t>O43</t>
  </si>
  <si>
    <t>O54</t>
  </si>
  <si>
    <t>O99</t>
  </si>
  <si>
    <t>P43</t>
  </si>
  <si>
    <t>P54</t>
  </si>
  <si>
    <t>P99</t>
  </si>
  <si>
    <t>1yr RP - 80% Tension = 512kips Hs-Tp(swell)</t>
  </si>
  <si>
    <t>Significant stress (ksi)</t>
  </si>
  <si>
    <t>Min. F.S for Wire Rope</t>
  </si>
  <si>
    <t>Min. F.S for chain</t>
  </si>
  <si>
    <t>0 to 1616</t>
  </si>
  <si>
    <t>1616 to 1836</t>
  </si>
  <si>
    <t>0 to 1612</t>
  </si>
  <si>
    <t>1612 to 1832</t>
  </si>
  <si>
    <t>0 to 1600</t>
  </si>
  <si>
    <t>1600 to 1820</t>
  </si>
  <si>
    <t>0 to 1585</t>
  </si>
  <si>
    <t>1585 to 1805</t>
  </si>
  <si>
    <t>0 to 1589</t>
  </si>
  <si>
    <t>1589 to 1809</t>
  </si>
  <si>
    <t>0 to 1597</t>
  </si>
  <si>
    <t>1597 to 1817</t>
  </si>
  <si>
    <t>10YR Hmax-Tp(swell)</t>
  </si>
  <si>
    <t>0 to 1583</t>
  </si>
  <si>
    <t>1583 to 1803</t>
  </si>
  <si>
    <t>0 to 1607</t>
  </si>
  <si>
    <t>1607 to 1827</t>
  </si>
  <si>
    <t>Implicit</t>
  </si>
  <si>
    <t>Tz</t>
  </si>
  <si>
    <t>Tass (Tmax)</t>
  </si>
  <si>
    <t>te</t>
  </si>
  <si>
    <t>Total Running Weight from OB to LMRP (te)</t>
  </si>
  <si>
    <t>Total Running Wt with BOP stack</t>
  </si>
  <si>
    <t>Content Density</t>
  </si>
  <si>
    <t>ppg</t>
  </si>
  <si>
    <t>Available Tensioners</t>
  </si>
  <si>
    <t>Riser Tensioner System</t>
  </si>
  <si>
    <t>No. of Tensioners</t>
  </si>
  <si>
    <t>Unit Convention</t>
  </si>
  <si>
    <t>Loadcases_65%T.txt</t>
  </si>
  <si>
    <t>Factor</t>
  </si>
  <si>
    <t>Vertical Pull on Riser</t>
  </si>
  <si>
    <t>Total</t>
  </si>
  <si>
    <t>65T_12ppgNo_Load.sim</t>
  </si>
  <si>
    <t>B10</t>
  </si>
  <si>
    <t>B12</t>
  </si>
  <si>
    <t>B14</t>
  </si>
  <si>
    <t>B16</t>
  </si>
  <si>
    <t>C10</t>
  </si>
  <si>
    <t>C12</t>
  </si>
  <si>
    <t>C14</t>
  </si>
  <si>
    <t>C16</t>
  </si>
  <si>
    <t>D10</t>
  </si>
  <si>
    <t>D12</t>
  </si>
  <si>
    <t>D14</t>
  </si>
  <si>
    <t>D16</t>
  </si>
  <si>
    <t>E10</t>
  </si>
  <si>
    <t>E12</t>
  </si>
  <si>
    <t>E14</t>
  </si>
  <si>
    <t>E16</t>
  </si>
  <si>
    <t>F10</t>
  </si>
  <si>
    <t>F12</t>
  </si>
  <si>
    <t>F14</t>
  </si>
  <si>
    <t>F16</t>
  </si>
  <si>
    <t>G10</t>
  </si>
  <si>
    <t>G12</t>
  </si>
  <si>
    <t>G14</t>
  </si>
  <si>
    <t>G16</t>
  </si>
  <si>
    <t>B8</t>
  </si>
  <si>
    <t>C8</t>
  </si>
  <si>
    <t>D8</t>
  </si>
  <si>
    <t>E8</t>
  </si>
  <si>
    <t>F8</t>
  </si>
  <si>
    <t>G8</t>
  </si>
  <si>
    <t>H8</t>
  </si>
  <si>
    <t>H10</t>
  </si>
  <si>
    <t>H12</t>
  </si>
  <si>
    <t>H14</t>
  </si>
  <si>
    <t>H16</t>
  </si>
  <si>
    <t>65T_12ppg_0deg_Hmax_ModT1_10RP.sim</t>
  </si>
  <si>
    <t>65T_12ppg_0deg_Hmax_Tmax_10RP.sim</t>
  </si>
  <si>
    <t>65T_12ppg_45deg_Hmax_ModT1_10RP.sim</t>
  </si>
  <si>
    <t>65T_12ppg_45deg_Hmax_Tmax_10RP.sim</t>
  </si>
  <si>
    <t>65T_12ppg_90deg_Hmax_ModT1_10RP.sim</t>
  </si>
  <si>
    <t>65T_12ppg_90deg_Hmax_Tmax_10RP.sim</t>
  </si>
  <si>
    <t>65T_12ppg_135deg_Hmax_ModT1_10RP.sim</t>
  </si>
  <si>
    <t>65T_12ppg_135deg_Hmax_Tmax_10RP.sim</t>
  </si>
  <si>
    <t>65T_12ppg_180deg_Hmax_ModT1_10RP.sim</t>
  </si>
  <si>
    <t>65T_12ppg_180deg_Hmax_Tmax_10RP.sim</t>
  </si>
  <si>
    <t>95% 
(Allowable as per API)</t>
  </si>
  <si>
    <t>Tension
on
Four Tensioner</t>
  </si>
  <si>
    <t>Tension on 
Single Tensioner
(OrcaFlex)</t>
  </si>
  <si>
    <t>Weight of Riser String in 625m WD</t>
  </si>
  <si>
    <t>2 BARE RISER JOINTS</t>
  </si>
  <si>
    <t>Components</t>
  </si>
  <si>
    <t>No.</t>
  </si>
  <si>
    <t>Total
Running  
Length</t>
  </si>
  <si>
    <t>Dry Wt</t>
  </si>
  <si>
    <t>Wt Weigth</t>
  </si>
  <si>
    <t>Running
Dry Wt (te)</t>
  </si>
  <si>
    <t>Running
Wet Wt (te)</t>
  </si>
  <si>
    <t>Divertor housing + UFJ</t>
  </si>
  <si>
    <t>Telescopic joint stroke (IB)</t>
  </si>
  <si>
    <t>Telescopic joint (OB) &amp; Tensioner ring</t>
  </si>
  <si>
    <t>Buoyant - 500 ft rating 21" x 0.625" (51 JT)</t>
  </si>
  <si>
    <t>Buoyant - 1000 ft rating</t>
  </si>
  <si>
    <t>Buoyant-2000 ft rating 21" x 0.625"</t>
  </si>
  <si>
    <t>Bare</t>
  </si>
  <si>
    <t>Bare Riser Joint 21" x 0.688"</t>
  </si>
  <si>
    <t>5 ft Pup Joint</t>
  </si>
  <si>
    <t>20 ft Pup Joint</t>
  </si>
  <si>
    <t>Termination Joint</t>
  </si>
  <si>
    <t>LMRP</t>
  </si>
  <si>
    <t>BOP stack</t>
  </si>
  <si>
    <t>with LMRP (m)</t>
  </si>
  <si>
    <t>with BOP (m)</t>
  </si>
  <si>
    <t>without LMRP</t>
  </si>
  <si>
    <t>Weight with BOP (te)</t>
  </si>
  <si>
    <t>Weight with LMR (te)</t>
  </si>
  <si>
    <t>Weight without LMRP (te)</t>
  </si>
  <si>
    <t>Hang Off Ratio of in water weight to in air weight of string with LMRP</t>
  </si>
  <si>
    <t>%</t>
  </si>
  <si>
    <t>Tension on one in 10</t>
  </si>
  <si>
    <t>SOF T HANG OFF</t>
  </si>
  <si>
    <t>Length in Statics (m)</t>
  </si>
  <si>
    <t>Simulation Time</t>
  </si>
  <si>
    <t>Stage
Duration (1)</t>
  </si>
  <si>
    <t>Stage
Duration (2)</t>
  </si>
  <si>
    <t>WaveHs =</t>
  </si>
  <si>
    <t>WaveTz =</t>
  </si>
  <si>
    <t>50yrcurrent</t>
  </si>
  <si>
    <t>50yr</t>
  </si>
  <si>
    <t>0deg</t>
  </si>
  <si>
    <t>45deg</t>
  </si>
  <si>
    <t>90deg</t>
  </si>
  <si>
    <t>135deg</t>
  </si>
  <si>
    <t>180deg</t>
  </si>
  <si>
    <t>Tension (Kn)-10yr</t>
  </si>
  <si>
    <t>50 yr</t>
  </si>
  <si>
    <t>2B</t>
  </si>
  <si>
    <t>5B</t>
  </si>
  <si>
    <t>50yr_Soft_2B</t>
  </si>
  <si>
    <t>End B</t>
  </si>
  <si>
    <t>Z</t>
  </si>
  <si>
    <t>Static Result</t>
  </si>
  <si>
    <t>Riser Initial Condition</t>
  </si>
  <si>
    <t>0 deg</t>
  </si>
  <si>
    <t>45 deg</t>
  </si>
  <si>
    <t>90 deg</t>
  </si>
  <si>
    <t>135 deg</t>
  </si>
  <si>
    <t>180 deg</t>
  </si>
  <si>
    <t>C2</t>
  </si>
  <si>
    <t>E2</t>
  </si>
  <si>
    <t>F2</t>
  </si>
  <si>
    <t>H2</t>
  </si>
  <si>
    <t>B2</t>
  </si>
  <si>
    <t>B6</t>
  </si>
  <si>
    <t>Initial Clearance from Seabed (m)</t>
  </si>
  <si>
    <t>LMRP End position (m)</t>
  </si>
  <si>
    <t>B17</t>
  </si>
  <si>
    <t>B18</t>
  </si>
  <si>
    <t>C17</t>
  </si>
  <si>
    <t>D17</t>
  </si>
  <si>
    <t>E17</t>
  </si>
  <si>
    <t>F17</t>
  </si>
  <si>
    <t>G17</t>
  </si>
  <si>
    <t>H17</t>
  </si>
  <si>
    <t>C6</t>
  </si>
  <si>
    <t>D6</t>
  </si>
  <si>
    <t>E6</t>
  </si>
  <si>
    <t>F6</t>
  </si>
  <si>
    <t>G6</t>
  </si>
  <si>
    <t>H6</t>
  </si>
  <si>
    <t>B19</t>
  </si>
  <si>
    <t>C18</t>
  </si>
  <si>
    <t>D18</t>
  </si>
  <si>
    <t>E18</t>
  </si>
  <si>
    <t>F18</t>
  </si>
  <si>
    <t>G18</t>
  </si>
  <si>
    <t>H18</t>
  </si>
  <si>
    <t>Parameters</t>
  </si>
  <si>
    <t>C19</t>
  </si>
  <si>
    <t>D19</t>
  </si>
  <si>
    <t>E19</t>
  </si>
  <si>
    <t>F19</t>
  </si>
  <si>
    <t>G19</t>
  </si>
  <si>
    <t>H19</t>
  </si>
  <si>
    <t>Water Depth</t>
  </si>
  <si>
    <t>Static State</t>
  </si>
  <si>
    <t>nnnnnnnnnnnnnnnnnnnnnnnnnnnnnnnnnnnnnnnnnnnnnnnnnnnnnnnnnnnnnnnnnnnnnnnnnnnnnnnnnnnnnnnnnnnnnnnnnnnnnnnnnnynnnnnnnnnnnnnnnnnnnnnnnnnnnnnnnnnnnnnnnnnnnnnnnnnnnnnnnnnnnnnnnnnnnnnnnnnnnnnnnnnnnnnnnnnnnnnnnnnnnnnnnnnnnnnnnnnnnnnnnnnnnnnnnnnnnnnnnnnnnnnnnnnnnnn</t>
  </si>
  <si>
    <t>Max Effective Tension on Riser ( Kn )</t>
  </si>
  <si>
    <t>Max Effective Tension on Riser (kips )</t>
  </si>
  <si>
    <t>Min Effective Tension on Riser ( Kn )</t>
  </si>
  <si>
    <t>Min Effective Tension on Riser (kips )</t>
  </si>
  <si>
    <t>Max von Mises Stress on Riser (kPa)</t>
  </si>
  <si>
    <t>Max von Mises Stress on Riser (ksi)</t>
  </si>
  <si>
    <t>LMRP End Position during Dyanimcs (m)</t>
  </si>
  <si>
    <t>aft_div_wall</t>
  </si>
  <si>
    <t>W78</t>
  </si>
  <si>
    <t>V22</t>
  </si>
  <si>
    <t>fwd_div_wall</t>
  </si>
  <si>
    <t>port_div_wall</t>
  </si>
  <si>
    <t>stbd_div_wall</t>
  </si>
  <si>
    <t>aft_div_wall1</t>
  </si>
  <si>
    <t>fwd_div_wall1</t>
  </si>
  <si>
    <t>port_div_wall1</t>
  </si>
  <si>
    <t>stbd_div_wall1</t>
  </si>
  <si>
    <t>aft MP_bop</t>
  </si>
  <si>
    <t>fwd MP_bop</t>
  </si>
  <si>
    <t>port MP_bop</t>
  </si>
  <si>
    <t>stbd MP_bop</t>
  </si>
  <si>
    <t>C24</t>
  </si>
  <si>
    <t>C25</t>
  </si>
  <si>
    <t>C28</t>
  </si>
  <si>
    <t>MP port -bottom</t>
  </si>
  <si>
    <t>MP stbd - bottom</t>
  </si>
  <si>
    <t>MP aft - bottom</t>
  </si>
  <si>
    <t>MP fwd - bottom</t>
  </si>
  <si>
    <t>C29</t>
  </si>
  <si>
    <t>C30</t>
  </si>
  <si>
    <t>B24</t>
  </si>
  <si>
    <t>B25</t>
  </si>
  <si>
    <t>B28</t>
  </si>
  <si>
    <t>B29</t>
  </si>
  <si>
    <t>B30</t>
  </si>
  <si>
    <t>2BHARD_LMRP_No_Load.sim</t>
  </si>
  <si>
    <t>D24</t>
  </si>
  <si>
    <t>D25</t>
  </si>
  <si>
    <t>D28</t>
  </si>
  <si>
    <t>D29</t>
  </si>
  <si>
    <t>D30</t>
  </si>
  <si>
    <t>E24</t>
  </si>
  <si>
    <t>E25</t>
  </si>
  <si>
    <t>E28</t>
  </si>
  <si>
    <t>E29</t>
  </si>
  <si>
    <t>E30</t>
  </si>
  <si>
    <t>F24</t>
  </si>
  <si>
    <t>F25</t>
  </si>
  <si>
    <t>F28</t>
  </si>
  <si>
    <t>F29</t>
  </si>
  <si>
    <t>F30</t>
  </si>
  <si>
    <t>G24</t>
  </si>
  <si>
    <t>G25</t>
  </si>
  <si>
    <t>G28</t>
  </si>
  <si>
    <t>G29</t>
  </si>
  <si>
    <t>G30</t>
  </si>
  <si>
    <t>H24</t>
  </si>
  <si>
    <t>H25</t>
  </si>
  <si>
    <t>H28</t>
  </si>
  <si>
    <t>H29</t>
  </si>
  <si>
    <t>H30</t>
  </si>
  <si>
    <t>Riser Clearance with_aft_diverter_wall</t>
  </si>
  <si>
    <t>Riser Clearance with_fwd_diverter_wall</t>
  </si>
  <si>
    <t>Riser Clearance with_port_diverter_wall</t>
  </si>
  <si>
    <t>Riser Clearance with_stbd_diverter_wall</t>
  </si>
  <si>
    <t>Riser Clearance with_aft_diverter_wall1</t>
  </si>
  <si>
    <t>Riser Clearance with_fwd_diverter_wall1</t>
  </si>
  <si>
    <t>Riser Clearance with_port_diverter_wall1</t>
  </si>
  <si>
    <t>Riser Clearance with_stbd_diverter_wall1</t>
  </si>
  <si>
    <t>Riser Clearance with_Moonpool port -bottom</t>
  </si>
  <si>
    <t>Riser Clearance with_Moonpool stbd - bottom</t>
  </si>
  <si>
    <t>Riser Clearance with_Moonpool aft - bottom</t>
  </si>
  <si>
    <t>Riser Clearance with_Moonpool fwd - bottom</t>
  </si>
  <si>
    <t>Riser Clearance with_aft Moonpool_boptrolley</t>
  </si>
  <si>
    <t>Riser Clearance with_fwd Moonpool_boptrolley</t>
  </si>
  <si>
    <t>Riser Clearance with_port Moonpool_boptrolley</t>
  </si>
  <si>
    <t>Riser Clearance with_stbd Moonpool_boptrolley</t>
  </si>
  <si>
    <t>50yr_Hard_7B</t>
  </si>
  <si>
    <t>7B_HardHang-Off_50yr</t>
  </si>
  <si>
    <t>Load 7BHARD_LMRP_No_Load.sim</t>
  </si>
  <si>
    <t>Load 7BHARD_LMRP_50yr_0deg.sim</t>
  </si>
  <si>
    <t>Load 7BHARD_LMRP_50yr_45deg.sim</t>
  </si>
  <si>
    <t>Load 7BHARD_LMRP_50yr_90deg.sim</t>
  </si>
  <si>
    <t>Load 7BHARD_LMRP_50yr_135deg.sim</t>
  </si>
  <si>
    <t>Load 7BHARD_LMRP_50yr_180deg.sim</t>
  </si>
  <si>
    <t>10BHardHangoff.txt</t>
  </si>
  <si>
    <t>10B_625WD_model_AA_HARD_LMRP</t>
  </si>
  <si>
    <t>10BHARD_LMRP</t>
  </si>
  <si>
    <t>10yr_Hard_10B</t>
  </si>
  <si>
    <t>10B_HardHang-Off_10yr</t>
  </si>
  <si>
    <t>Load 10BHARD_LMRP_No_Load.sim</t>
  </si>
  <si>
    <t>Load 10BHARD_LMRP_10yr_0deg.sim</t>
  </si>
  <si>
    <t>Load 10BHARD_LMRP_10yr_45deg.sim</t>
  </si>
  <si>
    <t>Load 10BHARD_LMRP_10yr_90deg.sim</t>
  </si>
  <si>
    <t>Load 10BHARD_LMRP_10yr_135deg.sim</t>
  </si>
  <si>
    <t>Load 10BHARD_LMRP_10yr_180deg.sim</t>
  </si>
</sst>
</file>

<file path=xl/styles.xml><?xml version="1.0" encoding="utf-8"?>
<styleSheet xmlns="http://schemas.openxmlformats.org/spreadsheetml/2006/main">
  <numFmts count="4">
    <numFmt numFmtId="164" formatCode="0.00000000"/>
    <numFmt numFmtId="165" formatCode="0.0"/>
    <numFmt numFmtId="166" formatCode="0.000000"/>
    <numFmt numFmtId="167" formatCode="0.0000"/>
  </numFmts>
  <fonts count="19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name val="Arial"/>
      <family val="2"/>
    </font>
    <font>
      <b/>
      <sz val="9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1"/>
      <color indexed="8"/>
      <name val="Calibri"/>
      <family val="2"/>
    </font>
    <font>
      <b/>
      <sz val="14"/>
      <color indexed="8"/>
      <name val="Calibri"/>
      <family val="2"/>
    </font>
    <font>
      <b/>
      <i/>
      <sz val="12"/>
      <color indexed="8"/>
      <name val="Calibri"/>
      <family val="2"/>
    </font>
    <font>
      <b/>
      <sz val="12"/>
      <name val="Arial"/>
      <family val="2"/>
    </font>
    <font>
      <b/>
      <sz val="14"/>
      <name val="Arial"/>
      <family val="2"/>
    </font>
    <font>
      <sz val="8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7C80"/>
        <bgColor indexed="64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18">
    <xf numFmtId="0" fontId="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0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</cellStyleXfs>
  <cellXfs count="412">
    <xf numFmtId="0" fontId="0" fillId="0" borderId="0" xfId="0"/>
    <xf numFmtId="0" fontId="0" fillId="0" borderId="0" xfId="0" applyAlignment="1">
      <alignment horizontal="left"/>
    </xf>
    <xf numFmtId="0" fontId="10" fillId="0" borderId="0" xfId="0" applyFont="1"/>
    <xf numFmtId="0" fontId="10" fillId="2" borderId="0" xfId="12" applyFill="1" applyBorder="1" applyAlignment="1">
      <alignment horizontal="left"/>
    </xf>
    <xf numFmtId="2" fontId="10" fillId="3" borderId="1" xfId="2" applyNumberFormat="1" applyFont="1" applyFill="1" applyBorder="1" applyAlignment="1"/>
    <xf numFmtId="0" fontId="10" fillId="3" borderId="1" xfId="2" applyFont="1" applyFill="1" applyBorder="1" applyAlignment="1"/>
    <xf numFmtId="0" fontId="10" fillId="3" borderId="2" xfId="2" applyFont="1" applyFill="1" applyBorder="1" applyAlignment="1"/>
    <xf numFmtId="2" fontId="10" fillId="3" borderId="1" xfId="2" applyNumberFormat="1" applyFont="1" applyFill="1" applyBorder="1" applyAlignment="1">
      <alignment horizontal="left"/>
    </xf>
    <xf numFmtId="0" fontId="10" fillId="3" borderId="1" xfId="2" applyFont="1" applyFill="1" applyBorder="1" applyAlignment="1">
      <alignment horizontal="left"/>
    </xf>
    <xf numFmtId="0" fontId="10" fillId="3" borderId="2" xfId="2" applyFont="1" applyFill="1" applyBorder="1" applyAlignment="1">
      <alignment horizontal="left"/>
    </xf>
    <xf numFmtId="2" fontId="10" fillId="3" borderId="1" xfId="3" applyNumberFormat="1" applyFont="1" applyFill="1" applyBorder="1" applyAlignment="1">
      <alignment horizontal="center"/>
    </xf>
    <xf numFmtId="2" fontId="10" fillId="3" borderId="1" xfId="4" applyNumberFormat="1" applyFont="1" applyFill="1" applyBorder="1" applyAlignment="1">
      <alignment horizontal="center"/>
    </xf>
    <xf numFmtId="2" fontId="10" fillId="3" borderId="1" xfId="7" applyNumberFormat="1" applyFont="1" applyFill="1" applyBorder="1" applyAlignment="1">
      <alignment horizontal="center" vertical="center" wrapText="1"/>
    </xf>
    <xf numFmtId="2" fontId="10" fillId="3" borderId="3" xfId="1" applyNumberFormat="1" applyFont="1" applyFill="1" applyBorder="1" applyAlignment="1">
      <alignment horizontal="center" vertical="center" wrapText="1"/>
    </xf>
    <xf numFmtId="0" fontId="10" fillId="3" borderId="1" xfId="4" applyFont="1" applyFill="1" applyBorder="1" applyAlignment="1">
      <alignment horizontal="center"/>
    </xf>
    <xf numFmtId="2" fontId="10" fillId="3" borderId="1" xfId="2" applyNumberFormat="1" applyFont="1" applyFill="1" applyBorder="1" applyAlignment="1">
      <alignment horizontal="center" vertical="center" wrapText="1"/>
    </xf>
    <xf numFmtId="2" fontId="10" fillId="3" borderId="3" xfId="7" applyNumberFormat="1" applyFont="1" applyFill="1" applyBorder="1" applyAlignment="1">
      <alignment horizontal="center" vertical="center" wrapText="1"/>
    </xf>
    <xf numFmtId="0" fontId="10" fillId="3" borderId="1" xfId="5" applyFont="1" applyFill="1" applyBorder="1" applyAlignment="1">
      <alignment horizontal="center"/>
    </xf>
    <xf numFmtId="0" fontId="10" fillId="3" borderId="3" xfId="6" applyFont="1" applyFill="1" applyBorder="1" applyAlignment="1">
      <alignment horizontal="center"/>
    </xf>
    <xf numFmtId="0" fontId="10" fillId="0" borderId="0" xfId="0" applyFont="1" applyAlignment="1">
      <alignment horizontal="left"/>
    </xf>
    <xf numFmtId="0" fontId="9" fillId="0" borderId="0" xfId="0" applyFont="1"/>
    <xf numFmtId="0" fontId="7" fillId="0" borderId="0" xfId="1" applyFont="1"/>
    <xf numFmtId="0" fontId="7" fillId="0" borderId="0" xfId="1" applyFont="1" applyAlignment="1">
      <alignment horizontal="left"/>
    </xf>
    <xf numFmtId="0" fontId="8" fillId="4" borderId="4" xfId="1" applyFont="1" applyFill="1" applyBorder="1" applyAlignment="1">
      <alignment horizontal="center"/>
    </xf>
    <xf numFmtId="0" fontId="8" fillId="4" borderId="5" xfId="1" applyFont="1" applyFill="1" applyBorder="1" applyAlignment="1">
      <alignment horizontal="center"/>
    </xf>
    <xf numFmtId="0" fontId="8" fillId="4" borderId="6" xfId="1" applyFont="1" applyFill="1" applyBorder="1" applyAlignment="1">
      <alignment horizontal="center"/>
    </xf>
    <xf numFmtId="0" fontId="8" fillId="4" borderId="7" xfId="1" applyFont="1" applyFill="1" applyBorder="1" applyAlignment="1">
      <alignment horizontal="center"/>
    </xf>
    <xf numFmtId="0" fontId="8" fillId="4" borderId="7" xfId="1" applyFont="1" applyFill="1" applyBorder="1" applyAlignment="1"/>
    <xf numFmtId="0" fontId="7" fillId="5" borderId="0" xfId="1" applyFont="1" applyFill="1" applyAlignment="1">
      <alignment horizontal="left"/>
    </xf>
    <xf numFmtId="0" fontId="8" fillId="5" borderId="0" xfId="1" applyFont="1" applyFill="1" applyAlignment="1">
      <alignment horizontal="left"/>
    </xf>
    <xf numFmtId="0" fontId="7" fillId="0" borderId="0" xfId="1" applyFont="1" applyFill="1" applyAlignment="1">
      <alignment horizontal="left"/>
    </xf>
    <xf numFmtId="165" fontId="10" fillId="0" borderId="0" xfId="0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0" fontId="10" fillId="6" borderId="8" xfId="0" applyFont="1" applyFill="1" applyBorder="1" applyAlignment="1">
      <alignment horizontal="left"/>
    </xf>
    <xf numFmtId="0" fontId="10" fillId="6" borderId="9" xfId="0" applyFont="1" applyFill="1" applyBorder="1" applyAlignment="1">
      <alignment horizontal="left"/>
    </xf>
    <xf numFmtId="0" fontId="10" fillId="6" borderId="6" xfId="0" applyFont="1" applyFill="1" applyBorder="1"/>
    <xf numFmtId="0" fontId="10" fillId="6" borderId="4" xfId="0" applyFont="1" applyFill="1" applyBorder="1"/>
    <xf numFmtId="0" fontId="10" fillId="6" borderId="10" xfId="0" applyFont="1" applyFill="1" applyBorder="1"/>
    <xf numFmtId="0" fontId="10" fillId="6" borderId="11" xfId="0" applyFont="1" applyFill="1" applyBorder="1"/>
    <xf numFmtId="0" fontId="0" fillId="6" borderId="8" xfId="0" applyFill="1" applyBorder="1" applyAlignment="1">
      <alignment horizontal="left"/>
    </xf>
    <xf numFmtId="0" fontId="0" fillId="6" borderId="6" xfId="0" applyFill="1" applyBorder="1"/>
    <xf numFmtId="0" fontId="0" fillId="6" borderId="9" xfId="0" applyFill="1" applyBorder="1" applyAlignment="1">
      <alignment horizontal="left"/>
    </xf>
    <xf numFmtId="0" fontId="0" fillId="6" borderId="4" xfId="0" applyFill="1" applyBorder="1"/>
    <xf numFmtId="0" fontId="0" fillId="6" borderId="12" xfId="0" applyFill="1" applyBorder="1" applyAlignment="1">
      <alignment horizontal="left"/>
    </xf>
    <xf numFmtId="0" fontId="0" fillId="6" borderId="13" xfId="0" applyFill="1" applyBorder="1"/>
    <xf numFmtId="165" fontId="10" fillId="6" borderId="10" xfId="0" applyNumberFormat="1" applyFont="1" applyFill="1" applyBorder="1" applyAlignment="1">
      <alignment horizontal="left"/>
    </xf>
    <xf numFmtId="165" fontId="10" fillId="6" borderId="11" xfId="0" applyNumberFormat="1" applyFont="1" applyFill="1" applyBorder="1" applyAlignment="1">
      <alignment horizontal="left"/>
    </xf>
    <xf numFmtId="0" fontId="10" fillId="0" borderId="14" xfId="1" applyBorder="1"/>
    <xf numFmtId="0" fontId="10" fillId="0" borderId="15" xfId="1" applyBorder="1"/>
    <xf numFmtId="0" fontId="10" fillId="0" borderId="0" xfId="1" applyFont="1"/>
    <xf numFmtId="0" fontId="10" fillId="0" borderId="0" xfId="1" applyFill="1" applyBorder="1" applyAlignment="1"/>
    <xf numFmtId="0" fontId="10" fillId="0" borderId="0" xfId="1" applyAlignment="1">
      <alignment horizontal="right"/>
    </xf>
    <xf numFmtId="164" fontId="10" fillId="0" borderId="0" xfId="1" applyNumberFormat="1" applyAlignment="1">
      <alignment horizontal="right"/>
    </xf>
    <xf numFmtId="0" fontId="10" fillId="0" borderId="0" xfId="1"/>
    <xf numFmtId="2" fontId="10" fillId="0" borderId="0" xfId="1" applyNumberFormat="1"/>
    <xf numFmtId="0" fontId="10" fillId="0" borderId="0" xfId="1" applyNumberFormat="1"/>
    <xf numFmtId="0" fontId="10" fillId="0" borderId="0" xfId="1" applyFill="1"/>
    <xf numFmtId="0" fontId="10" fillId="0" borderId="3" xfId="1" applyBorder="1"/>
    <xf numFmtId="0" fontId="10" fillId="0" borderId="16" xfId="1" applyBorder="1"/>
    <xf numFmtId="2" fontId="10" fillId="0" borderId="6" xfId="1" applyNumberFormat="1" applyFont="1" applyFill="1" applyBorder="1" applyAlignment="1">
      <alignment horizontal="left"/>
    </xf>
    <xf numFmtId="0" fontId="10" fillId="0" borderId="0" xfId="1" applyBorder="1" applyAlignment="1"/>
    <xf numFmtId="0" fontId="10" fillId="0" borderId="0" xfId="1" applyBorder="1"/>
    <xf numFmtId="0" fontId="10" fillId="2" borderId="17" xfId="1" applyFill="1" applyBorder="1" applyAlignment="1">
      <alignment horizontal="left"/>
    </xf>
    <xf numFmtId="0" fontId="10" fillId="2" borderId="6" xfId="1" applyFill="1" applyBorder="1" applyAlignment="1">
      <alignment horizontal="left"/>
    </xf>
    <xf numFmtId="0" fontId="10" fillId="2" borderId="0" xfId="1" applyFill="1" applyBorder="1" applyAlignment="1">
      <alignment horizontal="left"/>
    </xf>
    <xf numFmtId="0" fontId="10" fillId="2" borderId="13" xfId="1" applyFill="1" applyBorder="1" applyAlignment="1">
      <alignment horizontal="left"/>
    </xf>
    <xf numFmtId="0" fontId="10" fillId="2" borderId="18" xfId="1" applyFill="1" applyBorder="1" applyAlignment="1">
      <alignment horizontal="left"/>
    </xf>
    <xf numFmtId="0" fontId="10" fillId="2" borderId="4" xfId="1" applyFill="1" applyBorder="1" applyAlignment="1">
      <alignment horizontal="left"/>
    </xf>
    <xf numFmtId="0" fontId="10" fillId="0" borderId="19" xfId="1" applyBorder="1"/>
    <xf numFmtId="0" fontId="10" fillId="0" borderId="20" xfId="1" applyBorder="1"/>
    <xf numFmtId="0" fontId="10" fillId="3" borderId="1" xfId="1" applyFont="1" applyFill="1" applyBorder="1" applyAlignment="1">
      <alignment horizontal="right"/>
    </xf>
    <xf numFmtId="2" fontId="10" fillId="3" borderId="1" xfId="1" applyNumberFormat="1" applyFont="1" applyFill="1" applyBorder="1" applyAlignment="1">
      <alignment horizontal="right"/>
    </xf>
    <xf numFmtId="0" fontId="10" fillId="3" borderId="21" xfId="1" applyFont="1" applyFill="1" applyBorder="1" applyAlignment="1">
      <alignment horizontal="right"/>
    </xf>
    <xf numFmtId="0" fontId="10" fillId="3" borderId="1" xfId="1" applyFill="1" applyBorder="1"/>
    <xf numFmtId="0" fontId="10" fillId="3" borderId="21" xfId="1" applyFill="1" applyBorder="1"/>
    <xf numFmtId="0" fontId="10" fillId="3" borderId="23" xfId="1" applyFont="1" applyFill="1" applyBorder="1" applyAlignment="1">
      <alignment horizontal="center"/>
    </xf>
    <xf numFmtId="0" fontId="10" fillId="3" borderId="24" xfId="1" applyFont="1" applyFill="1" applyBorder="1" applyAlignment="1">
      <alignment horizontal="right"/>
    </xf>
    <xf numFmtId="0" fontId="10" fillId="0" borderId="0" xfId="1" applyNumberFormat="1" applyFont="1"/>
    <xf numFmtId="165" fontId="10" fillId="6" borderId="17" xfId="0" applyNumberFormat="1" applyFont="1" applyFill="1" applyBorder="1" applyAlignment="1">
      <alignment horizontal="center"/>
    </xf>
    <xf numFmtId="165" fontId="10" fillId="6" borderId="6" xfId="0" applyNumberFormat="1" applyFont="1" applyFill="1" applyBorder="1" applyAlignment="1">
      <alignment horizontal="center"/>
    </xf>
    <xf numFmtId="165" fontId="10" fillId="6" borderId="0" xfId="0" applyNumberFormat="1" applyFont="1" applyFill="1" applyBorder="1" applyAlignment="1">
      <alignment horizontal="center"/>
    </xf>
    <xf numFmtId="165" fontId="10" fillId="6" borderId="13" xfId="0" applyNumberFormat="1" applyFont="1" applyFill="1" applyBorder="1" applyAlignment="1">
      <alignment horizontal="left"/>
    </xf>
    <xf numFmtId="165" fontId="10" fillId="6" borderId="18" xfId="0" applyNumberFormat="1" applyFont="1" applyFill="1" applyBorder="1" applyAlignment="1">
      <alignment horizontal="center"/>
    </xf>
    <xf numFmtId="165" fontId="10" fillId="6" borderId="4" xfId="0" applyNumberFormat="1" applyFont="1" applyFill="1" applyBorder="1" applyAlignment="1"/>
    <xf numFmtId="165" fontId="10" fillId="6" borderId="8" xfId="0" applyNumberFormat="1" applyFont="1" applyFill="1" applyBorder="1" applyAlignment="1">
      <alignment horizontal="left"/>
    </xf>
    <xf numFmtId="165" fontId="10" fillId="6" borderId="12" xfId="0" applyNumberFormat="1" applyFont="1" applyFill="1" applyBorder="1" applyAlignment="1">
      <alignment horizontal="left"/>
    </xf>
    <xf numFmtId="165" fontId="10" fillId="6" borderId="9" xfId="0" applyNumberFormat="1" applyFont="1" applyFill="1" applyBorder="1" applyAlignment="1">
      <alignment horizontal="left"/>
    </xf>
    <xf numFmtId="165" fontId="9" fillId="6" borderId="12" xfId="0" applyNumberFormat="1" applyFont="1" applyFill="1" applyBorder="1" applyAlignment="1">
      <alignment horizontal="right"/>
    </xf>
    <xf numFmtId="0" fontId="17" fillId="0" borderId="14" xfId="15" applyBorder="1"/>
    <xf numFmtId="0" fontId="17" fillId="0" borderId="25" xfId="15" applyBorder="1"/>
    <xf numFmtId="0" fontId="17" fillId="0" borderId="15" xfId="15" applyBorder="1"/>
    <xf numFmtId="0" fontId="17" fillId="0" borderId="0" xfId="15"/>
    <xf numFmtId="0" fontId="11" fillId="0" borderId="26" xfId="15" applyFont="1" applyBorder="1"/>
    <xf numFmtId="0" fontId="17" fillId="0" borderId="27" xfId="15" applyBorder="1"/>
    <xf numFmtId="0" fontId="17" fillId="0" borderId="16" xfId="15" applyBorder="1"/>
    <xf numFmtId="0" fontId="11" fillId="0" borderId="27" xfId="15" applyFont="1" applyBorder="1"/>
    <xf numFmtId="0" fontId="17" fillId="0" borderId="0" xfId="15" applyBorder="1"/>
    <xf numFmtId="0" fontId="17" fillId="8" borderId="0" xfId="15" applyFill="1"/>
    <xf numFmtId="0" fontId="17" fillId="0" borderId="3" xfId="15" applyBorder="1"/>
    <xf numFmtId="0" fontId="11" fillId="0" borderId="3" xfId="15" applyFont="1" applyBorder="1"/>
    <xf numFmtId="0" fontId="17" fillId="9" borderId="3" xfId="15" applyFill="1" applyBorder="1"/>
    <xf numFmtId="0" fontId="17" fillId="9" borderId="0" xfId="15" applyFill="1" applyBorder="1"/>
    <xf numFmtId="0" fontId="17" fillId="9" borderId="16" xfId="15" applyFill="1" applyBorder="1"/>
    <xf numFmtId="0" fontId="17" fillId="0" borderId="0" xfId="15" applyFill="1" applyBorder="1"/>
    <xf numFmtId="0" fontId="17" fillId="0" borderId="19" xfId="15" applyBorder="1"/>
    <xf numFmtId="0" fontId="17" fillId="0" borderId="28" xfId="15" applyBorder="1"/>
    <xf numFmtId="0" fontId="17" fillId="0" borderId="20" xfId="15" applyBorder="1"/>
    <xf numFmtId="166" fontId="9" fillId="6" borderId="0" xfId="0" applyNumberFormat="1" applyFont="1" applyFill="1" applyBorder="1" applyAlignment="1">
      <alignment horizontal="center"/>
    </xf>
    <xf numFmtId="0" fontId="10" fillId="6" borderId="10" xfId="0" applyFont="1" applyFill="1" applyBorder="1" applyAlignment="1">
      <alignment horizontal="left"/>
    </xf>
    <xf numFmtId="0" fontId="0" fillId="6" borderId="17" xfId="0" applyFill="1" applyBorder="1" applyAlignment="1">
      <alignment horizontal="right"/>
    </xf>
    <xf numFmtId="0" fontId="0" fillId="6" borderId="18" xfId="0" applyFill="1" applyBorder="1" applyAlignment="1">
      <alignment horizontal="right"/>
    </xf>
    <xf numFmtId="0" fontId="0" fillId="6" borderId="29" xfId="0" applyFill="1" applyBorder="1" applyAlignment="1">
      <alignment horizontal="right"/>
    </xf>
    <xf numFmtId="1" fontId="10" fillId="6" borderId="29" xfId="0" applyNumberFormat="1" applyFont="1" applyFill="1" applyBorder="1" applyAlignment="1">
      <alignment horizontal="right"/>
    </xf>
    <xf numFmtId="165" fontId="9" fillId="6" borderId="13" xfId="0" applyNumberFormat="1" applyFont="1" applyFill="1" applyBorder="1" applyAlignment="1">
      <alignment horizontal="left"/>
    </xf>
    <xf numFmtId="0" fontId="9" fillId="10" borderId="8" xfId="0" applyFont="1" applyFill="1" applyBorder="1"/>
    <xf numFmtId="0" fontId="0" fillId="10" borderId="17" xfId="0" applyFill="1" applyBorder="1"/>
    <xf numFmtId="0" fontId="0" fillId="10" borderId="6" xfId="0" applyFill="1" applyBorder="1"/>
    <xf numFmtId="0" fontId="9" fillId="10" borderId="30" xfId="0" applyFont="1" applyFill="1" applyBorder="1"/>
    <xf numFmtId="0" fontId="9" fillId="10" borderId="31" xfId="0" applyFont="1" applyFill="1" applyBorder="1"/>
    <xf numFmtId="0" fontId="0" fillId="10" borderId="32" xfId="0" applyFill="1" applyBorder="1"/>
    <xf numFmtId="0" fontId="0" fillId="10" borderId="30" xfId="0" applyFill="1" applyBorder="1"/>
    <xf numFmtId="0" fontId="0" fillId="10" borderId="31" xfId="0" applyFill="1" applyBorder="1"/>
    <xf numFmtId="0" fontId="10" fillId="10" borderId="32" xfId="0" applyFont="1" applyFill="1" applyBorder="1"/>
    <xf numFmtId="165" fontId="10" fillId="10" borderId="33" xfId="0" applyNumberFormat="1" applyFont="1" applyFill="1" applyBorder="1" applyAlignment="1">
      <alignment horizontal="right"/>
    </xf>
    <xf numFmtId="165" fontId="10" fillId="10" borderId="34" xfId="0" applyNumberFormat="1" applyFont="1" applyFill="1" applyBorder="1" applyAlignment="1">
      <alignment horizontal="right"/>
    </xf>
    <xf numFmtId="0" fontId="10" fillId="10" borderId="35" xfId="0" applyFont="1" applyFill="1" applyBorder="1"/>
    <xf numFmtId="0" fontId="10" fillId="10" borderId="12" xfId="0" applyFont="1" applyFill="1" applyBorder="1"/>
    <xf numFmtId="0" fontId="10" fillId="10" borderId="9" xfId="0" applyFont="1" applyFill="1" applyBorder="1"/>
    <xf numFmtId="0" fontId="0" fillId="10" borderId="18" xfId="0" applyFill="1" applyBorder="1"/>
    <xf numFmtId="0" fontId="10" fillId="10" borderId="4" xfId="0" applyFont="1" applyFill="1" applyBorder="1"/>
    <xf numFmtId="0" fontId="10" fillId="10" borderId="13" xfId="0" applyFont="1" applyFill="1" applyBorder="1"/>
    <xf numFmtId="165" fontId="10" fillId="10" borderId="0" xfId="0" applyNumberFormat="1" applyFont="1" applyFill="1" applyBorder="1" applyAlignment="1">
      <alignment horizontal="right"/>
    </xf>
    <xf numFmtId="0" fontId="10" fillId="3" borderId="0" xfId="1" applyFont="1" applyFill="1" applyBorder="1" applyAlignment="1">
      <alignment horizontal="center"/>
    </xf>
    <xf numFmtId="0" fontId="9" fillId="6" borderId="10" xfId="0" applyFont="1" applyFill="1" applyBorder="1"/>
    <xf numFmtId="167" fontId="10" fillId="6" borderId="29" xfId="0" applyNumberFormat="1" applyFont="1" applyFill="1" applyBorder="1" applyAlignment="1">
      <alignment horizontal="center"/>
    </xf>
    <xf numFmtId="165" fontId="10" fillId="6" borderId="11" xfId="0" applyNumberFormat="1" applyFont="1" applyFill="1" applyBorder="1" applyAlignment="1">
      <alignment horizontal="center"/>
    </xf>
    <xf numFmtId="0" fontId="17" fillId="0" borderId="0" xfId="16"/>
    <xf numFmtId="165" fontId="10" fillId="0" borderId="0" xfId="1" applyNumberFormat="1"/>
    <xf numFmtId="0" fontId="10" fillId="0" borderId="0" xfId="1" applyAlignment="1">
      <alignment horizontal="left"/>
    </xf>
    <xf numFmtId="0" fontId="0" fillId="0" borderId="0" xfId="0" applyBorder="1"/>
    <xf numFmtId="0" fontId="10" fillId="6" borderId="12" xfId="0" applyFont="1" applyFill="1" applyBorder="1" applyAlignment="1">
      <alignment horizontal="left"/>
    </xf>
    <xf numFmtId="0" fontId="0" fillId="6" borderId="0" xfId="0" applyFill="1" applyBorder="1" applyAlignment="1">
      <alignment horizontal="right"/>
    </xf>
    <xf numFmtId="164" fontId="10" fillId="0" borderId="0" xfId="1" applyNumberFormat="1" applyAlignment="1">
      <alignment horizontal="left"/>
    </xf>
    <xf numFmtId="1" fontId="10" fillId="0" borderId="0" xfId="1" applyNumberFormat="1" applyAlignment="1">
      <alignment horizontal="right"/>
    </xf>
    <xf numFmtId="0" fontId="9" fillId="11" borderId="0" xfId="0" applyFont="1" applyFill="1"/>
    <xf numFmtId="1" fontId="9" fillId="11" borderId="0" xfId="0" applyNumberFormat="1" applyFont="1" applyFill="1" applyAlignment="1">
      <alignment horizontal="center"/>
    </xf>
    <xf numFmtId="165" fontId="9" fillId="11" borderId="0" xfId="0" applyNumberFormat="1" applyFont="1" applyFill="1" applyAlignment="1">
      <alignment horizontal="center"/>
    </xf>
    <xf numFmtId="0" fontId="10" fillId="10" borderId="0" xfId="0" applyFont="1" applyFill="1" applyBorder="1"/>
    <xf numFmtId="0" fontId="9" fillId="10" borderId="17" xfId="0" applyFont="1" applyFill="1" applyBorder="1"/>
    <xf numFmtId="0" fontId="9" fillId="10" borderId="27" xfId="0" applyFont="1" applyFill="1" applyBorder="1"/>
    <xf numFmtId="0" fontId="0" fillId="10" borderId="27" xfId="0" applyFill="1" applyBorder="1"/>
    <xf numFmtId="165" fontId="10" fillId="10" borderId="37" xfId="0" applyNumberFormat="1" applyFont="1" applyFill="1" applyBorder="1" applyAlignment="1">
      <alignment horizontal="right"/>
    </xf>
    <xf numFmtId="0" fontId="10" fillId="10" borderId="18" xfId="0" applyFont="1" applyFill="1" applyBorder="1"/>
    <xf numFmtId="165" fontId="10" fillId="6" borderId="17" xfId="0" applyNumberFormat="1" applyFont="1" applyFill="1" applyBorder="1" applyAlignment="1">
      <alignment horizontal="left"/>
    </xf>
    <xf numFmtId="165" fontId="10" fillId="6" borderId="0" xfId="0" applyNumberFormat="1" applyFont="1" applyFill="1" applyBorder="1" applyAlignment="1">
      <alignment horizontal="left"/>
    </xf>
    <xf numFmtId="165" fontId="9" fillId="6" borderId="0" xfId="0" applyNumberFormat="1" applyFont="1" applyFill="1" applyBorder="1" applyAlignment="1">
      <alignment horizontal="right"/>
    </xf>
    <xf numFmtId="165" fontId="10" fillId="6" borderId="18" xfId="0" applyNumberFormat="1" applyFont="1" applyFill="1" applyBorder="1" applyAlignment="1">
      <alignment horizontal="left"/>
    </xf>
    <xf numFmtId="0" fontId="9" fillId="6" borderId="29" xfId="0" applyFont="1" applyFill="1" applyBorder="1"/>
    <xf numFmtId="0" fontId="10" fillId="6" borderId="29" xfId="0" applyFont="1" applyFill="1" applyBorder="1" applyAlignment="1">
      <alignment horizontal="left"/>
    </xf>
    <xf numFmtId="0" fontId="10" fillId="6" borderId="29" xfId="0" applyFont="1" applyFill="1" applyBorder="1"/>
    <xf numFmtId="0" fontId="10" fillId="6" borderId="17" xfId="0" applyFont="1" applyFill="1" applyBorder="1" applyAlignment="1">
      <alignment horizontal="left"/>
    </xf>
    <xf numFmtId="0" fontId="10" fillId="6" borderId="18" xfId="0" applyFont="1" applyFill="1" applyBorder="1" applyAlignment="1">
      <alignment horizontal="left"/>
    </xf>
    <xf numFmtId="0" fontId="0" fillId="6" borderId="17" xfId="0" applyFill="1" applyBorder="1" applyAlignment="1">
      <alignment horizontal="left"/>
    </xf>
    <xf numFmtId="165" fontId="10" fillId="0" borderId="0" xfId="0" applyNumberFormat="1" applyFont="1" applyBorder="1" applyAlignment="1">
      <alignment horizontal="center"/>
    </xf>
    <xf numFmtId="165" fontId="10" fillId="0" borderId="0" xfId="1" applyNumberFormat="1" applyAlignment="1">
      <alignment horizontal="right"/>
    </xf>
    <xf numFmtId="0" fontId="0" fillId="6" borderId="0" xfId="0" applyFill="1" applyBorder="1" applyAlignment="1">
      <alignment horizontal="left"/>
    </xf>
    <xf numFmtId="0" fontId="10" fillId="6" borderId="0" xfId="0" applyFont="1" applyFill="1" applyBorder="1" applyAlignment="1">
      <alignment horizontal="left"/>
    </xf>
    <xf numFmtId="0" fontId="0" fillId="6" borderId="18" xfId="0" applyFill="1" applyBorder="1" applyAlignment="1">
      <alignment horizontal="left"/>
    </xf>
    <xf numFmtId="165" fontId="10" fillId="6" borderId="29" xfId="0" applyNumberFormat="1" applyFont="1" applyFill="1" applyBorder="1" applyAlignment="1">
      <alignment horizontal="left"/>
    </xf>
    <xf numFmtId="1" fontId="10" fillId="0" borderId="0" xfId="0" applyNumberFormat="1" applyFont="1" applyBorder="1" applyAlignment="1">
      <alignment horizontal="center"/>
    </xf>
    <xf numFmtId="1" fontId="10" fillId="0" borderId="0" xfId="1" applyNumberFormat="1"/>
    <xf numFmtId="2" fontId="10" fillId="0" borderId="0" xfId="0" applyNumberFormat="1" applyFont="1" applyAlignment="1">
      <alignment horizontal="center"/>
    </xf>
    <xf numFmtId="0" fontId="9" fillId="0" borderId="0" xfId="0" applyFont="1" applyAlignment="1">
      <alignment horizontal="center" wrapText="1"/>
    </xf>
    <xf numFmtId="1" fontId="10" fillId="0" borderId="0" xfId="0" applyNumberFormat="1" applyFont="1" applyAlignment="1">
      <alignment horizontal="center"/>
    </xf>
    <xf numFmtId="0" fontId="10" fillId="0" borderId="0" xfId="1" applyAlignment="1">
      <alignment horizontal="center"/>
    </xf>
    <xf numFmtId="0" fontId="10" fillId="0" borderId="36" xfId="1" applyFont="1" applyBorder="1" applyAlignment="1">
      <alignment horizontal="center"/>
    </xf>
    <xf numFmtId="0" fontId="10" fillId="0" borderId="1" xfId="1" applyFont="1" applyBorder="1" applyAlignment="1">
      <alignment horizontal="center"/>
    </xf>
    <xf numFmtId="0" fontId="10" fillId="0" borderId="39" xfId="1" applyFont="1" applyBorder="1" applyAlignment="1">
      <alignment horizontal="center"/>
    </xf>
    <xf numFmtId="165" fontId="10" fillId="3" borderId="0" xfId="1" applyNumberFormat="1" applyFont="1" applyFill="1" applyBorder="1" applyAlignment="1">
      <alignment horizontal="center"/>
    </xf>
    <xf numFmtId="2" fontId="10" fillId="0" borderId="0" xfId="1" applyNumberFormat="1" applyAlignment="1">
      <alignment horizontal="right"/>
    </xf>
    <xf numFmtId="0" fontId="10" fillId="0" borderId="0" xfId="1" applyFill="1" applyBorder="1" applyAlignment="1">
      <alignment horizontal="center"/>
    </xf>
    <xf numFmtId="2" fontId="10" fillId="0" borderId="0" xfId="1" applyNumberFormat="1" applyFont="1" applyFill="1" applyBorder="1" applyAlignment="1">
      <alignment horizontal="center"/>
    </xf>
    <xf numFmtId="0" fontId="10" fillId="2" borderId="17" xfId="1" applyFill="1" applyBorder="1" applyAlignment="1">
      <alignment horizontal="center"/>
    </xf>
    <xf numFmtId="0" fontId="10" fillId="2" borderId="0" xfId="12" applyFill="1" applyBorder="1" applyAlignment="1">
      <alignment horizontal="center"/>
    </xf>
    <xf numFmtId="0" fontId="10" fillId="2" borderId="18" xfId="1" applyFill="1" applyBorder="1" applyAlignment="1">
      <alignment horizontal="center"/>
    </xf>
    <xf numFmtId="0" fontId="10" fillId="3" borderId="7" xfId="1" applyFont="1" applyFill="1" applyBorder="1" applyAlignment="1">
      <alignment horizontal="center"/>
    </xf>
    <xf numFmtId="0" fontId="10" fillId="3" borderId="1" xfId="1" applyFill="1" applyBorder="1" applyAlignment="1">
      <alignment horizontal="center"/>
    </xf>
    <xf numFmtId="165" fontId="10" fillId="0" borderId="0" xfId="1" applyNumberFormat="1" applyAlignment="1">
      <alignment horizontal="center"/>
    </xf>
    <xf numFmtId="1" fontId="10" fillId="0" borderId="0" xfId="1" applyNumberFormat="1" applyAlignment="1">
      <alignment horizontal="center"/>
    </xf>
    <xf numFmtId="165" fontId="14" fillId="10" borderId="29" xfId="0" applyNumberFormat="1" applyFont="1" applyFill="1" applyBorder="1" applyAlignment="1"/>
    <xf numFmtId="165" fontId="14" fillId="10" borderId="11" xfId="0" applyNumberFormat="1" applyFont="1" applyFill="1" applyBorder="1" applyAlignment="1"/>
    <xf numFmtId="0" fontId="0" fillId="0" borderId="0" xfId="0" applyAlignment="1">
      <alignment horizontal="center"/>
    </xf>
    <xf numFmtId="0" fontId="10" fillId="0" borderId="0" xfId="0" applyFont="1" applyAlignment="1">
      <alignment horizontal="center"/>
    </xf>
    <xf numFmtId="165" fontId="9" fillId="12" borderId="0" xfId="0" applyNumberFormat="1" applyFont="1" applyFill="1" applyAlignment="1">
      <alignment horizontal="center"/>
    </xf>
    <xf numFmtId="1" fontId="10" fillId="12" borderId="0" xfId="0" applyNumberFormat="1" applyFont="1" applyFill="1" applyAlignment="1">
      <alignment horizontal="center"/>
    </xf>
    <xf numFmtId="1" fontId="0" fillId="0" borderId="0" xfId="0" applyNumberFormat="1" applyAlignment="1">
      <alignment horizontal="center"/>
    </xf>
    <xf numFmtId="165" fontId="9" fillId="0" borderId="0" xfId="0" applyNumberFormat="1" applyFont="1" applyBorder="1" applyAlignment="1">
      <alignment horizontal="center" wrapText="1"/>
    </xf>
    <xf numFmtId="165" fontId="0" fillId="0" borderId="0" xfId="0" applyNumberFormat="1" applyBorder="1"/>
    <xf numFmtId="0" fontId="0" fillId="0" borderId="3" xfId="0" applyBorder="1"/>
    <xf numFmtId="0" fontId="0" fillId="0" borderId="16" xfId="0" applyBorder="1"/>
    <xf numFmtId="0" fontId="0" fillId="0" borderId="19" xfId="0" applyBorder="1"/>
    <xf numFmtId="0" fontId="0" fillId="0" borderId="28" xfId="0" applyBorder="1"/>
    <xf numFmtId="0" fontId="0" fillId="0" borderId="20" xfId="0" applyBorder="1"/>
    <xf numFmtId="165" fontId="10" fillId="0" borderId="0" xfId="1" applyNumberFormat="1" applyFont="1" applyFill="1" applyBorder="1" applyAlignment="1">
      <alignment horizontal="center"/>
    </xf>
    <xf numFmtId="0" fontId="10" fillId="3" borderId="2" xfId="1" applyFont="1" applyFill="1" applyBorder="1" applyAlignment="1">
      <alignment horizontal="center"/>
    </xf>
    <xf numFmtId="0" fontId="10" fillId="0" borderId="0" xfId="1" applyFont="1" applyAlignment="1">
      <alignment horizontal="center"/>
    </xf>
    <xf numFmtId="0" fontId="9" fillId="7" borderId="11" xfId="1" applyFont="1" applyFill="1" applyBorder="1" applyAlignment="1">
      <alignment horizontal="center"/>
    </xf>
    <xf numFmtId="2" fontId="10" fillId="2" borderId="0" xfId="1" applyNumberFormat="1" applyFont="1" applyFill="1" applyBorder="1" applyAlignment="1">
      <alignment horizontal="center"/>
    </xf>
    <xf numFmtId="2" fontId="10" fillId="2" borderId="0" xfId="12" applyNumberFormat="1" applyFont="1" applyFill="1" applyBorder="1" applyAlignment="1">
      <alignment horizontal="center"/>
    </xf>
    <xf numFmtId="2" fontId="10" fillId="2" borderId="18" xfId="1" applyNumberFormat="1" applyFont="1" applyFill="1" applyBorder="1" applyAlignment="1">
      <alignment horizontal="center"/>
    </xf>
    <xf numFmtId="2" fontId="10" fillId="3" borderId="16" xfId="1" applyNumberFormat="1" applyFont="1" applyFill="1" applyBorder="1" applyAlignment="1">
      <alignment horizontal="center"/>
    </xf>
    <xf numFmtId="0" fontId="10" fillId="3" borderId="22" xfId="1" applyFill="1" applyBorder="1" applyAlignment="1">
      <alignment horizontal="center"/>
    </xf>
    <xf numFmtId="0" fontId="10" fillId="3" borderId="22" xfId="1" applyFont="1" applyFill="1" applyBorder="1" applyAlignment="1">
      <alignment horizontal="center"/>
    </xf>
    <xf numFmtId="2" fontId="10" fillId="3" borderId="1" xfId="1" applyNumberFormat="1" applyFont="1" applyFill="1" applyBorder="1" applyAlignment="1">
      <alignment horizontal="center"/>
    </xf>
    <xf numFmtId="0" fontId="10" fillId="3" borderId="1" xfId="1" applyFont="1" applyFill="1" applyBorder="1" applyAlignment="1">
      <alignment horizontal="center"/>
    </xf>
    <xf numFmtId="0" fontId="10" fillId="3" borderId="1" xfId="12" applyFont="1" applyFill="1" applyBorder="1" applyAlignment="1">
      <alignment horizontal="center"/>
    </xf>
    <xf numFmtId="0" fontId="10" fillId="0" borderId="0" xfId="1" applyNumberFormat="1" applyFont="1" applyAlignment="1">
      <alignment horizontal="center"/>
    </xf>
    <xf numFmtId="0" fontId="10" fillId="0" borderId="0" xfId="1" applyNumberFormat="1" applyAlignment="1">
      <alignment horizontal="center"/>
    </xf>
    <xf numFmtId="1" fontId="10" fillId="0" borderId="0" xfId="1" applyNumberFormat="1" applyFont="1" applyAlignment="1">
      <alignment horizontal="center"/>
    </xf>
    <xf numFmtId="2" fontId="10" fillId="0" borderId="0" xfId="1" applyNumberFormat="1" applyAlignment="1">
      <alignment horizontal="center"/>
    </xf>
    <xf numFmtId="0" fontId="9" fillId="0" borderId="12" xfId="1" applyFont="1" applyBorder="1" applyAlignment="1">
      <alignment horizontal="center"/>
    </xf>
    <xf numFmtId="0" fontId="10" fillId="2" borderId="0" xfId="1" applyFill="1" applyBorder="1" applyAlignment="1">
      <alignment horizontal="center"/>
    </xf>
    <xf numFmtId="165" fontId="10" fillId="0" borderId="0" xfId="1" applyNumberFormat="1" applyFill="1" applyBorder="1" applyAlignment="1">
      <alignment horizontal="center"/>
    </xf>
    <xf numFmtId="165" fontId="10" fillId="2" borderId="17" xfId="1" applyNumberFormat="1" applyFill="1" applyBorder="1" applyAlignment="1">
      <alignment horizontal="center"/>
    </xf>
    <xf numFmtId="165" fontId="10" fillId="2" borderId="0" xfId="12" applyNumberFormat="1" applyFill="1" applyBorder="1" applyAlignment="1">
      <alignment horizontal="center"/>
    </xf>
    <xf numFmtId="165" fontId="10" fillId="2" borderId="18" xfId="1" applyNumberFormat="1" applyFill="1" applyBorder="1" applyAlignment="1">
      <alignment horizontal="center"/>
    </xf>
    <xf numFmtId="165" fontId="10" fillId="3" borderId="1" xfId="1" applyNumberFormat="1" applyFill="1" applyBorder="1" applyAlignment="1">
      <alignment horizontal="center"/>
    </xf>
    <xf numFmtId="165" fontId="10" fillId="6" borderId="0" xfId="0" applyNumberFormat="1" applyFont="1" applyFill="1" applyBorder="1" applyAlignment="1"/>
    <xf numFmtId="0" fontId="10" fillId="0" borderId="3" xfId="0" applyFont="1" applyBorder="1"/>
    <xf numFmtId="0" fontId="10" fillId="0" borderId="16" xfId="0" applyFont="1" applyBorder="1"/>
    <xf numFmtId="164" fontId="10" fillId="0" borderId="0" xfId="1" applyNumberFormat="1" applyAlignment="1">
      <alignment horizontal="center"/>
    </xf>
    <xf numFmtId="0" fontId="6" fillId="0" borderId="0" xfId="16" applyFont="1"/>
    <xf numFmtId="0" fontId="17" fillId="0" borderId="0" xfId="16" applyAlignment="1">
      <alignment horizontal="left"/>
    </xf>
    <xf numFmtId="0" fontId="6" fillId="0" borderId="3" xfId="16" applyFont="1" applyBorder="1"/>
    <xf numFmtId="0" fontId="17" fillId="0" borderId="0" xfId="16" applyBorder="1"/>
    <xf numFmtId="0" fontId="17" fillId="0" borderId="16" xfId="16" applyBorder="1"/>
    <xf numFmtId="0" fontId="6" fillId="0" borderId="16" xfId="16" applyFont="1" applyBorder="1"/>
    <xf numFmtId="0" fontId="17" fillId="0" borderId="3" xfId="16" applyBorder="1"/>
    <xf numFmtId="0" fontId="6" fillId="0" borderId="19" xfId="16" applyFont="1" applyBorder="1"/>
    <xf numFmtId="0" fontId="17" fillId="0" borderId="28" xfId="16" applyBorder="1"/>
    <xf numFmtId="0" fontId="6" fillId="0" borderId="20" xfId="16" applyFont="1" applyBorder="1"/>
    <xf numFmtId="0" fontId="18" fillId="0" borderId="31" xfId="16" applyFont="1" applyBorder="1" applyAlignment="1">
      <alignment horizontal="center"/>
    </xf>
    <xf numFmtId="0" fontId="17" fillId="0" borderId="31" xfId="16" applyBorder="1"/>
    <xf numFmtId="0" fontId="17" fillId="0" borderId="0" xfId="16" applyBorder="1" applyAlignment="1">
      <alignment horizontal="center"/>
    </xf>
    <xf numFmtId="0" fontId="6" fillId="0" borderId="16" xfId="16" applyFont="1" applyBorder="1" applyAlignment="1">
      <alignment horizontal="center"/>
    </xf>
    <xf numFmtId="0" fontId="17" fillId="0" borderId="28" xfId="16" applyBorder="1" applyAlignment="1">
      <alignment horizontal="center"/>
    </xf>
    <xf numFmtId="0" fontId="6" fillId="0" borderId="20" xfId="16" applyFont="1" applyBorder="1" applyAlignment="1">
      <alignment horizontal="center"/>
    </xf>
    <xf numFmtId="2" fontId="10" fillId="2" borderId="18" xfId="1" applyNumberFormat="1" applyFont="1" applyFill="1" applyBorder="1" applyAlignment="1">
      <alignment horizontal="left"/>
    </xf>
    <xf numFmtId="0" fontId="10" fillId="3" borderId="3" xfId="1" applyFont="1" applyFill="1" applyBorder="1" applyAlignment="1">
      <alignment horizontal="right"/>
    </xf>
    <xf numFmtId="0" fontId="10" fillId="3" borderId="3" xfId="1" applyFill="1" applyBorder="1"/>
    <xf numFmtId="0" fontId="10" fillId="3" borderId="41" xfId="1" applyFont="1" applyFill="1" applyBorder="1" applyAlignment="1">
      <alignment horizontal="center"/>
    </xf>
    <xf numFmtId="0" fontId="10" fillId="3" borderId="36" xfId="1" applyFont="1" applyFill="1" applyBorder="1" applyAlignment="1">
      <alignment horizontal="center"/>
    </xf>
    <xf numFmtId="0" fontId="10" fillId="3" borderId="40" xfId="1" applyFont="1" applyFill="1" applyBorder="1" applyAlignment="1">
      <alignment horizontal="center"/>
    </xf>
    <xf numFmtId="0" fontId="10" fillId="3" borderId="39" xfId="1" applyFont="1" applyFill="1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14" xfId="0" applyBorder="1"/>
    <xf numFmtId="0" fontId="0" fillId="0" borderId="25" xfId="0" applyBorder="1"/>
    <xf numFmtId="0" fontId="0" fillId="0" borderId="15" xfId="0" applyBorder="1"/>
    <xf numFmtId="165" fontId="0" fillId="0" borderId="31" xfId="0" applyNumberFormat="1" applyBorder="1" applyAlignment="1">
      <alignment horizontal="center"/>
    </xf>
    <xf numFmtId="0" fontId="0" fillId="0" borderId="31" xfId="0" applyBorder="1"/>
    <xf numFmtId="2" fontId="0" fillId="0" borderId="0" xfId="0" applyNumberFormat="1"/>
    <xf numFmtId="0" fontId="0" fillId="12" borderId="28" xfId="0" applyFill="1" applyBorder="1"/>
    <xf numFmtId="9" fontId="18" fillId="0" borderId="31" xfId="0" applyNumberFormat="1" applyFont="1" applyBorder="1" applyAlignment="1">
      <alignment horizontal="center"/>
    </xf>
    <xf numFmtId="0" fontId="18" fillId="0" borderId="31" xfId="0" applyFont="1" applyBorder="1" applyAlignment="1">
      <alignment horizontal="center"/>
    </xf>
    <xf numFmtId="9" fontId="0" fillId="0" borderId="0" xfId="0" applyNumberFormat="1"/>
    <xf numFmtId="1" fontId="0" fillId="0" borderId="28" xfId="0" applyNumberFormat="1" applyBorder="1" applyAlignment="1">
      <alignment horizontal="center"/>
    </xf>
    <xf numFmtId="0" fontId="9" fillId="0" borderId="31" xfId="0" applyFont="1" applyBorder="1" applyAlignment="1">
      <alignment horizontal="center"/>
    </xf>
    <xf numFmtId="2" fontId="0" fillId="13" borderId="0" xfId="0" applyNumberFormat="1" applyFill="1" applyAlignment="1">
      <alignment horizontal="center"/>
    </xf>
    <xf numFmtId="0" fontId="9" fillId="0" borderId="39" xfId="0" applyFont="1" applyBorder="1" applyAlignment="1">
      <alignment horizontal="center"/>
    </xf>
    <xf numFmtId="9" fontId="9" fillId="0" borderId="31" xfId="0" applyNumberFormat="1" applyFont="1" applyBorder="1" applyAlignment="1">
      <alignment horizontal="center"/>
    </xf>
    <xf numFmtId="0" fontId="18" fillId="0" borderId="31" xfId="16" applyFont="1" applyBorder="1"/>
    <xf numFmtId="2" fontId="18" fillId="0" borderId="31" xfId="16" applyNumberFormat="1" applyFont="1" applyBorder="1"/>
    <xf numFmtId="0" fontId="18" fillId="0" borderId="31" xfId="16" applyFont="1" applyBorder="1" applyAlignment="1">
      <alignment horizontal="center"/>
    </xf>
    <xf numFmtId="0" fontId="6" fillId="0" borderId="0" xfId="16" applyFont="1" applyBorder="1"/>
    <xf numFmtId="0" fontId="4" fillId="0" borderId="0" xfId="16" applyFont="1"/>
    <xf numFmtId="165" fontId="17" fillId="0" borderId="3" xfId="16" applyNumberFormat="1" applyBorder="1" applyAlignment="1">
      <alignment horizontal="center"/>
    </xf>
    <xf numFmtId="165" fontId="17" fillId="0" borderId="0" xfId="16" applyNumberFormat="1" applyBorder="1" applyAlignment="1">
      <alignment horizontal="center"/>
    </xf>
    <xf numFmtId="165" fontId="17" fillId="0" borderId="16" xfId="16" applyNumberFormat="1" applyBorder="1" applyAlignment="1">
      <alignment horizontal="center"/>
    </xf>
    <xf numFmtId="165" fontId="17" fillId="0" borderId="19" xfId="16" applyNumberFormat="1" applyBorder="1" applyAlignment="1">
      <alignment horizontal="center"/>
    </xf>
    <xf numFmtId="165" fontId="17" fillId="0" borderId="28" xfId="16" applyNumberFormat="1" applyBorder="1" applyAlignment="1">
      <alignment horizontal="center"/>
    </xf>
    <xf numFmtId="165" fontId="17" fillId="0" borderId="20" xfId="16" applyNumberFormat="1" applyBorder="1" applyAlignment="1">
      <alignment horizontal="center"/>
    </xf>
    <xf numFmtId="0" fontId="10" fillId="16" borderId="0" xfId="0" applyFont="1" applyFill="1"/>
    <xf numFmtId="0" fontId="17" fillId="16" borderId="0" xfId="16" applyFill="1"/>
    <xf numFmtId="0" fontId="9" fillId="16" borderId="0" xfId="0" applyFont="1" applyFill="1" applyAlignment="1">
      <alignment horizontal="center"/>
    </xf>
    <xf numFmtId="0" fontId="4" fillId="16" borderId="0" xfId="16" applyFont="1" applyFill="1" applyAlignment="1">
      <alignment horizontal="center"/>
    </xf>
    <xf numFmtId="0" fontId="17" fillId="16" borderId="0" xfId="16" applyFill="1" applyAlignment="1">
      <alignment horizontal="center"/>
    </xf>
    <xf numFmtId="0" fontId="18" fillId="16" borderId="0" xfId="16" applyFont="1" applyFill="1" applyAlignment="1">
      <alignment horizontal="center"/>
    </xf>
    <xf numFmtId="1" fontId="9" fillId="0" borderId="26" xfId="0" applyNumberFormat="1" applyFont="1" applyBorder="1" applyAlignment="1">
      <alignment horizontal="center"/>
    </xf>
    <xf numFmtId="1" fontId="9" fillId="11" borderId="0" xfId="0" applyNumberFormat="1" applyFont="1" applyFill="1" applyBorder="1" applyAlignment="1">
      <alignment horizontal="center"/>
    </xf>
    <xf numFmtId="0" fontId="18" fillId="0" borderId="31" xfId="16" applyFont="1" applyBorder="1" applyAlignment="1">
      <alignment horizontal="center"/>
    </xf>
    <xf numFmtId="9" fontId="18" fillId="0" borderId="31" xfId="0" applyNumberFormat="1" applyFont="1" applyBorder="1" applyAlignment="1">
      <alignment horizontal="left" wrapText="1"/>
    </xf>
    <xf numFmtId="9" fontId="18" fillId="12" borderId="31" xfId="0" applyNumberFormat="1" applyFont="1" applyFill="1" applyBorder="1" applyAlignment="1">
      <alignment horizontal="center"/>
    </xf>
    <xf numFmtId="0" fontId="3" fillId="0" borderId="0" xfId="16" applyFont="1"/>
    <xf numFmtId="0" fontId="3" fillId="0" borderId="0" xfId="16" applyFont="1" applyAlignment="1">
      <alignment wrapText="1"/>
    </xf>
    <xf numFmtId="0" fontId="18" fillId="0" borderId="31" xfId="0" applyFont="1" applyBorder="1" applyAlignment="1">
      <alignment horizontal="center" vertical="center"/>
    </xf>
    <xf numFmtId="0" fontId="17" fillId="0" borderId="31" xfId="16" applyBorder="1" applyAlignment="1">
      <alignment horizontal="right"/>
    </xf>
    <xf numFmtId="0" fontId="6" fillId="0" borderId="31" xfId="16" applyFont="1" applyBorder="1" applyAlignment="1">
      <alignment horizontal="center"/>
    </xf>
    <xf numFmtId="2" fontId="0" fillId="0" borderId="31" xfId="0" applyNumberFormat="1" applyBorder="1" applyAlignment="1">
      <alignment horizontal="right"/>
    </xf>
    <xf numFmtId="165" fontId="0" fillId="0" borderId="31" xfId="0" applyNumberFormat="1" applyBorder="1" applyAlignment="1">
      <alignment horizontal="right"/>
    </xf>
    <xf numFmtId="0" fontId="0" fillId="0" borderId="31" xfId="0" applyBorder="1" applyAlignment="1">
      <alignment horizontal="right"/>
    </xf>
    <xf numFmtId="2" fontId="0" fillId="14" borderId="31" xfId="0" applyNumberFormat="1" applyFill="1" applyBorder="1" applyAlignment="1">
      <alignment horizontal="right"/>
    </xf>
    <xf numFmtId="0" fontId="18" fillId="0" borderId="3" xfId="0" applyFont="1" applyBorder="1"/>
    <xf numFmtId="0" fontId="18" fillId="0" borderId="0" xfId="0" applyFont="1" applyBorder="1"/>
    <xf numFmtId="0" fontId="18" fillId="0" borderId="0" xfId="0" applyFont="1" applyBorder="1" applyAlignment="1">
      <alignment wrapText="1"/>
    </xf>
    <xf numFmtId="0" fontId="18" fillId="0" borderId="16" xfId="0" applyFont="1" applyBorder="1" applyAlignment="1">
      <alignment wrapText="1"/>
    </xf>
    <xf numFmtId="0" fontId="0" fillId="18" borderId="0" xfId="0" applyFill="1"/>
    <xf numFmtId="0" fontId="17" fillId="0" borderId="31" xfId="16" applyBorder="1" applyAlignment="1">
      <alignment horizontal="center"/>
    </xf>
    <xf numFmtId="2" fontId="0" fillId="0" borderId="31" xfId="0" applyNumberFormat="1" applyBorder="1" applyAlignment="1">
      <alignment horizontal="center"/>
    </xf>
    <xf numFmtId="165" fontId="17" fillId="0" borderId="31" xfId="16" applyNumberFormat="1" applyBorder="1" applyAlignment="1">
      <alignment horizontal="center"/>
    </xf>
    <xf numFmtId="1" fontId="0" fillId="0" borderId="31" xfId="0" applyNumberFormat="1" applyBorder="1" applyAlignment="1">
      <alignment horizontal="center"/>
    </xf>
    <xf numFmtId="165" fontId="17" fillId="12" borderId="31" xfId="16" applyNumberFormat="1" applyFill="1" applyBorder="1" applyAlignment="1">
      <alignment horizontal="center"/>
    </xf>
    <xf numFmtId="0" fontId="9" fillId="0" borderId="0" xfId="16" applyFont="1" applyAlignment="1">
      <alignment wrapText="1"/>
    </xf>
    <xf numFmtId="165" fontId="17" fillId="0" borderId="0" xfId="16" applyNumberFormat="1" applyAlignment="1">
      <alignment horizontal="center"/>
    </xf>
    <xf numFmtId="0" fontId="17" fillId="12" borderId="0" xfId="16" applyFill="1"/>
    <xf numFmtId="0" fontId="2" fillId="0" borderId="16" xfId="16" applyFont="1" applyBorder="1" applyAlignment="1">
      <alignment horizontal="center"/>
    </xf>
    <xf numFmtId="0" fontId="18" fillId="0" borderId="0" xfId="16" applyFont="1"/>
    <xf numFmtId="0" fontId="18" fillId="0" borderId="31" xfId="16" applyFont="1" applyBorder="1" applyAlignment="1">
      <alignment horizontal="center" wrapText="1"/>
    </xf>
    <xf numFmtId="0" fontId="9" fillId="0" borderId="0" xfId="1" applyFont="1" applyFill="1" applyAlignment="1">
      <alignment wrapText="1"/>
    </xf>
    <xf numFmtId="0" fontId="9" fillId="0" borderId="36" xfId="1" applyFont="1" applyBorder="1" applyAlignment="1">
      <alignment vertical="center" wrapText="1"/>
    </xf>
    <xf numFmtId="0" fontId="9" fillId="0" borderId="1" xfId="1" applyFont="1" applyBorder="1" applyAlignment="1">
      <alignment vertical="center" wrapText="1"/>
    </xf>
    <xf numFmtId="0" fontId="9" fillId="0" borderId="39" xfId="1" applyFont="1" applyBorder="1" applyAlignment="1">
      <alignment vertical="center" wrapText="1"/>
    </xf>
    <xf numFmtId="0" fontId="1" fillId="0" borderId="0" xfId="16" applyFont="1"/>
    <xf numFmtId="0" fontId="9" fillId="12" borderId="0" xfId="0" applyFont="1" applyFill="1"/>
    <xf numFmtId="0" fontId="9" fillId="0" borderId="1" xfId="0" applyFont="1" applyBorder="1"/>
    <xf numFmtId="11" fontId="0" fillId="0" borderId="0" xfId="0" applyNumberFormat="1" applyAlignment="1">
      <alignment horizontal="left"/>
    </xf>
    <xf numFmtId="0" fontId="10" fillId="6" borderId="29" xfId="0" applyFont="1" applyFill="1" applyBorder="1" applyAlignment="1">
      <alignment horizontal="right"/>
    </xf>
    <xf numFmtId="0" fontId="10" fillId="6" borderId="18" xfId="0" applyFont="1" applyFill="1" applyBorder="1" applyAlignment="1">
      <alignment horizontal="right"/>
    </xf>
    <xf numFmtId="0" fontId="9" fillId="14" borderId="31" xfId="0" applyFont="1" applyFill="1" applyBorder="1" applyAlignment="1">
      <alignment horizontal="center" wrapText="1"/>
    </xf>
    <xf numFmtId="2" fontId="9" fillId="14" borderId="31" xfId="0" applyNumberFormat="1" applyFont="1" applyFill="1" applyBorder="1" applyAlignment="1">
      <alignment horizontal="center" vertical="center" wrapText="1"/>
    </xf>
    <xf numFmtId="2" fontId="9" fillId="14" borderId="27" xfId="0" applyNumberFormat="1" applyFont="1" applyFill="1" applyBorder="1" applyAlignment="1">
      <alignment horizontal="center" vertical="center" wrapText="1"/>
    </xf>
    <xf numFmtId="165" fontId="0" fillId="0" borderId="1" xfId="0" applyNumberFormat="1" applyBorder="1"/>
    <xf numFmtId="165" fontId="10" fillId="0" borderId="1" xfId="0" applyNumberFormat="1" applyFont="1" applyBorder="1"/>
    <xf numFmtId="165" fontId="10" fillId="0" borderId="16" xfId="0" applyNumberFormat="1" applyFont="1" applyBorder="1"/>
    <xf numFmtId="165" fontId="0" fillId="0" borderId="16" xfId="0" applyNumberFormat="1" applyBorder="1"/>
    <xf numFmtId="0" fontId="9" fillId="0" borderId="1" xfId="0" applyFont="1" applyFill="1" applyBorder="1"/>
    <xf numFmtId="165" fontId="10" fillId="0" borderId="1" xfId="0" applyNumberFormat="1" applyFont="1" applyFill="1" applyBorder="1"/>
    <xf numFmtId="0" fontId="9" fillId="20" borderId="1" xfId="0" applyFont="1" applyFill="1" applyBorder="1"/>
    <xf numFmtId="165" fontId="0" fillId="20" borderId="1" xfId="0" applyNumberFormat="1" applyFill="1" applyBorder="1"/>
    <xf numFmtId="165" fontId="10" fillId="20" borderId="1" xfId="0" applyNumberFormat="1" applyFont="1" applyFill="1" applyBorder="1"/>
    <xf numFmtId="165" fontId="10" fillId="20" borderId="16" xfId="0" applyNumberFormat="1" applyFont="1" applyFill="1" applyBorder="1"/>
    <xf numFmtId="165" fontId="10" fillId="20" borderId="1" xfId="1" applyNumberFormat="1" applyFont="1" applyFill="1" applyBorder="1"/>
    <xf numFmtId="165" fontId="10" fillId="20" borderId="16" xfId="1" applyNumberFormat="1" applyFont="1" applyFill="1" applyBorder="1"/>
    <xf numFmtId="0" fontId="9" fillId="20" borderId="39" xfId="0" applyFont="1" applyFill="1" applyBorder="1"/>
    <xf numFmtId="165" fontId="10" fillId="20" borderId="39" xfId="0" applyNumberFormat="1" applyFont="1" applyFill="1" applyBorder="1"/>
    <xf numFmtId="165" fontId="10" fillId="20" borderId="20" xfId="0" applyNumberFormat="1" applyFont="1" applyFill="1" applyBorder="1"/>
    <xf numFmtId="165" fontId="10" fillId="0" borderId="16" xfId="0" applyNumberFormat="1" applyFont="1" applyFill="1" applyBorder="1"/>
    <xf numFmtId="0" fontId="13" fillId="0" borderId="26" xfId="15" applyFont="1" applyBorder="1" applyAlignment="1">
      <alignment horizontal="center"/>
    </xf>
    <xf numFmtId="0" fontId="13" fillId="0" borderId="38" xfId="15" applyFont="1" applyBorder="1" applyAlignment="1">
      <alignment horizontal="center"/>
    </xf>
    <xf numFmtId="0" fontId="13" fillId="0" borderId="27" xfId="15" applyFont="1" applyBorder="1" applyAlignment="1">
      <alignment horizontal="center"/>
    </xf>
    <xf numFmtId="0" fontId="12" fillId="0" borderId="14" xfId="15" applyFont="1" applyBorder="1" applyAlignment="1">
      <alignment horizontal="center"/>
    </xf>
    <xf numFmtId="0" fontId="12" fillId="0" borderId="25" xfId="15" applyFont="1" applyBorder="1" applyAlignment="1">
      <alignment horizontal="center"/>
    </xf>
    <xf numFmtId="0" fontId="12" fillId="0" borderId="15" xfId="15" applyFont="1" applyBorder="1" applyAlignment="1">
      <alignment horizontal="center"/>
    </xf>
    <xf numFmtId="0" fontId="12" fillId="0" borderId="19" xfId="15" applyFont="1" applyBorder="1" applyAlignment="1">
      <alignment horizontal="center"/>
    </xf>
    <xf numFmtId="0" fontId="12" fillId="0" borderId="28" xfId="15" applyFont="1" applyBorder="1" applyAlignment="1">
      <alignment horizontal="center"/>
    </xf>
    <xf numFmtId="0" fontId="12" fillId="0" borderId="20" xfId="15" applyFont="1" applyBorder="1" applyAlignment="1">
      <alignment horizontal="center"/>
    </xf>
    <xf numFmtId="0" fontId="11" fillId="0" borderId="26" xfId="15" applyFont="1" applyBorder="1" applyAlignment="1">
      <alignment horizontal="center"/>
    </xf>
    <xf numFmtId="0" fontId="11" fillId="0" borderId="38" xfId="15" applyFont="1" applyBorder="1" applyAlignment="1">
      <alignment horizontal="center"/>
    </xf>
    <xf numFmtId="0" fontId="11" fillId="0" borderId="27" xfId="15" applyFont="1" applyBorder="1" applyAlignment="1">
      <alignment horizontal="center"/>
    </xf>
    <xf numFmtId="0" fontId="18" fillId="14" borderId="28" xfId="16" applyFont="1" applyFill="1" applyBorder="1" applyAlignment="1">
      <alignment horizontal="center"/>
    </xf>
    <xf numFmtId="0" fontId="18" fillId="0" borderId="14" xfId="16" applyFont="1" applyBorder="1" applyAlignment="1">
      <alignment horizontal="center"/>
    </xf>
    <xf numFmtId="0" fontId="18" fillId="0" borderId="25" xfId="16" applyFont="1" applyBorder="1" applyAlignment="1">
      <alignment horizontal="center"/>
    </xf>
    <xf numFmtId="0" fontId="18" fillId="0" borderId="15" xfId="16" applyFont="1" applyBorder="1" applyAlignment="1">
      <alignment horizontal="center"/>
    </xf>
    <xf numFmtId="0" fontId="6" fillId="0" borderId="3" xfId="16" applyFont="1" applyBorder="1" applyAlignment="1">
      <alignment horizontal="center" wrapText="1"/>
    </xf>
    <xf numFmtId="0" fontId="6" fillId="0" borderId="0" xfId="16" applyFont="1" applyBorder="1" applyAlignment="1">
      <alignment horizontal="center" wrapText="1"/>
    </xf>
    <xf numFmtId="0" fontId="18" fillId="15" borderId="14" xfId="16" applyFont="1" applyFill="1" applyBorder="1" applyAlignment="1">
      <alignment horizontal="center" vertical="center"/>
    </xf>
    <xf numFmtId="0" fontId="18" fillId="15" borderId="25" xfId="16" applyFont="1" applyFill="1" applyBorder="1" applyAlignment="1">
      <alignment horizontal="center" vertical="center"/>
    </xf>
    <xf numFmtId="0" fontId="18" fillId="15" borderId="15" xfId="16" applyFont="1" applyFill="1" applyBorder="1" applyAlignment="1">
      <alignment horizontal="center" vertical="center"/>
    </xf>
    <xf numFmtId="0" fontId="18" fillId="15" borderId="19" xfId="16" applyFont="1" applyFill="1" applyBorder="1" applyAlignment="1">
      <alignment horizontal="center" vertical="center"/>
    </xf>
    <xf numFmtId="0" fontId="18" fillId="15" borderId="28" xfId="16" applyFont="1" applyFill="1" applyBorder="1" applyAlignment="1">
      <alignment horizontal="center" vertical="center"/>
    </xf>
    <xf numFmtId="0" fontId="18" fillId="15" borderId="20" xfId="16" applyFont="1" applyFill="1" applyBorder="1" applyAlignment="1">
      <alignment horizontal="center" vertical="center"/>
    </xf>
    <xf numFmtId="0" fontId="18" fillId="0" borderId="31" xfId="16" applyFont="1" applyBorder="1" applyAlignment="1">
      <alignment horizontal="center"/>
    </xf>
    <xf numFmtId="0" fontId="18" fillId="14" borderId="0" xfId="16" applyFont="1" applyFill="1" applyAlignment="1">
      <alignment horizontal="center"/>
    </xf>
    <xf numFmtId="0" fontId="18" fillId="14" borderId="0" xfId="16" applyFont="1" applyFill="1" applyAlignment="1">
      <alignment horizontal="center" vertical="center"/>
    </xf>
    <xf numFmtId="0" fontId="18" fillId="14" borderId="28" xfId="16" applyFont="1" applyFill="1" applyBorder="1" applyAlignment="1">
      <alignment horizontal="center" vertical="center"/>
    </xf>
    <xf numFmtId="0" fontId="18" fillId="0" borderId="0" xfId="0" applyFont="1" applyBorder="1" applyAlignment="1">
      <alignment horizontal="center" vertical="center" wrapText="1"/>
    </xf>
    <xf numFmtId="0" fontId="18" fillId="19" borderId="0" xfId="16" applyFont="1" applyFill="1" applyAlignment="1">
      <alignment horizontal="center"/>
    </xf>
    <xf numFmtId="0" fontId="0" fillId="17" borderId="0" xfId="0" applyFill="1" applyAlignment="1">
      <alignment horizontal="center" vertical="center"/>
    </xf>
    <xf numFmtId="0" fontId="0" fillId="14" borderId="14" xfId="0" applyFill="1" applyBorder="1" applyAlignment="1">
      <alignment horizontal="center"/>
    </xf>
    <xf numFmtId="0" fontId="0" fillId="14" borderId="25" xfId="0" applyFill="1" applyBorder="1" applyAlignment="1">
      <alignment horizontal="center"/>
    </xf>
    <xf numFmtId="0" fontId="5" fillId="13" borderId="0" xfId="16" applyFont="1" applyFill="1" applyAlignment="1">
      <alignment horizontal="left"/>
    </xf>
    <xf numFmtId="0" fontId="9" fillId="0" borderId="36" xfId="1" applyFont="1" applyFill="1" applyBorder="1" applyAlignment="1">
      <alignment horizontal="center" vertical="center"/>
    </xf>
    <xf numFmtId="0" fontId="9" fillId="0" borderId="1" xfId="1" applyFont="1" applyFill="1" applyBorder="1" applyAlignment="1">
      <alignment horizontal="center" vertical="center"/>
    </xf>
    <xf numFmtId="0" fontId="9" fillId="0" borderId="39" xfId="1" applyFont="1" applyFill="1" applyBorder="1" applyAlignment="1">
      <alignment horizontal="center" vertical="center"/>
    </xf>
    <xf numFmtId="0" fontId="9" fillId="0" borderId="26" xfId="1" applyFont="1" applyBorder="1" applyAlignment="1">
      <alignment horizontal="center" vertical="center"/>
    </xf>
    <xf numFmtId="0" fontId="9" fillId="0" borderId="27" xfId="1" applyFont="1" applyBorder="1" applyAlignment="1">
      <alignment horizontal="center" vertical="center"/>
    </xf>
    <xf numFmtId="0" fontId="9" fillId="0" borderId="36" xfId="1" applyFont="1" applyBorder="1" applyAlignment="1">
      <alignment horizontal="center" vertical="center"/>
    </xf>
    <xf numFmtId="0" fontId="9" fillId="0" borderId="1" xfId="1" applyFont="1" applyBorder="1" applyAlignment="1">
      <alignment horizontal="center" vertical="center"/>
    </xf>
    <xf numFmtId="0" fontId="9" fillId="0" borderId="39" xfId="1" applyFont="1" applyBorder="1" applyAlignment="1">
      <alignment horizontal="center" vertical="center"/>
    </xf>
    <xf numFmtId="0" fontId="9" fillId="0" borderId="15" xfId="1" applyFont="1" applyBorder="1" applyAlignment="1">
      <alignment horizontal="center" vertical="center"/>
    </xf>
    <xf numFmtId="0" fontId="9" fillId="0" borderId="16" xfId="1" applyFont="1" applyBorder="1" applyAlignment="1">
      <alignment horizontal="center" vertical="center"/>
    </xf>
    <xf numFmtId="0" fontId="10" fillId="0" borderId="1" xfId="1" applyBorder="1" applyAlignment="1">
      <alignment horizontal="center" vertical="center"/>
    </xf>
    <xf numFmtId="0" fontId="10" fillId="0" borderId="39" xfId="1" applyBorder="1" applyAlignment="1">
      <alignment horizontal="center" vertical="center"/>
    </xf>
    <xf numFmtId="0" fontId="10" fillId="0" borderId="36" xfId="1" applyBorder="1" applyAlignment="1">
      <alignment horizontal="center" vertical="center"/>
    </xf>
    <xf numFmtId="0" fontId="15" fillId="8" borderId="0" xfId="0" applyFont="1" applyFill="1" applyAlignment="1">
      <alignment horizontal="left"/>
    </xf>
    <xf numFmtId="0" fontId="9" fillId="8" borderId="0" xfId="0" applyFont="1" applyFill="1" applyAlignment="1">
      <alignment horizontal="center" wrapText="1"/>
    </xf>
    <xf numFmtId="1" fontId="14" fillId="13" borderId="14" xfId="0" applyNumberFormat="1" applyFont="1" applyFill="1" applyBorder="1" applyAlignment="1">
      <alignment horizontal="center"/>
    </xf>
    <xf numFmtId="1" fontId="14" fillId="13" borderId="25" xfId="0" applyNumberFormat="1" applyFont="1" applyFill="1" applyBorder="1" applyAlignment="1">
      <alignment horizontal="center"/>
    </xf>
    <xf numFmtId="1" fontId="14" fillId="13" borderId="15" xfId="0" applyNumberFormat="1" applyFont="1" applyFill="1" applyBorder="1" applyAlignment="1">
      <alignment horizontal="center"/>
    </xf>
    <xf numFmtId="165" fontId="14" fillId="10" borderId="10" xfId="0" applyNumberFormat="1" applyFont="1" applyFill="1" applyBorder="1" applyAlignment="1">
      <alignment horizontal="center"/>
    </xf>
    <xf numFmtId="165" fontId="14" fillId="10" borderId="29" xfId="0" applyNumberFormat="1" applyFont="1" applyFill="1" applyBorder="1" applyAlignment="1">
      <alignment horizontal="center"/>
    </xf>
    <xf numFmtId="165" fontId="14" fillId="10" borderId="11" xfId="0" applyNumberFormat="1" applyFont="1" applyFill="1" applyBorder="1" applyAlignment="1">
      <alignment horizontal="center"/>
    </xf>
    <xf numFmtId="0" fontId="9" fillId="12" borderId="26" xfId="0" applyFont="1" applyFill="1" applyBorder="1" applyAlignment="1">
      <alignment horizontal="center"/>
    </xf>
    <xf numFmtId="0" fontId="9" fillId="12" borderId="38" xfId="0" applyFont="1" applyFill="1" applyBorder="1" applyAlignment="1">
      <alignment horizontal="center"/>
    </xf>
    <xf numFmtId="0" fontId="9" fillId="12" borderId="27" xfId="0" applyFont="1" applyFill="1" applyBorder="1" applyAlignment="1">
      <alignment horizontal="center"/>
    </xf>
    <xf numFmtId="0" fontId="9" fillId="12" borderId="38" xfId="0" applyFont="1" applyFill="1" applyBorder="1" applyAlignment="1"/>
    <xf numFmtId="0" fontId="9" fillId="12" borderId="27" xfId="0" applyFont="1" applyFill="1" applyBorder="1" applyAlignment="1"/>
    <xf numFmtId="0" fontId="9" fillId="0" borderId="36" xfId="0" applyFont="1" applyBorder="1"/>
    <xf numFmtId="165" fontId="0" fillId="0" borderId="36" xfId="0" applyNumberFormat="1" applyBorder="1"/>
    <xf numFmtId="165" fontId="0" fillId="0" borderId="15" xfId="0" applyNumberFormat="1" applyBorder="1"/>
    <xf numFmtId="0" fontId="9" fillId="0" borderId="39" xfId="0" applyFont="1" applyFill="1" applyBorder="1"/>
    <xf numFmtId="165" fontId="10" fillId="0" borderId="39" xfId="0" applyNumberFormat="1" applyFont="1" applyBorder="1"/>
    <xf numFmtId="165" fontId="10" fillId="0" borderId="20" xfId="0" applyNumberFormat="1" applyFont="1" applyBorder="1"/>
  </cellXfs>
  <cellStyles count="18">
    <cellStyle name="Normal" xfId="0" builtinId="0"/>
    <cellStyle name="Normal 10" xfId="1"/>
    <cellStyle name="Normal 15" xfId="2"/>
    <cellStyle name="Normal 16" xfId="3"/>
    <cellStyle name="Normal 17" xfId="4"/>
    <cellStyle name="Normal 18" xfId="5"/>
    <cellStyle name="Normal 19" xfId="6"/>
    <cellStyle name="Normal 2" xfId="7"/>
    <cellStyle name="Normal 2 2" xfId="8"/>
    <cellStyle name="Normal 2 2 2" xfId="9"/>
    <cellStyle name="Normal 2 2 2 2" xfId="10"/>
    <cellStyle name="Normal 2 2 3" xfId="11"/>
    <cellStyle name="Normal 3" xfId="12"/>
    <cellStyle name="Normal 4" xfId="13"/>
    <cellStyle name="Normal 4 2" xfId="14"/>
    <cellStyle name="Normal 5" xfId="15"/>
    <cellStyle name="Normal 6" xfId="16"/>
    <cellStyle name="Normal 7" xfId="17"/>
  </cellStyles>
  <dxfs count="48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295275</xdr:colOff>
      <xdr:row>0</xdr:row>
      <xdr:rowOff>19050</xdr:rowOff>
    </xdr:from>
    <xdr:to>
      <xdr:col>16</xdr:col>
      <xdr:colOff>561975</xdr:colOff>
      <xdr:row>20</xdr:row>
      <xdr:rowOff>133350</xdr:rowOff>
    </xdr:to>
    <xdr:pic>
      <xdr:nvPicPr>
        <xdr:cNvPr id="10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57875" y="19050"/>
          <a:ext cx="5143500" cy="3924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9</xdr:col>
      <xdr:colOff>28575</xdr:colOff>
      <xdr:row>20</xdr:row>
      <xdr:rowOff>180975</xdr:rowOff>
    </xdr:from>
    <xdr:to>
      <xdr:col>16</xdr:col>
      <xdr:colOff>0</xdr:colOff>
      <xdr:row>30</xdr:row>
      <xdr:rowOff>76200</xdr:rowOff>
    </xdr:to>
    <xdr:pic>
      <xdr:nvPicPr>
        <xdr:cNvPr id="1026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3990975"/>
          <a:ext cx="4238625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314325</xdr:colOff>
      <xdr:row>34</xdr:row>
      <xdr:rowOff>152400</xdr:rowOff>
    </xdr:from>
    <xdr:to>
      <xdr:col>17</xdr:col>
      <xdr:colOff>400050</xdr:colOff>
      <xdr:row>58</xdr:row>
      <xdr:rowOff>161925</xdr:rowOff>
    </xdr:to>
    <xdr:pic>
      <xdr:nvPicPr>
        <xdr:cNvPr id="102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76925" y="6629400"/>
          <a:ext cx="5572125" cy="4600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=""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542925</xdr:colOff>
      <xdr:row>59</xdr:row>
      <xdr:rowOff>104775</xdr:rowOff>
    </xdr:from>
    <xdr:to>
      <xdr:col>18</xdr:col>
      <xdr:colOff>219075</xdr:colOff>
      <xdr:row>85</xdr:row>
      <xdr:rowOff>180975</xdr:rowOff>
    </xdr:to>
    <xdr:pic>
      <xdr:nvPicPr>
        <xdr:cNvPr id="1028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11363325"/>
          <a:ext cx="6381750" cy="5029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=""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381000</xdr:colOff>
      <xdr:row>0</xdr:row>
      <xdr:rowOff>38100</xdr:rowOff>
    </xdr:from>
    <xdr:to>
      <xdr:col>16</xdr:col>
      <xdr:colOff>238125</xdr:colOff>
      <xdr:row>8</xdr:row>
      <xdr:rowOff>116827</xdr:rowOff>
    </xdr:to>
    <xdr:pic>
      <xdr:nvPicPr>
        <xdr:cNvPr id="10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91300" y="38100"/>
          <a:ext cx="7315200" cy="1602727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8</xdr:col>
      <xdr:colOff>190500</xdr:colOff>
      <xdr:row>9</xdr:row>
      <xdr:rowOff>169252</xdr:rowOff>
    </xdr:from>
    <xdr:to>
      <xdr:col>16</xdr:col>
      <xdr:colOff>9525</xdr:colOff>
      <xdr:row>24</xdr:row>
      <xdr:rowOff>114300</xdr:rowOff>
    </xdr:to>
    <xdr:pic>
      <xdr:nvPicPr>
        <xdr:cNvPr id="1026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7010400" y="1883752"/>
          <a:ext cx="6667500" cy="3564548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4:W64"/>
  <sheetViews>
    <sheetView topLeftCell="A4" workbookViewId="0">
      <selection activeCell="G58" sqref="G58"/>
    </sheetView>
  </sheetViews>
  <sheetFormatPr defaultRowHeight="15"/>
  <cols>
    <col min="1" max="1" width="13.85546875" style="91" customWidth="1"/>
    <col min="2" max="4" width="9.140625" style="91"/>
    <col min="5" max="5" width="14.7109375" style="91" customWidth="1"/>
    <col min="6" max="16384" width="9.140625" style="91"/>
  </cols>
  <sheetData>
    <row r="4" spans="1:20">
      <c r="A4" s="88"/>
      <c r="B4" s="89"/>
      <c r="C4" s="90"/>
      <c r="E4" s="88"/>
      <c r="F4" s="89"/>
      <c r="G4" s="89"/>
      <c r="H4" s="90"/>
    </row>
    <row r="5" spans="1:20">
      <c r="A5" s="92" t="s">
        <v>133</v>
      </c>
      <c r="B5" s="93"/>
      <c r="C5" s="94"/>
      <c r="E5" s="92" t="s">
        <v>134</v>
      </c>
      <c r="F5" s="95"/>
      <c r="G5" s="96"/>
      <c r="H5" s="94"/>
      <c r="R5" s="97" t="s">
        <v>135</v>
      </c>
    </row>
    <row r="6" spans="1:20">
      <c r="A6" s="98"/>
      <c r="B6" s="96"/>
      <c r="C6" s="94"/>
      <c r="E6" s="98"/>
      <c r="F6" s="96"/>
      <c r="G6" s="96"/>
      <c r="H6" s="94"/>
      <c r="R6" s="97"/>
    </row>
    <row r="7" spans="1:20">
      <c r="A7" s="99" t="s">
        <v>136</v>
      </c>
      <c r="B7" s="96"/>
      <c r="C7" s="94"/>
      <c r="E7" s="98"/>
      <c r="F7" s="96"/>
      <c r="G7" s="96"/>
      <c r="H7" s="94"/>
      <c r="R7" s="97" t="s">
        <v>137</v>
      </c>
      <c r="S7" s="97"/>
      <c r="T7" s="97"/>
    </row>
    <row r="8" spans="1:20">
      <c r="A8" s="100" t="s">
        <v>138</v>
      </c>
      <c r="B8" s="101"/>
      <c r="C8" s="102"/>
      <c r="E8" s="98" t="s">
        <v>139</v>
      </c>
      <c r="F8" s="96">
        <v>18.600000000000001</v>
      </c>
      <c r="G8" s="96" t="s">
        <v>132</v>
      </c>
      <c r="H8" s="94"/>
    </row>
    <row r="9" spans="1:20">
      <c r="A9" s="98" t="s">
        <v>139</v>
      </c>
      <c r="B9" s="96">
        <v>4.25</v>
      </c>
      <c r="C9" s="94" t="s">
        <v>132</v>
      </c>
      <c r="E9" s="98" t="s">
        <v>140</v>
      </c>
      <c r="F9" s="96">
        <v>13.5</v>
      </c>
      <c r="G9" s="96" t="s">
        <v>141</v>
      </c>
      <c r="H9" s="94"/>
    </row>
    <row r="10" spans="1:20">
      <c r="A10" s="98" t="s">
        <v>142</v>
      </c>
      <c r="B10" s="96">
        <v>45</v>
      </c>
      <c r="C10" s="94" t="s">
        <v>143</v>
      </c>
      <c r="E10" s="98"/>
      <c r="F10" s="96"/>
      <c r="G10" s="96"/>
      <c r="H10" s="94"/>
    </row>
    <row r="11" spans="1:20">
      <c r="A11" s="98"/>
      <c r="B11" s="96"/>
      <c r="C11" s="94"/>
      <c r="E11" s="98" t="s">
        <v>142</v>
      </c>
      <c r="F11" s="96">
        <v>110</v>
      </c>
      <c r="G11" s="96" t="s">
        <v>143</v>
      </c>
      <c r="H11" s="94"/>
    </row>
    <row r="12" spans="1:20">
      <c r="A12" s="100" t="s">
        <v>144</v>
      </c>
      <c r="B12" s="96"/>
      <c r="C12" s="94"/>
      <c r="E12" s="98" t="s">
        <v>145</v>
      </c>
      <c r="F12" s="103">
        <v>2</v>
      </c>
      <c r="G12" s="96" t="s">
        <v>143</v>
      </c>
      <c r="H12" s="94"/>
    </row>
    <row r="13" spans="1:20">
      <c r="A13" s="98" t="s">
        <v>146</v>
      </c>
      <c r="B13" s="96">
        <v>3</v>
      </c>
      <c r="C13" s="94" t="s">
        <v>143</v>
      </c>
      <c r="E13" s="98"/>
      <c r="F13" s="96"/>
      <c r="G13" s="96"/>
      <c r="H13" s="94"/>
    </row>
    <row r="14" spans="1:20">
      <c r="A14" s="98"/>
      <c r="B14" s="96"/>
      <c r="C14" s="94"/>
      <c r="E14" s="98"/>
      <c r="F14" s="96"/>
      <c r="G14" s="96"/>
      <c r="H14" s="94"/>
    </row>
    <row r="15" spans="1:20">
      <c r="A15" s="104"/>
      <c r="B15" s="105"/>
      <c r="C15" s="106"/>
      <c r="E15" s="104"/>
      <c r="F15" s="105"/>
      <c r="G15" s="105"/>
      <c r="H15" s="106"/>
    </row>
    <row r="33" spans="1:23">
      <c r="A33" s="349" t="s">
        <v>147</v>
      </c>
      <c r="B33" s="350"/>
      <c r="C33" s="351"/>
    </row>
    <row r="34" spans="1:23">
      <c r="A34" s="352"/>
      <c r="B34" s="353"/>
      <c r="C34" s="354"/>
      <c r="J34" s="355" t="s">
        <v>148</v>
      </c>
      <c r="K34" s="356"/>
      <c r="L34" s="356"/>
      <c r="M34" s="356"/>
      <c r="N34" s="356"/>
      <c r="O34" s="356"/>
      <c r="P34" s="357"/>
    </row>
    <row r="35" spans="1:23" ht="15.75">
      <c r="A35" s="346" t="s">
        <v>149</v>
      </c>
      <c r="B35" s="347"/>
      <c r="C35" s="348"/>
      <c r="E35" s="346" t="s">
        <v>150</v>
      </c>
      <c r="F35" s="347"/>
      <c r="G35" s="348"/>
    </row>
    <row r="36" spans="1:23">
      <c r="A36" s="99" t="s">
        <v>151</v>
      </c>
      <c r="B36" s="96"/>
      <c r="C36" s="94"/>
      <c r="E36" s="99" t="s">
        <v>151</v>
      </c>
      <c r="F36" s="96"/>
      <c r="G36" s="94"/>
    </row>
    <row r="37" spans="1:23">
      <c r="A37" s="98" t="s">
        <v>152</v>
      </c>
      <c r="B37" s="96">
        <v>6.7</v>
      </c>
      <c r="C37" s="94" t="s">
        <v>132</v>
      </c>
      <c r="E37" s="98" t="s">
        <v>152</v>
      </c>
      <c r="F37" s="96">
        <v>9.5</v>
      </c>
      <c r="G37" s="94" t="s">
        <v>132</v>
      </c>
      <c r="U37" s="97" t="s">
        <v>135</v>
      </c>
    </row>
    <row r="38" spans="1:23">
      <c r="A38" s="98" t="s">
        <v>153</v>
      </c>
      <c r="B38" s="96">
        <v>12.5</v>
      </c>
      <c r="C38" s="94" t="s">
        <v>132</v>
      </c>
      <c r="E38" s="98" t="s">
        <v>153</v>
      </c>
      <c r="F38" s="96">
        <v>16.600000000000001</v>
      </c>
      <c r="G38" s="94" t="s">
        <v>132</v>
      </c>
      <c r="U38" s="97"/>
    </row>
    <row r="39" spans="1:23">
      <c r="A39" s="98" t="s">
        <v>154</v>
      </c>
      <c r="B39" s="96">
        <v>11.2</v>
      </c>
      <c r="C39" s="94" t="s">
        <v>132</v>
      </c>
      <c r="E39" s="98" t="s">
        <v>154</v>
      </c>
      <c r="F39" s="96">
        <v>12.9</v>
      </c>
      <c r="G39" s="94" t="s">
        <v>132</v>
      </c>
      <c r="U39" s="97" t="s">
        <v>155</v>
      </c>
      <c r="V39" s="97"/>
      <c r="W39" s="97"/>
    </row>
    <row r="40" spans="1:23">
      <c r="A40" s="99" t="s">
        <v>156</v>
      </c>
      <c r="B40" s="96"/>
      <c r="C40" s="94"/>
      <c r="E40" s="99" t="s">
        <v>156</v>
      </c>
      <c r="F40" s="96"/>
      <c r="G40" s="94"/>
    </row>
    <row r="41" spans="1:23">
      <c r="A41" s="98" t="s">
        <v>157</v>
      </c>
      <c r="B41" s="96">
        <v>0.7</v>
      </c>
      <c r="C41" s="94" t="s">
        <v>158</v>
      </c>
      <c r="E41" s="98" t="s">
        <v>157</v>
      </c>
      <c r="F41" s="96">
        <v>1.1000000000000001</v>
      </c>
      <c r="G41" s="94" t="s">
        <v>158</v>
      </c>
    </row>
    <row r="42" spans="1:23">
      <c r="A42" s="98" t="s">
        <v>159</v>
      </c>
      <c r="B42" s="96">
        <v>0.7</v>
      </c>
      <c r="C42" s="94" t="s">
        <v>158</v>
      </c>
      <c r="E42" s="98" t="s">
        <v>159</v>
      </c>
      <c r="F42" s="96">
        <v>1</v>
      </c>
      <c r="G42" s="94" t="s">
        <v>158</v>
      </c>
    </row>
    <row r="43" spans="1:23">
      <c r="A43" s="99" t="s">
        <v>142</v>
      </c>
      <c r="B43" s="96"/>
      <c r="C43" s="94"/>
      <c r="E43" s="99" t="s">
        <v>142</v>
      </c>
      <c r="F43" s="96"/>
      <c r="G43" s="94"/>
    </row>
    <row r="44" spans="1:23">
      <c r="A44" s="98" t="s">
        <v>160</v>
      </c>
      <c r="B44" s="96">
        <v>19</v>
      </c>
      <c r="C44" s="94" t="s">
        <v>158</v>
      </c>
      <c r="E44" s="98" t="s">
        <v>160</v>
      </c>
      <c r="F44" s="96">
        <v>38</v>
      </c>
      <c r="G44" s="94" t="s">
        <v>158</v>
      </c>
    </row>
    <row r="45" spans="1:23">
      <c r="A45" s="98" t="s">
        <v>161</v>
      </c>
      <c r="B45" s="96">
        <v>21</v>
      </c>
      <c r="C45" s="94" t="s">
        <v>158</v>
      </c>
      <c r="E45" s="98" t="s">
        <v>161</v>
      </c>
      <c r="F45" s="96">
        <v>45</v>
      </c>
      <c r="G45" s="94" t="s">
        <v>158</v>
      </c>
    </row>
    <row r="46" spans="1:23">
      <c r="A46" s="104" t="s">
        <v>162</v>
      </c>
      <c r="B46" s="105">
        <v>26</v>
      </c>
      <c r="C46" s="106" t="s">
        <v>158</v>
      </c>
      <c r="E46" s="104" t="s">
        <v>162</v>
      </c>
      <c r="F46" s="105">
        <v>56</v>
      </c>
      <c r="G46" s="106" t="s">
        <v>158</v>
      </c>
    </row>
    <row r="51" spans="1:7">
      <c r="A51" s="349" t="s">
        <v>242</v>
      </c>
      <c r="B51" s="350"/>
      <c r="C51" s="351"/>
    </row>
    <row r="52" spans="1:7">
      <c r="A52" s="352"/>
      <c r="B52" s="353"/>
      <c r="C52" s="354"/>
    </row>
    <row r="53" spans="1:7" ht="15.75">
      <c r="A53" s="346" t="s">
        <v>149</v>
      </c>
      <c r="B53" s="347"/>
      <c r="C53" s="348"/>
      <c r="E53" s="346" t="s">
        <v>150</v>
      </c>
      <c r="F53" s="347"/>
      <c r="G53" s="348"/>
    </row>
    <row r="54" spans="1:7">
      <c r="A54" s="99" t="s">
        <v>151</v>
      </c>
      <c r="B54" s="96"/>
      <c r="C54" s="94"/>
      <c r="E54" s="99" t="s">
        <v>151</v>
      </c>
      <c r="F54" s="96"/>
      <c r="G54" s="94"/>
    </row>
    <row r="55" spans="1:7">
      <c r="A55" s="98" t="s">
        <v>152</v>
      </c>
      <c r="B55" s="96">
        <v>8.25</v>
      </c>
      <c r="C55" s="94" t="s">
        <v>132</v>
      </c>
      <c r="E55" s="98" t="s">
        <v>152</v>
      </c>
      <c r="F55" s="96">
        <v>10.8</v>
      </c>
      <c r="G55" s="94" t="s">
        <v>132</v>
      </c>
    </row>
    <row r="56" spans="1:7">
      <c r="A56" s="98" t="s">
        <v>153</v>
      </c>
      <c r="B56" s="96">
        <v>15</v>
      </c>
      <c r="C56" s="94" t="s">
        <v>132</v>
      </c>
      <c r="E56" s="98" t="s">
        <v>153</v>
      </c>
      <c r="F56" s="96">
        <v>18.5</v>
      </c>
      <c r="G56" s="94" t="s">
        <v>132</v>
      </c>
    </row>
    <row r="57" spans="1:7">
      <c r="A57" s="98" t="s">
        <v>154</v>
      </c>
      <c r="B57" s="96">
        <v>12.7</v>
      </c>
      <c r="C57" s="94" t="s">
        <v>141</v>
      </c>
      <c r="E57" s="98" t="s">
        <v>154</v>
      </c>
      <c r="F57" s="96">
        <v>14</v>
      </c>
      <c r="G57" s="94" t="s">
        <v>141</v>
      </c>
    </row>
    <row r="58" spans="1:7">
      <c r="A58" s="99" t="s">
        <v>156</v>
      </c>
      <c r="B58" s="96"/>
      <c r="C58" s="94"/>
      <c r="E58" s="99" t="s">
        <v>156</v>
      </c>
      <c r="F58" s="96"/>
      <c r="G58" s="94"/>
    </row>
    <row r="59" spans="1:7">
      <c r="A59" s="98" t="s">
        <v>157</v>
      </c>
      <c r="B59" s="96">
        <v>2.2000000000000002</v>
      </c>
      <c r="C59" s="94" t="s">
        <v>158</v>
      </c>
      <c r="E59" s="98" t="s">
        <v>157</v>
      </c>
      <c r="F59" s="96">
        <v>2.6</v>
      </c>
      <c r="G59" s="94" t="s">
        <v>158</v>
      </c>
    </row>
    <row r="60" spans="1:7">
      <c r="A60" s="98" t="s">
        <v>159</v>
      </c>
      <c r="B60" s="96">
        <v>2.5</v>
      </c>
      <c r="C60" s="94" t="s">
        <v>158</v>
      </c>
      <c r="E60" s="98" t="s">
        <v>159</v>
      </c>
      <c r="F60" s="96">
        <v>2.5</v>
      </c>
      <c r="G60" s="94" t="s">
        <v>158</v>
      </c>
    </row>
    <row r="61" spans="1:7">
      <c r="A61" s="99" t="s">
        <v>142</v>
      </c>
      <c r="B61" s="96"/>
      <c r="C61" s="94"/>
      <c r="E61" s="99" t="s">
        <v>142</v>
      </c>
      <c r="F61" s="96"/>
      <c r="G61" s="94"/>
    </row>
    <row r="62" spans="1:7">
      <c r="A62" s="98" t="s">
        <v>160</v>
      </c>
      <c r="B62" s="96">
        <v>47.5</v>
      </c>
      <c r="C62" s="94" t="s">
        <v>158</v>
      </c>
      <c r="E62" s="98" t="s">
        <v>160</v>
      </c>
      <c r="F62" s="96">
        <v>36.5</v>
      </c>
      <c r="G62" s="94" t="s">
        <v>158</v>
      </c>
    </row>
    <row r="63" spans="1:7">
      <c r="A63" s="98" t="s">
        <v>161</v>
      </c>
      <c r="B63" s="96">
        <v>58.5</v>
      </c>
      <c r="C63" s="94" t="s">
        <v>158</v>
      </c>
      <c r="E63" s="98" t="s">
        <v>161</v>
      </c>
      <c r="F63" s="96">
        <v>45.8</v>
      </c>
      <c r="G63" s="94" t="s">
        <v>158</v>
      </c>
    </row>
    <row r="64" spans="1:7">
      <c r="A64" s="104" t="s">
        <v>162</v>
      </c>
      <c r="B64" s="105">
        <v>69.5</v>
      </c>
      <c r="C64" s="106" t="s">
        <v>158</v>
      </c>
      <c r="E64" s="104" t="s">
        <v>162</v>
      </c>
      <c r="F64" s="105">
        <v>54.8</v>
      </c>
      <c r="G64" s="106" t="s">
        <v>158</v>
      </c>
    </row>
  </sheetData>
  <mergeCells count="7">
    <mergeCell ref="A53:C53"/>
    <mergeCell ref="E53:G53"/>
    <mergeCell ref="A33:C34"/>
    <mergeCell ref="J34:P34"/>
    <mergeCell ref="A35:C35"/>
    <mergeCell ref="E35:G35"/>
    <mergeCell ref="A51:C52"/>
  </mergeCells>
  <phoneticPr fontId="16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A2:N116"/>
  <sheetViews>
    <sheetView topLeftCell="A64" workbookViewId="0">
      <selection activeCell="B89" sqref="B89"/>
    </sheetView>
  </sheetViews>
  <sheetFormatPr defaultRowHeight="15"/>
  <cols>
    <col min="1" max="1" width="9.140625" style="136"/>
    <col min="2" max="2" width="11.5703125" style="136" customWidth="1"/>
    <col min="3" max="3" width="19.7109375" style="136" customWidth="1"/>
    <col min="4" max="4" width="10.85546875" style="136" customWidth="1"/>
    <col min="5" max="5" width="24" style="136" customWidth="1"/>
    <col min="6" max="6" width="20.7109375" style="136" customWidth="1"/>
    <col min="7" max="7" width="10.7109375" style="136" customWidth="1"/>
    <col min="8" max="8" width="9.140625" style="136" customWidth="1"/>
    <col min="9" max="9" width="10.5703125" style="136" bestFit="1" customWidth="1"/>
    <col min="10" max="10" width="26.42578125" style="136" customWidth="1"/>
    <col min="11" max="11" width="8.7109375" style="136" customWidth="1"/>
    <col min="12" max="12" width="8.5703125" style="136" customWidth="1"/>
    <col min="13" max="13" width="9.140625" style="136"/>
    <col min="14" max="14" width="23.28515625" style="136" customWidth="1"/>
    <col min="15" max="15" width="6.85546875" style="136" customWidth="1"/>
    <col min="16" max="16384" width="9.140625" style="136"/>
  </cols>
  <sheetData>
    <row r="2" spans="2:7">
      <c r="B2" s="358" t="s">
        <v>151</v>
      </c>
      <c r="C2" s="358"/>
      <c r="D2" s="358"/>
      <c r="E2" s="358"/>
      <c r="F2" s="358"/>
      <c r="G2" s="358"/>
    </row>
    <row r="3" spans="2:7">
      <c r="B3" s="359" t="s">
        <v>150</v>
      </c>
      <c r="C3" s="360"/>
      <c r="D3" s="361"/>
      <c r="E3" s="359" t="s">
        <v>149</v>
      </c>
      <c r="F3" s="360"/>
      <c r="G3" s="361"/>
    </row>
    <row r="4" spans="2:7">
      <c r="B4" s="233" t="s">
        <v>152</v>
      </c>
      <c r="C4" s="234">
        <v>10.7</v>
      </c>
      <c r="D4" s="236" t="s">
        <v>132</v>
      </c>
      <c r="E4" s="233" t="s">
        <v>152</v>
      </c>
      <c r="F4" s="243">
        <v>7.8</v>
      </c>
      <c r="G4" s="244" t="s">
        <v>132</v>
      </c>
    </row>
    <row r="5" spans="2:7">
      <c r="B5" s="233" t="s">
        <v>1207</v>
      </c>
      <c r="C5" s="234">
        <v>10.4</v>
      </c>
      <c r="D5" s="235"/>
      <c r="E5" s="233" t="s">
        <v>1207</v>
      </c>
      <c r="F5" s="243">
        <v>8.9</v>
      </c>
      <c r="G5" s="314" t="s">
        <v>141</v>
      </c>
    </row>
    <row r="6" spans="2:7">
      <c r="B6" s="233" t="s">
        <v>519</v>
      </c>
      <c r="C6" s="234">
        <v>14.4</v>
      </c>
      <c r="D6" s="235"/>
      <c r="E6" s="233" t="s">
        <v>519</v>
      </c>
      <c r="F6" s="243">
        <v>12.4</v>
      </c>
      <c r="G6" s="314" t="s">
        <v>141</v>
      </c>
    </row>
    <row r="7" spans="2:7">
      <c r="B7" s="233" t="s">
        <v>153</v>
      </c>
      <c r="C7" s="234">
        <v>6</v>
      </c>
      <c r="D7" s="236" t="s">
        <v>141</v>
      </c>
      <c r="E7" s="233" t="s">
        <v>153</v>
      </c>
      <c r="F7" s="243">
        <v>13</v>
      </c>
      <c r="G7" s="244" t="s">
        <v>141</v>
      </c>
    </row>
    <row r="8" spans="2:7">
      <c r="B8" s="233" t="s">
        <v>1208</v>
      </c>
      <c r="C8" s="234">
        <v>7.7</v>
      </c>
      <c r="D8" s="236" t="s">
        <v>141</v>
      </c>
      <c r="E8" s="233" t="s">
        <v>1208</v>
      </c>
      <c r="F8" s="243">
        <v>11.3</v>
      </c>
      <c r="G8" s="244" t="s">
        <v>141</v>
      </c>
    </row>
    <row r="9" spans="2:7">
      <c r="B9" s="237"/>
      <c r="C9" s="234"/>
      <c r="D9" s="235"/>
      <c r="E9" s="237"/>
      <c r="F9" s="234"/>
      <c r="G9" s="235"/>
    </row>
    <row r="10" spans="2:7" ht="45" customHeight="1">
      <c r="B10" s="362"/>
      <c r="C10" s="363"/>
      <c r="D10" s="235"/>
      <c r="E10" s="362"/>
      <c r="F10" s="363"/>
      <c r="G10" s="235"/>
    </row>
    <row r="11" spans="2:7">
      <c r="B11" s="233"/>
      <c r="C11" s="234"/>
      <c r="D11" s="236"/>
      <c r="E11" s="233"/>
      <c r="F11" s="243"/>
      <c r="G11" s="244"/>
    </row>
    <row r="12" spans="2:7">
      <c r="B12" s="238"/>
      <c r="C12" s="239"/>
      <c r="D12" s="240"/>
      <c r="E12" s="238"/>
      <c r="F12" s="245"/>
      <c r="G12" s="246"/>
    </row>
    <row r="14" spans="2:7">
      <c r="B14" s="372"/>
      <c r="C14" s="372"/>
      <c r="D14" s="372"/>
      <c r="E14" s="372"/>
      <c r="F14" s="372"/>
      <c r="G14" s="372"/>
    </row>
    <row r="15" spans="2:7">
      <c r="B15" s="373"/>
      <c r="C15" s="373"/>
      <c r="D15" s="373"/>
      <c r="E15" s="373"/>
      <c r="F15" s="373"/>
      <c r="G15" s="373"/>
    </row>
    <row r="16" spans="2:7">
      <c r="B16" s="370" t="s">
        <v>1304</v>
      </c>
      <c r="C16" s="370"/>
      <c r="D16" s="370"/>
      <c r="E16" s="370"/>
      <c r="F16" s="370"/>
      <c r="G16" s="370"/>
    </row>
    <row r="17" spans="1:11" ht="45">
      <c r="B17" s="316" t="s">
        <v>1305</v>
      </c>
      <c r="C17" s="241">
        <v>45</v>
      </c>
      <c r="D17" s="242"/>
      <c r="E17" s="241"/>
      <c r="F17" s="241"/>
      <c r="G17" s="242"/>
    </row>
    <row r="18" spans="1:11" ht="45">
      <c r="A18" s="136">
        <v>1</v>
      </c>
      <c r="B18" s="316" t="s">
        <v>1306</v>
      </c>
      <c r="C18" s="306">
        <v>10800</v>
      </c>
      <c r="D18" s="296"/>
      <c r="E18" s="306"/>
      <c r="F18" s="306"/>
      <c r="G18" s="296"/>
    </row>
    <row r="19" spans="1:11">
      <c r="A19" s="136">
        <v>2</v>
      </c>
      <c r="B19" s="306"/>
      <c r="C19" s="306"/>
      <c r="D19" s="296"/>
      <c r="E19" s="306"/>
      <c r="F19" s="306"/>
      <c r="G19" s="296"/>
    </row>
    <row r="20" spans="1:11">
      <c r="A20" s="136">
        <v>3</v>
      </c>
      <c r="B20" s="306"/>
      <c r="C20" s="306"/>
      <c r="D20" s="296"/>
      <c r="E20" s="295"/>
      <c r="F20" s="295"/>
      <c r="G20" s="296"/>
    </row>
    <row r="21" spans="1:11">
      <c r="B21" s="243"/>
      <c r="C21" s="243"/>
      <c r="D21" s="273"/>
      <c r="E21" s="243"/>
      <c r="F21" s="243"/>
      <c r="G21" s="273"/>
    </row>
    <row r="22" spans="1:11">
      <c r="A22" s="371" t="s">
        <v>145</v>
      </c>
      <c r="B22" s="371"/>
      <c r="C22" s="371"/>
      <c r="D22" s="371"/>
      <c r="E22" s="243"/>
      <c r="F22" s="243"/>
      <c r="G22" s="273"/>
    </row>
    <row r="23" spans="1:11">
      <c r="A23" s="370" t="s">
        <v>150</v>
      </c>
      <c r="B23" s="370"/>
      <c r="C23" s="370" t="s">
        <v>149</v>
      </c>
      <c r="D23" s="370"/>
      <c r="E23" s="243"/>
      <c r="F23" s="243"/>
      <c r="G23" s="273"/>
    </row>
    <row r="24" spans="1:11">
      <c r="A24" s="272" t="s">
        <v>255</v>
      </c>
      <c r="B24" s="272" t="s">
        <v>1219</v>
      </c>
      <c r="C24" s="272" t="s">
        <v>255</v>
      </c>
      <c r="D24" s="272" t="s">
        <v>1219</v>
      </c>
      <c r="E24" s="243"/>
      <c r="F24" s="243"/>
      <c r="G24" s="273"/>
    </row>
    <row r="25" spans="1:11">
      <c r="A25" s="295">
        <v>0</v>
      </c>
      <c r="B25" s="295">
        <v>0.6</v>
      </c>
      <c r="C25" s="295">
        <v>0</v>
      </c>
      <c r="D25" s="295">
        <v>0.6</v>
      </c>
      <c r="E25" s="243"/>
      <c r="F25" s="243"/>
      <c r="G25" s="273"/>
    </row>
    <row r="26" spans="1:11">
      <c r="A26" s="295">
        <v>10</v>
      </c>
      <c r="B26" s="295">
        <v>0.6</v>
      </c>
      <c r="C26" s="295">
        <v>10</v>
      </c>
      <c r="D26" s="295">
        <v>0.6</v>
      </c>
      <c r="E26" s="243"/>
      <c r="F26" s="243"/>
      <c r="G26" s="273"/>
    </row>
    <row r="27" spans="1:11">
      <c r="A27" s="295">
        <v>20</v>
      </c>
      <c r="B27" s="295">
        <v>0.6</v>
      </c>
      <c r="C27" s="295">
        <v>20</v>
      </c>
      <c r="D27" s="295">
        <v>0.6</v>
      </c>
      <c r="E27" s="243"/>
      <c r="F27" s="243"/>
      <c r="G27" s="273"/>
    </row>
    <row r="28" spans="1:11">
      <c r="A28" s="295">
        <v>156.25</v>
      </c>
      <c r="B28" s="295">
        <v>0.6</v>
      </c>
      <c r="C28" s="295">
        <v>156.25</v>
      </c>
      <c r="D28" s="295">
        <v>0.6</v>
      </c>
      <c r="E28" s="243"/>
      <c r="F28" s="243"/>
      <c r="G28" s="273"/>
    </row>
    <row r="29" spans="1:11">
      <c r="A29" s="295">
        <v>312.5</v>
      </c>
      <c r="B29" s="295">
        <v>0.5</v>
      </c>
      <c r="C29" s="295">
        <v>312.5</v>
      </c>
      <c r="D29" s="295">
        <v>0.5</v>
      </c>
    </row>
    <row r="30" spans="1:11">
      <c r="A30" s="295">
        <v>468.75</v>
      </c>
      <c r="B30" s="295">
        <v>0.5</v>
      </c>
      <c r="C30" s="295">
        <v>468.75</v>
      </c>
      <c r="D30" s="295">
        <v>0.5</v>
      </c>
    </row>
    <row r="31" spans="1:11">
      <c r="A31" s="295">
        <v>624</v>
      </c>
      <c r="B31" s="295">
        <v>0.2</v>
      </c>
      <c r="C31" s="295">
        <v>624</v>
      </c>
      <c r="D31" s="295">
        <v>0.2</v>
      </c>
    </row>
    <row r="32" spans="1:11">
      <c r="A32" s="191"/>
      <c r="B32" s="191"/>
      <c r="C32" s="191"/>
      <c r="D32" s="191"/>
      <c r="E32"/>
      <c r="F32"/>
      <c r="G32"/>
      <c r="H32" s="191"/>
      <c r="I32" s="191"/>
      <c r="J32"/>
      <c r="K32" s="191"/>
    </row>
    <row r="35" spans="1:14">
      <c r="A35" s="364" t="s">
        <v>1215</v>
      </c>
      <c r="B35" s="365"/>
      <c r="C35" s="365"/>
      <c r="D35" s="365"/>
      <c r="E35" s="365"/>
      <c r="F35" s="365"/>
      <c r="G35" s="365"/>
      <c r="H35" s="366"/>
      <c r="N35" s="231"/>
    </row>
    <row r="36" spans="1:14">
      <c r="A36" s="367"/>
      <c r="B36" s="368"/>
      <c r="C36" s="368"/>
      <c r="D36" s="368"/>
      <c r="E36" s="368"/>
      <c r="F36" s="368"/>
      <c r="G36" s="368"/>
      <c r="H36" s="369"/>
      <c r="J36" s="292"/>
      <c r="N36" s="231"/>
    </row>
    <row r="37" spans="1:14">
      <c r="A37" s="191"/>
      <c r="B37" s="191"/>
      <c r="C37" s="191"/>
      <c r="D37" s="191"/>
      <c r="E37" s="268" t="s">
        <v>1209</v>
      </c>
      <c r="F37" s="268" t="s">
        <v>206</v>
      </c>
      <c r="G37" s="268" t="s">
        <v>276</v>
      </c>
      <c r="H37" s="191"/>
      <c r="I37" s="191"/>
      <c r="J37"/>
      <c r="K37" s="191"/>
      <c r="N37" s="232"/>
    </row>
    <row r="38" spans="1:14">
      <c r="A38" s="255" t="s">
        <v>1210</v>
      </c>
      <c r="B38" s="256"/>
      <c r="C38" s="256"/>
      <c r="D38" s="257"/>
      <c r="E38" s="297">
        <v>194.70051800000002</v>
      </c>
      <c r="F38" s="298">
        <v>1910.0120815800003</v>
      </c>
      <c r="G38" s="299">
        <v>409.2</v>
      </c>
      <c r="H38"/>
      <c r="I38"/>
      <c r="J38"/>
      <c r="K38" s="191"/>
      <c r="M38" s="231"/>
      <c r="N38" s="232"/>
    </row>
    <row r="39" spans="1:14">
      <c r="A39" s="198" t="s">
        <v>1211</v>
      </c>
      <c r="B39" s="139"/>
      <c r="C39" s="139"/>
      <c r="D39" s="199"/>
      <c r="E39" s="300">
        <v>340.20086300000003</v>
      </c>
      <c r="F39" s="297">
        <v>3337.3704660300004</v>
      </c>
      <c r="G39" s="299">
        <v>709.12</v>
      </c>
      <c r="H39"/>
      <c r="I39" s="260"/>
      <c r="J39"/>
      <c r="K39" s="191"/>
      <c r="M39" s="231"/>
    </row>
    <row r="40" spans="1:14">
      <c r="A40" s="200" t="s">
        <v>1212</v>
      </c>
      <c r="B40" s="201"/>
      <c r="C40" s="261">
        <v>12</v>
      </c>
      <c r="D40" s="202" t="s">
        <v>1213</v>
      </c>
      <c r="E40" s="254"/>
      <c r="F40" s="254"/>
      <c r="G40" s="254"/>
      <c r="H40"/>
      <c r="I40"/>
      <c r="J40"/>
      <c r="K40" s="191"/>
      <c r="M40" s="231"/>
    </row>
    <row r="41" spans="1:14">
      <c r="A41"/>
      <c r="B41"/>
      <c r="C41"/>
      <c r="D41"/>
      <c r="E41" s="267">
        <v>465</v>
      </c>
      <c r="F41" s="191"/>
      <c r="G41" s="191"/>
      <c r="H41"/>
      <c r="I41"/>
      <c r="J41"/>
      <c r="K41" s="191"/>
      <c r="M41" s="231"/>
    </row>
    <row r="42" spans="1:14" ht="30">
      <c r="A42" s="20" t="s">
        <v>1214</v>
      </c>
      <c r="B42" s="20"/>
      <c r="C42"/>
      <c r="D42" s="259"/>
      <c r="E42" s="290" t="s">
        <v>1268</v>
      </c>
      <c r="F42" s="291">
        <v>0.9</v>
      </c>
      <c r="G42" s="262">
        <v>0.85</v>
      </c>
      <c r="H42" s="291">
        <v>0.8</v>
      </c>
      <c r="I42" s="262">
        <v>0.75</v>
      </c>
      <c r="J42" s="291">
        <v>0.7</v>
      </c>
      <c r="K42" s="262">
        <v>0.65</v>
      </c>
      <c r="L42" s="291">
        <v>0.6</v>
      </c>
      <c r="M42" s="291">
        <v>0.5</v>
      </c>
    </row>
    <row r="43" spans="1:14">
      <c r="A43" s="254"/>
      <c r="B43" s="269">
        <v>1</v>
      </c>
      <c r="C43" s="191"/>
      <c r="D43" s="263" t="s">
        <v>276</v>
      </c>
      <c r="E43" s="254">
        <f>B44*0.95</f>
        <v>1520</v>
      </c>
      <c r="F43" s="254">
        <f>E43*0.9</f>
        <v>1368</v>
      </c>
      <c r="G43" s="254">
        <f>E43*0.85</f>
        <v>1292</v>
      </c>
      <c r="H43" s="254">
        <f>E43*0.8</f>
        <v>1216</v>
      </c>
      <c r="I43" s="254">
        <f>E43*0.75</f>
        <v>1140</v>
      </c>
      <c r="J43" s="254">
        <f>E43*0.7</f>
        <v>1064</v>
      </c>
      <c r="K43" s="254">
        <f>E43*0.65</f>
        <v>988</v>
      </c>
      <c r="L43" s="306">
        <f>E43*0.6</f>
        <v>912</v>
      </c>
      <c r="M43" s="306">
        <f>E43*0.5</f>
        <v>760</v>
      </c>
    </row>
    <row r="44" spans="1:14">
      <c r="A44" s="266" t="s">
        <v>276</v>
      </c>
      <c r="B44" s="254">
        <v>1600</v>
      </c>
      <c r="C44"/>
      <c r="D44" s="263" t="s">
        <v>1209</v>
      </c>
      <c r="E44" s="307">
        <f>E43*C67</f>
        <v>689.46040240000002</v>
      </c>
      <c r="F44" s="307">
        <f>F43*$C$67</f>
        <v>620.51436216000002</v>
      </c>
      <c r="G44" s="307">
        <f t="shared" ref="G44:M44" si="0">G43*$C$67</f>
        <v>586.04134204000002</v>
      </c>
      <c r="H44" s="307">
        <f t="shared" si="0"/>
        <v>551.56832192000002</v>
      </c>
      <c r="I44" s="307">
        <f t="shared" si="0"/>
        <v>517.09530180000002</v>
      </c>
      <c r="J44" s="307">
        <f t="shared" si="0"/>
        <v>482.62228168000001</v>
      </c>
      <c r="K44" s="307">
        <f t="shared" si="0"/>
        <v>448.14926156000001</v>
      </c>
      <c r="L44" s="307">
        <f t="shared" si="0"/>
        <v>413.67624144000001</v>
      </c>
      <c r="M44" s="307">
        <f t="shared" si="0"/>
        <v>344.73020120000001</v>
      </c>
    </row>
    <row r="45" spans="1:14">
      <c r="A45" s="266" t="s">
        <v>1209</v>
      </c>
      <c r="B45" s="258">
        <f>B44*C67</f>
        <v>725.747792</v>
      </c>
      <c r="C45"/>
      <c r="D45" s="259"/>
      <c r="E45" s="254"/>
      <c r="F45" s="254"/>
      <c r="G45" s="254"/>
      <c r="H45" s="254"/>
      <c r="I45" s="254"/>
      <c r="J45" s="254"/>
      <c r="K45" s="254"/>
      <c r="L45" s="306"/>
      <c r="M45" s="306"/>
    </row>
    <row r="46" spans="1:14" ht="45" customHeight="1">
      <c r="A46" s="264"/>
      <c r="B46"/>
      <c r="C46" s="374" t="s">
        <v>1269</v>
      </c>
      <c r="D46" s="294" t="s">
        <v>1209</v>
      </c>
      <c r="E46" s="258">
        <f>E44/COS(RADIANS(C48))</f>
        <v>691.14399443366483</v>
      </c>
      <c r="F46" s="258">
        <f>F44/COS(RADIANS(C48))</f>
        <v>622.02959499029828</v>
      </c>
      <c r="G46" s="258">
        <f>G44/COS(RADIANS(C48))</f>
        <v>587.47239526861506</v>
      </c>
      <c r="H46" s="258">
        <f>H44/COS(RADIANS(C48))</f>
        <v>552.91519554693184</v>
      </c>
      <c r="I46" s="258">
        <f>I44/COS(RADIANS(C48))</f>
        <v>518.35799582524862</v>
      </c>
      <c r="J46" s="258">
        <f>J44/COS(RADIANS(C48))</f>
        <v>483.80079610356535</v>
      </c>
      <c r="K46" s="258">
        <f>K44/COS(RADIANS(C48))</f>
        <v>449.24359638188213</v>
      </c>
      <c r="L46" s="308">
        <f>L44/COS(RADIANS(C48))</f>
        <v>414.68639666019885</v>
      </c>
      <c r="M46" s="306">
        <f>M44/COS(RADIANS(C48))</f>
        <v>345.57199721683241</v>
      </c>
    </row>
    <row r="47" spans="1:14">
      <c r="C47" s="374"/>
      <c r="D47" s="263" t="s">
        <v>206</v>
      </c>
      <c r="E47" s="309">
        <f>E46*$C$68</f>
        <v>6780.1225853942524</v>
      </c>
      <c r="F47" s="309">
        <f t="shared" ref="F47:M47" si="1">F46*$C$68</f>
        <v>6102.1103268548268</v>
      </c>
      <c r="G47" s="309">
        <f t="shared" si="1"/>
        <v>5763.104197585114</v>
      </c>
      <c r="H47" s="309">
        <f t="shared" si="1"/>
        <v>5424.0980683154021</v>
      </c>
      <c r="I47" s="309">
        <f t="shared" si="1"/>
        <v>5085.0919390456893</v>
      </c>
      <c r="J47" s="309">
        <f t="shared" si="1"/>
        <v>4746.0858097759765</v>
      </c>
      <c r="K47" s="309">
        <f t="shared" si="1"/>
        <v>4407.0796805062637</v>
      </c>
      <c r="L47" s="309">
        <f t="shared" si="1"/>
        <v>4068.0735512365509</v>
      </c>
      <c r="M47" s="309">
        <f t="shared" si="1"/>
        <v>3390.0612926971262</v>
      </c>
    </row>
    <row r="48" spans="1:14">
      <c r="A48" s="281" t="s">
        <v>1216</v>
      </c>
      <c r="B48" s="282"/>
      <c r="C48" s="283">
        <v>4</v>
      </c>
      <c r="D48" s="289" t="s">
        <v>276</v>
      </c>
      <c r="E48" s="309">
        <f t="shared" ref="E48:K48" si="2">E46/$C$67</f>
        <v>1523.7116850833818</v>
      </c>
      <c r="F48" s="309">
        <f t="shared" si="2"/>
        <v>1371.3405165750435</v>
      </c>
      <c r="G48" s="309">
        <f t="shared" si="2"/>
        <v>1295.1549323208744</v>
      </c>
      <c r="H48" s="309">
        <f t="shared" si="2"/>
        <v>1218.9693480667054</v>
      </c>
      <c r="I48" s="309">
        <f t="shared" si="2"/>
        <v>1142.7837638125363</v>
      </c>
      <c r="J48" s="309">
        <f t="shared" si="2"/>
        <v>1066.5981795583673</v>
      </c>
      <c r="K48" s="309">
        <f t="shared" si="2"/>
        <v>990.41259530419813</v>
      </c>
      <c r="L48" s="309">
        <f>L46/C67</f>
        <v>914.22701105002898</v>
      </c>
      <c r="M48" s="306"/>
    </row>
    <row r="49" spans="1:13">
      <c r="D49" s="242"/>
      <c r="E49" s="306"/>
      <c r="F49" s="306"/>
      <c r="G49" s="306"/>
      <c r="H49" s="306"/>
      <c r="I49" s="306"/>
      <c r="J49" s="306"/>
      <c r="K49" s="306"/>
      <c r="L49" s="306"/>
      <c r="M49" s="306"/>
    </row>
    <row r="50" spans="1:13" ht="45">
      <c r="C50" s="293" t="s">
        <v>1270</v>
      </c>
      <c r="D50" s="263" t="s">
        <v>206</v>
      </c>
      <c r="E50" s="308">
        <f>E47/4</f>
        <v>1695.0306463485631</v>
      </c>
      <c r="F50" s="310">
        <f t="shared" ref="F50:M50" si="3">F47/4</f>
        <v>1525.5275817137067</v>
      </c>
      <c r="G50" s="308">
        <f t="shared" si="3"/>
        <v>1440.7760493962785</v>
      </c>
      <c r="H50" s="310">
        <f t="shared" si="3"/>
        <v>1356.0245170788505</v>
      </c>
      <c r="I50" s="308">
        <f t="shared" si="3"/>
        <v>1271.2729847614223</v>
      </c>
      <c r="J50" s="310">
        <f t="shared" si="3"/>
        <v>1186.5214524439941</v>
      </c>
      <c r="K50" s="308">
        <f t="shared" si="3"/>
        <v>1101.7699201265659</v>
      </c>
      <c r="L50" s="310">
        <f t="shared" si="3"/>
        <v>1017.0183878091377</v>
      </c>
      <c r="M50" s="310">
        <f t="shared" si="3"/>
        <v>847.51532317428155</v>
      </c>
    </row>
    <row r="53" spans="1:13">
      <c r="B53" s="231"/>
      <c r="C53" s="232"/>
      <c r="E53" s="265"/>
      <c r="F53" s="265"/>
      <c r="G53" s="265"/>
      <c r="H53" s="265"/>
      <c r="I53" s="265"/>
      <c r="J53" s="265"/>
      <c r="K53" s="265"/>
    </row>
    <row r="54" spans="1:13">
      <c r="A54" s="284" t="s">
        <v>1216</v>
      </c>
      <c r="B54" s="285"/>
      <c r="C54" s="286">
        <v>10</v>
      </c>
      <c r="D54" s="263" t="s">
        <v>276</v>
      </c>
      <c r="E54" s="262">
        <v>0.95</v>
      </c>
      <c r="F54" s="262">
        <v>0.9</v>
      </c>
      <c r="G54" s="262">
        <v>0.85</v>
      </c>
      <c r="H54" s="262">
        <v>0.8</v>
      </c>
      <c r="I54" s="262">
        <v>0.75</v>
      </c>
      <c r="J54" s="262">
        <v>0.7</v>
      </c>
      <c r="K54" s="262">
        <v>0.65</v>
      </c>
      <c r="L54" s="291">
        <v>0.6</v>
      </c>
      <c r="M54" s="291">
        <v>0.5</v>
      </c>
    </row>
    <row r="55" spans="1:13">
      <c r="D55" s="263" t="s">
        <v>1209</v>
      </c>
      <c r="E55" s="275">
        <f>E44/$C$54</f>
        <v>68.946040240000002</v>
      </c>
      <c r="F55" s="276">
        <f t="shared" ref="F55:K55" si="4">F44/$C$54</f>
        <v>62.051436215999999</v>
      </c>
      <c r="G55" s="276">
        <f t="shared" si="4"/>
        <v>58.604134204000005</v>
      </c>
      <c r="H55" s="276">
        <f t="shared" si="4"/>
        <v>55.156832192000003</v>
      </c>
      <c r="I55" s="276">
        <f t="shared" si="4"/>
        <v>51.709530180000002</v>
      </c>
      <c r="J55" s="276">
        <f t="shared" si="4"/>
        <v>48.262228168</v>
      </c>
      <c r="K55" s="277">
        <f t="shared" si="4"/>
        <v>44.814926155999999</v>
      </c>
    </row>
    <row r="56" spans="1:13">
      <c r="D56" s="263" t="s">
        <v>206</v>
      </c>
      <c r="E56" s="278">
        <f>E55*9.81</f>
        <v>676.3606547544</v>
      </c>
      <c r="F56" s="279">
        <f t="shared" ref="F56:K56" si="5">F55*9.81</f>
        <v>608.72458927896002</v>
      </c>
      <c r="G56" s="279">
        <f t="shared" si="5"/>
        <v>574.90655654124009</v>
      </c>
      <c r="H56" s="279">
        <f t="shared" si="5"/>
        <v>541.08852380352005</v>
      </c>
      <c r="I56" s="279">
        <f t="shared" si="5"/>
        <v>507.27049106580006</v>
      </c>
      <c r="J56" s="279">
        <f t="shared" si="5"/>
        <v>473.45245832808001</v>
      </c>
      <c r="K56" s="280">
        <f t="shared" si="5"/>
        <v>439.63442559036002</v>
      </c>
    </row>
    <row r="57" spans="1:13">
      <c r="D57" s="274"/>
    </row>
    <row r="58" spans="1:13">
      <c r="B58" s="288"/>
      <c r="C58" s="288"/>
      <c r="D58" s="274"/>
      <c r="F58" s="313"/>
      <c r="H58" s="313"/>
      <c r="J58" s="313"/>
      <c r="L58" s="313"/>
    </row>
    <row r="59" spans="1:13">
      <c r="B59" s="288" t="s">
        <v>1221</v>
      </c>
      <c r="C59" s="288" t="s">
        <v>1220</v>
      </c>
      <c r="D59" s="272" t="s">
        <v>276</v>
      </c>
      <c r="E59" s="288">
        <f t="shared" ref="E59:L59" si="6">(E48*COS(RADIANS(4)))</f>
        <v>1520</v>
      </c>
      <c r="F59" s="288">
        <f t="shared" si="6"/>
        <v>1368</v>
      </c>
      <c r="G59" s="288">
        <f t="shared" si="6"/>
        <v>1292</v>
      </c>
      <c r="H59" s="288">
        <f t="shared" si="6"/>
        <v>1216</v>
      </c>
      <c r="I59" s="288">
        <f t="shared" si="6"/>
        <v>1140</v>
      </c>
      <c r="J59" s="288">
        <f t="shared" si="6"/>
        <v>1064</v>
      </c>
      <c r="K59" s="288">
        <f t="shared" si="6"/>
        <v>988</v>
      </c>
      <c r="L59" s="288">
        <f t="shared" si="6"/>
        <v>912</v>
      </c>
    </row>
    <row r="60" spans="1:13">
      <c r="B60" s="231"/>
      <c r="C60" s="232"/>
      <c r="D60" s="272" t="s">
        <v>1209</v>
      </c>
      <c r="E60" s="312">
        <f t="shared" ref="E60:L60" si="7">E59*$C$67</f>
        <v>689.46040240000002</v>
      </c>
      <c r="F60" s="312">
        <f t="shared" si="7"/>
        <v>620.51436216000002</v>
      </c>
      <c r="G60" s="312">
        <f t="shared" si="7"/>
        <v>586.04134204000002</v>
      </c>
      <c r="H60" s="312">
        <f t="shared" si="7"/>
        <v>551.56832192000002</v>
      </c>
      <c r="I60" s="312">
        <f t="shared" si="7"/>
        <v>517.09530180000002</v>
      </c>
      <c r="J60" s="312">
        <f t="shared" si="7"/>
        <v>482.62228168000001</v>
      </c>
      <c r="K60" s="312">
        <f t="shared" si="7"/>
        <v>448.14926156000001</v>
      </c>
      <c r="L60" s="312">
        <f t="shared" si="7"/>
        <v>413.67624144000001</v>
      </c>
    </row>
    <row r="61" spans="1:13">
      <c r="B61" s="231"/>
      <c r="C61" s="288" t="s">
        <v>1220</v>
      </c>
      <c r="D61" s="287" t="s">
        <v>206</v>
      </c>
      <c r="E61" s="288">
        <f t="shared" ref="E61:L61" si="8">E60*$C$68</f>
        <v>6763.6065475440009</v>
      </c>
      <c r="F61" s="288">
        <f t="shared" si="8"/>
        <v>6087.2458927896005</v>
      </c>
      <c r="G61" s="288">
        <f t="shared" si="8"/>
        <v>5749.0655654124002</v>
      </c>
      <c r="H61" s="288">
        <f t="shared" si="8"/>
        <v>5410.8852380352</v>
      </c>
      <c r="I61" s="288">
        <f t="shared" si="8"/>
        <v>5072.7049106580007</v>
      </c>
      <c r="J61" s="288">
        <f t="shared" si="8"/>
        <v>4734.5245832808005</v>
      </c>
      <c r="K61" s="288">
        <f t="shared" si="8"/>
        <v>4396.3442559036002</v>
      </c>
      <c r="L61" s="288">
        <f t="shared" si="8"/>
        <v>4058.1639285264005</v>
      </c>
    </row>
    <row r="62" spans="1:13">
      <c r="C62" s="288" t="s">
        <v>1301</v>
      </c>
      <c r="D62" s="311" t="s">
        <v>276</v>
      </c>
      <c r="E62" s="288">
        <f t="shared" ref="E62:L62" si="9">E59/10</f>
        <v>152</v>
      </c>
      <c r="F62" s="288">
        <f t="shared" si="9"/>
        <v>136.80000000000001</v>
      </c>
      <c r="G62" s="288">
        <f t="shared" si="9"/>
        <v>129.19999999999999</v>
      </c>
      <c r="H62" s="288">
        <f t="shared" si="9"/>
        <v>121.6</v>
      </c>
      <c r="I62" s="288">
        <f t="shared" si="9"/>
        <v>114</v>
      </c>
      <c r="J62" s="288">
        <f t="shared" si="9"/>
        <v>106.4</v>
      </c>
      <c r="K62" s="288">
        <f t="shared" si="9"/>
        <v>98.8</v>
      </c>
      <c r="L62" s="288">
        <f t="shared" si="9"/>
        <v>91.2</v>
      </c>
    </row>
    <row r="66" spans="1:12">
      <c r="A66" s="379" t="s">
        <v>1217</v>
      </c>
      <c r="B66" s="379"/>
      <c r="J66" s="288"/>
    </row>
    <row r="67" spans="1:12">
      <c r="A67" s="270">
        <v>1</v>
      </c>
      <c r="B67" s="270" t="s">
        <v>276</v>
      </c>
      <c r="C67" s="271">
        <v>0.45359237000000002</v>
      </c>
      <c r="D67" s="270" t="s">
        <v>1209</v>
      </c>
    </row>
    <row r="68" spans="1:12">
      <c r="A68" s="270">
        <v>1</v>
      </c>
      <c r="B68" s="270" t="s">
        <v>1209</v>
      </c>
      <c r="C68" s="270">
        <v>9.81</v>
      </c>
      <c r="D68" s="270" t="s">
        <v>206</v>
      </c>
    </row>
    <row r="70" spans="1:12">
      <c r="D70" s="375" t="s">
        <v>1302</v>
      </c>
      <c r="E70" s="375"/>
      <c r="F70" s="375"/>
      <c r="G70" s="375"/>
      <c r="H70" s="375"/>
      <c r="I70" s="375"/>
      <c r="J70" s="375"/>
      <c r="K70" s="375"/>
      <c r="L70" s="375"/>
    </row>
    <row r="71" spans="1:12">
      <c r="E71" s="315" t="s">
        <v>1303</v>
      </c>
      <c r="F71" s="315" t="s">
        <v>1316</v>
      </c>
      <c r="G71" s="321" t="s">
        <v>1317</v>
      </c>
    </row>
    <row r="72" spans="1:12">
      <c r="D72" s="321" t="s">
        <v>1318</v>
      </c>
      <c r="E72" s="136">
        <v>8.5</v>
      </c>
      <c r="F72" s="136">
        <v>687</v>
      </c>
      <c r="G72" s="136">
        <v>683</v>
      </c>
    </row>
    <row r="73" spans="1:12">
      <c r="D73" s="321" t="s">
        <v>1319</v>
      </c>
      <c r="E73" s="136">
        <v>8.5</v>
      </c>
      <c r="F73" s="136">
        <v>733</v>
      </c>
      <c r="G73" s="136">
        <v>728</v>
      </c>
    </row>
    <row r="90" spans="3:12">
      <c r="C90"/>
      <c r="D90" s="376" t="s">
        <v>1271</v>
      </c>
      <c r="E90" s="376"/>
      <c r="F90" s="376"/>
      <c r="G90" s="376"/>
      <c r="H90" s="376"/>
      <c r="I90" s="376"/>
      <c r="J90" s="376"/>
      <c r="K90" s="376"/>
      <c r="L90"/>
    </row>
    <row r="91" spans="3:12">
      <c r="C91"/>
      <c r="D91" s="376"/>
      <c r="E91" s="376"/>
      <c r="F91" s="376"/>
      <c r="G91" s="376"/>
      <c r="H91" s="376"/>
      <c r="I91" s="376"/>
      <c r="J91" s="376"/>
      <c r="K91" s="376"/>
      <c r="L91"/>
    </row>
    <row r="92" spans="3:12">
      <c r="C92"/>
      <c r="D92" s="377" t="s">
        <v>1272</v>
      </c>
      <c r="E92" s="378"/>
      <c r="F92" s="378"/>
      <c r="G92" s="378"/>
      <c r="H92" s="378"/>
      <c r="I92" s="378"/>
      <c r="J92" s="378"/>
      <c r="K92" s="378"/>
      <c r="L92" s="257"/>
    </row>
    <row r="93" spans="3:12" ht="45">
      <c r="C93"/>
      <c r="D93" s="301" t="s">
        <v>1273</v>
      </c>
      <c r="E93" s="302"/>
      <c r="F93" s="302" t="s">
        <v>1274</v>
      </c>
      <c r="G93" s="302" t="s">
        <v>240</v>
      </c>
      <c r="H93" s="303" t="s">
        <v>1275</v>
      </c>
      <c r="I93" s="302" t="s">
        <v>1276</v>
      </c>
      <c r="J93" s="302" t="s">
        <v>1277</v>
      </c>
      <c r="K93" s="303" t="s">
        <v>1278</v>
      </c>
      <c r="L93" s="304" t="s">
        <v>1279</v>
      </c>
    </row>
    <row r="94" spans="3:12">
      <c r="C94" s="191">
        <v>1</v>
      </c>
      <c r="D94" s="198" t="s">
        <v>1280</v>
      </c>
      <c r="E94" s="139"/>
      <c r="F94" s="139">
        <v>1</v>
      </c>
      <c r="G94" s="139">
        <v>5.98</v>
      </c>
      <c r="H94" s="139">
        <f>F94*G94</f>
        <v>5.98</v>
      </c>
      <c r="I94" s="139">
        <v>5.31</v>
      </c>
      <c r="J94" s="139"/>
      <c r="K94" s="139"/>
      <c r="L94" s="199"/>
    </row>
    <row r="95" spans="3:12">
      <c r="C95" s="191">
        <v>2</v>
      </c>
      <c r="D95" s="198" t="s">
        <v>1281</v>
      </c>
      <c r="E95" s="139"/>
      <c r="F95" s="139">
        <v>1</v>
      </c>
      <c r="G95" s="139">
        <v>8.5</v>
      </c>
      <c r="H95" s="139">
        <f>F95*G95</f>
        <v>8.5</v>
      </c>
      <c r="I95" s="139">
        <v>11.5</v>
      </c>
      <c r="J95" s="139"/>
      <c r="K95" s="139"/>
      <c r="L95" s="199"/>
    </row>
    <row r="96" spans="3:12">
      <c r="C96" s="191">
        <v>3</v>
      </c>
      <c r="D96" s="198" t="s">
        <v>1282</v>
      </c>
      <c r="E96" s="139"/>
      <c r="F96" s="139">
        <v>1</v>
      </c>
      <c r="G96" s="139">
        <v>22.31</v>
      </c>
      <c r="H96" s="139">
        <f>F96*G96</f>
        <v>22.31</v>
      </c>
      <c r="I96" s="139">
        <v>31</v>
      </c>
      <c r="J96" s="139">
        <v>31</v>
      </c>
      <c r="K96" s="139">
        <f>I96</f>
        <v>31</v>
      </c>
      <c r="L96" s="199">
        <f>J96</f>
        <v>31</v>
      </c>
    </row>
    <row r="97" spans="3:12">
      <c r="C97" s="191">
        <v>4</v>
      </c>
      <c r="D97" s="198" t="s">
        <v>1283</v>
      </c>
      <c r="E97" s="139"/>
      <c r="F97" s="139">
        <v>3</v>
      </c>
      <c r="G97" s="139">
        <v>22.86</v>
      </c>
      <c r="H97" s="139">
        <f t="shared" ref="H97:H100" si="10">F97*G97</f>
        <v>68.58</v>
      </c>
      <c r="I97" s="139">
        <v>15.815</v>
      </c>
      <c r="J97" s="139">
        <v>0.69</v>
      </c>
      <c r="K97" s="139">
        <f>F97*I97</f>
        <v>47.445</v>
      </c>
      <c r="L97" s="199">
        <f>F97*J97</f>
        <v>2.0699999999999998</v>
      </c>
    </row>
    <row r="98" spans="3:12">
      <c r="C98" s="191">
        <v>5</v>
      </c>
      <c r="D98" s="198" t="s">
        <v>1284</v>
      </c>
      <c r="E98" s="139"/>
      <c r="F98" s="139">
        <v>5</v>
      </c>
      <c r="G98" s="139">
        <v>22.86</v>
      </c>
      <c r="H98" s="139">
        <f t="shared" si="10"/>
        <v>114.3</v>
      </c>
      <c r="I98" s="139">
        <v>15.984999999999999</v>
      </c>
      <c r="J98" s="139">
        <v>0.95</v>
      </c>
      <c r="K98" s="139">
        <f t="shared" ref="K98:K105" si="11">F98*I98</f>
        <v>79.924999999999997</v>
      </c>
      <c r="L98" s="199">
        <f t="shared" ref="L98:L105" si="12">F98*J98</f>
        <v>4.75</v>
      </c>
    </row>
    <row r="99" spans="3:12">
      <c r="C99" s="191">
        <v>6</v>
      </c>
      <c r="D99" s="198" t="s">
        <v>1285</v>
      </c>
      <c r="E99" s="139"/>
      <c r="F99" s="139">
        <v>15</v>
      </c>
      <c r="G99" s="139">
        <v>22.86</v>
      </c>
      <c r="H99" s="139">
        <f t="shared" si="10"/>
        <v>342.9</v>
      </c>
      <c r="I99" s="139">
        <v>16.68</v>
      </c>
      <c r="J99" s="139">
        <v>1.21</v>
      </c>
      <c r="K99" s="139">
        <f t="shared" si="11"/>
        <v>250.2</v>
      </c>
      <c r="L99" s="199">
        <f t="shared" si="12"/>
        <v>18.149999999999999</v>
      </c>
    </row>
    <row r="100" spans="3:12">
      <c r="C100" s="305" t="s">
        <v>1286</v>
      </c>
      <c r="D100" s="198" t="s">
        <v>1287</v>
      </c>
      <c r="E100" s="139"/>
      <c r="F100" s="139">
        <v>2</v>
      </c>
      <c r="G100" s="139">
        <v>22.86</v>
      </c>
      <c r="H100" s="139">
        <f t="shared" si="10"/>
        <v>45.72</v>
      </c>
      <c r="I100" s="139">
        <v>11.907</v>
      </c>
      <c r="J100" s="139">
        <v>10.35</v>
      </c>
      <c r="K100" s="139">
        <f t="shared" si="11"/>
        <v>23.814</v>
      </c>
      <c r="L100" s="199">
        <f t="shared" si="12"/>
        <v>20.7</v>
      </c>
    </row>
    <row r="101" spans="3:12">
      <c r="C101" s="191">
        <v>8</v>
      </c>
      <c r="D101" s="198" t="s">
        <v>1288</v>
      </c>
      <c r="E101" s="139"/>
      <c r="F101" s="139">
        <v>1</v>
      </c>
      <c r="G101" s="139">
        <v>1.524</v>
      </c>
      <c r="H101" s="139">
        <f>F101*G101</f>
        <v>1.524</v>
      </c>
      <c r="I101" s="139">
        <v>1.19</v>
      </c>
      <c r="J101" s="139">
        <v>1.03</v>
      </c>
      <c r="K101" s="139">
        <f t="shared" si="11"/>
        <v>1.19</v>
      </c>
      <c r="L101" s="199">
        <f t="shared" si="12"/>
        <v>1.03</v>
      </c>
    </row>
    <row r="102" spans="3:12">
      <c r="C102" s="191">
        <v>9</v>
      </c>
      <c r="D102" s="198" t="s">
        <v>1289</v>
      </c>
      <c r="E102" s="139"/>
      <c r="F102" s="139">
        <v>2</v>
      </c>
      <c r="G102" s="139">
        <v>6.0960000000000001</v>
      </c>
      <c r="H102" s="139">
        <f>F102*G102</f>
        <v>12.192</v>
      </c>
      <c r="I102" s="139">
        <v>3.3</v>
      </c>
      <c r="J102" s="139">
        <v>2.9</v>
      </c>
      <c r="K102" s="139">
        <f t="shared" si="11"/>
        <v>6.6</v>
      </c>
      <c r="L102" s="199">
        <f t="shared" si="12"/>
        <v>5.8</v>
      </c>
    </row>
    <row r="103" spans="3:12">
      <c r="C103" s="191">
        <v>10</v>
      </c>
      <c r="D103" s="198" t="s">
        <v>1290</v>
      </c>
      <c r="E103" s="139"/>
      <c r="F103" s="139">
        <v>1</v>
      </c>
      <c r="G103" s="139">
        <v>2.13</v>
      </c>
      <c r="H103" s="139">
        <f>F103*G103</f>
        <v>2.13</v>
      </c>
      <c r="I103" s="139">
        <v>1.1299999999999999</v>
      </c>
      <c r="J103" s="139">
        <v>0.98</v>
      </c>
      <c r="K103" s="139">
        <f t="shared" si="11"/>
        <v>1.1299999999999999</v>
      </c>
      <c r="L103" s="199">
        <f t="shared" si="12"/>
        <v>0.98</v>
      </c>
    </row>
    <row r="104" spans="3:12">
      <c r="C104" s="191">
        <v>11</v>
      </c>
      <c r="D104" s="198" t="s">
        <v>1291</v>
      </c>
      <c r="E104" s="139"/>
      <c r="F104" s="139">
        <v>1</v>
      </c>
      <c r="G104" s="139">
        <v>7.07</v>
      </c>
      <c r="H104" s="139">
        <f>F104*G104</f>
        <v>7.07</v>
      </c>
      <c r="I104" s="139">
        <v>122.5</v>
      </c>
      <c r="J104" s="139">
        <v>106</v>
      </c>
      <c r="K104" s="139">
        <f t="shared" si="11"/>
        <v>122.5</v>
      </c>
      <c r="L104" s="199">
        <f t="shared" si="12"/>
        <v>106</v>
      </c>
    </row>
    <row r="105" spans="3:12">
      <c r="C105" s="191">
        <v>12</v>
      </c>
      <c r="D105" s="198" t="s">
        <v>1292</v>
      </c>
      <c r="E105" s="139"/>
      <c r="F105" s="139">
        <v>1</v>
      </c>
      <c r="G105" s="139">
        <v>6.34</v>
      </c>
      <c r="H105" s="139">
        <f t="shared" ref="H105" si="13">F105*G105</f>
        <v>6.34</v>
      </c>
      <c r="I105" s="139">
        <v>140.6</v>
      </c>
      <c r="J105" s="139">
        <v>122.18</v>
      </c>
      <c r="K105" s="139">
        <f t="shared" si="11"/>
        <v>140.6</v>
      </c>
      <c r="L105" s="199">
        <f t="shared" si="12"/>
        <v>122.18</v>
      </c>
    </row>
    <row r="106" spans="3:12">
      <c r="C106"/>
      <c r="D106" s="198"/>
      <c r="E106" s="139"/>
      <c r="F106" s="139"/>
      <c r="G106" s="139"/>
      <c r="H106" s="139"/>
      <c r="I106" s="139"/>
      <c r="J106" s="139"/>
      <c r="K106" s="139"/>
      <c r="L106" s="199"/>
    </row>
    <row r="107" spans="3:12">
      <c r="C107"/>
      <c r="D107" s="198" t="s">
        <v>1293</v>
      </c>
      <c r="E107" s="139"/>
      <c r="F107" s="139"/>
      <c r="G107" s="139"/>
      <c r="H107" s="139">
        <f>SUM(H96:H104)</f>
        <v>616.726</v>
      </c>
      <c r="I107" s="139"/>
      <c r="J107" s="139"/>
      <c r="K107" s="139"/>
      <c r="L107" s="199"/>
    </row>
    <row r="108" spans="3:12">
      <c r="C108"/>
      <c r="D108" s="198" t="s">
        <v>1294</v>
      </c>
      <c r="E108" s="139"/>
      <c r="F108" s="139"/>
      <c r="G108" s="139"/>
      <c r="H108" s="139">
        <f>SUM(H96:H105)</f>
        <v>623.06600000000003</v>
      </c>
      <c r="I108" s="139"/>
      <c r="J108" s="139"/>
      <c r="K108" s="139"/>
      <c r="L108" s="199"/>
    </row>
    <row r="109" spans="3:12">
      <c r="C109"/>
      <c r="D109" s="198" t="s">
        <v>1295</v>
      </c>
      <c r="E109" s="139"/>
      <c r="F109" s="139"/>
      <c r="G109" s="139"/>
      <c r="H109" s="139">
        <f>SUM(H96:H103)</f>
        <v>609.65599999999995</v>
      </c>
      <c r="I109" s="139"/>
      <c r="J109" s="139"/>
      <c r="K109" s="139"/>
      <c r="L109" s="199"/>
    </row>
    <row r="110" spans="3:12">
      <c r="C110"/>
      <c r="D110" s="198"/>
      <c r="E110" s="139"/>
      <c r="F110" s="139"/>
      <c r="G110" s="139"/>
      <c r="H110" s="139"/>
      <c r="I110" s="139"/>
      <c r="J110" s="139"/>
      <c r="K110" s="139"/>
      <c r="L110" s="199"/>
    </row>
    <row r="111" spans="3:12">
      <c r="C111"/>
      <c r="D111" s="198"/>
      <c r="E111" s="139"/>
      <c r="F111" s="139"/>
      <c r="G111" s="139" t="s">
        <v>1296</v>
      </c>
      <c r="H111" s="139"/>
      <c r="I111" s="139"/>
      <c r="J111" s="139"/>
      <c r="K111" s="139">
        <f>SUM(K96:K105)</f>
        <v>704.40400000000011</v>
      </c>
      <c r="L111" s="199">
        <f>SUM(L96:L105)</f>
        <v>312.66000000000003</v>
      </c>
    </row>
    <row r="112" spans="3:12">
      <c r="C112"/>
      <c r="D112" s="198"/>
      <c r="E112" s="139"/>
      <c r="F112" s="139"/>
      <c r="G112" s="139" t="s">
        <v>1297</v>
      </c>
      <c r="H112" s="139"/>
      <c r="I112" s="139"/>
      <c r="J112" s="139"/>
      <c r="K112" s="139">
        <f>SUM(K96:K104)</f>
        <v>563.80400000000009</v>
      </c>
      <c r="L112" s="199">
        <f>SUM(L96:L104)</f>
        <v>190.48000000000002</v>
      </c>
    </row>
    <row r="113" spans="3:12">
      <c r="C113"/>
      <c r="D113" s="198"/>
      <c r="E113" s="139"/>
      <c r="F113" s="139"/>
      <c r="G113" s="139" t="s">
        <v>1298</v>
      </c>
      <c r="H113" s="139"/>
      <c r="I113" s="139"/>
      <c r="J113" s="139"/>
      <c r="K113" s="139">
        <f>SUM(K96:K103)</f>
        <v>441.30400000000003</v>
      </c>
      <c r="L113" s="199">
        <f>SUM(L96:L103)</f>
        <v>84.48</v>
      </c>
    </row>
    <row r="114" spans="3:12">
      <c r="C114"/>
      <c r="D114" s="198"/>
      <c r="E114" s="139"/>
      <c r="F114" s="139"/>
      <c r="G114" s="139"/>
      <c r="H114" s="139"/>
      <c r="I114" s="139"/>
      <c r="J114" s="139"/>
      <c r="K114" s="139"/>
      <c r="L114" s="199"/>
    </row>
    <row r="115" spans="3:12">
      <c r="C115"/>
      <c r="D115" s="198" t="s">
        <v>1299</v>
      </c>
      <c r="E115" s="139"/>
      <c r="F115" s="139"/>
      <c r="G115" s="139"/>
      <c r="H115" s="139"/>
      <c r="I115" s="139"/>
      <c r="J115" s="139"/>
      <c r="K115" s="197">
        <f>(L112/K112)*100</f>
        <v>33.784790459095717</v>
      </c>
      <c r="L115" s="199" t="s">
        <v>1300</v>
      </c>
    </row>
    <row r="116" spans="3:12">
      <c r="C116"/>
      <c r="D116" s="200"/>
      <c r="E116" s="201"/>
      <c r="F116" s="201"/>
      <c r="G116" s="201"/>
      <c r="H116" s="201"/>
      <c r="I116" s="201"/>
      <c r="J116" s="201"/>
      <c r="K116" s="201"/>
      <c r="L116" s="202"/>
    </row>
  </sheetData>
  <mergeCells count="17">
    <mergeCell ref="C46:C47"/>
    <mergeCell ref="D70:L70"/>
    <mergeCell ref="D90:K91"/>
    <mergeCell ref="D92:K92"/>
    <mergeCell ref="A66:B66"/>
    <mergeCell ref="B2:G2"/>
    <mergeCell ref="B3:D3"/>
    <mergeCell ref="E3:G3"/>
    <mergeCell ref="E10:F10"/>
    <mergeCell ref="A35:H36"/>
    <mergeCell ref="B16:D16"/>
    <mergeCell ref="E16:G16"/>
    <mergeCell ref="B10:C10"/>
    <mergeCell ref="A23:B23"/>
    <mergeCell ref="C23:D23"/>
    <mergeCell ref="A22:D22"/>
    <mergeCell ref="B14:G15"/>
  </mergeCells>
  <phoneticPr fontId="16" type="noConversion"/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S67"/>
  <sheetViews>
    <sheetView zoomScale="85" zoomScaleNormal="85" workbookViewId="0">
      <selection activeCell="A3" sqref="A3"/>
    </sheetView>
  </sheetViews>
  <sheetFormatPr defaultColWidth="17.5703125" defaultRowHeight="12.75"/>
  <cols>
    <col min="1" max="1" width="13.85546875" style="174" customWidth="1"/>
    <col min="2" max="2" width="41.7109375" style="51" customWidth="1"/>
    <col min="3" max="3" width="21.5703125" style="174" customWidth="1"/>
    <col min="4" max="4" width="15.28515625" style="174" customWidth="1"/>
    <col min="5" max="5" width="29" style="174" customWidth="1"/>
    <col min="6" max="6" width="22.28515625" style="174" customWidth="1"/>
    <col min="7" max="7" width="16.7109375" style="52" customWidth="1"/>
    <col min="8" max="8" width="22.85546875" style="52" customWidth="1"/>
    <col min="9" max="9" width="14.7109375" style="52" customWidth="1"/>
    <col min="10" max="10" width="16.140625" style="52" customWidth="1"/>
    <col min="11" max="11" width="41" style="53" customWidth="1"/>
    <col min="12" max="12" width="51.85546875" style="54" customWidth="1"/>
    <col min="13" max="13" width="10.42578125" style="53" bestFit="1" customWidth="1"/>
    <col min="14" max="14" width="10.42578125" style="55" bestFit="1" customWidth="1"/>
    <col min="15" max="15" width="17.140625" style="53" customWidth="1"/>
    <col min="16" max="16" width="10.42578125" style="56" bestFit="1" customWidth="1"/>
    <col min="17" max="18" width="17.5703125" style="56" customWidth="1"/>
    <col min="19" max="16384" width="17.5703125" style="53"/>
  </cols>
  <sheetData>
    <row r="1" spans="1:19">
      <c r="P1" s="317"/>
    </row>
    <row r="2" spans="1:19" ht="13.5" thickBot="1">
      <c r="A2" s="205" t="s">
        <v>88</v>
      </c>
      <c r="B2" s="50"/>
      <c r="C2" s="180"/>
      <c r="D2" s="180"/>
      <c r="E2" s="180"/>
    </row>
    <row r="3" spans="1:19" ht="13.5" thickBot="1">
      <c r="A3" s="206" t="s">
        <v>15</v>
      </c>
      <c r="B3" s="59" t="s">
        <v>1454</v>
      </c>
      <c r="C3" s="181"/>
      <c r="D3" s="181"/>
      <c r="E3" s="181"/>
      <c r="F3" s="220"/>
      <c r="G3" s="60"/>
      <c r="H3" s="60"/>
      <c r="I3" s="60"/>
      <c r="J3" s="60"/>
      <c r="K3" s="61"/>
    </row>
    <row r="4" spans="1:19">
      <c r="A4" s="207" t="s">
        <v>90</v>
      </c>
      <c r="B4" s="62"/>
      <c r="C4" s="182"/>
      <c r="D4" s="182"/>
      <c r="E4" s="182"/>
      <c r="F4" s="182"/>
      <c r="G4" s="182"/>
      <c r="H4" s="62"/>
      <c r="I4" s="62"/>
      <c r="J4" s="62"/>
      <c r="K4" s="62"/>
      <c r="L4" s="63"/>
      <c r="M4" s="50"/>
    </row>
    <row r="5" spans="1:19">
      <c r="A5" s="208" t="s">
        <v>89</v>
      </c>
      <c r="B5" s="183" t="s">
        <v>1455</v>
      </c>
      <c r="C5" s="183"/>
      <c r="D5" s="183"/>
      <c r="E5" s="183"/>
      <c r="F5" s="221"/>
      <c r="G5" s="221"/>
      <c r="H5" s="64"/>
      <c r="I5" s="64"/>
      <c r="J5" s="64"/>
      <c r="K5" s="64"/>
      <c r="L5" s="65"/>
      <c r="M5" s="54"/>
    </row>
    <row r="6" spans="1:19" ht="13.5" thickBot="1">
      <c r="A6" s="247"/>
      <c r="B6" s="184"/>
      <c r="C6" s="221"/>
      <c r="D6" s="221"/>
      <c r="E6" s="221"/>
      <c r="F6" s="184"/>
      <c r="G6" s="184"/>
      <c r="H6" s="66"/>
      <c r="I6" s="66"/>
      <c r="J6" s="66"/>
      <c r="K6" s="66"/>
      <c r="L6" s="67"/>
      <c r="M6" s="50"/>
    </row>
    <row r="7" spans="1:19">
      <c r="A7" s="210"/>
      <c r="B7" s="248"/>
      <c r="C7" s="248"/>
      <c r="D7" s="251"/>
      <c r="E7" s="251"/>
      <c r="F7" s="213"/>
      <c r="G7" s="71"/>
      <c r="H7" s="71"/>
      <c r="I7" s="11"/>
      <c r="J7" s="12"/>
      <c r="K7" s="13"/>
      <c r="L7" s="72"/>
      <c r="M7" s="54"/>
      <c r="N7" s="53"/>
      <c r="O7" s="55"/>
      <c r="P7" s="53"/>
      <c r="S7" s="56"/>
    </row>
    <row r="8" spans="1:19" ht="26.25" thickBot="1">
      <c r="A8" s="210"/>
      <c r="B8" s="248"/>
      <c r="C8" s="248"/>
      <c r="D8" s="214"/>
      <c r="E8" s="214"/>
      <c r="F8" s="213" t="s">
        <v>12</v>
      </c>
      <c r="G8" s="71" t="s">
        <v>12</v>
      </c>
      <c r="H8" s="71" t="s">
        <v>12</v>
      </c>
      <c r="I8" s="11" t="s">
        <v>12</v>
      </c>
      <c r="J8" s="12" t="s">
        <v>12</v>
      </c>
      <c r="K8" s="13" t="s">
        <v>12</v>
      </c>
      <c r="L8" s="72"/>
      <c r="M8" s="54"/>
      <c r="N8" s="53"/>
      <c r="O8" s="55"/>
      <c r="P8" s="53"/>
      <c r="S8" s="56"/>
    </row>
    <row r="9" spans="1:19">
      <c r="A9" s="211"/>
      <c r="B9" s="249"/>
      <c r="C9" s="248" t="s">
        <v>93</v>
      </c>
      <c r="D9" s="252" t="s">
        <v>93</v>
      </c>
      <c r="E9" s="252" t="s">
        <v>93</v>
      </c>
      <c r="F9" s="214" t="s">
        <v>13</v>
      </c>
      <c r="G9" s="71" t="s">
        <v>13</v>
      </c>
      <c r="H9" s="71" t="s">
        <v>13</v>
      </c>
      <c r="I9" s="14" t="s">
        <v>99</v>
      </c>
      <c r="J9" s="15" t="s">
        <v>100</v>
      </c>
      <c r="K9" s="16" t="s">
        <v>101</v>
      </c>
      <c r="L9" s="74"/>
      <c r="N9" s="53"/>
      <c r="O9" s="55"/>
      <c r="P9" s="53"/>
      <c r="S9" s="56"/>
    </row>
    <row r="10" spans="1:19" ht="13.5" thickBot="1">
      <c r="A10" s="212" t="s">
        <v>10</v>
      </c>
      <c r="B10" s="250" t="s">
        <v>11</v>
      </c>
      <c r="C10" s="253" t="s">
        <v>94</v>
      </c>
      <c r="D10" s="253" t="s">
        <v>95</v>
      </c>
      <c r="E10" s="253" t="s">
        <v>96</v>
      </c>
      <c r="F10" s="214" t="s">
        <v>74</v>
      </c>
      <c r="G10" s="71" t="s">
        <v>1307</v>
      </c>
      <c r="H10" s="71" t="s">
        <v>1308</v>
      </c>
      <c r="I10" s="14"/>
      <c r="J10" s="17"/>
      <c r="K10" s="18"/>
      <c r="L10" s="76" t="s">
        <v>14</v>
      </c>
      <c r="M10" s="56"/>
      <c r="N10" s="56"/>
      <c r="O10" s="56"/>
      <c r="S10" s="56"/>
    </row>
    <row r="11" spans="1:19" ht="12.75" customHeight="1">
      <c r="A11" s="174">
        <v>1</v>
      </c>
      <c r="B11" s="138" t="str">
        <f>B5&amp;".dat"</f>
        <v>10B_625WD_model_AA_HARD_LMRP.dat</v>
      </c>
      <c r="C11" s="187">
        <v>2500</v>
      </c>
      <c r="D11" s="188">
        <v>10</v>
      </c>
      <c r="E11" s="174" t="s">
        <v>1206</v>
      </c>
      <c r="F11" s="174">
        <v>0</v>
      </c>
      <c r="G11" s="187">
        <v>0</v>
      </c>
      <c r="H11" s="187">
        <f>Input!$C$5</f>
        <v>10.4</v>
      </c>
      <c r="I11" s="230" t="s">
        <v>309</v>
      </c>
      <c r="J11" s="230" t="str">
        <f>I11</f>
        <v>NoCurrent</v>
      </c>
      <c r="K11" s="188">
        <v>0</v>
      </c>
      <c r="L11" s="55" t="str">
        <f>$O$11&amp;"_"&amp;$M$11&amp;".dat"</f>
        <v>10BHARD_LMRP_No_Load.dat</v>
      </c>
      <c r="M11" s="383" t="s">
        <v>521</v>
      </c>
      <c r="N11" s="384"/>
      <c r="O11" s="380" t="s">
        <v>1456</v>
      </c>
      <c r="S11" s="56"/>
    </row>
    <row r="12" spans="1:19" ht="30" customHeight="1">
      <c r="A12" s="174">
        <f>1+A11</f>
        <v>2</v>
      </c>
      <c r="B12" s="138" t="str">
        <f>B11</f>
        <v>10B_625WD_model_AA_HARD_LMRP.dat</v>
      </c>
      <c r="C12" s="187">
        <f>C11</f>
        <v>2500</v>
      </c>
      <c r="D12" s="188">
        <v>10800</v>
      </c>
      <c r="E12" s="174" t="s">
        <v>1206</v>
      </c>
      <c r="F12" s="217">
        <v>0</v>
      </c>
      <c r="G12" s="187">
        <f>Input!$C$4</f>
        <v>10.7</v>
      </c>
      <c r="H12" s="187">
        <f>Input!$C$5</f>
        <v>10.4</v>
      </c>
      <c r="I12" s="216" t="s">
        <v>1309</v>
      </c>
      <c r="J12" s="216" t="str">
        <f>I12</f>
        <v>50yrcurrent</v>
      </c>
      <c r="K12" s="217">
        <v>0</v>
      </c>
      <c r="L12" s="55" t="str">
        <f>$O$11&amp;"_"&amp;$N$12&amp;"_"&amp;M12&amp;".dat"</f>
        <v>10BHARD_LMRP_50yr_0deg.dat</v>
      </c>
      <c r="M12" s="318" t="s">
        <v>1311</v>
      </c>
      <c r="N12" s="385" t="s">
        <v>1310</v>
      </c>
      <c r="O12" s="381"/>
      <c r="S12" s="56"/>
    </row>
    <row r="13" spans="1:19" ht="15" customHeight="1">
      <c r="A13" s="174">
        <f>A12+1</f>
        <v>3</v>
      </c>
      <c r="B13" s="138" t="str">
        <f t="shared" ref="B13:D21" si="0">B12</f>
        <v>10B_625WD_model_AA_HARD_LMRP.dat</v>
      </c>
      <c r="C13" s="187">
        <f t="shared" si="0"/>
        <v>2500</v>
      </c>
      <c r="D13" s="188">
        <f t="shared" si="0"/>
        <v>10800</v>
      </c>
      <c r="E13" s="174" t="s">
        <v>1206</v>
      </c>
      <c r="F13" s="217">
        <v>45</v>
      </c>
      <c r="G13" s="187">
        <f>Input!$C$4</f>
        <v>10.7</v>
      </c>
      <c r="H13" s="187">
        <f>Input!$C$5</f>
        <v>10.4</v>
      </c>
      <c r="I13" s="216" t="s">
        <v>1309</v>
      </c>
      <c r="J13" s="216" t="str">
        <f t="shared" ref="J13:J17" si="1">I13</f>
        <v>50yrcurrent</v>
      </c>
      <c r="K13" s="217">
        <v>45</v>
      </c>
      <c r="L13" s="55" t="str">
        <f>$O$11&amp;"_"&amp;$N$12&amp;"_"&amp;M13&amp;".dat"</f>
        <v>10BHARD_LMRP_50yr_45deg.dat</v>
      </c>
      <c r="M13" s="319" t="s">
        <v>1312</v>
      </c>
      <c r="N13" s="386"/>
      <c r="O13" s="381"/>
      <c r="S13" s="56"/>
    </row>
    <row r="14" spans="1:19" ht="15" customHeight="1">
      <c r="A14" s="174">
        <f>A13+1</f>
        <v>4</v>
      </c>
      <c r="B14" s="138" t="str">
        <f t="shared" si="0"/>
        <v>10B_625WD_model_AA_HARD_LMRP.dat</v>
      </c>
      <c r="C14" s="187">
        <f t="shared" si="0"/>
        <v>2500</v>
      </c>
      <c r="D14" s="188">
        <f t="shared" si="0"/>
        <v>10800</v>
      </c>
      <c r="E14" s="174" t="s">
        <v>1206</v>
      </c>
      <c r="F14" s="217">
        <v>90</v>
      </c>
      <c r="G14" s="187">
        <f>Input!$C$4</f>
        <v>10.7</v>
      </c>
      <c r="H14" s="187">
        <f>Input!$C$5</f>
        <v>10.4</v>
      </c>
      <c r="I14" s="216" t="s">
        <v>1309</v>
      </c>
      <c r="J14" s="216" t="str">
        <f t="shared" si="1"/>
        <v>50yrcurrent</v>
      </c>
      <c r="K14" s="217">
        <v>90</v>
      </c>
      <c r="L14" s="55" t="str">
        <f>$O$11&amp;"_"&amp;$N$12&amp;"_"&amp;M14&amp;".dat"</f>
        <v>10BHARD_LMRP_50yr_90deg.dat</v>
      </c>
      <c r="M14" s="319" t="s">
        <v>1313</v>
      </c>
      <c r="N14" s="386"/>
      <c r="O14" s="381"/>
      <c r="S14" s="56"/>
    </row>
    <row r="15" spans="1:19" ht="15" customHeight="1">
      <c r="A15" s="174">
        <f t="shared" ref="A15" si="2">1+A14</f>
        <v>5</v>
      </c>
      <c r="B15" s="138" t="str">
        <f t="shared" si="0"/>
        <v>10B_625WD_model_AA_HARD_LMRP.dat</v>
      </c>
      <c r="C15" s="187">
        <f t="shared" si="0"/>
        <v>2500</v>
      </c>
      <c r="D15" s="188">
        <f t="shared" si="0"/>
        <v>10800</v>
      </c>
      <c r="E15" s="174" t="s">
        <v>1206</v>
      </c>
      <c r="F15" s="217">
        <v>135</v>
      </c>
      <c r="G15" s="187">
        <f>Input!$C$4</f>
        <v>10.7</v>
      </c>
      <c r="H15" s="187">
        <f>Input!$C$5</f>
        <v>10.4</v>
      </c>
      <c r="I15" s="216" t="s">
        <v>1309</v>
      </c>
      <c r="J15" s="216" t="str">
        <f t="shared" si="1"/>
        <v>50yrcurrent</v>
      </c>
      <c r="K15" s="217">
        <v>135</v>
      </c>
      <c r="L15" s="55" t="str">
        <f>$O$11&amp;"_"&amp;$N$12&amp;"_"&amp;M15&amp;".dat"</f>
        <v>10BHARD_LMRP_50yr_135deg.dat</v>
      </c>
      <c r="M15" s="319" t="s">
        <v>1314</v>
      </c>
      <c r="N15" s="386"/>
      <c r="O15" s="381"/>
      <c r="S15" s="56"/>
    </row>
    <row r="16" spans="1:19" ht="15" customHeight="1">
      <c r="A16" s="174">
        <f t="shared" ref="A16:A17" si="3">A15+1</f>
        <v>6</v>
      </c>
      <c r="B16" s="138" t="str">
        <f t="shared" si="0"/>
        <v>10B_625WD_model_AA_HARD_LMRP.dat</v>
      </c>
      <c r="C16" s="187">
        <f t="shared" si="0"/>
        <v>2500</v>
      </c>
      <c r="D16" s="188">
        <f t="shared" si="0"/>
        <v>10800</v>
      </c>
      <c r="E16" s="174" t="s">
        <v>1206</v>
      </c>
      <c r="F16" s="217">
        <v>180</v>
      </c>
      <c r="G16" s="187">
        <f>Input!$C$4</f>
        <v>10.7</v>
      </c>
      <c r="H16" s="187">
        <f>Input!$C$5</f>
        <v>10.4</v>
      </c>
      <c r="I16" s="216" t="s">
        <v>1309</v>
      </c>
      <c r="J16" s="216" t="str">
        <f t="shared" si="1"/>
        <v>50yrcurrent</v>
      </c>
      <c r="K16" s="217">
        <v>180</v>
      </c>
      <c r="L16" s="55" t="str">
        <f>$O$11&amp;"_"&amp;$N$12&amp;"_"&amp;M16&amp;".dat"</f>
        <v>10BHARD_LMRP_50yr_180deg.dat</v>
      </c>
      <c r="M16" s="320" t="s">
        <v>1315</v>
      </c>
      <c r="N16" s="386"/>
      <c r="O16" s="381"/>
      <c r="S16" s="56"/>
    </row>
    <row r="17" spans="1:19" ht="15" customHeight="1">
      <c r="A17" s="174">
        <f t="shared" si="3"/>
        <v>7</v>
      </c>
      <c r="B17" s="138" t="str">
        <f t="shared" si="0"/>
        <v>10B_625WD_model_AA_HARD_LMRP.dat</v>
      </c>
      <c r="C17" s="187">
        <f t="shared" si="0"/>
        <v>2500</v>
      </c>
      <c r="D17" s="188">
        <f t="shared" si="0"/>
        <v>10800</v>
      </c>
      <c r="E17" s="174" t="s">
        <v>1206</v>
      </c>
      <c r="F17" s="217">
        <v>0</v>
      </c>
      <c r="G17" s="187">
        <f>Input!$F$4</f>
        <v>7.8</v>
      </c>
      <c r="H17" s="187">
        <f>Input!$F$5</f>
        <v>8.9</v>
      </c>
      <c r="I17" s="216" t="s">
        <v>438</v>
      </c>
      <c r="J17" s="216" t="str">
        <f t="shared" si="1"/>
        <v>10yrcurrent</v>
      </c>
      <c r="K17" s="217">
        <v>0</v>
      </c>
      <c r="L17" s="55" t="str">
        <f>$O$11&amp;"_"&amp;$N$17&amp;"_"&amp;M17&amp;".dat"</f>
        <v>10BHARD_LMRP_10yr_0deg.dat</v>
      </c>
      <c r="M17" s="318" t="s">
        <v>1311</v>
      </c>
      <c r="N17" s="385" t="s">
        <v>802</v>
      </c>
      <c r="O17" s="381"/>
      <c r="S17" s="56"/>
    </row>
    <row r="18" spans="1:19" ht="15" customHeight="1">
      <c r="A18" s="174">
        <f t="shared" ref="A18" si="4">1+A17</f>
        <v>8</v>
      </c>
      <c r="B18" s="138" t="str">
        <f t="shared" si="0"/>
        <v>10B_625WD_model_AA_HARD_LMRP.dat</v>
      </c>
      <c r="C18" s="187">
        <f t="shared" si="0"/>
        <v>2500</v>
      </c>
      <c r="D18" s="188">
        <f t="shared" si="0"/>
        <v>10800</v>
      </c>
      <c r="E18" s="174" t="s">
        <v>1206</v>
      </c>
      <c r="F18" s="217">
        <v>45</v>
      </c>
      <c r="G18" s="187">
        <f>Input!$F$4</f>
        <v>7.8</v>
      </c>
      <c r="H18" s="187">
        <f>Input!$F$5</f>
        <v>8.9</v>
      </c>
      <c r="I18" s="216" t="s">
        <v>438</v>
      </c>
      <c r="J18" s="216" t="str">
        <f t="shared" ref="J18:J21" si="5">I18</f>
        <v>10yrcurrent</v>
      </c>
      <c r="K18" s="217">
        <v>45</v>
      </c>
      <c r="L18" s="55" t="str">
        <f>$O$11&amp;"_"&amp;$N$17&amp;"_"&amp;M18&amp;".dat"</f>
        <v>10BHARD_LMRP_10yr_45deg.dat</v>
      </c>
      <c r="M18" s="319" t="s">
        <v>1312</v>
      </c>
      <c r="N18" s="386"/>
      <c r="O18" s="381"/>
      <c r="S18" s="56"/>
    </row>
    <row r="19" spans="1:19" ht="15" customHeight="1">
      <c r="A19" s="174">
        <f t="shared" ref="A19:A20" si="6">A18+1</f>
        <v>9</v>
      </c>
      <c r="B19" s="138" t="str">
        <f t="shared" si="0"/>
        <v>10B_625WD_model_AA_HARD_LMRP.dat</v>
      </c>
      <c r="C19" s="187">
        <f t="shared" si="0"/>
        <v>2500</v>
      </c>
      <c r="D19" s="188">
        <f t="shared" si="0"/>
        <v>10800</v>
      </c>
      <c r="E19" s="174" t="s">
        <v>1206</v>
      </c>
      <c r="F19" s="217">
        <v>90</v>
      </c>
      <c r="G19" s="187">
        <f>Input!$F$4</f>
        <v>7.8</v>
      </c>
      <c r="H19" s="187">
        <f>Input!$F$5</f>
        <v>8.9</v>
      </c>
      <c r="I19" s="216" t="s">
        <v>438</v>
      </c>
      <c r="J19" s="216" t="str">
        <f t="shared" si="5"/>
        <v>10yrcurrent</v>
      </c>
      <c r="K19" s="217">
        <v>90</v>
      </c>
      <c r="L19" s="55" t="str">
        <f>$O$11&amp;"_"&amp;$N$17&amp;"_"&amp;M19&amp;".dat"</f>
        <v>10BHARD_LMRP_10yr_90deg.dat</v>
      </c>
      <c r="M19" s="319" t="s">
        <v>1313</v>
      </c>
      <c r="N19" s="386"/>
      <c r="O19" s="381"/>
      <c r="S19" s="56"/>
    </row>
    <row r="20" spans="1:19" ht="15" customHeight="1">
      <c r="A20" s="174">
        <f t="shared" si="6"/>
        <v>10</v>
      </c>
      <c r="B20" s="138" t="str">
        <f t="shared" si="0"/>
        <v>10B_625WD_model_AA_HARD_LMRP.dat</v>
      </c>
      <c r="C20" s="187">
        <f t="shared" si="0"/>
        <v>2500</v>
      </c>
      <c r="D20" s="188">
        <f t="shared" si="0"/>
        <v>10800</v>
      </c>
      <c r="E20" s="174" t="s">
        <v>1206</v>
      </c>
      <c r="F20" s="217">
        <v>135</v>
      </c>
      <c r="G20" s="187">
        <f>Input!$F$4</f>
        <v>7.8</v>
      </c>
      <c r="H20" s="187">
        <f>Input!$F$5</f>
        <v>8.9</v>
      </c>
      <c r="I20" s="216" t="s">
        <v>438</v>
      </c>
      <c r="J20" s="216" t="str">
        <f t="shared" si="5"/>
        <v>10yrcurrent</v>
      </c>
      <c r="K20" s="217">
        <v>135</v>
      </c>
      <c r="L20" s="55" t="str">
        <f>$O$11&amp;"_"&amp;$N$17&amp;"_"&amp;M20&amp;".dat"</f>
        <v>10BHARD_LMRP_10yr_135deg.dat</v>
      </c>
      <c r="M20" s="319" t="s">
        <v>1314</v>
      </c>
      <c r="N20" s="386"/>
      <c r="O20" s="381"/>
      <c r="S20" s="56"/>
    </row>
    <row r="21" spans="1:19" ht="15" customHeight="1">
      <c r="A21" s="174">
        <f t="shared" ref="A21" si="7">1+A20</f>
        <v>11</v>
      </c>
      <c r="B21" s="138" t="str">
        <f t="shared" si="0"/>
        <v>10B_625WD_model_AA_HARD_LMRP.dat</v>
      </c>
      <c r="C21" s="187">
        <f t="shared" si="0"/>
        <v>2500</v>
      </c>
      <c r="D21" s="188">
        <f t="shared" si="0"/>
        <v>10800</v>
      </c>
      <c r="E21" s="174" t="s">
        <v>1206</v>
      </c>
      <c r="F21" s="217">
        <v>180</v>
      </c>
      <c r="G21" s="187">
        <f>Input!$F$4</f>
        <v>7.8</v>
      </c>
      <c r="H21" s="187">
        <f>Input!$F$5</f>
        <v>8.9</v>
      </c>
      <c r="I21" s="216" t="s">
        <v>438</v>
      </c>
      <c r="J21" s="216" t="str">
        <f t="shared" si="5"/>
        <v>10yrcurrent</v>
      </c>
      <c r="K21" s="217">
        <v>180</v>
      </c>
      <c r="L21" s="55" t="str">
        <f>$O$11&amp;"_"&amp;$N$17&amp;"_"&amp;M21&amp;".dat"</f>
        <v>10BHARD_LMRP_10yr_180deg.dat</v>
      </c>
      <c r="M21" s="320" t="s">
        <v>1315</v>
      </c>
      <c r="N21" s="387"/>
      <c r="O21" s="382"/>
      <c r="S21" s="56"/>
    </row>
    <row r="22" spans="1:19" ht="15" customHeight="1">
      <c r="A22" s="138"/>
      <c r="B22" s="138"/>
      <c r="C22" s="187"/>
      <c r="D22" s="188"/>
      <c r="F22" s="217"/>
      <c r="G22" s="187"/>
      <c r="H22" s="187"/>
      <c r="I22" s="216"/>
      <c r="J22" s="216"/>
      <c r="K22" s="217"/>
      <c r="L22" s="55"/>
      <c r="M22" s="56"/>
      <c r="N22" s="56"/>
      <c r="O22" s="56"/>
      <c r="S22" s="56"/>
    </row>
    <row r="23" spans="1:19" ht="15" customHeight="1">
      <c r="A23" s="138"/>
      <c r="B23" s="138"/>
      <c r="C23" s="187"/>
      <c r="D23" s="188"/>
      <c r="F23" s="217"/>
      <c r="G23" s="187"/>
      <c r="H23" s="187"/>
      <c r="I23" s="216"/>
      <c r="J23" s="216"/>
      <c r="K23" s="217"/>
      <c r="L23" s="55"/>
      <c r="M23" s="56"/>
      <c r="N23" s="56"/>
      <c r="O23" s="56"/>
      <c r="S23" s="56"/>
    </row>
    <row r="24" spans="1:19" ht="15" customHeight="1">
      <c r="A24" s="138"/>
      <c r="B24" s="138"/>
      <c r="C24" s="187"/>
      <c r="D24" s="188"/>
      <c r="F24" s="217"/>
      <c r="G24" s="187"/>
      <c r="H24" s="187"/>
      <c r="I24" s="216"/>
      <c r="J24" s="216"/>
      <c r="K24" s="217"/>
      <c r="L24" s="55"/>
      <c r="M24" s="56"/>
      <c r="N24" s="56"/>
      <c r="O24" s="56"/>
      <c r="S24" s="56"/>
    </row>
    <row r="25" spans="1:19" ht="15" customHeight="1">
      <c r="A25" s="138"/>
      <c r="B25" s="138"/>
      <c r="C25" s="187"/>
      <c r="D25" s="188"/>
      <c r="F25" s="217"/>
      <c r="G25" s="187"/>
      <c r="H25" s="187"/>
      <c r="I25" s="216"/>
      <c r="J25" s="216"/>
      <c r="K25" s="217"/>
      <c r="L25" s="55"/>
      <c r="M25" s="56"/>
      <c r="N25" s="56"/>
      <c r="O25" s="56"/>
      <c r="S25" s="56"/>
    </row>
    <row r="26" spans="1:19" ht="15" customHeight="1">
      <c r="A26" s="138"/>
      <c r="B26" s="138"/>
      <c r="C26" s="187"/>
      <c r="D26" s="188"/>
      <c r="F26" s="217"/>
      <c r="G26" s="187"/>
      <c r="H26" s="187"/>
      <c r="I26" s="216"/>
      <c r="J26" s="216"/>
      <c r="K26" s="217"/>
      <c r="L26" s="55"/>
      <c r="M26" s="56"/>
      <c r="N26" s="56"/>
      <c r="O26" s="56"/>
      <c r="S26" s="56"/>
    </row>
    <row r="27" spans="1:19" ht="15" customHeight="1">
      <c r="A27" s="138"/>
      <c r="B27" s="138"/>
      <c r="C27" s="187"/>
      <c r="D27" s="188"/>
      <c r="F27" s="217"/>
      <c r="G27" s="187"/>
      <c r="H27" s="187"/>
      <c r="I27" s="216"/>
      <c r="J27" s="216"/>
      <c r="K27" s="217"/>
      <c r="L27" s="55"/>
      <c r="M27" s="56"/>
      <c r="N27" s="56"/>
      <c r="O27" s="56"/>
      <c r="R27" s="55"/>
      <c r="S27" s="56"/>
    </row>
    <row r="28" spans="1:19" ht="15" customHeight="1">
      <c r="A28" s="138"/>
      <c r="B28" s="138"/>
      <c r="C28" s="187"/>
      <c r="D28" s="188"/>
      <c r="F28" s="217"/>
      <c r="G28" s="187"/>
      <c r="H28" s="187"/>
      <c r="I28" s="216"/>
      <c r="J28" s="216"/>
      <c r="K28" s="217"/>
      <c r="L28" s="55"/>
      <c r="M28" s="56"/>
      <c r="N28" s="56"/>
      <c r="O28" s="56"/>
      <c r="R28" s="55"/>
      <c r="S28" s="56"/>
    </row>
    <row r="29" spans="1:19" ht="15" customHeight="1">
      <c r="A29" s="138"/>
      <c r="B29" s="138"/>
      <c r="C29" s="187"/>
      <c r="D29" s="188"/>
      <c r="F29" s="217"/>
      <c r="G29" s="187"/>
      <c r="H29" s="187"/>
      <c r="I29" s="216"/>
      <c r="J29" s="216"/>
      <c r="K29" s="217"/>
      <c r="L29" s="55"/>
      <c r="M29" s="56"/>
      <c r="N29" s="56"/>
      <c r="O29" s="56"/>
      <c r="R29" s="55"/>
      <c r="S29" s="56"/>
    </row>
    <row r="30" spans="1:19" ht="15" customHeight="1">
      <c r="A30" s="138"/>
      <c r="B30" s="138"/>
      <c r="C30" s="187"/>
      <c r="D30" s="188"/>
      <c r="F30" s="217"/>
      <c r="G30" s="187"/>
      <c r="H30" s="187"/>
      <c r="I30" s="216"/>
      <c r="J30" s="216"/>
      <c r="K30" s="217"/>
      <c r="L30" s="55"/>
      <c r="M30" s="56"/>
      <c r="N30" s="56"/>
      <c r="O30" s="56"/>
      <c r="R30" s="55"/>
      <c r="S30" s="56"/>
    </row>
    <row r="31" spans="1:19" ht="15" customHeight="1">
      <c r="A31" s="138"/>
      <c r="B31" s="138"/>
      <c r="C31" s="187"/>
      <c r="D31" s="188"/>
      <c r="F31" s="217"/>
      <c r="G31" s="187"/>
      <c r="H31" s="187"/>
      <c r="I31" s="216"/>
      <c r="J31" s="216"/>
      <c r="K31" s="217"/>
      <c r="L31" s="55"/>
      <c r="M31" s="56"/>
      <c r="N31" s="56"/>
      <c r="O31" s="56"/>
      <c r="R31" s="55"/>
      <c r="S31" s="56"/>
    </row>
    <row r="32" spans="1:19" ht="12.75" customHeight="1">
      <c r="A32" s="51"/>
      <c r="K32" s="56"/>
      <c r="L32" s="56"/>
      <c r="M32" s="56"/>
      <c r="N32" s="56"/>
      <c r="O32" s="56"/>
    </row>
    <row r="33" spans="1:15" ht="12.75" customHeight="1">
      <c r="A33" s="51"/>
      <c r="K33" s="56"/>
      <c r="L33" s="56"/>
      <c r="M33" s="56"/>
      <c r="N33" s="56"/>
      <c r="O33" s="56"/>
    </row>
    <row r="34" spans="1:15" ht="12.75" customHeight="1">
      <c r="A34" s="51"/>
      <c r="K34" s="56"/>
      <c r="L34" s="56"/>
      <c r="M34" s="56"/>
      <c r="N34" s="56"/>
      <c r="O34" s="56"/>
    </row>
    <row r="35" spans="1:15" ht="12.75" customHeight="1">
      <c r="K35" s="56"/>
      <c r="L35" s="56"/>
      <c r="M35" s="56"/>
      <c r="N35" s="56"/>
      <c r="O35" s="56"/>
    </row>
    <row r="36" spans="1:15" ht="12.75" customHeight="1">
      <c r="K36" s="56"/>
      <c r="L36" s="56"/>
      <c r="M36" s="56"/>
      <c r="N36" s="56"/>
      <c r="O36" s="56"/>
    </row>
    <row r="37" spans="1:15">
      <c r="B37" s="138"/>
      <c r="C37" s="138"/>
      <c r="D37" s="138"/>
      <c r="E37" s="138"/>
      <c r="F37" s="138"/>
      <c r="G37" s="138"/>
      <c r="H37" s="138"/>
      <c r="I37" s="138"/>
      <c r="J37" s="138"/>
      <c r="K37" s="56"/>
      <c r="L37" s="56"/>
      <c r="M37" s="56"/>
      <c r="N37" s="56"/>
      <c r="O37" s="56"/>
    </row>
    <row r="38" spans="1:15">
      <c r="B38" s="138"/>
      <c r="C38" s="138"/>
      <c r="D38" s="138"/>
      <c r="E38" s="138"/>
      <c r="F38" s="138"/>
      <c r="G38" s="138"/>
      <c r="H38" s="138"/>
      <c r="I38" s="138"/>
      <c r="J38" s="138"/>
      <c r="K38" s="138"/>
      <c r="L38" s="138"/>
      <c r="M38" s="138"/>
      <c r="N38" s="138"/>
    </row>
    <row r="39" spans="1:15">
      <c r="A39" s="138"/>
      <c r="B39" s="138"/>
      <c r="C39" s="138"/>
      <c r="D39" s="138"/>
      <c r="E39" s="138"/>
      <c r="F39" s="138"/>
      <c r="G39" s="138"/>
      <c r="H39" s="138"/>
      <c r="I39" s="138"/>
      <c r="J39" s="138"/>
      <c r="K39" s="138"/>
      <c r="L39" s="138"/>
      <c r="M39" s="138"/>
      <c r="N39" s="138"/>
    </row>
    <row r="40" spans="1:15">
      <c r="A40" s="138"/>
      <c r="B40" s="138"/>
      <c r="C40" s="138"/>
      <c r="D40" s="138"/>
      <c r="E40" s="138"/>
      <c r="F40" s="138"/>
      <c r="G40" s="138"/>
      <c r="H40" s="138"/>
      <c r="I40" s="138"/>
      <c r="J40" s="138"/>
      <c r="K40" s="138"/>
      <c r="L40" s="138"/>
      <c r="M40" s="138"/>
      <c r="N40" s="138"/>
    </row>
    <row r="41" spans="1:15">
      <c r="A41" s="138"/>
      <c r="B41" s="138"/>
      <c r="C41" s="138"/>
      <c r="D41" s="138"/>
      <c r="E41" s="138"/>
      <c r="F41" s="138"/>
      <c r="G41" s="138"/>
      <c r="H41" s="138"/>
      <c r="I41" s="138"/>
      <c r="J41" s="138"/>
      <c r="K41" s="138"/>
      <c r="L41" s="138"/>
      <c r="M41" s="138"/>
      <c r="N41" s="138"/>
    </row>
    <row r="42" spans="1:15">
      <c r="A42" s="138"/>
      <c r="B42" s="138"/>
      <c r="C42" s="138"/>
      <c r="D42" s="138"/>
      <c r="E42" s="138"/>
      <c r="F42" s="138"/>
      <c r="G42" s="138"/>
      <c r="H42" s="138"/>
      <c r="I42" s="138"/>
      <c r="J42" s="138"/>
      <c r="K42" s="138"/>
      <c r="L42" s="138"/>
      <c r="M42" s="138"/>
      <c r="N42" s="138"/>
    </row>
    <row r="43" spans="1:15">
      <c r="A43" s="138"/>
      <c r="B43" s="138"/>
      <c r="C43" s="138"/>
      <c r="D43" s="138"/>
      <c r="E43" s="138"/>
      <c r="F43" s="138"/>
      <c r="G43" s="138"/>
      <c r="H43" s="138"/>
      <c r="I43" s="138"/>
      <c r="J43" s="138"/>
      <c r="K43" s="138"/>
      <c r="L43" s="138"/>
      <c r="M43" s="138"/>
      <c r="N43" s="138"/>
    </row>
    <row r="44" spans="1:15">
      <c r="A44" s="138"/>
      <c r="B44" s="138"/>
      <c r="C44" s="138"/>
      <c r="D44" s="138"/>
      <c r="E44" s="138"/>
      <c r="F44" s="138"/>
      <c r="G44" s="138"/>
      <c r="H44" s="138"/>
      <c r="I44" s="138"/>
      <c r="J44" s="138"/>
      <c r="K44" s="138"/>
      <c r="L44" s="138"/>
      <c r="M44" s="138"/>
      <c r="N44" s="138"/>
    </row>
    <row r="45" spans="1:15">
      <c r="A45" s="138"/>
      <c r="B45" s="138"/>
      <c r="C45" s="138"/>
      <c r="D45" s="138"/>
      <c r="E45" s="138"/>
      <c r="F45" s="138"/>
      <c r="G45" s="138"/>
      <c r="H45" s="138"/>
      <c r="I45" s="138"/>
      <c r="J45" s="138"/>
      <c r="K45" s="138"/>
      <c r="L45" s="138"/>
      <c r="M45" s="138"/>
      <c r="N45" s="138"/>
    </row>
    <row r="46" spans="1:15">
      <c r="A46" s="138"/>
      <c r="B46" s="138"/>
      <c r="C46" s="138"/>
      <c r="D46" s="138"/>
      <c r="E46" s="138"/>
      <c r="F46" s="138"/>
      <c r="G46" s="138"/>
      <c r="H46" s="138"/>
      <c r="I46" s="138"/>
      <c r="J46" s="138"/>
      <c r="K46" s="138"/>
      <c r="L46" s="138"/>
      <c r="M46" s="138"/>
      <c r="N46" s="138"/>
    </row>
    <row r="47" spans="1:15">
      <c r="A47" s="138"/>
      <c r="B47" s="138"/>
      <c r="C47" s="138"/>
      <c r="D47" s="138"/>
      <c r="E47" s="138"/>
      <c r="F47" s="138"/>
      <c r="G47" s="138"/>
      <c r="H47" s="138"/>
      <c r="I47" s="138"/>
      <c r="J47" s="138"/>
      <c r="K47" s="138"/>
      <c r="L47" s="138"/>
      <c r="M47" s="138"/>
      <c r="N47" s="138"/>
    </row>
    <row r="48" spans="1:15">
      <c r="A48" s="138"/>
      <c r="B48" s="138"/>
      <c r="C48" s="138"/>
      <c r="D48" s="138"/>
      <c r="E48" s="138"/>
      <c r="F48" s="138"/>
      <c r="G48" s="138"/>
      <c r="H48" s="138"/>
      <c r="I48" s="138"/>
      <c r="J48" s="138"/>
      <c r="K48" s="138"/>
      <c r="L48" s="138"/>
      <c r="M48" s="138"/>
      <c r="N48" s="138"/>
    </row>
    <row r="49" spans="1:14">
      <c r="A49" s="138"/>
      <c r="B49" s="138"/>
      <c r="C49" s="138"/>
      <c r="D49" s="138"/>
      <c r="E49" s="138"/>
      <c r="F49" s="138"/>
      <c r="G49" s="138"/>
      <c r="H49" s="138"/>
      <c r="I49" s="138"/>
      <c r="J49" s="138"/>
      <c r="K49" s="138"/>
      <c r="L49" s="138"/>
      <c r="M49" s="138"/>
      <c r="N49" s="138"/>
    </row>
    <row r="50" spans="1:14">
      <c r="A50" s="138"/>
      <c r="B50" s="138"/>
      <c r="C50" s="138"/>
      <c r="D50" s="138"/>
      <c r="E50" s="138"/>
      <c r="F50" s="138"/>
      <c r="G50" s="138"/>
      <c r="H50" s="138"/>
      <c r="I50" s="138"/>
      <c r="J50" s="138"/>
      <c r="K50" s="138"/>
      <c r="L50" s="138"/>
      <c r="M50" s="138"/>
      <c r="N50" s="138"/>
    </row>
    <row r="51" spans="1:14">
      <c r="A51" s="138"/>
      <c r="B51" s="138"/>
      <c r="C51" s="138"/>
      <c r="D51" s="138"/>
      <c r="E51" s="138"/>
      <c r="F51" s="138"/>
      <c r="G51" s="138"/>
      <c r="H51" s="138"/>
      <c r="I51" s="138"/>
      <c r="J51" s="138"/>
      <c r="K51" s="138"/>
      <c r="L51" s="138"/>
      <c r="M51" s="138"/>
      <c r="N51" s="138"/>
    </row>
    <row r="52" spans="1:14">
      <c r="A52" s="138"/>
      <c r="B52" s="138"/>
      <c r="C52" s="138"/>
      <c r="D52" s="138"/>
      <c r="E52" s="138"/>
      <c r="F52" s="138"/>
      <c r="G52" s="138"/>
      <c r="H52" s="138"/>
      <c r="I52" s="138"/>
      <c r="J52" s="138"/>
      <c r="K52" s="138"/>
      <c r="L52" s="138"/>
      <c r="M52" s="138"/>
      <c r="N52" s="138"/>
    </row>
    <row r="53" spans="1:14">
      <c r="A53" s="138"/>
      <c r="B53" s="138"/>
      <c r="C53" s="138"/>
      <c r="D53" s="138"/>
      <c r="E53" s="138"/>
      <c r="F53" s="138"/>
      <c r="G53" s="138"/>
      <c r="H53" s="138"/>
      <c r="I53" s="138"/>
      <c r="J53" s="138"/>
      <c r="K53" s="138"/>
      <c r="L53" s="138"/>
      <c r="M53" s="138"/>
      <c r="N53" s="138"/>
    </row>
    <row r="54" spans="1:14">
      <c r="A54" s="138"/>
      <c r="B54" s="138"/>
      <c r="C54" s="138"/>
      <c r="D54" s="138"/>
      <c r="E54" s="138"/>
      <c r="F54" s="138"/>
      <c r="G54" s="138"/>
      <c r="H54" s="138"/>
      <c r="I54" s="138"/>
      <c r="J54" s="138"/>
      <c r="K54" s="138"/>
      <c r="L54" s="138"/>
      <c r="M54" s="138"/>
      <c r="N54" s="138"/>
    </row>
    <row r="55" spans="1:14">
      <c r="A55" s="138"/>
      <c r="B55" s="138"/>
      <c r="C55" s="138"/>
      <c r="D55" s="138"/>
      <c r="E55" s="138"/>
      <c r="F55" s="138"/>
      <c r="G55" s="138"/>
      <c r="H55" s="138"/>
      <c r="I55" s="138"/>
      <c r="J55" s="138"/>
      <c r="K55" s="138"/>
      <c r="L55" s="138"/>
      <c r="M55" s="138"/>
      <c r="N55" s="138"/>
    </row>
    <row r="56" spans="1:14">
      <c r="A56" s="138"/>
      <c r="B56" s="138"/>
      <c r="C56" s="138"/>
      <c r="D56" s="138"/>
      <c r="E56" s="138"/>
      <c r="F56" s="138"/>
      <c r="G56" s="138"/>
      <c r="H56" s="138"/>
      <c r="I56" s="138"/>
      <c r="J56" s="138"/>
      <c r="K56" s="138"/>
      <c r="L56" s="138"/>
      <c r="M56" s="138"/>
      <c r="N56" s="138"/>
    </row>
    <row r="57" spans="1:14">
      <c r="A57" s="138"/>
      <c r="B57" s="138"/>
      <c r="C57" s="138"/>
      <c r="D57" s="138"/>
      <c r="E57" s="138"/>
      <c r="F57" s="138"/>
      <c r="G57" s="138"/>
      <c r="H57" s="138"/>
      <c r="I57" s="138"/>
      <c r="J57" s="138"/>
      <c r="K57" s="138"/>
      <c r="L57" s="138"/>
      <c r="M57" s="138"/>
      <c r="N57" s="138"/>
    </row>
    <row r="58" spans="1:14">
      <c r="A58" s="138"/>
      <c r="B58" s="138"/>
      <c r="C58" s="138"/>
      <c r="D58" s="138"/>
      <c r="E58" s="138"/>
      <c r="F58" s="138"/>
      <c r="G58" s="138"/>
      <c r="H58" s="138"/>
      <c r="I58" s="138"/>
      <c r="J58" s="138"/>
      <c r="K58" s="138"/>
      <c r="L58" s="138"/>
      <c r="M58" s="138"/>
      <c r="N58" s="138"/>
    </row>
    <row r="59" spans="1:14">
      <c r="A59" s="138"/>
      <c r="B59" s="138"/>
      <c r="C59" s="138"/>
      <c r="D59" s="138"/>
      <c r="E59" s="138"/>
      <c r="F59" s="138"/>
      <c r="G59" s="138"/>
      <c r="H59" s="138"/>
      <c r="I59" s="138"/>
      <c r="J59" s="138"/>
      <c r="K59" s="138"/>
      <c r="L59" s="138"/>
      <c r="M59" s="138"/>
      <c r="N59" s="138"/>
    </row>
    <row r="60" spans="1:14">
      <c r="A60" s="138"/>
      <c r="B60" s="138"/>
      <c r="C60" s="138"/>
      <c r="D60" s="138"/>
      <c r="E60" s="138"/>
      <c r="F60" s="138"/>
      <c r="G60" s="138"/>
      <c r="H60" s="138"/>
      <c r="I60" s="138"/>
      <c r="J60" s="138"/>
      <c r="K60" s="138"/>
      <c r="L60" s="138"/>
      <c r="M60" s="138"/>
      <c r="N60" s="138"/>
    </row>
    <row r="61" spans="1:14">
      <c r="A61" s="138"/>
      <c r="B61" s="138"/>
      <c r="C61" s="138"/>
      <c r="D61" s="138"/>
      <c r="E61" s="138"/>
      <c r="F61" s="138"/>
      <c r="G61" s="138"/>
      <c r="H61" s="138"/>
      <c r="I61" s="138"/>
      <c r="J61" s="138"/>
      <c r="K61" s="138"/>
      <c r="L61" s="138"/>
      <c r="M61" s="138"/>
      <c r="N61" s="138"/>
    </row>
    <row r="62" spans="1:14">
      <c r="A62" s="138"/>
      <c r="B62" s="138"/>
      <c r="C62" s="138"/>
      <c r="D62" s="138"/>
      <c r="E62" s="138"/>
      <c r="F62" s="138"/>
      <c r="G62" s="138"/>
      <c r="H62" s="138"/>
      <c r="I62" s="138"/>
      <c r="J62" s="138"/>
      <c r="K62" s="138"/>
      <c r="L62" s="138"/>
      <c r="M62" s="138"/>
      <c r="N62" s="138"/>
    </row>
    <row r="63" spans="1:14">
      <c r="A63" s="138"/>
      <c r="B63" s="138"/>
      <c r="C63" s="138"/>
      <c r="D63" s="138"/>
      <c r="E63" s="138"/>
      <c r="F63" s="138"/>
      <c r="G63" s="138"/>
      <c r="H63" s="138"/>
      <c r="I63" s="138"/>
      <c r="J63" s="138"/>
      <c r="K63" s="138"/>
      <c r="L63" s="138"/>
      <c r="M63" s="138"/>
      <c r="N63" s="138"/>
    </row>
    <row r="64" spans="1:14">
      <c r="A64" s="138"/>
      <c r="B64" s="138"/>
      <c r="C64" s="138"/>
      <c r="D64" s="138"/>
      <c r="E64" s="138"/>
      <c r="F64" s="138"/>
      <c r="G64" s="138"/>
      <c r="H64" s="138"/>
      <c r="I64" s="138"/>
      <c r="J64" s="138"/>
      <c r="K64" s="138"/>
      <c r="L64" s="138"/>
      <c r="M64" s="138"/>
      <c r="N64" s="138"/>
    </row>
    <row r="65" spans="1:14">
      <c r="A65" s="138"/>
      <c r="B65" s="138"/>
      <c r="C65" s="138"/>
      <c r="D65" s="138"/>
      <c r="E65" s="138"/>
      <c r="F65" s="138"/>
      <c r="G65" s="138"/>
      <c r="H65" s="138"/>
      <c r="I65" s="138"/>
      <c r="J65" s="138"/>
      <c r="K65" s="138"/>
      <c r="L65" s="138"/>
      <c r="M65" s="138"/>
      <c r="N65" s="138"/>
    </row>
    <row r="66" spans="1:14">
      <c r="A66" s="138"/>
      <c r="B66" s="138"/>
      <c r="C66" s="138"/>
      <c r="D66" s="138"/>
      <c r="E66" s="138"/>
      <c r="F66" s="138"/>
      <c r="G66" s="138"/>
      <c r="H66" s="138"/>
      <c r="I66" s="138"/>
      <c r="J66" s="138"/>
      <c r="K66" s="138"/>
      <c r="L66" s="138"/>
      <c r="M66" s="138"/>
      <c r="N66" s="138"/>
    </row>
    <row r="67" spans="1:14">
      <c r="A67" s="138"/>
      <c r="B67" s="138"/>
      <c r="C67" s="138"/>
      <c r="D67" s="138"/>
      <c r="E67" s="138"/>
      <c r="F67" s="138"/>
      <c r="G67" s="138"/>
      <c r="H67" s="138"/>
      <c r="I67" s="138"/>
      <c r="J67" s="138"/>
      <c r="K67" s="138"/>
      <c r="L67" s="138"/>
      <c r="M67" s="138"/>
      <c r="N67" s="138"/>
    </row>
  </sheetData>
  <dataConsolidate/>
  <mergeCells count="4">
    <mergeCell ref="O11:O21"/>
    <mergeCell ref="M11:N11"/>
    <mergeCell ref="N12:N16"/>
    <mergeCell ref="N17:N21"/>
  </mergeCells>
  <phoneticPr fontId="16" type="noConversion"/>
  <pageMargins left="0.75" right="0.75" top="1" bottom="1" header="0.5" footer="0.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I64"/>
  <sheetViews>
    <sheetView workbookViewId="0">
      <selection activeCell="D48" sqref="D48"/>
    </sheetView>
  </sheetViews>
  <sheetFormatPr defaultRowHeight="12.75"/>
  <cols>
    <col min="1" max="1" width="29" customWidth="1"/>
    <col min="2" max="2" width="11.7109375" style="1" customWidth="1"/>
    <col min="3" max="3" width="28.5703125" bestFit="1" customWidth="1"/>
    <col min="4" max="4" width="24.140625" style="1" customWidth="1"/>
    <col min="8" max="8" width="23" customWidth="1"/>
  </cols>
  <sheetData>
    <row r="1" spans="1:9">
      <c r="A1" t="s">
        <v>18</v>
      </c>
      <c r="B1" s="19" t="s">
        <v>1218</v>
      </c>
      <c r="C1" t="s">
        <v>29</v>
      </c>
      <c r="D1" s="19">
        <v>0</v>
      </c>
      <c r="E1" t="s">
        <v>31</v>
      </c>
      <c r="F1" s="1" t="s">
        <v>87</v>
      </c>
      <c r="H1" s="1"/>
      <c r="I1" s="2"/>
    </row>
    <row r="2" spans="1:9">
      <c r="A2" t="s">
        <v>19</v>
      </c>
      <c r="B2" s="19" t="s">
        <v>28</v>
      </c>
      <c r="C2" t="s">
        <v>72</v>
      </c>
      <c r="D2" s="19"/>
      <c r="E2" t="s">
        <v>71</v>
      </c>
      <c r="F2" s="1" t="s">
        <v>73</v>
      </c>
      <c r="H2" s="1" t="s">
        <v>76</v>
      </c>
      <c r="I2" s="2" t="b">
        <v>0</v>
      </c>
    </row>
    <row r="3" spans="1:9">
      <c r="A3" t="s">
        <v>22</v>
      </c>
      <c r="B3" s="19">
        <v>1</v>
      </c>
      <c r="C3" t="s">
        <v>32</v>
      </c>
      <c r="D3" s="19" t="b">
        <v>1</v>
      </c>
      <c r="H3" t="s">
        <v>77</v>
      </c>
      <c r="I3" s="2" t="b">
        <v>0</v>
      </c>
    </row>
    <row r="4" spans="1:9">
      <c r="A4" t="s">
        <v>23</v>
      </c>
      <c r="B4" s="19">
        <v>0</v>
      </c>
      <c r="C4" t="s">
        <v>33</v>
      </c>
      <c r="D4" s="19">
        <v>20</v>
      </c>
      <c r="H4" t="s">
        <v>78</v>
      </c>
      <c r="I4" s="2">
        <v>13</v>
      </c>
    </row>
    <row r="5" spans="1:9">
      <c r="A5" t="s">
        <v>24</v>
      </c>
      <c r="B5" s="19">
        <v>1</v>
      </c>
      <c r="C5" t="s">
        <v>7</v>
      </c>
      <c r="D5" s="19">
        <v>1</v>
      </c>
    </row>
    <row r="6" spans="1:9">
      <c r="A6" t="s">
        <v>25</v>
      </c>
      <c r="B6" s="19">
        <v>0</v>
      </c>
      <c r="C6" t="s">
        <v>65</v>
      </c>
      <c r="D6" s="19">
        <v>0</v>
      </c>
    </row>
    <row r="7" spans="1:9">
      <c r="A7" t="s">
        <v>26</v>
      </c>
      <c r="B7" s="19">
        <v>10</v>
      </c>
      <c r="C7" t="s">
        <v>66</v>
      </c>
      <c r="D7" s="19">
        <v>0</v>
      </c>
    </row>
    <row r="8" spans="1:9">
      <c r="A8" t="s">
        <v>79</v>
      </c>
      <c r="B8" s="19" t="b">
        <v>0</v>
      </c>
      <c r="C8" t="s">
        <v>69</v>
      </c>
      <c r="D8" s="19">
        <v>0</v>
      </c>
    </row>
    <row r="9" spans="1:9">
      <c r="A9" t="s">
        <v>84</v>
      </c>
      <c r="B9" s="19">
        <v>0</v>
      </c>
      <c r="C9" t="s">
        <v>34</v>
      </c>
      <c r="D9" s="19" t="s">
        <v>1404</v>
      </c>
    </row>
    <row r="10" spans="1:9">
      <c r="C10" t="s">
        <v>47</v>
      </c>
      <c r="D10" s="19">
        <v>15.82</v>
      </c>
    </row>
    <row r="11" spans="1:9">
      <c r="C11" t="s">
        <v>35</v>
      </c>
      <c r="D11" s="19">
        <v>1</v>
      </c>
    </row>
    <row r="12" spans="1:9">
      <c r="C12" t="s">
        <v>36</v>
      </c>
      <c r="D12" s="19">
        <v>1</v>
      </c>
    </row>
    <row r="13" spans="1:9">
      <c r="C13" t="s">
        <v>8</v>
      </c>
      <c r="D13" s="19"/>
    </row>
    <row r="14" spans="1:9">
      <c r="C14" t="s">
        <v>37</v>
      </c>
      <c r="D14" s="19" t="s">
        <v>1377</v>
      </c>
    </row>
    <row r="15" spans="1:9">
      <c r="C15" t="s">
        <v>38</v>
      </c>
      <c r="D15" s="19">
        <v>1</v>
      </c>
    </row>
    <row r="16" spans="1:9">
      <c r="C16" t="s">
        <v>39</v>
      </c>
      <c r="D16" s="19">
        <v>1</v>
      </c>
    </row>
    <row r="17" spans="3:4">
      <c r="C17" t="s">
        <v>40</v>
      </c>
      <c r="D17" s="19">
        <v>7</v>
      </c>
    </row>
    <row r="18" spans="3:4">
      <c r="C18" t="s">
        <v>41</v>
      </c>
      <c r="D18" s="19" t="s">
        <v>1378</v>
      </c>
    </row>
    <row r="19" spans="3:4">
      <c r="C19" t="s">
        <v>70</v>
      </c>
      <c r="D19" s="19">
        <v>0</v>
      </c>
    </row>
    <row r="20" spans="3:4">
      <c r="C20" t="s">
        <v>6</v>
      </c>
      <c r="D20" s="19">
        <v>5</v>
      </c>
    </row>
    <row r="21" spans="3:4">
      <c r="C21" t="s">
        <v>42</v>
      </c>
      <c r="D21" s="19">
        <v>1</v>
      </c>
    </row>
    <row r="22" spans="3:4">
      <c r="C22" t="s">
        <v>43</v>
      </c>
      <c r="D22" s="19">
        <v>0</v>
      </c>
    </row>
    <row r="23" spans="3:4">
      <c r="C23" t="s">
        <v>44</v>
      </c>
      <c r="D23" s="19">
        <v>0</v>
      </c>
    </row>
    <row r="24" spans="3:4">
      <c r="C24" t="s">
        <v>45</v>
      </c>
      <c r="D24" s="19" t="s">
        <v>1320</v>
      </c>
    </row>
    <row r="25" spans="3:4">
      <c r="C25" t="s">
        <v>20</v>
      </c>
      <c r="D25" s="19">
        <v>0</v>
      </c>
    </row>
    <row r="26" spans="3:4">
      <c r="C26" t="s">
        <v>21</v>
      </c>
      <c r="D26" s="19">
        <v>1800</v>
      </c>
    </row>
    <row r="27" spans="3:4">
      <c r="C27" t="s">
        <v>46</v>
      </c>
      <c r="D27" s="19">
        <v>0</v>
      </c>
    </row>
    <row r="28" spans="3:4">
      <c r="C28" t="s">
        <v>48</v>
      </c>
      <c r="D28" s="19">
        <v>624.13199999999995</v>
      </c>
    </row>
    <row r="29" spans="3:4">
      <c r="C29" t="s">
        <v>49</v>
      </c>
      <c r="D29" s="19" t="b">
        <v>0</v>
      </c>
    </row>
    <row r="30" spans="3:4">
      <c r="C30" t="s">
        <v>50</v>
      </c>
      <c r="D30" s="19" t="s">
        <v>1368</v>
      </c>
    </row>
    <row r="31" spans="3:4">
      <c r="C31" t="s">
        <v>51</v>
      </c>
      <c r="D31" s="19">
        <v>1</v>
      </c>
    </row>
    <row r="32" spans="3:4">
      <c r="C32" t="s">
        <v>52</v>
      </c>
      <c r="D32" s="19">
        <v>0</v>
      </c>
    </row>
    <row r="33" spans="3:4">
      <c r="C33" t="s">
        <v>30</v>
      </c>
      <c r="D33" s="19">
        <v>1</v>
      </c>
    </row>
    <row r="34" spans="3:4">
      <c r="C34" t="s">
        <v>53</v>
      </c>
      <c r="D34" s="19" t="s">
        <v>28</v>
      </c>
    </row>
    <row r="35" spans="3:4">
      <c r="C35" t="s">
        <v>54</v>
      </c>
      <c r="D35" s="19" t="s">
        <v>83</v>
      </c>
    </row>
    <row r="36" spans="3:4">
      <c r="C36" t="s">
        <v>55</v>
      </c>
      <c r="D36" s="19" t="s">
        <v>67</v>
      </c>
    </row>
    <row r="37" spans="3:4">
      <c r="C37" t="s">
        <v>56</v>
      </c>
      <c r="D37" s="19" t="b">
        <v>1</v>
      </c>
    </row>
    <row r="38" spans="3:4">
      <c r="C38" t="s">
        <v>57</v>
      </c>
      <c r="D38" s="19" t="b">
        <v>1</v>
      </c>
    </row>
    <row r="39" spans="3:4">
      <c r="C39" t="s">
        <v>58</v>
      </c>
      <c r="D39" s="19" t="b">
        <v>1</v>
      </c>
    </row>
    <row r="40" spans="3:4">
      <c r="C40" t="s">
        <v>59</v>
      </c>
      <c r="D40" s="19" t="b">
        <v>1</v>
      </c>
    </row>
    <row r="41" spans="3:4">
      <c r="C41" t="s">
        <v>60</v>
      </c>
      <c r="D41" s="19" t="b">
        <v>0</v>
      </c>
    </row>
    <row r="42" spans="3:4">
      <c r="C42" t="s">
        <v>61</v>
      </c>
      <c r="D42" s="19" t="b">
        <v>1</v>
      </c>
    </row>
    <row r="43" spans="3:4">
      <c r="C43" t="s">
        <v>62</v>
      </c>
      <c r="D43" s="19" t="b">
        <v>1</v>
      </c>
    </row>
    <row r="44" spans="3:4">
      <c r="C44" t="s">
        <v>63</v>
      </c>
      <c r="D44" s="19">
        <v>0</v>
      </c>
    </row>
    <row r="45" spans="3:4">
      <c r="C45" t="s">
        <v>64</v>
      </c>
      <c r="D45" s="19" t="s">
        <v>68</v>
      </c>
    </row>
    <row r="46" spans="3:4">
      <c r="C46" t="s">
        <v>82</v>
      </c>
      <c r="D46" s="19">
        <v>0</v>
      </c>
    </row>
    <row r="47" spans="3:4">
      <c r="C47" t="s">
        <v>80</v>
      </c>
      <c r="D47" s="19">
        <v>3</v>
      </c>
    </row>
    <row r="48" spans="3:4">
      <c r="C48" t="s">
        <v>81</v>
      </c>
      <c r="D48" s="19" t="s">
        <v>86</v>
      </c>
    </row>
    <row r="49" spans="1:4">
      <c r="C49" t="s">
        <v>85</v>
      </c>
      <c r="D49" s="19" t="b">
        <v>0</v>
      </c>
    </row>
    <row r="50" spans="1:4">
      <c r="A50" t="s">
        <v>27</v>
      </c>
      <c r="B50" s="19" t="s">
        <v>1258</v>
      </c>
      <c r="D50" s="19">
        <v>-1</v>
      </c>
    </row>
    <row r="51" spans="1:4">
      <c r="B51" s="19" t="s">
        <v>1259</v>
      </c>
      <c r="D51" s="19">
        <v>1</v>
      </c>
    </row>
    <row r="52" spans="1:4">
      <c r="B52" s="19" t="s">
        <v>1260</v>
      </c>
      <c r="D52" s="19">
        <v>-1</v>
      </c>
    </row>
    <row r="53" spans="1:4">
      <c r="B53" s="19" t="s">
        <v>1261</v>
      </c>
    </row>
    <row r="54" spans="1:4">
      <c r="B54" s="19" t="s">
        <v>1262</v>
      </c>
    </row>
    <row r="55" spans="1:4">
      <c r="B55" s="19" t="s">
        <v>1263</v>
      </c>
    </row>
    <row r="56" spans="1:4">
      <c r="B56" s="19" t="s">
        <v>1264</v>
      </c>
    </row>
    <row r="57" spans="1:4">
      <c r="B57" s="19" t="s">
        <v>1265</v>
      </c>
    </row>
    <row r="58" spans="1:4">
      <c r="B58" s="19" t="s">
        <v>1266</v>
      </c>
    </row>
    <row r="59" spans="1:4">
      <c r="B59" s="19" t="s">
        <v>1267</v>
      </c>
    </row>
    <row r="60" spans="1:4">
      <c r="B60" s="19" t="s">
        <v>1222</v>
      </c>
    </row>
    <row r="61" spans="1:4">
      <c r="B61" s="19" t="s">
        <v>762</v>
      </c>
    </row>
    <row r="62" spans="1:4">
      <c r="B62" s="19" t="s">
        <v>763</v>
      </c>
    </row>
    <row r="63" spans="1:4">
      <c r="B63" s="19" t="s">
        <v>764</v>
      </c>
    </row>
    <row r="64" spans="1:4">
      <c r="B64" s="19" t="s">
        <v>765</v>
      </c>
    </row>
  </sheetData>
  <dataConsolidate/>
  <phoneticPr fontId="0" type="noConversion"/>
  <pageMargins left="0.75" right="0.75" top="1" bottom="1" header="0.5" footer="0.5"/>
  <pageSetup paperSize="9" orientation="portrait" horizontalDpi="4294967295" verticalDpi="4294967295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8"/>
  <dimension ref="A2:AH37"/>
  <sheetViews>
    <sheetView zoomScale="70" zoomScaleNormal="70" workbookViewId="0">
      <selection activeCell="D40" sqref="D40"/>
    </sheetView>
  </sheetViews>
  <sheetFormatPr defaultColWidth="17.5703125" defaultRowHeight="12.75"/>
  <cols>
    <col min="1" max="1" width="17.5703125" style="53"/>
    <col min="2" max="2" width="10.42578125" style="53" customWidth="1"/>
    <col min="3" max="3" width="12.85546875" style="53" customWidth="1"/>
    <col min="4" max="4" width="8.85546875" style="174" customWidth="1"/>
    <col min="5" max="5" width="22.42578125" style="51" customWidth="1"/>
    <col min="6" max="6" width="11.85546875" style="174" customWidth="1"/>
    <col min="7" max="7" width="19.42578125" style="174" customWidth="1"/>
    <col min="8" max="8" width="18.28515625" style="174" customWidth="1"/>
    <col min="9" max="9" width="18.85546875" style="174" customWidth="1"/>
    <col min="10" max="10" width="23.7109375" style="174" customWidth="1"/>
    <col min="11" max="11" width="6.5703125" style="174" customWidth="1"/>
    <col min="12" max="12" width="21.28515625" style="187" customWidth="1"/>
    <col min="13" max="13" width="18.85546875" style="187" customWidth="1"/>
    <col min="14" max="14" width="25.5703125" style="174" customWidth="1"/>
    <col min="15" max="15" width="21" style="174" customWidth="1"/>
    <col min="16" max="18" width="25.7109375" style="174" customWidth="1"/>
    <col min="19" max="19" width="28.5703125" style="174" customWidth="1"/>
    <col min="20" max="20" width="8.85546875" style="52" customWidth="1"/>
    <col min="21" max="22" width="13.140625" style="52" customWidth="1"/>
    <col min="23" max="23" width="16.5703125" style="52" customWidth="1"/>
    <col min="24" max="24" width="17.5703125" style="52" customWidth="1"/>
    <col min="25" max="25" width="11.140625" style="52" customWidth="1"/>
    <col min="26" max="26" width="10.5703125" style="52" customWidth="1"/>
    <col min="27" max="27" width="30.5703125" style="53" customWidth="1"/>
    <col min="28" max="28" width="24.140625" style="54" customWidth="1"/>
    <col min="29" max="29" width="10.42578125" style="53" bestFit="1" customWidth="1"/>
    <col min="30" max="30" width="10.42578125" style="55" bestFit="1" customWidth="1"/>
    <col min="31" max="31" width="10.42578125" style="53" bestFit="1" customWidth="1"/>
    <col min="32" max="32" width="10.42578125" style="56" bestFit="1" customWidth="1"/>
    <col min="33" max="34" width="17.5703125" style="56" customWidth="1"/>
    <col min="35" max="16384" width="17.5703125" style="53"/>
  </cols>
  <sheetData>
    <row r="2" spans="1:34" ht="13.5" thickBot="1">
      <c r="B2" s="47" t="s">
        <v>102</v>
      </c>
      <c r="C2" s="48" t="s">
        <v>108</v>
      </c>
      <c r="D2" s="205" t="s">
        <v>88</v>
      </c>
      <c r="E2" s="50" t="s">
        <v>803</v>
      </c>
      <c r="F2" s="180"/>
      <c r="G2" s="180"/>
      <c r="H2" s="180"/>
      <c r="I2" s="180"/>
      <c r="J2" s="180"/>
      <c r="K2" s="180"/>
      <c r="L2" s="222"/>
      <c r="M2" s="222"/>
      <c r="N2" s="180"/>
      <c r="O2" s="180"/>
      <c r="P2" s="180"/>
      <c r="Q2" s="180"/>
      <c r="R2" s="180"/>
    </row>
    <row r="3" spans="1:34" ht="13.5" thickBot="1">
      <c r="B3" s="57" t="s">
        <v>109</v>
      </c>
      <c r="C3" s="58" t="s">
        <v>110</v>
      </c>
      <c r="D3" s="206" t="s">
        <v>15</v>
      </c>
      <c r="E3" s="59" t="s">
        <v>104</v>
      </c>
      <c r="F3" s="181"/>
      <c r="G3" s="181"/>
      <c r="H3" s="181"/>
      <c r="I3" s="181"/>
      <c r="J3" s="181"/>
      <c r="K3" s="181"/>
      <c r="L3" s="203"/>
      <c r="M3" s="203"/>
      <c r="N3" s="181"/>
      <c r="O3" s="181"/>
      <c r="P3" s="181"/>
      <c r="Q3" s="181"/>
      <c r="R3" s="181"/>
      <c r="S3" s="220"/>
      <c r="T3" s="60"/>
      <c r="U3" s="60"/>
      <c r="V3" s="60"/>
      <c r="W3" s="60"/>
      <c r="X3" s="60"/>
      <c r="Y3" s="60"/>
      <c r="Z3" s="60"/>
      <c r="AA3" s="61"/>
    </row>
    <row r="4" spans="1:34">
      <c r="B4" s="57" t="s">
        <v>436</v>
      </c>
      <c r="C4" s="58" t="s">
        <v>439</v>
      </c>
      <c r="D4" s="207" t="s">
        <v>90</v>
      </c>
      <c r="E4" s="62"/>
      <c r="F4" s="182"/>
      <c r="G4" s="182"/>
      <c r="H4" s="182"/>
      <c r="I4" s="182"/>
      <c r="J4" s="182"/>
      <c r="K4" s="182"/>
      <c r="L4" s="223"/>
      <c r="M4" s="223"/>
      <c r="N4" s="182"/>
      <c r="O4" s="182"/>
      <c r="P4" s="182"/>
      <c r="Q4" s="182"/>
      <c r="R4" s="182"/>
      <c r="S4" s="182"/>
      <c r="T4" s="62"/>
      <c r="U4" s="62"/>
      <c r="V4" s="62"/>
      <c r="W4" s="62"/>
      <c r="X4" s="62"/>
      <c r="Y4" s="62"/>
      <c r="Z4" s="62"/>
      <c r="AA4" s="63"/>
      <c r="AB4" s="50"/>
      <c r="AC4" s="55"/>
      <c r="AD4" s="53"/>
      <c r="AE4" s="56"/>
      <c r="AH4" s="53"/>
    </row>
    <row r="5" spans="1:34">
      <c r="B5" s="57"/>
      <c r="C5" s="58"/>
      <c r="D5" s="208" t="s">
        <v>89</v>
      </c>
      <c r="E5" s="3" t="s">
        <v>849</v>
      </c>
      <c r="F5" s="183"/>
      <c r="G5" s="183"/>
      <c r="H5" s="183"/>
      <c r="I5" s="183"/>
      <c r="J5" s="183"/>
      <c r="K5" s="183"/>
      <c r="L5" s="224"/>
      <c r="M5" s="224"/>
      <c r="N5" s="183"/>
      <c r="O5" s="183"/>
      <c r="P5" s="183"/>
      <c r="Q5" s="183"/>
      <c r="R5" s="183"/>
      <c r="S5" s="221"/>
      <c r="T5" s="64"/>
      <c r="U5" s="64"/>
      <c r="V5" s="64"/>
      <c r="W5" s="64"/>
      <c r="X5" s="64"/>
      <c r="Y5" s="64"/>
      <c r="Z5" s="64"/>
      <c r="AA5" s="65"/>
      <c r="AC5" s="55"/>
      <c r="AD5" s="53"/>
      <c r="AE5" s="56"/>
      <c r="AH5" s="53"/>
    </row>
    <row r="6" spans="1:34" ht="13.5" thickBot="1">
      <c r="B6" s="57"/>
      <c r="C6" s="58"/>
      <c r="D6" s="209"/>
      <c r="E6" s="66"/>
      <c r="F6" s="184"/>
      <c r="G6" s="184"/>
      <c r="H6" s="184"/>
      <c r="I6" s="184"/>
      <c r="J6" s="184"/>
      <c r="K6" s="184"/>
      <c r="L6" s="225"/>
      <c r="M6" s="225"/>
      <c r="N6" s="184"/>
      <c r="O6" s="184"/>
      <c r="P6" s="184"/>
      <c r="Q6" s="184"/>
      <c r="R6" s="184"/>
      <c r="S6" s="184"/>
      <c r="T6" s="66"/>
      <c r="U6" s="66"/>
      <c r="V6" s="66"/>
      <c r="W6" s="66"/>
      <c r="X6" s="66"/>
      <c r="Y6" s="66"/>
      <c r="Z6" s="66"/>
      <c r="AA6" s="67"/>
      <c r="AB6" s="50"/>
      <c r="AC6" s="55"/>
      <c r="AD6" s="53"/>
      <c r="AE6" s="56"/>
      <c r="AH6" s="53"/>
    </row>
    <row r="7" spans="1:34" ht="38.25">
      <c r="B7" s="68"/>
      <c r="C7" s="69"/>
      <c r="D7" s="210"/>
      <c r="E7" s="70"/>
      <c r="F7" s="185" t="s">
        <v>93</v>
      </c>
      <c r="G7" s="185" t="s">
        <v>93</v>
      </c>
      <c r="H7" s="185" t="s">
        <v>93</v>
      </c>
      <c r="I7" s="213" t="s">
        <v>842</v>
      </c>
      <c r="J7" s="213" t="s">
        <v>842</v>
      </c>
      <c r="K7" s="213" t="s">
        <v>842</v>
      </c>
      <c r="L7" s="213" t="s">
        <v>842</v>
      </c>
      <c r="M7" s="213" t="s">
        <v>842</v>
      </c>
      <c r="N7" s="213"/>
      <c r="O7" s="213" t="s">
        <v>842</v>
      </c>
      <c r="P7" s="213" t="s">
        <v>842</v>
      </c>
      <c r="Q7" s="213" t="s">
        <v>842</v>
      </c>
      <c r="R7" s="213" t="s">
        <v>842</v>
      </c>
      <c r="S7" s="213" t="s">
        <v>12</v>
      </c>
      <c r="T7" s="71" t="s">
        <v>12</v>
      </c>
      <c r="U7" s="10" t="s">
        <v>12</v>
      </c>
      <c r="V7" s="4" t="s">
        <v>12</v>
      </c>
      <c r="W7" s="7" t="s">
        <v>12</v>
      </c>
      <c r="X7" s="11" t="s">
        <v>12</v>
      </c>
      <c r="Y7" s="12" t="s">
        <v>12</v>
      </c>
      <c r="Z7" s="13" t="s">
        <v>12</v>
      </c>
      <c r="AA7" s="72"/>
    </row>
    <row r="8" spans="1:34">
      <c r="B8" s="61"/>
      <c r="C8" s="61"/>
      <c r="D8" s="210"/>
      <c r="E8" s="70"/>
      <c r="F8" s="132"/>
      <c r="G8" s="132"/>
      <c r="H8" s="132"/>
      <c r="I8" s="213"/>
      <c r="J8" s="213"/>
      <c r="K8" s="213"/>
      <c r="L8" s="213"/>
      <c r="M8" s="213"/>
      <c r="N8" s="213"/>
      <c r="O8" s="213" t="s">
        <v>848</v>
      </c>
      <c r="P8" s="213" t="s">
        <v>848</v>
      </c>
      <c r="Q8" s="213" t="s">
        <v>848</v>
      </c>
      <c r="R8" s="213" t="s">
        <v>848</v>
      </c>
      <c r="S8" s="213"/>
      <c r="T8" s="71"/>
      <c r="U8" s="10"/>
      <c r="V8" s="4"/>
      <c r="W8" s="7"/>
      <c r="X8" s="11"/>
      <c r="Y8" s="12"/>
      <c r="Z8" s="13"/>
      <c r="AA8" s="72"/>
    </row>
    <row r="9" spans="1:34" ht="25.5">
      <c r="D9" s="211"/>
      <c r="E9" s="73"/>
      <c r="F9" s="186"/>
      <c r="G9" s="186"/>
      <c r="H9" s="186"/>
      <c r="I9" s="186"/>
      <c r="J9" s="186"/>
      <c r="K9" s="186"/>
      <c r="L9" s="226"/>
      <c r="M9" s="226"/>
      <c r="N9" s="214" t="s">
        <v>106</v>
      </c>
      <c r="O9" s="213" t="s">
        <v>847</v>
      </c>
      <c r="P9" s="213" t="s">
        <v>847</v>
      </c>
      <c r="Q9" s="213" t="s">
        <v>847</v>
      </c>
      <c r="R9" s="213" t="s">
        <v>847</v>
      </c>
      <c r="S9" s="214" t="s">
        <v>13</v>
      </c>
      <c r="T9" s="71" t="s">
        <v>13</v>
      </c>
      <c r="U9" s="10" t="s">
        <v>97</v>
      </c>
      <c r="V9" s="5" t="s">
        <v>91</v>
      </c>
      <c r="W9" s="8" t="s">
        <v>92</v>
      </c>
      <c r="X9" s="14" t="s">
        <v>99</v>
      </c>
      <c r="Y9" s="15" t="s">
        <v>100</v>
      </c>
      <c r="Z9" s="16" t="s">
        <v>101</v>
      </c>
      <c r="AA9" s="74"/>
    </row>
    <row r="10" spans="1:34" ht="13.5" thickBot="1">
      <c r="D10" s="212" t="s">
        <v>10</v>
      </c>
      <c r="E10" s="204" t="s">
        <v>11</v>
      </c>
      <c r="F10" s="75" t="s">
        <v>94</v>
      </c>
      <c r="G10" s="75" t="s">
        <v>95</v>
      </c>
      <c r="H10" s="75" t="s">
        <v>96</v>
      </c>
      <c r="I10" s="132" t="s">
        <v>270</v>
      </c>
      <c r="J10" s="132" t="s">
        <v>271</v>
      </c>
      <c r="K10" s="132" t="s">
        <v>272</v>
      </c>
      <c r="L10" s="178" t="s">
        <v>273</v>
      </c>
      <c r="M10" s="178" t="s">
        <v>274</v>
      </c>
      <c r="N10" s="215" t="s">
        <v>107</v>
      </c>
      <c r="O10" s="215" t="s">
        <v>843</v>
      </c>
      <c r="P10" s="215" t="s">
        <v>844</v>
      </c>
      <c r="Q10" s="215" t="s">
        <v>845</v>
      </c>
      <c r="R10" s="215" t="s">
        <v>846</v>
      </c>
      <c r="S10" s="214" t="s">
        <v>74</v>
      </c>
      <c r="T10" s="71" t="s">
        <v>75</v>
      </c>
      <c r="U10" s="10" t="s">
        <v>98</v>
      </c>
      <c r="V10" s="6"/>
      <c r="W10" s="9"/>
      <c r="X10" s="14"/>
      <c r="Y10" s="17"/>
      <c r="Z10" s="18"/>
      <c r="AA10" s="76" t="s">
        <v>14</v>
      </c>
    </row>
    <row r="11" spans="1:34" ht="12.75" customHeight="1">
      <c r="B11" s="385" t="s">
        <v>521</v>
      </c>
      <c r="C11" s="175" t="s">
        <v>102</v>
      </c>
      <c r="D11" s="174">
        <v>1</v>
      </c>
      <c r="E11" s="138" t="str">
        <f>E5&amp;".dat"</f>
        <v>SB_WD322_60%T_Rev1.dat</v>
      </c>
      <c r="F11" s="187">
        <f>2*U11</f>
        <v>25.4</v>
      </c>
      <c r="G11" s="188">
        <f>5*U11</f>
        <v>63.5</v>
      </c>
      <c r="H11" s="174" t="s">
        <v>105</v>
      </c>
      <c r="I11" s="216">
        <v>0</v>
      </c>
      <c r="J11" s="216">
        <v>0</v>
      </c>
      <c r="K11" s="216">
        <v>0</v>
      </c>
      <c r="L11" s="187">
        <v>0</v>
      </c>
      <c r="M11" s="187">
        <v>0</v>
      </c>
      <c r="N11" s="174">
        <v>1.2</v>
      </c>
      <c r="O11" s="174">
        <v>0</v>
      </c>
      <c r="P11" s="174">
        <v>0</v>
      </c>
      <c r="Q11" s="174">
        <v>0</v>
      </c>
      <c r="R11" s="174">
        <v>500</v>
      </c>
      <c r="S11" s="174">
        <v>0</v>
      </c>
      <c r="T11" s="137">
        <v>0</v>
      </c>
      <c r="U11" s="137">
        <v>12.7</v>
      </c>
      <c r="V11" s="137">
        <v>0</v>
      </c>
      <c r="W11" s="170">
        <v>0</v>
      </c>
      <c r="X11" s="142" t="s">
        <v>309</v>
      </c>
      <c r="Y11" s="142" t="str">
        <f>X11</f>
        <v>NoCurrent</v>
      </c>
      <c r="Z11" s="143">
        <v>0</v>
      </c>
      <c r="AA11" s="53" t="str">
        <f>C11&amp;"_NoLoad.dat"</f>
        <v>10ppg_NoLoad.dat</v>
      </c>
    </row>
    <row r="12" spans="1:34" ht="12.75" customHeight="1">
      <c r="B12" s="386"/>
      <c r="C12" s="176" t="s">
        <v>103</v>
      </c>
      <c r="D12" s="174">
        <v>2</v>
      </c>
      <c r="E12" s="138" t="str">
        <f>E11</f>
        <v>SB_WD322_60%T_Rev1.dat</v>
      </c>
      <c r="F12" s="187">
        <f t="shared" ref="F12:F37" si="0">2*U12</f>
        <v>25.4</v>
      </c>
      <c r="G12" s="188">
        <f t="shared" ref="G12:G37" si="1">5*U12</f>
        <v>63.5</v>
      </c>
      <c r="H12" s="174" t="s">
        <v>105</v>
      </c>
      <c r="I12" s="216">
        <v>0</v>
      </c>
      <c r="J12" s="216">
        <v>0</v>
      </c>
      <c r="K12" s="216">
        <v>0</v>
      </c>
      <c r="L12" s="187">
        <v>0</v>
      </c>
      <c r="M12" s="187">
        <v>0</v>
      </c>
      <c r="N12" s="174">
        <v>1.67</v>
      </c>
      <c r="O12" s="174">
        <v>0</v>
      </c>
      <c r="P12" s="174">
        <v>0</v>
      </c>
      <c r="Q12" s="174">
        <v>0</v>
      </c>
      <c r="R12" s="174">
        <v>499</v>
      </c>
      <c r="S12" s="174">
        <v>0</v>
      </c>
      <c r="T12" s="137">
        <v>0</v>
      </c>
      <c r="U12" s="137">
        <v>12.7</v>
      </c>
      <c r="V12" s="137">
        <v>0</v>
      </c>
      <c r="W12" s="170">
        <v>0</v>
      </c>
      <c r="X12" s="142" t="s">
        <v>309</v>
      </c>
      <c r="Y12" s="142" t="str">
        <f>X12</f>
        <v>NoCurrent</v>
      </c>
      <c r="Z12" s="143">
        <v>0</v>
      </c>
      <c r="AA12" s="53" t="str">
        <f>C12&amp;"_NoLoad.dat"</f>
        <v>14ppg_NoLoad.dat</v>
      </c>
    </row>
    <row r="13" spans="1:34" ht="12.75" customHeight="1">
      <c r="B13" s="387"/>
      <c r="C13" s="177" t="s">
        <v>436</v>
      </c>
      <c r="D13" s="174">
        <v>3</v>
      </c>
      <c r="E13" s="138" t="str">
        <f>E12</f>
        <v>SB_WD322_60%T_Rev1.dat</v>
      </c>
      <c r="F13" s="187">
        <f t="shared" si="0"/>
        <v>25.4</v>
      </c>
      <c r="G13" s="188">
        <f t="shared" si="1"/>
        <v>63.5</v>
      </c>
      <c r="H13" s="174" t="s">
        <v>105</v>
      </c>
      <c r="I13" s="216">
        <v>0</v>
      </c>
      <c r="J13" s="216">
        <v>0</v>
      </c>
      <c r="K13" s="216">
        <v>0</v>
      </c>
      <c r="L13" s="187">
        <v>0</v>
      </c>
      <c r="M13" s="187">
        <v>0</v>
      </c>
      <c r="N13" s="174">
        <v>1.92</v>
      </c>
      <c r="O13" s="174">
        <v>0</v>
      </c>
      <c r="P13" s="174">
        <v>0</v>
      </c>
      <c r="Q13" s="174">
        <v>0</v>
      </c>
      <c r="R13" s="174">
        <v>498</v>
      </c>
      <c r="S13" s="174">
        <v>0</v>
      </c>
      <c r="T13" s="137">
        <v>0</v>
      </c>
      <c r="U13" s="137">
        <v>12.7</v>
      </c>
      <c r="V13" s="137">
        <v>0</v>
      </c>
      <c r="W13" s="170">
        <v>0</v>
      </c>
      <c r="X13" s="142" t="s">
        <v>309</v>
      </c>
      <c r="Y13" s="142" t="str">
        <f>X13</f>
        <v>NoCurrent</v>
      </c>
      <c r="Z13" s="143">
        <v>0</v>
      </c>
      <c r="AA13" s="53" t="str">
        <f>C13&amp;"_NoLoad.dat"</f>
        <v>16ppg_NoLoad.dat</v>
      </c>
    </row>
    <row r="14" spans="1:34" ht="15" customHeight="1">
      <c r="A14" s="385" t="s">
        <v>522</v>
      </c>
      <c r="B14" s="385" t="s">
        <v>520</v>
      </c>
      <c r="C14" s="392" t="s">
        <v>102</v>
      </c>
      <c r="D14" s="174">
        <v>4</v>
      </c>
      <c r="E14" s="138" t="str">
        <f>E12</f>
        <v>SB_WD322_60%T_Rev1.dat</v>
      </c>
      <c r="F14" s="187">
        <f t="shared" si="0"/>
        <v>0.90718474000000004</v>
      </c>
      <c r="G14" s="188">
        <f t="shared" si="1"/>
        <v>2.2679618500000003</v>
      </c>
      <c r="H14" s="174" t="s">
        <v>105</v>
      </c>
      <c r="I14" s="216">
        <v>0</v>
      </c>
      <c r="J14" s="216">
        <v>0</v>
      </c>
      <c r="K14" s="216">
        <v>0</v>
      </c>
      <c r="L14" s="187" t="e">
        <f>Input!#REF!</f>
        <v>#REF!</v>
      </c>
      <c r="M14" s="187" t="e">
        <f>Input!#REF!</f>
        <v>#REF!</v>
      </c>
      <c r="N14" s="216">
        <v>1.2</v>
      </c>
      <c r="O14" s="218">
        <f>Input!F121</f>
        <v>0</v>
      </c>
      <c r="P14" s="174">
        <f>Input!G121</f>
        <v>0</v>
      </c>
      <c r="Q14" s="188">
        <f>Input!F103</f>
        <v>1</v>
      </c>
      <c r="R14" s="174">
        <f>Input!G103</f>
        <v>2.13</v>
      </c>
      <c r="S14" s="217">
        <v>0</v>
      </c>
      <c r="T14" s="137">
        <f>Input!$C$4</f>
        <v>10.7</v>
      </c>
      <c r="U14" s="137">
        <f>Input!$C$67</f>
        <v>0.45359237000000002</v>
      </c>
      <c r="V14" s="55">
        <f>Input!$C$11</f>
        <v>0</v>
      </c>
      <c r="W14" s="55">
        <f>S14</f>
        <v>0</v>
      </c>
      <c r="X14" s="77" t="s">
        <v>437</v>
      </c>
      <c r="Y14" s="77" t="str">
        <f>X14</f>
        <v>1yrcurrent</v>
      </c>
      <c r="Z14" s="55">
        <f>S14</f>
        <v>0</v>
      </c>
      <c r="AA14" s="55" t="str">
        <f>$C$14&amp;"_"&amp;S14&amp;"deg_"&amp;$B$14&amp;"_"&amp;$A$14&amp;".dat"</f>
        <v>10ppg_0deg_Hs-T_1RP.dat</v>
      </c>
      <c r="AB14" s="385" t="s">
        <v>520</v>
      </c>
      <c r="AC14" s="385" t="s">
        <v>522</v>
      </c>
    </row>
    <row r="15" spans="1:34" ht="15" customHeight="1">
      <c r="A15" s="386"/>
      <c r="B15" s="386"/>
      <c r="C15" s="390"/>
      <c r="D15" s="174">
        <v>5</v>
      </c>
      <c r="E15" s="138" t="str">
        <f t="shared" ref="E15:E23" si="2">E14</f>
        <v>SB_WD322_60%T_Rev1.dat</v>
      </c>
      <c r="F15" s="187">
        <f t="shared" si="0"/>
        <v>0.90718474000000004</v>
      </c>
      <c r="G15" s="188">
        <f t="shared" si="1"/>
        <v>2.2679618500000003</v>
      </c>
      <c r="H15" s="174" t="s">
        <v>105</v>
      </c>
      <c r="I15" s="216">
        <v>0</v>
      </c>
      <c r="J15" s="216">
        <v>0</v>
      </c>
      <c r="K15" s="216">
        <v>0</v>
      </c>
      <c r="L15" s="187" t="e">
        <f>Input!#REF!</f>
        <v>#REF!</v>
      </c>
      <c r="M15" s="187" t="e">
        <f>Input!#REF!</f>
        <v>#REF!</v>
      </c>
      <c r="N15" s="217">
        <f>N14</f>
        <v>1.2</v>
      </c>
      <c r="O15" s="218">
        <f>Input!F122</f>
        <v>0</v>
      </c>
      <c r="P15" s="174">
        <f>Input!G122</f>
        <v>0</v>
      </c>
      <c r="Q15" s="188">
        <f>Input!F104</f>
        <v>1</v>
      </c>
      <c r="R15" s="174">
        <f>Input!G104</f>
        <v>7.07</v>
      </c>
      <c r="S15" s="217">
        <v>45</v>
      </c>
      <c r="T15" s="137">
        <f>Input!$C$4</f>
        <v>10.7</v>
      </c>
      <c r="U15" s="137">
        <f>Input!$C$67</f>
        <v>0.45359237000000002</v>
      </c>
      <c r="V15" s="55">
        <f>Input!$C$11</f>
        <v>0</v>
      </c>
      <c r="W15" s="55">
        <f>S15</f>
        <v>45</v>
      </c>
      <c r="X15" s="55" t="str">
        <f>X14</f>
        <v>1yrcurrent</v>
      </c>
      <c r="Y15" s="77" t="str">
        <f t="shared" ref="Y15:Y25" si="3">X15</f>
        <v>1yrcurrent</v>
      </c>
      <c r="Z15" s="55">
        <f t="shared" ref="Z15:Z25" si="4">S15</f>
        <v>45</v>
      </c>
      <c r="AA15" s="55" t="str">
        <f t="shared" ref="AA15:AA17" si="5">$C$14&amp;"_"&amp;S15&amp;"deg_"&amp;$B$14&amp;"_"&amp;$A$14&amp;".dat"</f>
        <v>10ppg_45deg_Hs-T_1RP.dat</v>
      </c>
      <c r="AB15" s="386"/>
      <c r="AC15" s="386"/>
    </row>
    <row r="16" spans="1:34" ht="15" customHeight="1">
      <c r="A16" s="386"/>
      <c r="B16" s="386"/>
      <c r="C16" s="390"/>
      <c r="D16" s="174">
        <v>6</v>
      </c>
      <c r="E16" s="138" t="str">
        <f>E15</f>
        <v>SB_WD322_60%T_Rev1.dat</v>
      </c>
      <c r="F16" s="187">
        <f t="shared" si="0"/>
        <v>0.90718474000000004</v>
      </c>
      <c r="G16" s="188">
        <f t="shared" si="1"/>
        <v>2.2679618500000003</v>
      </c>
      <c r="H16" s="174" t="s">
        <v>105</v>
      </c>
      <c r="I16" s="216">
        <v>0</v>
      </c>
      <c r="J16" s="216">
        <v>0</v>
      </c>
      <c r="K16" s="216">
        <v>0</v>
      </c>
      <c r="L16" s="187" t="e">
        <f>Input!#REF!</f>
        <v>#REF!</v>
      </c>
      <c r="M16" s="187" t="e">
        <f>Input!#REF!</f>
        <v>#REF!</v>
      </c>
      <c r="N16" s="217">
        <f>N15</f>
        <v>1.2</v>
      </c>
      <c r="O16" s="218">
        <f>Input!F123</f>
        <v>0</v>
      </c>
      <c r="P16" s="174">
        <f>Input!G123</f>
        <v>0</v>
      </c>
      <c r="Q16" s="188">
        <f>Input!F105</f>
        <v>1</v>
      </c>
      <c r="R16" s="174">
        <f>Input!G105</f>
        <v>6.34</v>
      </c>
      <c r="S16" s="217">
        <v>90</v>
      </c>
      <c r="T16" s="137">
        <f>Input!$C$4</f>
        <v>10.7</v>
      </c>
      <c r="U16" s="137">
        <f>Input!$C$67</f>
        <v>0.45359237000000002</v>
      </c>
      <c r="V16" s="55">
        <f>Input!$C$11</f>
        <v>0</v>
      </c>
      <c r="W16" s="55">
        <f>S16</f>
        <v>90</v>
      </c>
      <c r="X16" s="55" t="str">
        <f>X15</f>
        <v>1yrcurrent</v>
      </c>
      <c r="Y16" s="77" t="str">
        <f t="shared" si="3"/>
        <v>1yrcurrent</v>
      </c>
      <c r="Z16" s="55">
        <f t="shared" si="4"/>
        <v>90</v>
      </c>
      <c r="AA16" s="55" t="str">
        <f t="shared" si="5"/>
        <v>10ppg_90deg_Hs-T_1RP.dat</v>
      </c>
      <c r="AB16" s="386"/>
      <c r="AC16" s="386"/>
    </row>
    <row r="17" spans="1:33" ht="15" customHeight="1">
      <c r="A17" s="386"/>
      <c r="B17" s="386"/>
      <c r="C17" s="390"/>
      <c r="D17" s="174">
        <v>7</v>
      </c>
      <c r="E17" s="138" t="str">
        <f>E11</f>
        <v>SB_WD322_60%T_Rev1.dat</v>
      </c>
      <c r="F17" s="187">
        <f t="shared" si="0"/>
        <v>0.90718474000000004</v>
      </c>
      <c r="G17" s="188">
        <f t="shared" si="1"/>
        <v>2.2679618500000003</v>
      </c>
      <c r="H17" s="174" t="s">
        <v>105</v>
      </c>
      <c r="I17" s="216">
        <v>0</v>
      </c>
      <c r="J17" s="216">
        <v>0</v>
      </c>
      <c r="K17" s="216">
        <v>0</v>
      </c>
      <c r="L17" s="187" t="e">
        <f>Input!#REF!</f>
        <v>#REF!</v>
      </c>
      <c r="M17" s="187" t="e">
        <f>Input!#REF!</f>
        <v>#REF!</v>
      </c>
      <c r="N17" s="217">
        <f>N16</f>
        <v>1.2</v>
      </c>
      <c r="O17" s="188">
        <f>O16</f>
        <v>0</v>
      </c>
      <c r="P17" s="174">
        <f>P16</f>
        <v>0</v>
      </c>
      <c r="Q17" s="188">
        <f>Q16</f>
        <v>1</v>
      </c>
      <c r="R17" s="174">
        <f>R16</f>
        <v>6.34</v>
      </c>
      <c r="S17" s="217">
        <v>270</v>
      </c>
      <c r="T17" s="137">
        <f>Input!$C$4</f>
        <v>10.7</v>
      </c>
      <c r="U17" s="137">
        <f>Input!$C$67</f>
        <v>0.45359237000000002</v>
      </c>
      <c r="V17" s="55">
        <f>Input!$C$11</f>
        <v>0</v>
      </c>
      <c r="W17" s="55">
        <v>270</v>
      </c>
      <c r="X17" s="55" t="str">
        <f>X16</f>
        <v>1yrcurrent</v>
      </c>
      <c r="Y17" s="77" t="str">
        <f t="shared" si="3"/>
        <v>1yrcurrent</v>
      </c>
      <c r="Z17" s="55">
        <f>S17</f>
        <v>270</v>
      </c>
      <c r="AA17" s="55" t="str">
        <f t="shared" si="5"/>
        <v>10ppg_270deg_Hs-T_1RP.dat</v>
      </c>
      <c r="AB17" s="386"/>
      <c r="AC17" s="386"/>
    </row>
    <row r="18" spans="1:33" ht="15" customHeight="1">
      <c r="A18" s="386"/>
      <c r="B18" s="386"/>
      <c r="C18" s="390" t="s">
        <v>103</v>
      </c>
      <c r="D18" s="174">
        <v>8</v>
      </c>
      <c r="E18" s="138" t="str">
        <f>E16</f>
        <v>SB_WD322_60%T_Rev1.dat</v>
      </c>
      <c r="F18" s="187">
        <f t="shared" si="0"/>
        <v>0.90718474000000004</v>
      </c>
      <c r="G18" s="188">
        <f t="shared" si="1"/>
        <v>2.2679618500000003</v>
      </c>
      <c r="H18" s="174" t="s">
        <v>105</v>
      </c>
      <c r="I18" s="216">
        <v>0</v>
      </c>
      <c r="J18" s="216">
        <v>0</v>
      </c>
      <c r="K18" s="216">
        <v>0</v>
      </c>
      <c r="L18" s="187">
        <v>0</v>
      </c>
      <c r="M18" s="187">
        <v>0</v>
      </c>
      <c r="N18" s="217">
        <v>1.67</v>
      </c>
      <c r="O18" s="218">
        <f>O14</f>
        <v>0</v>
      </c>
      <c r="P18" s="174">
        <f>P14</f>
        <v>0</v>
      </c>
      <c r="Q18" s="174">
        <v>670</v>
      </c>
      <c r="R18" s="174">
        <v>0</v>
      </c>
      <c r="S18" s="217">
        <f>S14</f>
        <v>0</v>
      </c>
      <c r="T18" s="137">
        <f>Input!$C$4</f>
        <v>10.7</v>
      </c>
      <c r="U18" s="137">
        <f>Input!$C$67</f>
        <v>0.45359237000000002</v>
      </c>
      <c r="V18" s="55">
        <f>Input!$C$11</f>
        <v>0</v>
      </c>
      <c r="W18" s="55">
        <f>S18</f>
        <v>0</v>
      </c>
      <c r="X18" s="55" t="str">
        <f>X16</f>
        <v>1yrcurrent</v>
      </c>
      <c r="Y18" s="77" t="str">
        <f t="shared" si="3"/>
        <v>1yrcurrent</v>
      </c>
      <c r="Z18" s="55">
        <f t="shared" si="4"/>
        <v>0</v>
      </c>
      <c r="AA18" s="55" t="str">
        <f>$C$18&amp;"_"&amp;S18&amp;"deg_"&amp;$B$14&amp;"_"&amp;$A$14&amp;".dat"</f>
        <v>14ppg_0deg_Hs-T_1RP.dat</v>
      </c>
      <c r="AB18" s="386"/>
      <c r="AC18" s="386"/>
    </row>
    <row r="19" spans="1:33" ht="15" customHeight="1">
      <c r="A19" s="386"/>
      <c r="B19" s="386"/>
      <c r="C19" s="390"/>
      <c r="D19" s="174">
        <v>9</v>
      </c>
      <c r="E19" s="138" t="str">
        <f t="shared" si="2"/>
        <v>SB_WD322_60%T_Rev1.dat</v>
      </c>
      <c r="F19" s="187">
        <f t="shared" si="0"/>
        <v>0.90718474000000004</v>
      </c>
      <c r="G19" s="188">
        <f t="shared" si="1"/>
        <v>2.2679618500000003</v>
      </c>
      <c r="H19" s="174" t="s">
        <v>105</v>
      </c>
      <c r="I19" s="216">
        <v>0</v>
      </c>
      <c r="J19" s="216">
        <v>0</v>
      </c>
      <c r="K19" s="216">
        <v>0</v>
      </c>
      <c r="L19" s="187">
        <v>65.133072225267753</v>
      </c>
      <c r="M19" s="187">
        <v>65.133072225267753</v>
      </c>
      <c r="N19" s="217">
        <f>N18</f>
        <v>1.67</v>
      </c>
      <c r="O19" s="218">
        <f t="shared" ref="O19:P21" si="6">O15</f>
        <v>0</v>
      </c>
      <c r="P19" s="174">
        <f t="shared" si="6"/>
        <v>0</v>
      </c>
      <c r="Q19" s="174">
        <v>1180</v>
      </c>
      <c r="R19" s="174">
        <v>1180</v>
      </c>
      <c r="S19" s="217">
        <f>S15</f>
        <v>45</v>
      </c>
      <c r="T19" s="137">
        <f>Input!$C$4</f>
        <v>10.7</v>
      </c>
      <c r="U19" s="137">
        <f>Input!$C$67</f>
        <v>0.45359237000000002</v>
      </c>
      <c r="V19" s="55">
        <f>Input!$C$11</f>
        <v>0</v>
      </c>
      <c r="W19" s="55">
        <f>S19</f>
        <v>45</v>
      </c>
      <c r="X19" s="55" t="str">
        <f t="shared" ref="X19:X25" si="7">X18</f>
        <v>1yrcurrent</v>
      </c>
      <c r="Y19" s="77" t="str">
        <f t="shared" si="3"/>
        <v>1yrcurrent</v>
      </c>
      <c r="Z19" s="55">
        <f t="shared" si="4"/>
        <v>45</v>
      </c>
      <c r="AA19" s="55" t="str">
        <f t="shared" ref="AA19:AA21" si="8">$C$18&amp;"_"&amp;S19&amp;"deg_"&amp;$B$14&amp;"_"&amp;$A$14&amp;".dat"</f>
        <v>14ppg_45deg_Hs-T_1RP.dat</v>
      </c>
      <c r="AB19" s="386"/>
      <c r="AC19" s="386"/>
    </row>
    <row r="20" spans="1:33" ht="15" customHeight="1">
      <c r="A20" s="386"/>
      <c r="B20" s="386"/>
      <c r="C20" s="390"/>
      <c r="D20" s="174">
        <v>10</v>
      </c>
      <c r="E20" s="138" t="str">
        <f t="shared" si="2"/>
        <v>SB_WD322_60%T_Rev1.dat</v>
      </c>
      <c r="F20" s="187">
        <f t="shared" si="0"/>
        <v>0.90718474000000004</v>
      </c>
      <c r="G20" s="188">
        <f t="shared" si="1"/>
        <v>2.2679618500000003</v>
      </c>
      <c r="H20" s="174" t="s">
        <v>105</v>
      </c>
      <c r="I20" s="216">
        <v>0</v>
      </c>
      <c r="J20" s="216">
        <v>0</v>
      </c>
      <c r="K20" s="216">
        <v>0</v>
      </c>
      <c r="L20" s="187">
        <v>0</v>
      </c>
      <c r="M20" s="187">
        <v>312.98700000000002</v>
      </c>
      <c r="N20" s="217">
        <v>1.67</v>
      </c>
      <c r="O20" s="218">
        <f t="shared" si="6"/>
        <v>0</v>
      </c>
      <c r="P20" s="174">
        <f t="shared" si="6"/>
        <v>0</v>
      </c>
      <c r="Q20" s="174">
        <v>0</v>
      </c>
      <c r="R20" s="174">
        <v>1025</v>
      </c>
      <c r="S20" s="217">
        <v>90</v>
      </c>
      <c r="T20" s="137">
        <f>Input!$C$4</f>
        <v>10.7</v>
      </c>
      <c r="U20" s="137">
        <f>Input!$C$67</f>
        <v>0.45359237000000002</v>
      </c>
      <c r="V20" s="55">
        <f>Input!$C$11</f>
        <v>0</v>
      </c>
      <c r="W20" s="55">
        <v>90</v>
      </c>
      <c r="X20" s="55" t="str">
        <f t="shared" si="7"/>
        <v>1yrcurrent</v>
      </c>
      <c r="Y20" s="77" t="str">
        <f t="shared" si="3"/>
        <v>1yrcurrent</v>
      </c>
      <c r="Z20" s="55">
        <v>90</v>
      </c>
      <c r="AA20" s="55" t="str">
        <f t="shared" si="8"/>
        <v>14ppg_90deg_Hs-T_1RP.dat</v>
      </c>
      <c r="AB20" s="386"/>
      <c r="AC20" s="386"/>
    </row>
    <row r="21" spans="1:33" ht="15" customHeight="1">
      <c r="A21" s="386"/>
      <c r="B21" s="386"/>
      <c r="C21" s="390"/>
      <c r="D21" s="174">
        <v>11</v>
      </c>
      <c r="E21" s="138" t="str">
        <f>E11</f>
        <v>SB_WD322_60%T_Rev1.dat</v>
      </c>
      <c r="F21" s="187">
        <f t="shared" si="0"/>
        <v>0.90718474000000004</v>
      </c>
      <c r="G21" s="188">
        <f t="shared" si="1"/>
        <v>2.2679618500000003</v>
      </c>
      <c r="H21" s="174" t="s">
        <v>105</v>
      </c>
      <c r="I21" s="216">
        <v>0</v>
      </c>
      <c r="J21" s="216">
        <v>0</v>
      </c>
      <c r="K21" s="216">
        <v>0</v>
      </c>
      <c r="L21" s="187">
        <v>0</v>
      </c>
      <c r="M21" s="187">
        <v>-312.98700000000002</v>
      </c>
      <c r="N21" s="217">
        <v>1.67</v>
      </c>
      <c r="O21" s="218">
        <f t="shared" si="6"/>
        <v>0</v>
      </c>
      <c r="P21" s="174">
        <f t="shared" si="6"/>
        <v>0</v>
      </c>
      <c r="Q21" s="174">
        <v>0</v>
      </c>
      <c r="R21" s="174">
        <v>1025</v>
      </c>
      <c r="S21" s="217">
        <v>270</v>
      </c>
      <c r="T21" s="137">
        <f>Input!$C$4</f>
        <v>10.7</v>
      </c>
      <c r="U21" s="137">
        <f>Input!$C$67</f>
        <v>0.45359237000000002</v>
      </c>
      <c r="V21" s="55">
        <f>Input!$C$11</f>
        <v>0</v>
      </c>
      <c r="W21" s="55">
        <v>270</v>
      </c>
      <c r="X21" s="55" t="str">
        <f t="shared" si="7"/>
        <v>1yrcurrent</v>
      </c>
      <c r="Y21" s="77" t="str">
        <f t="shared" si="3"/>
        <v>1yrcurrent</v>
      </c>
      <c r="Z21" s="55">
        <f t="shared" si="4"/>
        <v>270</v>
      </c>
      <c r="AA21" s="55" t="str">
        <f t="shared" si="8"/>
        <v>14ppg_270deg_Hs-T_1RP.dat</v>
      </c>
      <c r="AB21" s="386"/>
      <c r="AC21" s="386"/>
    </row>
    <row r="22" spans="1:33" ht="15" customHeight="1">
      <c r="A22" s="386"/>
      <c r="B22" s="386"/>
      <c r="C22" s="390" t="s">
        <v>436</v>
      </c>
      <c r="D22" s="174">
        <v>12</v>
      </c>
      <c r="E22" s="138" t="str">
        <f>E20</f>
        <v>SB_WD322_60%T_Rev1.dat</v>
      </c>
      <c r="F22" s="187">
        <f t="shared" si="0"/>
        <v>0.90718474000000004</v>
      </c>
      <c r="G22" s="188">
        <f t="shared" si="1"/>
        <v>2.2679618500000003</v>
      </c>
      <c r="H22" s="174" t="s">
        <v>105</v>
      </c>
      <c r="I22" s="216">
        <v>0</v>
      </c>
      <c r="J22" s="216">
        <v>0</v>
      </c>
      <c r="K22" s="216">
        <v>0</v>
      </c>
      <c r="L22" s="187">
        <v>0</v>
      </c>
      <c r="M22" s="187">
        <v>0</v>
      </c>
      <c r="N22" s="217">
        <v>1.92</v>
      </c>
      <c r="O22" s="218">
        <f>O18</f>
        <v>0</v>
      </c>
      <c r="P22" s="174">
        <f>P18</f>
        <v>0</v>
      </c>
      <c r="Q22" s="174">
        <v>670</v>
      </c>
      <c r="R22" s="174">
        <v>0</v>
      </c>
      <c r="S22" s="217">
        <v>0</v>
      </c>
      <c r="T22" s="137">
        <f>Input!$C$4</f>
        <v>10.7</v>
      </c>
      <c r="U22" s="137">
        <f>Input!$C$67</f>
        <v>0.45359237000000002</v>
      </c>
      <c r="V22" s="55">
        <f>Input!$C$11</f>
        <v>0</v>
      </c>
      <c r="W22" s="55">
        <v>0</v>
      </c>
      <c r="X22" s="55" t="str">
        <f>X20</f>
        <v>1yrcurrent</v>
      </c>
      <c r="Y22" s="77" t="str">
        <f t="shared" si="3"/>
        <v>1yrcurrent</v>
      </c>
      <c r="Z22" s="55">
        <v>0</v>
      </c>
      <c r="AA22" s="55" t="str">
        <f>$C$22&amp;"_"&amp;S22&amp;"deg_"&amp;$B$14&amp;"_"&amp;$A$14&amp;".dat"</f>
        <v>16ppg_0deg_Hs-T_1RP.dat</v>
      </c>
      <c r="AB22" s="386"/>
      <c r="AC22" s="386"/>
    </row>
    <row r="23" spans="1:33" ht="15" customHeight="1">
      <c r="A23" s="386"/>
      <c r="B23" s="386"/>
      <c r="C23" s="390"/>
      <c r="D23" s="174">
        <v>13</v>
      </c>
      <c r="E23" s="138" t="str">
        <f t="shared" si="2"/>
        <v>SB_WD322_60%T_Rev1.dat</v>
      </c>
      <c r="F23" s="187">
        <f t="shared" si="0"/>
        <v>0.90718474000000004</v>
      </c>
      <c r="G23" s="188">
        <f t="shared" si="1"/>
        <v>2.2679618500000003</v>
      </c>
      <c r="H23" s="174" t="s">
        <v>105</v>
      </c>
      <c r="I23" s="216">
        <v>0</v>
      </c>
      <c r="J23" s="216">
        <v>0</v>
      </c>
      <c r="K23" s="216">
        <v>0</v>
      </c>
      <c r="L23" s="187">
        <v>65.133072225267753</v>
      </c>
      <c r="M23" s="187">
        <v>65.133072225267753</v>
      </c>
      <c r="N23" s="217">
        <v>1.92</v>
      </c>
      <c r="O23" s="218">
        <f t="shared" ref="O23:P25" si="9">O19</f>
        <v>0</v>
      </c>
      <c r="P23" s="174">
        <f t="shared" si="9"/>
        <v>0</v>
      </c>
      <c r="Q23" s="174">
        <v>1180</v>
      </c>
      <c r="R23" s="174">
        <v>1180</v>
      </c>
      <c r="S23" s="217">
        <v>45</v>
      </c>
      <c r="T23" s="137">
        <f>Input!$C$4</f>
        <v>10.7</v>
      </c>
      <c r="U23" s="137">
        <f>Input!$C$67</f>
        <v>0.45359237000000002</v>
      </c>
      <c r="V23" s="55">
        <f>Input!$C$11</f>
        <v>0</v>
      </c>
      <c r="W23" s="55">
        <v>45</v>
      </c>
      <c r="X23" s="55" t="str">
        <f t="shared" si="7"/>
        <v>1yrcurrent</v>
      </c>
      <c r="Y23" s="77" t="str">
        <f t="shared" si="3"/>
        <v>1yrcurrent</v>
      </c>
      <c r="Z23" s="55">
        <v>45</v>
      </c>
      <c r="AA23" s="55" t="str">
        <f t="shared" ref="AA23:AA25" si="10">$C$22&amp;"_"&amp;S23&amp;"deg_"&amp;$B$14&amp;"_"&amp;$A$14&amp;".dat"</f>
        <v>16ppg_45deg_Hs-T_1RP.dat</v>
      </c>
      <c r="AB23" s="386"/>
      <c r="AC23" s="386"/>
    </row>
    <row r="24" spans="1:33" ht="15" customHeight="1">
      <c r="A24" s="386"/>
      <c r="B24" s="386"/>
      <c r="C24" s="390"/>
      <c r="D24" s="174">
        <v>14</v>
      </c>
      <c r="E24" s="138" t="str">
        <f>E19</f>
        <v>SB_WD322_60%T_Rev1.dat</v>
      </c>
      <c r="F24" s="187">
        <f t="shared" si="0"/>
        <v>0.90718474000000004</v>
      </c>
      <c r="G24" s="188">
        <f t="shared" si="1"/>
        <v>2.2679618500000003</v>
      </c>
      <c r="H24" s="217" t="str">
        <f>H19</f>
        <v>Explicit</v>
      </c>
      <c r="I24" s="216">
        <v>0</v>
      </c>
      <c r="J24" s="216">
        <v>0</v>
      </c>
      <c r="K24" s="216">
        <v>0</v>
      </c>
      <c r="L24" s="187">
        <v>0</v>
      </c>
      <c r="M24" s="187">
        <v>312.98700000000002</v>
      </c>
      <c r="N24" s="217">
        <v>1.92</v>
      </c>
      <c r="O24" s="218">
        <f t="shared" si="9"/>
        <v>0</v>
      </c>
      <c r="P24" s="174">
        <f t="shared" si="9"/>
        <v>0</v>
      </c>
      <c r="Q24" s="174">
        <v>0</v>
      </c>
      <c r="R24" s="174">
        <v>1025</v>
      </c>
      <c r="S24" s="217">
        <f>S16</f>
        <v>90</v>
      </c>
      <c r="T24" s="137">
        <f>Input!$C$4</f>
        <v>10.7</v>
      </c>
      <c r="U24" s="137">
        <f>Input!$C$67</f>
        <v>0.45359237000000002</v>
      </c>
      <c r="V24" s="55">
        <f>Input!$C$11</f>
        <v>0</v>
      </c>
      <c r="W24" s="55">
        <f>S24</f>
        <v>90</v>
      </c>
      <c r="X24" s="55" t="str">
        <f t="shared" si="7"/>
        <v>1yrcurrent</v>
      </c>
      <c r="Y24" s="77" t="str">
        <f t="shared" si="3"/>
        <v>1yrcurrent</v>
      </c>
      <c r="Z24" s="55">
        <f t="shared" si="4"/>
        <v>90</v>
      </c>
      <c r="AA24" s="55" t="str">
        <f t="shared" si="10"/>
        <v>16ppg_90deg_Hs-T_1RP.dat</v>
      </c>
      <c r="AB24" s="386"/>
      <c r="AC24" s="386"/>
      <c r="AE24" s="55"/>
      <c r="AF24" s="55"/>
      <c r="AG24" s="55"/>
    </row>
    <row r="25" spans="1:33" ht="15" customHeight="1">
      <c r="A25" s="386"/>
      <c r="B25" s="387"/>
      <c r="C25" s="391"/>
      <c r="D25" s="174">
        <v>15</v>
      </c>
      <c r="E25" s="138" t="str">
        <f>E11</f>
        <v>SB_WD322_60%T_Rev1.dat</v>
      </c>
      <c r="F25" s="187">
        <f t="shared" si="0"/>
        <v>0.90718474000000004</v>
      </c>
      <c r="G25" s="188">
        <f t="shared" si="1"/>
        <v>2.2679618500000003</v>
      </c>
      <c r="H25" s="217" t="str">
        <f>H20</f>
        <v>Explicit</v>
      </c>
      <c r="I25" s="216">
        <v>0</v>
      </c>
      <c r="J25" s="216">
        <v>0</v>
      </c>
      <c r="K25" s="216">
        <v>0</v>
      </c>
      <c r="L25" s="187">
        <v>0</v>
      </c>
      <c r="M25" s="187">
        <v>-312.98700000000002</v>
      </c>
      <c r="N25" s="217">
        <v>1.92</v>
      </c>
      <c r="O25" s="218">
        <f t="shared" si="9"/>
        <v>0</v>
      </c>
      <c r="P25" s="174">
        <f t="shared" si="9"/>
        <v>0</v>
      </c>
      <c r="Q25" s="174">
        <v>0</v>
      </c>
      <c r="R25" s="174">
        <v>1025</v>
      </c>
      <c r="S25" s="217">
        <f>S17</f>
        <v>270</v>
      </c>
      <c r="T25" s="137">
        <f>Input!$C$4</f>
        <v>10.7</v>
      </c>
      <c r="U25" s="137">
        <f>Input!$C$67</f>
        <v>0.45359237000000002</v>
      </c>
      <c r="V25" s="55">
        <f>Input!$C$11</f>
        <v>0</v>
      </c>
      <c r="W25" s="55">
        <v>270</v>
      </c>
      <c r="X25" s="55" t="str">
        <f t="shared" si="7"/>
        <v>1yrcurrent</v>
      </c>
      <c r="Y25" s="77" t="str">
        <f t="shared" si="3"/>
        <v>1yrcurrent</v>
      </c>
      <c r="Z25" s="55">
        <f t="shared" si="4"/>
        <v>270</v>
      </c>
      <c r="AA25" s="55" t="str">
        <f t="shared" si="10"/>
        <v>16ppg_270deg_Hs-T_1RP.dat</v>
      </c>
      <c r="AB25" s="387"/>
      <c r="AC25" s="386"/>
      <c r="AE25" s="55"/>
      <c r="AF25" s="55"/>
      <c r="AG25" s="55"/>
    </row>
    <row r="26" spans="1:33" s="56" customFormat="1" ht="12.75" customHeight="1">
      <c r="A26" s="388" t="s">
        <v>523</v>
      </c>
      <c r="B26" s="385" t="s">
        <v>520</v>
      </c>
      <c r="C26" s="392" t="s">
        <v>102</v>
      </c>
      <c r="D26" s="174">
        <v>16</v>
      </c>
      <c r="E26" s="53" t="str">
        <f>E23</f>
        <v>SB_WD322_60%T_Rev1.dat</v>
      </c>
      <c r="F26" s="187">
        <f t="shared" si="0"/>
        <v>117.20826840800001</v>
      </c>
      <c r="G26" s="188">
        <f t="shared" si="1"/>
        <v>293.02067102000001</v>
      </c>
      <c r="H26" s="174" t="s">
        <v>105</v>
      </c>
      <c r="I26" s="174">
        <v>0</v>
      </c>
      <c r="J26" s="174">
        <v>0</v>
      </c>
      <c r="K26" s="174">
        <v>0</v>
      </c>
      <c r="L26" s="187" t="e">
        <f>Input!#REF!</f>
        <v>#REF!</v>
      </c>
      <c r="M26" s="187" t="e">
        <f>Input!#REF!</f>
        <v>#REF!</v>
      </c>
      <c r="N26" s="216">
        <v>1.2</v>
      </c>
      <c r="O26" s="218">
        <f>Input!F113</f>
        <v>0</v>
      </c>
      <c r="P26" s="174" t="str">
        <f>Input!G113</f>
        <v>Weight without LMRP (te)</v>
      </c>
      <c r="Q26" s="219">
        <f>Input!F94</f>
        <v>1</v>
      </c>
      <c r="R26" s="174">
        <f>Input!G94</f>
        <v>5.98</v>
      </c>
      <c r="S26" s="217">
        <v>0</v>
      </c>
      <c r="T26" s="179" t="str">
        <f>Input!$D$4</f>
        <v>m</v>
      </c>
      <c r="U26" s="164">
        <f>Input!$G$55</f>
        <v>58.604134204000005</v>
      </c>
      <c r="V26" s="55">
        <f>Input!$D$10</f>
        <v>0</v>
      </c>
      <c r="W26" s="55">
        <f>S26</f>
        <v>0</v>
      </c>
      <c r="X26" s="142" t="s">
        <v>438</v>
      </c>
      <c r="Y26" s="142" t="str">
        <f>X26</f>
        <v>10yrcurrent</v>
      </c>
      <c r="Z26" s="55">
        <f>S26</f>
        <v>0</v>
      </c>
      <c r="AA26" s="55" t="str">
        <f>$C$26&amp;"_"&amp;S26&amp;"deg_"&amp;$B$26&amp;"_"&amp;$A$26&amp;".dat"</f>
        <v>10ppg_0deg_Hs-T_10RP.dat</v>
      </c>
      <c r="AB26" s="385" t="s">
        <v>520</v>
      </c>
      <c r="AC26" s="388" t="s">
        <v>523</v>
      </c>
      <c r="AD26" s="55"/>
      <c r="AE26" s="53"/>
    </row>
    <row r="27" spans="1:33" s="56" customFormat="1" ht="12.75" customHeight="1">
      <c r="A27" s="389"/>
      <c r="B27" s="386"/>
      <c r="C27" s="390"/>
      <c r="D27" s="174">
        <v>17</v>
      </c>
      <c r="E27" s="53" t="str">
        <f>E24</f>
        <v>SB_WD322_60%T_Rev1.dat</v>
      </c>
      <c r="F27" s="187">
        <f t="shared" si="0"/>
        <v>117.20826840800001</v>
      </c>
      <c r="G27" s="188">
        <f t="shared" si="1"/>
        <v>293.02067102000001</v>
      </c>
      <c r="H27" s="174" t="s">
        <v>105</v>
      </c>
      <c r="I27" s="174">
        <v>0</v>
      </c>
      <c r="J27" s="174">
        <v>0</v>
      </c>
      <c r="K27" s="174">
        <v>0</v>
      </c>
      <c r="L27" s="187" t="e">
        <f>Input!#REF!</f>
        <v>#REF!</v>
      </c>
      <c r="M27" s="187" t="e">
        <f>Input!#REF!</f>
        <v>#REF!</v>
      </c>
      <c r="N27" s="217">
        <f>N26</f>
        <v>1.2</v>
      </c>
      <c r="O27" s="218">
        <f>Input!F114</f>
        <v>0</v>
      </c>
      <c r="P27" s="174">
        <f>Input!G114</f>
        <v>0</v>
      </c>
      <c r="Q27" s="219">
        <f>Input!F95</f>
        <v>1</v>
      </c>
      <c r="R27" s="174">
        <f>Input!G95</f>
        <v>8.5</v>
      </c>
      <c r="S27" s="217">
        <v>45</v>
      </c>
      <c r="T27" s="179" t="str">
        <f>Input!$D$4</f>
        <v>m</v>
      </c>
      <c r="U27" s="164">
        <f>Input!$G$55</f>
        <v>58.604134204000005</v>
      </c>
      <c r="V27" s="55">
        <f>Input!$D$10</f>
        <v>0</v>
      </c>
      <c r="W27" s="55">
        <f>S27</f>
        <v>45</v>
      </c>
      <c r="X27" s="142" t="s">
        <v>438</v>
      </c>
      <c r="Y27" s="142" t="str">
        <f t="shared" ref="Y27:Y37" si="11">X27</f>
        <v>10yrcurrent</v>
      </c>
      <c r="Z27" s="55">
        <f t="shared" ref="Z27:Z37" si="12">S27</f>
        <v>45</v>
      </c>
      <c r="AA27" s="55" t="str">
        <f t="shared" ref="AA27:AA29" si="13">$C$26&amp;"_"&amp;S27&amp;"deg_"&amp;$B$26&amp;"_"&amp;$A$26&amp;".dat"</f>
        <v>10ppg_45deg_Hs-T_10RP.dat</v>
      </c>
      <c r="AB27" s="386"/>
      <c r="AC27" s="389"/>
      <c r="AD27" s="55"/>
      <c r="AE27" s="53"/>
    </row>
    <row r="28" spans="1:33" s="56" customFormat="1" ht="12.75" customHeight="1">
      <c r="A28" s="389"/>
      <c r="B28" s="386"/>
      <c r="C28" s="390"/>
      <c r="D28" s="174">
        <v>18</v>
      </c>
      <c r="E28" s="53" t="str">
        <f>E25</f>
        <v>SB_WD322_60%T_Rev1.dat</v>
      </c>
      <c r="F28" s="187">
        <f t="shared" si="0"/>
        <v>117.20826840800001</v>
      </c>
      <c r="G28" s="188">
        <f t="shared" si="1"/>
        <v>293.02067102000001</v>
      </c>
      <c r="H28" s="174" t="s">
        <v>105</v>
      </c>
      <c r="I28" s="174">
        <v>0</v>
      </c>
      <c r="J28" s="174">
        <v>0</v>
      </c>
      <c r="K28" s="174">
        <v>0</v>
      </c>
      <c r="L28" s="187">
        <f>Input!G62</f>
        <v>129.19999999999999</v>
      </c>
      <c r="M28" s="187">
        <f>Input!H62</f>
        <v>121.6</v>
      </c>
      <c r="N28" s="217">
        <f>N27</f>
        <v>1.2</v>
      </c>
      <c r="O28" s="218">
        <f>Input!F115</f>
        <v>0</v>
      </c>
      <c r="P28" s="174">
        <f>Input!G115</f>
        <v>0</v>
      </c>
      <c r="Q28" s="219">
        <f>Input!F96</f>
        <v>1</v>
      </c>
      <c r="R28" s="174">
        <f>Input!G96</f>
        <v>22.31</v>
      </c>
      <c r="S28" s="217">
        <v>90</v>
      </c>
      <c r="T28" s="179" t="str">
        <f>Input!$D$4</f>
        <v>m</v>
      </c>
      <c r="U28" s="164">
        <f>Input!$G$55</f>
        <v>58.604134204000005</v>
      </c>
      <c r="V28" s="55">
        <f>Input!$D$10</f>
        <v>0</v>
      </c>
      <c r="W28" s="55">
        <f>S28</f>
        <v>90</v>
      </c>
      <c r="X28" s="142" t="s">
        <v>438</v>
      </c>
      <c r="Y28" s="142" t="str">
        <f t="shared" si="11"/>
        <v>10yrcurrent</v>
      </c>
      <c r="Z28" s="55">
        <f t="shared" si="12"/>
        <v>90</v>
      </c>
      <c r="AA28" s="55" t="str">
        <f t="shared" si="13"/>
        <v>10ppg_90deg_Hs-T_10RP.dat</v>
      </c>
      <c r="AB28" s="386"/>
      <c r="AC28" s="389"/>
      <c r="AD28" s="55"/>
      <c r="AE28" s="53"/>
    </row>
    <row r="29" spans="1:33" s="56" customFormat="1" ht="12.75" customHeight="1">
      <c r="A29" s="389"/>
      <c r="B29" s="386"/>
      <c r="C29" s="390"/>
      <c r="D29" s="174">
        <v>19</v>
      </c>
      <c r="E29" s="53" t="str">
        <f t="shared" ref="E29:E37" si="14">E26</f>
        <v>SB_WD322_60%T_Rev1.dat</v>
      </c>
      <c r="F29" s="187">
        <f t="shared" si="0"/>
        <v>117.20826840800001</v>
      </c>
      <c r="G29" s="188">
        <f t="shared" si="1"/>
        <v>293.02067102000001</v>
      </c>
      <c r="H29" s="174" t="s">
        <v>105</v>
      </c>
      <c r="I29" s="174">
        <v>0</v>
      </c>
      <c r="J29" s="174">
        <v>0</v>
      </c>
      <c r="K29" s="174">
        <v>0</v>
      </c>
      <c r="L29" s="187">
        <f>Input!G63</f>
        <v>0</v>
      </c>
      <c r="M29" s="187">
        <f>Input!H63</f>
        <v>0</v>
      </c>
      <c r="N29" s="217">
        <f>N28</f>
        <v>1.2</v>
      </c>
      <c r="O29" s="218">
        <f>O28</f>
        <v>0</v>
      </c>
      <c r="P29" s="174">
        <f>P28</f>
        <v>0</v>
      </c>
      <c r="Q29" s="219">
        <f>Q28</f>
        <v>1</v>
      </c>
      <c r="R29" s="174">
        <f>R28</f>
        <v>22.31</v>
      </c>
      <c r="S29" s="217">
        <v>270</v>
      </c>
      <c r="T29" s="179" t="str">
        <f>Input!$D$4</f>
        <v>m</v>
      </c>
      <c r="U29" s="164">
        <f>Input!$G$55</f>
        <v>58.604134204000005</v>
      </c>
      <c r="V29" s="55">
        <f>Input!$D$10</f>
        <v>0</v>
      </c>
      <c r="W29" s="55">
        <v>270</v>
      </c>
      <c r="X29" s="142" t="s">
        <v>438</v>
      </c>
      <c r="Y29" s="142" t="str">
        <f t="shared" si="11"/>
        <v>10yrcurrent</v>
      </c>
      <c r="Z29" s="55">
        <f>S29</f>
        <v>270</v>
      </c>
      <c r="AA29" s="55" t="str">
        <f t="shared" si="13"/>
        <v>10ppg_270deg_Hs-T_10RP.dat</v>
      </c>
      <c r="AB29" s="386"/>
      <c r="AC29" s="389"/>
      <c r="AD29" s="55"/>
      <c r="AE29" s="53"/>
    </row>
    <row r="30" spans="1:33" s="56" customFormat="1" ht="12.75" customHeight="1">
      <c r="A30" s="389"/>
      <c r="B30" s="386"/>
      <c r="C30" s="390" t="s">
        <v>103</v>
      </c>
      <c r="D30" s="174">
        <v>20</v>
      </c>
      <c r="E30" s="53" t="str">
        <f t="shared" si="14"/>
        <v>SB_WD322_60%T_Rev1.dat</v>
      </c>
      <c r="F30" s="187">
        <f t="shared" si="0"/>
        <v>117.20826840800001</v>
      </c>
      <c r="G30" s="188">
        <f t="shared" si="1"/>
        <v>293.02067102000001</v>
      </c>
      <c r="H30" s="174" t="s">
        <v>105</v>
      </c>
      <c r="I30" s="174">
        <v>0</v>
      </c>
      <c r="J30" s="174">
        <v>0</v>
      </c>
      <c r="K30" s="174">
        <v>0</v>
      </c>
      <c r="L30" s="187" t="e">
        <f>L26</f>
        <v>#REF!</v>
      </c>
      <c r="M30" s="187" t="e">
        <f>M26</f>
        <v>#REF!</v>
      </c>
      <c r="N30" s="217">
        <v>1.67</v>
      </c>
      <c r="O30" s="218">
        <v>880</v>
      </c>
      <c r="P30" s="174">
        <v>0</v>
      </c>
      <c r="Q30" s="174">
        <v>440</v>
      </c>
      <c r="R30" s="174">
        <v>0</v>
      </c>
      <c r="S30" s="217">
        <f>S26</f>
        <v>0</v>
      </c>
      <c r="T30" s="179" t="str">
        <f>Input!$D$4</f>
        <v>m</v>
      </c>
      <c r="U30" s="164">
        <f>Input!$G$55</f>
        <v>58.604134204000005</v>
      </c>
      <c r="V30" s="55">
        <f>Input!$D$10</f>
        <v>0</v>
      </c>
      <c r="W30" s="55">
        <f>S30</f>
        <v>0</v>
      </c>
      <c r="X30" s="142" t="s">
        <v>438</v>
      </c>
      <c r="Y30" s="142" t="str">
        <f t="shared" si="11"/>
        <v>10yrcurrent</v>
      </c>
      <c r="Z30" s="55">
        <f t="shared" si="12"/>
        <v>0</v>
      </c>
      <c r="AA30" s="55" t="str">
        <f>$C$30&amp;"_"&amp;S30&amp;"deg_"&amp;$B$26&amp;"_"&amp;$A$26&amp;".dat"</f>
        <v>14ppg_0deg_Hs-T_10RP.dat</v>
      </c>
      <c r="AB30" s="386"/>
      <c r="AC30" s="389"/>
      <c r="AD30" s="55"/>
      <c r="AE30" s="53"/>
    </row>
    <row r="31" spans="1:33" s="56" customFormat="1" ht="12.75" customHeight="1">
      <c r="A31" s="389"/>
      <c r="B31" s="386"/>
      <c r="C31" s="390"/>
      <c r="D31" s="174">
        <v>21</v>
      </c>
      <c r="E31" s="53" t="str">
        <f t="shared" si="14"/>
        <v>SB_WD322_60%T_Rev1.dat</v>
      </c>
      <c r="F31" s="187">
        <f t="shared" si="0"/>
        <v>117.20826840800001</v>
      </c>
      <c r="G31" s="188">
        <f t="shared" si="1"/>
        <v>293.02067102000001</v>
      </c>
      <c r="H31" s="174" t="s">
        <v>105</v>
      </c>
      <c r="I31" s="174">
        <v>0</v>
      </c>
      <c r="J31" s="174">
        <v>0</v>
      </c>
      <c r="K31" s="174">
        <v>0</v>
      </c>
      <c r="L31" s="187" t="e">
        <f t="shared" ref="L31:M33" si="15">L27</f>
        <v>#REF!</v>
      </c>
      <c r="M31" s="187" t="e">
        <f t="shared" si="15"/>
        <v>#REF!</v>
      </c>
      <c r="N31" s="217">
        <f>N30</f>
        <v>1.67</v>
      </c>
      <c r="O31" s="218">
        <v>860</v>
      </c>
      <c r="P31" s="174">
        <v>860</v>
      </c>
      <c r="Q31" s="174">
        <v>650</v>
      </c>
      <c r="R31" s="174">
        <v>650</v>
      </c>
      <c r="S31" s="217">
        <f>S27</f>
        <v>45</v>
      </c>
      <c r="T31" s="179" t="str">
        <f>Input!$D$4</f>
        <v>m</v>
      </c>
      <c r="U31" s="164">
        <f>Input!$G$55</f>
        <v>58.604134204000005</v>
      </c>
      <c r="V31" s="55">
        <f>Input!$D$10</f>
        <v>0</v>
      </c>
      <c r="W31" s="55">
        <f>S31</f>
        <v>45</v>
      </c>
      <c r="X31" s="142" t="s">
        <v>438</v>
      </c>
      <c r="Y31" s="142" t="str">
        <f t="shared" si="11"/>
        <v>10yrcurrent</v>
      </c>
      <c r="Z31" s="55">
        <f t="shared" si="12"/>
        <v>45</v>
      </c>
      <c r="AA31" s="55" t="str">
        <f t="shared" ref="AA31:AA33" si="16">$C$30&amp;"_"&amp;S31&amp;"deg_"&amp;$B$26&amp;"_"&amp;$A$26&amp;".dat"</f>
        <v>14ppg_45deg_Hs-T_10RP.dat</v>
      </c>
      <c r="AB31" s="386"/>
      <c r="AC31" s="389"/>
      <c r="AD31" s="55"/>
      <c r="AE31" s="53"/>
    </row>
    <row r="32" spans="1:33" s="56" customFormat="1" ht="12.75" customHeight="1">
      <c r="A32" s="389"/>
      <c r="B32" s="386"/>
      <c r="C32" s="390"/>
      <c r="D32" s="174">
        <v>22</v>
      </c>
      <c r="E32" s="53" t="str">
        <f t="shared" si="14"/>
        <v>SB_WD322_60%T_Rev1.dat</v>
      </c>
      <c r="F32" s="187">
        <f t="shared" si="0"/>
        <v>117.20826840800001</v>
      </c>
      <c r="G32" s="188">
        <f t="shared" si="1"/>
        <v>293.02067102000001</v>
      </c>
      <c r="H32" s="174" t="s">
        <v>105</v>
      </c>
      <c r="I32" s="174">
        <v>0</v>
      </c>
      <c r="J32" s="174">
        <v>0</v>
      </c>
      <c r="K32" s="174">
        <v>0</v>
      </c>
      <c r="L32" s="187">
        <f t="shared" si="15"/>
        <v>129.19999999999999</v>
      </c>
      <c r="M32" s="187">
        <f t="shared" si="15"/>
        <v>121.6</v>
      </c>
      <c r="N32" s="217">
        <v>1.67</v>
      </c>
      <c r="O32" s="218">
        <v>0</v>
      </c>
      <c r="P32" s="174">
        <v>1850</v>
      </c>
      <c r="Q32" s="174">
        <v>0</v>
      </c>
      <c r="R32" s="174">
        <v>600</v>
      </c>
      <c r="S32" s="217">
        <v>90</v>
      </c>
      <c r="T32" s="179" t="str">
        <f>Input!$D$4</f>
        <v>m</v>
      </c>
      <c r="U32" s="164">
        <f>Input!$G$55</f>
        <v>58.604134204000005</v>
      </c>
      <c r="V32" s="55">
        <f>Input!$D$10</f>
        <v>0</v>
      </c>
      <c r="W32" s="55">
        <v>90</v>
      </c>
      <c r="X32" s="142" t="s">
        <v>438</v>
      </c>
      <c r="Y32" s="142" t="str">
        <f t="shared" si="11"/>
        <v>10yrcurrent</v>
      </c>
      <c r="Z32" s="55">
        <v>90</v>
      </c>
      <c r="AA32" s="55" t="str">
        <f t="shared" si="16"/>
        <v>14ppg_90deg_Hs-T_10RP.dat</v>
      </c>
      <c r="AB32" s="386"/>
      <c r="AC32" s="389"/>
      <c r="AD32" s="55"/>
      <c r="AE32" s="53"/>
    </row>
    <row r="33" spans="1:34" s="56" customFormat="1" ht="12.75" customHeight="1">
      <c r="A33" s="389"/>
      <c r="B33" s="386"/>
      <c r="C33" s="390"/>
      <c r="D33" s="174">
        <v>23</v>
      </c>
      <c r="E33" s="53" t="str">
        <f t="shared" si="14"/>
        <v>SB_WD322_60%T_Rev1.dat</v>
      </c>
      <c r="F33" s="187">
        <f t="shared" si="0"/>
        <v>117.20826840800001</v>
      </c>
      <c r="G33" s="188">
        <f t="shared" si="1"/>
        <v>293.02067102000001</v>
      </c>
      <c r="H33" s="174" t="s">
        <v>105</v>
      </c>
      <c r="I33" s="174">
        <v>0</v>
      </c>
      <c r="J33" s="174">
        <v>0</v>
      </c>
      <c r="K33" s="174">
        <v>0</v>
      </c>
      <c r="L33" s="187">
        <f t="shared" si="15"/>
        <v>0</v>
      </c>
      <c r="M33" s="187">
        <f t="shared" si="15"/>
        <v>0</v>
      </c>
      <c r="N33" s="217">
        <v>1.67</v>
      </c>
      <c r="O33" s="218">
        <v>0</v>
      </c>
      <c r="P33" s="174">
        <v>1850</v>
      </c>
      <c r="Q33" s="174">
        <v>0</v>
      </c>
      <c r="R33" s="174">
        <v>600</v>
      </c>
      <c r="S33" s="217">
        <v>270</v>
      </c>
      <c r="T33" s="179" t="str">
        <f>Input!$D$4</f>
        <v>m</v>
      </c>
      <c r="U33" s="164">
        <f>Input!$G$55</f>
        <v>58.604134204000005</v>
      </c>
      <c r="V33" s="55">
        <f>Input!$D$10</f>
        <v>0</v>
      </c>
      <c r="W33" s="55">
        <v>270</v>
      </c>
      <c r="X33" s="142" t="s">
        <v>438</v>
      </c>
      <c r="Y33" s="142" t="str">
        <f t="shared" si="11"/>
        <v>10yrcurrent</v>
      </c>
      <c r="Z33" s="55">
        <f t="shared" si="12"/>
        <v>270</v>
      </c>
      <c r="AA33" s="55" t="str">
        <f t="shared" si="16"/>
        <v>14ppg_270deg_Hs-T_10RP.dat</v>
      </c>
      <c r="AB33" s="386"/>
      <c r="AC33" s="389"/>
      <c r="AD33" s="55"/>
      <c r="AE33" s="53"/>
    </row>
    <row r="34" spans="1:34" s="56" customFormat="1" ht="12.75" customHeight="1">
      <c r="A34" s="389"/>
      <c r="B34" s="386"/>
      <c r="C34" s="390" t="s">
        <v>436</v>
      </c>
      <c r="D34" s="174">
        <v>24</v>
      </c>
      <c r="E34" s="53" t="str">
        <f t="shared" si="14"/>
        <v>SB_WD322_60%T_Rev1.dat</v>
      </c>
      <c r="F34" s="187">
        <f t="shared" si="0"/>
        <v>117.20826840800001</v>
      </c>
      <c r="G34" s="188">
        <f t="shared" si="1"/>
        <v>293.02067102000001</v>
      </c>
      <c r="H34" s="174" t="s">
        <v>105</v>
      </c>
      <c r="I34" s="174">
        <v>0</v>
      </c>
      <c r="J34" s="174">
        <v>0</v>
      </c>
      <c r="K34" s="174">
        <v>0</v>
      </c>
      <c r="L34" s="187" t="e">
        <f>L26</f>
        <v>#REF!</v>
      </c>
      <c r="M34" s="187" t="e">
        <f>M26</f>
        <v>#REF!</v>
      </c>
      <c r="N34" s="217">
        <v>1.92</v>
      </c>
      <c r="O34" s="216">
        <v>880</v>
      </c>
      <c r="P34" s="174">
        <v>0</v>
      </c>
      <c r="Q34" s="174">
        <v>440</v>
      </c>
      <c r="R34" s="174">
        <v>0</v>
      </c>
      <c r="S34" s="217">
        <v>0</v>
      </c>
      <c r="T34" s="179" t="str">
        <f>Input!$D$4</f>
        <v>m</v>
      </c>
      <c r="U34" s="164">
        <f>Input!$G$55</f>
        <v>58.604134204000005</v>
      </c>
      <c r="V34" s="55">
        <f>Input!$D$10</f>
        <v>0</v>
      </c>
      <c r="W34" s="55">
        <v>0</v>
      </c>
      <c r="X34" s="142" t="s">
        <v>438</v>
      </c>
      <c r="Y34" s="142" t="str">
        <f t="shared" si="11"/>
        <v>10yrcurrent</v>
      </c>
      <c r="Z34" s="55">
        <v>0</v>
      </c>
      <c r="AA34" s="55" t="str">
        <f>$C$34&amp;"_"&amp;S34&amp;"deg_"&amp;$B$14&amp;"_"&amp;$A$26&amp;".dat"</f>
        <v>16ppg_0deg_Hs-T_10RP.dat</v>
      </c>
      <c r="AB34" s="386"/>
      <c r="AC34" s="389"/>
      <c r="AD34" s="55"/>
      <c r="AE34" s="53"/>
    </row>
    <row r="35" spans="1:34" s="56" customFormat="1" ht="12.75" customHeight="1">
      <c r="A35" s="389"/>
      <c r="B35" s="386"/>
      <c r="C35" s="390"/>
      <c r="D35" s="174">
        <v>25</v>
      </c>
      <c r="E35" s="53" t="str">
        <f t="shared" si="14"/>
        <v>SB_WD322_60%T_Rev1.dat</v>
      </c>
      <c r="F35" s="187">
        <f t="shared" si="0"/>
        <v>117.20826840800001</v>
      </c>
      <c r="G35" s="188">
        <f t="shared" si="1"/>
        <v>293.02067102000001</v>
      </c>
      <c r="H35" s="174" t="s">
        <v>105</v>
      </c>
      <c r="I35" s="174">
        <v>0</v>
      </c>
      <c r="J35" s="174">
        <v>0</v>
      </c>
      <c r="K35" s="174">
        <v>0</v>
      </c>
      <c r="L35" s="187" t="e">
        <f t="shared" ref="L35:M37" si="17">L27</f>
        <v>#REF!</v>
      </c>
      <c r="M35" s="187" t="e">
        <f t="shared" si="17"/>
        <v>#REF!</v>
      </c>
      <c r="N35" s="217">
        <v>1.92</v>
      </c>
      <c r="O35" s="174">
        <v>860</v>
      </c>
      <c r="P35" s="174">
        <v>860</v>
      </c>
      <c r="Q35" s="174">
        <v>650</v>
      </c>
      <c r="R35" s="174">
        <v>650</v>
      </c>
      <c r="S35" s="217">
        <v>45</v>
      </c>
      <c r="T35" s="179" t="str">
        <f>Input!$D$4</f>
        <v>m</v>
      </c>
      <c r="U35" s="164">
        <f>Input!$G$55</f>
        <v>58.604134204000005</v>
      </c>
      <c r="V35" s="55">
        <f>Input!$D$10</f>
        <v>0</v>
      </c>
      <c r="W35" s="55">
        <v>45</v>
      </c>
      <c r="X35" s="142" t="s">
        <v>438</v>
      </c>
      <c r="Y35" s="142" t="str">
        <f t="shared" si="11"/>
        <v>10yrcurrent</v>
      </c>
      <c r="Z35" s="55">
        <v>45</v>
      </c>
      <c r="AA35" s="55" t="str">
        <f>$C$34&amp;"_"&amp;S35&amp;"deg_"&amp;$B$14&amp;"_"&amp;$A$26&amp;".dat"</f>
        <v>16ppg_45deg_Hs-T_10RP.dat</v>
      </c>
      <c r="AB35" s="386"/>
      <c r="AC35" s="389"/>
      <c r="AD35" s="55"/>
      <c r="AE35" s="53"/>
    </row>
    <row r="36" spans="1:34" s="56" customFormat="1" ht="12.75" customHeight="1">
      <c r="A36" s="389"/>
      <c r="B36" s="386"/>
      <c r="C36" s="390"/>
      <c r="D36" s="174">
        <v>26</v>
      </c>
      <c r="E36" s="53" t="str">
        <f t="shared" si="14"/>
        <v>SB_WD322_60%T_Rev1.dat</v>
      </c>
      <c r="F36" s="187">
        <f t="shared" si="0"/>
        <v>117.20826840800001</v>
      </c>
      <c r="G36" s="188">
        <f t="shared" si="1"/>
        <v>293.02067102000001</v>
      </c>
      <c r="H36" s="174" t="s">
        <v>105</v>
      </c>
      <c r="I36" s="174">
        <v>0</v>
      </c>
      <c r="J36" s="174">
        <v>0</v>
      </c>
      <c r="K36" s="174">
        <v>0</v>
      </c>
      <c r="L36" s="187">
        <f t="shared" si="17"/>
        <v>129.19999999999999</v>
      </c>
      <c r="M36" s="187">
        <f t="shared" si="17"/>
        <v>121.6</v>
      </c>
      <c r="N36" s="217">
        <v>1.92</v>
      </c>
      <c r="O36" s="174">
        <v>0</v>
      </c>
      <c r="P36" s="174">
        <v>1850</v>
      </c>
      <c r="Q36" s="174">
        <v>0</v>
      </c>
      <c r="R36" s="174">
        <v>600</v>
      </c>
      <c r="S36" s="217">
        <f>S28</f>
        <v>90</v>
      </c>
      <c r="T36" s="179" t="str">
        <f>Input!$D$4</f>
        <v>m</v>
      </c>
      <c r="U36" s="164">
        <f>Input!$G$55</f>
        <v>58.604134204000005</v>
      </c>
      <c r="V36" s="55">
        <f>Input!$D$10</f>
        <v>0</v>
      </c>
      <c r="W36" s="55">
        <f>S36</f>
        <v>90</v>
      </c>
      <c r="X36" s="142" t="s">
        <v>438</v>
      </c>
      <c r="Y36" s="142" t="str">
        <f t="shared" si="11"/>
        <v>10yrcurrent</v>
      </c>
      <c r="Z36" s="55">
        <f t="shared" si="12"/>
        <v>90</v>
      </c>
      <c r="AA36" s="55" t="str">
        <f>$C$34&amp;"_"&amp;S36&amp;"deg_"&amp;$B$14&amp;"_"&amp;$A$26&amp;".dat"</f>
        <v>16ppg_90deg_Hs-T_10RP.dat</v>
      </c>
      <c r="AB36" s="386"/>
      <c r="AC36" s="389"/>
      <c r="AD36" s="55"/>
      <c r="AE36" s="53"/>
    </row>
    <row r="37" spans="1:34" s="55" customFormat="1" ht="12.75" customHeight="1">
      <c r="A37" s="389"/>
      <c r="B37" s="387"/>
      <c r="C37" s="391"/>
      <c r="D37" s="174">
        <v>27</v>
      </c>
      <c r="E37" s="53" t="str">
        <f t="shared" si="14"/>
        <v>SB_WD322_60%T_Rev1.dat</v>
      </c>
      <c r="F37" s="187">
        <f t="shared" si="0"/>
        <v>117.20826840800001</v>
      </c>
      <c r="G37" s="188">
        <f t="shared" si="1"/>
        <v>293.02067102000001</v>
      </c>
      <c r="H37" s="174" t="s">
        <v>105</v>
      </c>
      <c r="I37" s="174">
        <v>0</v>
      </c>
      <c r="J37" s="174">
        <v>0</v>
      </c>
      <c r="K37" s="174">
        <v>0</v>
      </c>
      <c r="L37" s="187">
        <f t="shared" si="17"/>
        <v>0</v>
      </c>
      <c r="M37" s="187">
        <f t="shared" si="17"/>
        <v>0</v>
      </c>
      <c r="N37" s="217">
        <v>1.92</v>
      </c>
      <c r="O37" s="174">
        <v>0</v>
      </c>
      <c r="P37" s="174">
        <v>1850</v>
      </c>
      <c r="Q37" s="174">
        <v>0</v>
      </c>
      <c r="R37" s="174">
        <v>600</v>
      </c>
      <c r="S37" s="217">
        <f>S29</f>
        <v>270</v>
      </c>
      <c r="T37" s="179" t="str">
        <f>Input!$D$4</f>
        <v>m</v>
      </c>
      <c r="U37" s="164">
        <f>Input!$G$55</f>
        <v>58.604134204000005</v>
      </c>
      <c r="V37" s="55">
        <f>Input!$D$10</f>
        <v>0</v>
      </c>
      <c r="W37" s="55">
        <v>270</v>
      </c>
      <c r="X37" s="142" t="s">
        <v>438</v>
      </c>
      <c r="Y37" s="142" t="str">
        <f t="shared" si="11"/>
        <v>10yrcurrent</v>
      </c>
      <c r="Z37" s="55">
        <f t="shared" si="12"/>
        <v>270</v>
      </c>
      <c r="AA37" s="55" t="str">
        <f>$C$34&amp;"_"&amp;S37&amp;"deg_"&amp;$B$14&amp;"_"&amp;$A$26&amp;".dat"</f>
        <v>16ppg_270deg_Hs-T_10RP.dat</v>
      </c>
      <c r="AB37" s="387"/>
      <c r="AC37" s="389"/>
      <c r="AE37" s="53"/>
      <c r="AF37" s="56"/>
      <c r="AG37" s="56"/>
      <c r="AH37" s="56"/>
    </row>
  </sheetData>
  <dataConsolidate/>
  <mergeCells count="15">
    <mergeCell ref="B11:B13"/>
    <mergeCell ref="B14:B25"/>
    <mergeCell ref="C14:C17"/>
    <mergeCell ref="AB14:AB25"/>
    <mergeCell ref="AC14:AC25"/>
    <mergeCell ref="C18:C21"/>
    <mergeCell ref="C22:C25"/>
    <mergeCell ref="A14:A25"/>
    <mergeCell ref="A26:A37"/>
    <mergeCell ref="AC26:AC37"/>
    <mergeCell ref="C30:C33"/>
    <mergeCell ref="C34:C37"/>
    <mergeCell ref="B26:B37"/>
    <mergeCell ref="C26:C29"/>
    <mergeCell ref="AB26:AB37"/>
  </mergeCells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12"/>
  <dimension ref="A2:K768"/>
  <sheetViews>
    <sheetView workbookViewId="0">
      <pane ySplit="4" topLeftCell="A735" activePane="bottomLeft" state="frozen"/>
      <selection activeCell="A748" sqref="A748"/>
      <selection pane="bottomLeft" activeCell="A748" sqref="A748"/>
    </sheetView>
  </sheetViews>
  <sheetFormatPr defaultRowHeight="12"/>
  <cols>
    <col min="1" max="1" width="23.85546875" style="22" customWidth="1"/>
    <col min="2" max="2" width="5.5703125" style="22" customWidth="1"/>
    <col min="3" max="3" width="53.28515625" style="22" customWidth="1"/>
    <col min="4" max="4" width="6.28515625" style="22" customWidth="1"/>
    <col min="5" max="5" width="23.140625" style="22" customWidth="1"/>
    <col min="6" max="6" width="15.7109375" style="22" customWidth="1"/>
    <col min="7" max="7" width="23.42578125" style="22" customWidth="1"/>
    <col min="8" max="8" width="14.7109375" style="22" customWidth="1"/>
    <col min="9" max="9" width="28.28515625" style="21" customWidth="1"/>
    <col min="10" max="16384" width="9.140625" style="21"/>
  </cols>
  <sheetData>
    <row r="2" spans="1:9" ht="12.75" thickBot="1">
      <c r="A2" s="21"/>
      <c r="B2" s="21"/>
      <c r="C2" s="21"/>
      <c r="D2" s="21"/>
      <c r="E2" s="21"/>
      <c r="F2" s="21"/>
      <c r="G2" s="21"/>
      <c r="H2" s="21"/>
    </row>
    <row r="3" spans="1:9">
      <c r="A3" s="26" t="s">
        <v>1</v>
      </c>
      <c r="B3" s="25" t="s">
        <v>8</v>
      </c>
      <c r="C3" s="26"/>
      <c r="D3" s="25" t="s">
        <v>0</v>
      </c>
      <c r="E3" s="27"/>
      <c r="F3" s="26" t="s">
        <v>4</v>
      </c>
      <c r="G3" s="26" t="s">
        <v>9</v>
      </c>
      <c r="H3" s="26" t="s">
        <v>3</v>
      </c>
      <c r="I3" s="25"/>
    </row>
    <row r="4" spans="1:9" ht="12.75" thickBot="1">
      <c r="A4" s="24" t="s">
        <v>5</v>
      </c>
      <c r="B4" s="23" t="s">
        <v>2</v>
      </c>
      <c r="C4" s="24" t="s">
        <v>8</v>
      </c>
      <c r="D4" s="23" t="s">
        <v>2</v>
      </c>
      <c r="E4" s="24" t="s">
        <v>7</v>
      </c>
      <c r="F4" s="24" t="s">
        <v>5</v>
      </c>
      <c r="G4" s="24" t="s">
        <v>16</v>
      </c>
      <c r="H4" s="24" t="s">
        <v>6</v>
      </c>
      <c r="I4" s="23" t="s">
        <v>17</v>
      </c>
    </row>
    <row r="5" spans="1:9">
      <c r="A5" s="22" t="s">
        <v>1136</v>
      </c>
      <c r="B5" s="22" t="s">
        <v>168</v>
      </c>
      <c r="C5" s="22" t="s">
        <v>310</v>
      </c>
    </row>
    <row r="6" spans="1:9">
      <c r="A6" s="22" t="s">
        <v>1136</v>
      </c>
      <c r="B6" s="22" t="s">
        <v>116</v>
      </c>
      <c r="C6" s="22" t="s">
        <v>243</v>
      </c>
    </row>
    <row r="7" spans="1:9">
      <c r="A7" s="22" t="s">
        <v>1136</v>
      </c>
      <c r="B7" s="22" t="s">
        <v>117</v>
      </c>
      <c r="C7" s="22" t="s">
        <v>259</v>
      </c>
    </row>
    <row r="8" spans="1:9">
      <c r="A8" s="22" t="s">
        <v>1136</v>
      </c>
      <c r="B8" s="22" t="s">
        <v>119</v>
      </c>
      <c r="C8" s="22" t="s">
        <v>244</v>
      </c>
    </row>
    <row r="9" spans="1:9">
      <c r="A9" s="22" t="s">
        <v>1136</v>
      </c>
      <c r="B9" s="21" t="s">
        <v>261</v>
      </c>
      <c r="C9" s="22" t="s">
        <v>524</v>
      </c>
    </row>
    <row r="10" spans="1:9">
      <c r="A10" s="22" t="s">
        <v>1136</v>
      </c>
      <c r="B10" s="22" t="s">
        <v>262</v>
      </c>
      <c r="C10" s="22" t="s">
        <v>311</v>
      </c>
    </row>
    <row r="11" spans="1:9">
      <c r="A11" s="22" t="s">
        <v>1136</v>
      </c>
      <c r="B11" s="22" t="s">
        <v>327</v>
      </c>
      <c r="C11" s="22" t="s">
        <v>245</v>
      </c>
    </row>
    <row r="12" spans="1:9">
      <c r="A12" s="22" t="s">
        <v>1136</v>
      </c>
      <c r="B12" s="22" t="s">
        <v>359</v>
      </c>
      <c r="C12" s="22" t="s">
        <v>260</v>
      </c>
    </row>
    <row r="13" spans="1:9">
      <c r="A13" s="22" t="s">
        <v>1136</v>
      </c>
      <c r="B13" s="22" t="s">
        <v>444</v>
      </c>
      <c r="C13" s="22" t="s">
        <v>246</v>
      </c>
    </row>
    <row r="14" spans="1:9">
      <c r="A14" s="22" t="s">
        <v>1136</v>
      </c>
      <c r="B14" s="22" t="s">
        <v>445</v>
      </c>
      <c r="C14" s="22" t="s">
        <v>525</v>
      </c>
    </row>
    <row r="15" spans="1:9">
      <c r="A15" s="22" t="s">
        <v>1136</v>
      </c>
      <c r="B15" s="22" t="s">
        <v>446</v>
      </c>
      <c r="C15" s="22" t="s">
        <v>440</v>
      </c>
    </row>
    <row r="16" spans="1:9">
      <c r="A16" s="22" t="s">
        <v>1136</v>
      </c>
      <c r="B16" s="22" t="s">
        <v>169</v>
      </c>
      <c r="C16" s="22" t="s">
        <v>441</v>
      </c>
    </row>
    <row r="17" spans="1:11">
      <c r="A17" s="22" t="s">
        <v>1136</v>
      </c>
      <c r="B17" s="21" t="s">
        <v>527</v>
      </c>
      <c r="C17" s="22" t="s">
        <v>442</v>
      </c>
    </row>
    <row r="18" spans="1:11">
      <c r="A18" s="22" t="s">
        <v>1136</v>
      </c>
      <c r="B18" s="21" t="s">
        <v>528</v>
      </c>
      <c r="C18" s="22" t="s">
        <v>443</v>
      </c>
    </row>
    <row r="19" spans="1:11">
      <c r="A19" s="22" t="s">
        <v>1136</v>
      </c>
      <c r="B19" s="22" t="s">
        <v>529</v>
      </c>
      <c r="C19" s="22" t="s">
        <v>526</v>
      </c>
    </row>
    <row r="20" spans="1:11">
      <c r="A20" s="22" t="s">
        <v>1136</v>
      </c>
      <c r="B20" s="22" t="s">
        <v>164</v>
      </c>
      <c r="C20" s="22" t="s">
        <v>323</v>
      </c>
    </row>
    <row r="21" spans="1:11">
      <c r="A21" s="22" t="s">
        <v>1136</v>
      </c>
      <c r="B21" s="22" t="s">
        <v>163</v>
      </c>
      <c r="C21" s="22" t="s">
        <v>324</v>
      </c>
    </row>
    <row r="22" spans="1:11">
      <c r="A22" s="22" t="s">
        <v>1136</v>
      </c>
      <c r="B22" s="22" t="s">
        <v>278</v>
      </c>
      <c r="C22" s="22" t="s">
        <v>326</v>
      </c>
    </row>
    <row r="23" spans="1:11">
      <c r="A23" s="22" t="s">
        <v>1136</v>
      </c>
      <c r="B23" s="22" t="s">
        <v>165</v>
      </c>
      <c r="C23" s="30" t="s">
        <v>850</v>
      </c>
    </row>
    <row r="24" spans="1:11">
      <c r="A24" s="22" t="s">
        <v>1136</v>
      </c>
      <c r="B24" s="22" t="s">
        <v>239</v>
      </c>
      <c r="C24" s="30" t="s">
        <v>851</v>
      </c>
    </row>
    <row r="25" spans="1:11">
      <c r="A25" s="22" t="s">
        <v>1136</v>
      </c>
      <c r="B25" s="22" t="s">
        <v>166</v>
      </c>
      <c r="C25" s="30" t="s">
        <v>852</v>
      </c>
    </row>
    <row r="26" spans="1:11">
      <c r="A26" s="22" t="s">
        <v>1136</v>
      </c>
      <c r="B26" s="22" t="s">
        <v>238</v>
      </c>
      <c r="C26" s="30" t="s">
        <v>853</v>
      </c>
    </row>
    <row r="27" spans="1:11">
      <c r="A27" s="22" t="s">
        <v>1136</v>
      </c>
      <c r="B27" s="22" t="s">
        <v>167</v>
      </c>
      <c r="C27" s="30" t="s">
        <v>188</v>
      </c>
    </row>
    <row r="28" spans="1:11">
      <c r="A28" s="22" t="s">
        <v>1136</v>
      </c>
      <c r="B28" s="22" t="s">
        <v>170</v>
      </c>
      <c r="C28" s="30" t="s">
        <v>854</v>
      </c>
    </row>
    <row r="29" spans="1:11" ht="12.75">
      <c r="A29" s="22" t="s">
        <v>1136</v>
      </c>
      <c r="B29" s="22" t="s">
        <v>328</v>
      </c>
      <c r="C29" s="49" t="s">
        <v>855</v>
      </c>
    </row>
    <row r="30" spans="1:11">
      <c r="A30" s="22" t="s">
        <v>1136</v>
      </c>
      <c r="B30" s="22" t="s">
        <v>171</v>
      </c>
      <c r="C30" s="30" t="s">
        <v>856</v>
      </c>
    </row>
    <row r="31" spans="1:11" s="22" customFormat="1" ht="12.75">
      <c r="A31" s="22" t="s">
        <v>1136</v>
      </c>
      <c r="B31" s="22" t="s">
        <v>172</v>
      </c>
      <c r="C31" s="49" t="s">
        <v>857</v>
      </c>
      <c r="I31" s="21"/>
      <c r="J31" s="21"/>
      <c r="K31" s="21"/>
    </row>
    <row r="32" spans="1:11" s="22" customFormat="1" ht="12.75">
      <c r="A32" s="22" t="s">
        <v>1136</v>
      </c>
      <c r="B32" s="22" t="s">
        <v>878</v>
      </c>
      <c r="C32" s="49" t="s">
        <v>861</v>
      </c>
      <c r="I32" s="21"/>
      <c r="J32" s="21"/>
      <c r="K32" s="21"/>
    </row>
    <row r="33" spans="1:11" s="22" customFormat="1" ht="12.75">
      <c r="A33" s="22" t="s">
        <v>1136</v>
      </c>
      <c r="B33" s="22" t="s">
        <v>234</v>
      </c>
      <c r="C33" s="49" t="s">
        <v>862</v>
      </c>
      <c r="I33" s="21"/>
      <c r="J33" s="21"/>
      <c r="K33" s="21"/>
    </row>
    <row r="34" spans="1:11" s="22" customFormat="1">
      <c r="A34" s="22" t="s">
        <v>1136</v>
      </c>
      <c r="B34" s="30" t="s">
        <v>279</v>
      </c>
      <c r="C34" s="30" t="s">
        <v>187</v>
      </c>
      <c r="I34" s="21"/>
      <c r="J34" s="21"/>
      <c r="K34" s="21"/>
    </row>
    <row r="35" spans="1:11" s="22" customFormat="1">
      <c r="A35" s="22" t="s">
        <v>1136</v>
      </c>
      <c r="B35" s="30" t="s">
        <v>185</v>
      </c>
      <c r="C35" s="30" t="s">
        <v>858</v>
      </c>
      <c r="I35" s="21"/>
      <c r="J35" s="21"/>
      <c r="K35" s="21"/>
    </row>
    <row r="36" spans="1:11" s="22" customFormat="1">
      <c r="A36" s="22" t="s">
        <v>1136</v>
      </c>
      <c r="B36" s="30" t="s">
        <v>329</v>
      </c>
      <c r="C36" s="30" t="s">
        <v>859</v>
      </c>
      <c r="I36" s="21"/>
      <c r="J36" s="21"/>
      <c r="K36" s="21"/>
    </row>
    <row r="37" spans="1:11" s="22" customFormat="1">
      <c r="A37" s="22" t="s">
        <v>1136</v>
      </c>
      <c r="B37" s="30" t="s">
        <v>867</v>
      </c>
      <c r="C37" s="30" t="s">
        <v>860</v>
      </c>
      <c r="I37" s="21"/>
      <c r="J37" s="21"/>
      <c r="K37" s="21"/>
    </row>
    <row r="38" spans="1:11" s="22" customFormat="1">
      <c r="A38" s="22" t="s">
        <v>1136</v>
      </c>
      <c r="B38" s="30" t="s">
        <v>186</v>
      </c>
      <c r="C38" s="30" t="s">
        <v>434</v>
      </c>
      <c r="I38" s="21"/>
      <c r="J38" s="21"/>
      <c r="K38" s="21"/>
    </row>
    <row r="39" spans="1:11" s="22" customFormat="1">
      <c r="A39" s="22" t="s">
        <v>1136</v>
      </c>
      <c r="B39" s="30" t="s">
        <v>280</v>
      </c>
      <c r="C39" s="30" t="s">
        <v>305</v>
      </c>
      <c r="I39" s="21"/>
      <c r="J39" s="21"/>
      <c r="K39" s="21"/>
    </row>
    <row r="40" spans="1:11" s="22" customFormat="1">
      <c r="A40" s="22" t="s">
        <v>1136</v>
      </c>
      <c r="B40" s="30" t="s">
        <v>174</v>
      </c>
      <c r="C40" s="30" t="s">
        <v>306</v>
      </c>
      <c r="I40" s="21"/>
      <c r="J40" s="21"/>
      <c r="K40" s="21"/>
    </row>
    <row r="41" spans="1:11" s="22" customFormat="1">
      <c r="A41" s="22" t="s">
        <v>1136</v>
      </c>
      <c r="B41" s="30" t="s">
        <v>868</v>
      </c>
      <c r="C41" s="30" t="s">
        <v>277</v>
      </c>
      <c r="I41" s="21"/>
      <c r="J41" s="21"/>
      <c r="K41" s="21"/>
    </row>
    <row r="42" spans="1:11" s="22" customFormat="1">
      <c r="A42" s="22" t="s">
        <v>1136</v>
      </c>
      <c r="B42" s="30" t="s">
        <v>175</v>
      </c>
      <c r="C42" s="30" t="s">
        <v>321</v>
      </c>
      <c r="I42" s="21"/>
      <c r="J42" s="21"/>
      <c r="K42" s="21"/>
    </row>
    <row r="43" spans="1:11" s="22" customFormat="1">
      <c r="A43" s="22" t="s">
        <v>1136</v>
      </c>
      <c r="B43" s="30" t="s">
        <v>250</v>
      </c>
      <c r="C43" s="30" t="s">
        <v>173</v>
      </c>
      <c r="I43" s="21"/>
      <c r="J43" s="21"/>
      <c r="K43" s="21"/>
    </row>
    <row r="44" spans="1:11" s="22" customFormat="1">
      <c r="A44" s="22" t="s">
        <v>1136</v>
      </c>
      <c r="B44" s="30" t="s">
        <v>330</v>
      </c>
      <c r="C44" s="30" t="s">
        <v>189</v>
      </c>
      <c r="I44" s="21"/>
      <c r="J44" s="21"/>
      <c r="K44" s="21"/>
    </row>
    <row r="45" spans="1:11" s="22" customFormat="1">
      <c r="A45" s="22" t="s">
        <v>1136</v>
      </c>
      <c r="B45" s="30" t="s">
        <v>211</v>
      </c>
      <c r="C45" s="30" t="s">
        <v>190</v>
      </c>
      <c r="I45" s="21"/>
      <c r="J45" s="21"/>
      <c r="K45" s="21"/>
    </row>
    <row r="46" spans="1:11" s="22" customFormat="1">
      <c r="A46" s="22" t="s">
        <v>1136</v>
      </c>
      <c r="B46" s="30" t="s">
        <v>281</v>
      </c>
      <c r="C46" s="30" t="s">
        <v>191</v>
      </c>
      <c r="I46" s="21"/>
      <c r="J46" s="21"/>
      <c r="K46" s="21"/>
    </row>
    <row r="47" spans="1:11" s="22" customFormat="1">
      <c r="A47" s="22" t="s">
        <v>1136</v>
      </c>
      <c r="B47" s="30" t="s">
        <v>447</v>
      </c>
      <c r="C47" s="30" t="s">
        <v>212</v>
      </c>
      <c r="I47" s="21"/>
      <c r="J47" s="21"/>
      <c r="K47" s="21"/>
    </row>
    <row r="48" spans="1:11" s="22" customFormat="1">
      <c r="A48" s="22" t="s">
        <v>1136</v>
      </c>
      <c r="B48" s="30" t="s">
        <v>331</v>
      </c>
      <c r="C48" s="30" t="s">
        <v>322</v>
      </c>
      <c r="I48" s="21"/>
      <c r="J48" s="21"/>
      <c r="K48" s="21"/>
    </row>
    <row r="49" spans="1:11" s="22" customFormat="1">
      <c r="A49" s="22" t="s">
        <v>1136</v>
      </c>
      <c r="B49" s="22" t="s">
        <v>251</v>
      </c>
      <c r="C49" s="22" t="s">
        <v>431</v>
      </c>
      <c r="I49" s="21"/>
      <c r="J49" s="21"/>
      <c r="K49" s="21"/>
    </row>
    <row r="50" spans="1:11" s="22" customFormat="1">
      <c r="A50" s="22" t="s">
        <v>1136</v>
      </c>
      <c r="B50" s="30" t="s">
        <v>282</v>
      </c>
      <c r="C50" s="22" t="s">
        <v>554</v>
      </c>
      <c r="I50" s="21"/>
      <c r="J50" s="21"/>
      <c r="K50" s="21"/>
    </row>
    <row r="51" spans="1:11" s="22" customFormat="1">
      <c r="A51" s="22" t="s">
        <v>1136</v>
      </c>
      <c r="B51" s="30" t="s">
        <v>532</v>
      </c>
      <c r="C51" s="22" t="s">
        <v>530</v>
      </c>
      <c r="I51" s="21"/>
      <c r="J51" s="21"/>
      <c r="K51" s="21"/>
    </row>
    <row r="52" spans="1:11" s="22" customFormat="1">
      <c r="A52" s="22" t="s">
        <v>1136</v>
      </c>
      <c r="B52" s="30" t="s">
        <v>332</v>
      </c>
      <c r="C52" s="22" t="s">
        <v>555</v>
      </c>
      <c r="I52" s="21"/>
      <c r="J52" s="21"/>
      <c r="K52" s="21"/>
    </row>
    <row r="53" spans="1:11" s="22" customFormat="1">
      <c r="A53" s="22" t="s">
        <v>1136</v>
      </c>
      <c r="B53" s="30" t="s">
        <v>214</v>
      </c>
      <c r="C53" s="22" t="s">
        <v>531</v>
      </c>
      <c r="I53" s="21"/>
      <c r="J53" s="21"/>
      <c r="K53" s="21"/>
    </row>
    <row r="54" spans="1:11" s="22" customFormat="1">
      <c r="A54" s="22" t="s">
        <v>1136</v>
      </c>
      <c r="B54" s="30" t="s">
        <v>307</v>
      </c>
      <c r="C54" s="22" t="s">
        <v>574</v>
      </c>
      <c r="I54" s="21"/>
      <c r="J54" s="21"/>
      <c r="K54" s="21"/>
    </row>
    <row r="55" spans="1:11" s="22" customFormat="1">
      <c r="A55" s="22" t="s">
        <v>1136</v>
      </c>
      <c r="B55" s="30" t="s">
        <v>869</v>
      </c>
      <c r="C55" s="22" t="s">
        <v>579</v>
      </c>
      <c r="I55" s="21"/>
      <c r="J55" s="21"/>
      <c r="K55" s="21"/>
    </row>
    <row r="56" spans="1:11" s="22" customFormat="1">
      <c r="A56" s="22" t="s">
        <v>1136</v>
      </c>
      <c r="B56" s="30" t="s">
        <v>333</v>
      </c>
      <c r="C56" s="22" t="s">
        <v>573</v>
      </c>
      <c r="I56" s="21"/>
      <c r="J56" s="21"/>
      <c r="K56" s="21"/>
    </row>
    <row r="57" spans="1:11" s="22" customFormat="1">
      <c r="A57" s="22" t="s">
        <v>1136</v>
      </c>
      <c r="B57" s="30" t="s">
        <v>283</v>
      </c>
      <c r="C57" s="22" t="s">
        <v>556</v>
      </c>
      <c r="I57" s="21"/>
      <c r="J57" s="21"/>
      <c r="K57" s="21"/>
    </row>
    <row r="58" spans="1:11" s="22" customFormat="1">
      <c r="A58" s="22" t="s">
        <v>1136</v>
      </c>
      <c r="B58" s="30" t="s">
        <v>537</v>
      </c>
      <c r="C58" s="22" t="s">
        <v>533</v>
      </c>
      <c r="I58" s="21"/>
      <c r="J58" s="21"/>
      <c r="K58" s="21"/>
    </row>
    <row r="59" spans="1:11" s="22" customFormat="1">
      <c r="A59" s="22" t="s">
        <v>1136</v>
      </c>
      <c r="B59" s="30" t="s">
        <v>334</v>
      </c>
      <c r="C59" s="22" t="s">
        <v>557</v>
      </c>
      <c r="I59" s="21"/>
      <c r="J59" s="21"/>
      <c r="K59" s="21"/>
    </row>
    <row r="60" spans="1:11" s="22" customFormat="1">
      <c r="A60" s="22" t="s">
        <v>1136</v>
      </c>
      <c r="B60" s="30" t="s">
        <v>252</v>
      </c>
      <c r="C60" s="22" t="s">
        <v>534</v>
      </c>
      <c r="I60" s="21"/>
      <c r="J60" s="21"/>
      <c r="K60" s="21"/>
    </row>
    <row r="61" spans="1:11" s="22" customFormat="1">
      <c r="A61" s="22" t="s">
        <v>1136</v>
      </c>
      <c r="B61" s="30" t="s">
        <v>284</v>
      </c>
      <c r="C61" s="22" t="s">
        <v>575</v>
      </c>
      <c r="I61" s="21"/>
      <c r="J61" s="21"/>
      <c r="K61" s="21"/>
    </row>
    <row r="62" spans="1:11" s="22" customFormat="1">
      <c r="A62" s="22" t="s">
        <v>1136</v>
      </c>
      <c r="B62" s="30" t="s">
        <v>870</v>
      </c>
      <c r="C62" s="22" t="s">
        <v>580</v>
      </c>
      <c r="I62" s="21"/>
      <c r="J62" s="21"/>
      <c r="K62" s="21"/>
    </row>
    <row r="63" spans="1:11" s="22" customFormat="1">
      <c r="A63" s="22" t="s">
        <v>1136</v>
      </c>
      <c r="B63" s="30" t="s">
        <v>335</v>
      </c>
      <c r="C63" s="22" t="s">
        <v>576</v>
      </c>
      <c r="I63" s="21"/>
      <c r="J63" s="21"/>
      <c r="K63" s="21"/>
    </row>
    <row r="64" spans="1:11" s="22" customFormat="1">
      <c r="A64" s="22" t="s">
        <v>1136</v>
      </c>
      <c r="B64" s="30" t="s">
        <v>285</v>
      </c>
      <c r="C64" s="22" t="s">
        <v>558</v>
      </c>
      <c r="I64" s="21"/>
      <c r="J64" s="21"/>
      <c r="K64" s="21"/>
    </row>
    <row r="65" spans="1:11" s="22" customFormat="1">
      <c r="A65" s="22" t="s">
        <v>1136</v>
      </c>
      <c r="B65" s="30" t="s">
        <v>597</v>
      </c>
      <c r="C65" s="22" t="s">
        <v>535</v>
      </c>
      <c r="I65" s="21"/>
      <c r="J65" s="21"/>
      <c r="K65" s="21"/>
    </row>
    <row r="66" spans="1:11" s="22" customFormat="1">
      <c r="A66" s="22" t="s">
        <v>1136</v>
      </c>
      <c r="B66" s="30" t="s">
        <v>336</v>
      </c>
      <c r="C66" s="22" t="s">
        <v>559</v>
      </c>
      <c r="I66" s="21"/>
      <c r="J66" s="21"/>
      <c r="K66" s="21"/>
    </row>
    <row r="67" spans="1:11" s="22" customFormat="1">
      <c r="A67" s="22" t="s">
        <v>1136</v>
      </c>
      <c r="B67" s="30" t="s">
        <v>253</v>
      </c>
      <c r="C67" s="22" t="s">
        <v>536</v>
      </c>
      <c r="I67" s="21"/>
      <c r="J67" s="21"/>
      <c r="K67" s="21"/>
    </row>
    <row r="68" spans="1:11" s="22" customFormat="1">
      <c r="A68" s="22" t="s">
        <v>1136</v>
      </c>
      <c r="B68" s="30" t="s">
        <v>286</v>
      </c>
      <c r="C68" s="22" t="s">
        <v>577</v>
      </c>
      <c r="I68" s="21"/>
      <c r="J68" s="21"/>
      <c r="K68" s="21"/>
    </row>
    <row r="69" spans="1:11" s="22" customFormat="1">
      <c r="A69" s="22" t="s">
        <v>1136</v>
      </c>
      <c r="B69" s="30" t="s">
        <v>871</v>
      </c>
      <c r="C69" s="22" t="s">
        <v>581</v>
      </c>
      <c r="I69" s="21"/>
      <c r="J69" s="21"/>
      <c r="K69" s="21"/>
    </row>
    <row r="70" spans="1:11" s="22" customFormat="1">
      <c r="A70" s="22" t="s">
        <v>1136</v>
      </c>
      <c r="B70" s="30" t="s">
        <v>308</v>
      </c>
      <c r="C70" s="22" t="s">
        <v>578</v>
      </c>
      <c r="I70" s="21"/>
      <c r="J70" s="21"/>
      <c r="K70" s="21"/>
    </row>
    <row r="71" spans="1:11" s="22" customFormat="1">
      <c r="A71" s="22" t="s">
        <v>1136</v>
      </c>
      <c r="B71" s="30" t="s">
        <v>337</v>
      </c>
      <c r="C71" s="22" t="s">
        <v>560</v>
      </c>
      <c r="I71" s="21"/>
      <c r="J71" s="21"/>
      <c r="K71" s="21"/>
    </row>
    <row r="72" spans="1:11" s="22" customFormat="1">
      <c r="A72" s="22" t="s">
        <v>1136</v>
      </c>
      <c r="B72" s="30" t="s">
        <v>548</v>
      </c>
      <c r="C72" s="22" t="s">
        <v>538</v>
      </c>
      <c r="I72" s="21"/>
      <c r="J72" s="21"/>
      <c r="K72" s="21"/>
    </row>
    <row r="73" spans="1:11" s="22" customFormat="1">
      <c r="A73" s="22" t="s">
        <v>1136</v>
      </c>
      <c r="B73" s="30" t="s">
        <v>338</v>
      </c>
      <c r="C73" s="22" t="s">
        <v>561</v>
      </c>
      <c r="I73" s="21"/>
      <c r="J73" s="21"/>
      <c r="K73" s="21"/>
    </row>
    <row r="74" spans="1:11" s="22" customFormat="1">
      <c r="A74" s="22" t="s">
        <v>1136</v>
      </c>
      <c r="B74" s="30" t="s">
        <v>339</v>
      </c>
      <c r="C74" s="22" t="s">
        <v>539</v>
      </c>
      <c r="I74" s="21"/>
      <c r="J74" s="21"/>
      <c r="K74" s="21"/>
    </row>
    <row r="75" spans="1:11" s="22" customFormat="1">
      <c r="A75" s="22" t="s">
        <v>1136</v>
      </c>
      <c r="B75" s="30" t="s">
        <v>340</v>
      </c>
      <c r="C75" s="22" t="s">
        <v>582</v>
      </c>
      <c r="I75" s="21"/>
      <c r="J75" s="21"/>
      <c r="K75" s="21"/>
    </row>
    <row r="76" spans="1:11" s="22" customFormat="1">
      <c r="A76" s="22" t="s">
        <v>1136</v>
      </c>
      <c r="B76" s="30" t="s">
        <v>872</v>
      </c>
      <c r="C76" s="22" t="s">
        <v>583</v>
      </c>
      <c r="I76" s="21"/>
      <c r="J76" s="21"/>
      <c r="K76" s="21"/>
    </row>
    <row r="77" spans="1:11" s="22" customFormat="1">
      <c r="A77" s="22" t="s">
        <v>1136</v>
      </c>
      <c r="B77" s="30" t="s">
        <v>549</v>
      </c>
      <c r="C77" s="22" t="s">
        <v>584</v>
      </c>
      <c r="I77" s="21"/>
      <c r="J77" s="21"/>
      <c r="K77" s="21"/>
    </row>
    <row r="78" spans="1:11" s="22" customFormat="1">
      <c r="A78" s="22" t="s">
        <v>1136</v>
      </c>
      <c r="B78" s="30" t="s">
        <v>598</v>
      </c>
      <c r="C78" s="22" t="s">
        <v>562</v>
      </c>
      <c r="I78" s="21"/>
      <c r="J78" s="21"/>
      <c r="K78" s="21"/>
    </row>
    <row r="79" spans="1:11" s="22" customFormat="1">
      <c r="A79" s="22" t="s">
        <v>1136</v>
      </c>
      <c r="B79" s="30" t="s">
        <v>550</v>
      </c>
      <c r="C79" s="22" t="s">
        <v>540</v>
      </c>
      <c r="I79" s="21"/>
      <c r="J79" s="21"/>
      <c r="K79" s="21"/>
    </row>
    <row r="80" spans="1:11" s="22" customFormat="1">
      <c r="A80" s="22" t="s">
        <v>1136</v>
      </c>
      <c r="B80" s="30" t="s">
        <v>551</v>
      </c>
      <c r="C80" s="22" t="s">
        <v>563</v>
      </c>
      <c r="I80" s="21"/>
      <c r="J80" s="21"/>
      <c r="K80" s="21"/>
    </row>
    <row r="81" spans="1:11" s="22" customFormat="1">
      <c r="A81" s="22" t="s">
        <v>1136</v>
      </c>
      <c r="B81" s="30" t="s">
        <v>552</v>
      </c>
      <c r="C81" s="22" t="s">
        <v>541</v>
      </c>
      <c r="I81" s="21"/>
      <c r="J81" s="21"/>
      <c r="K81" s="21"/>
    </row>
    <row r="82" spans="1:11" s="22" customFormat="1">
      <c r="A82" s="22" t="s">
        <v>1136</v>
      </c>
      <c r="B82" s="30" t="s">
        <v>553</v>
      </c>
      <c r="C82" s="22" t="s">
        <v>585</v>
      </c>
      <c r="I82" s="21"/>
      <c r="J82" s="21"/>
      <c r="K82" s="21"/>
    </row>
    <row r="83" spans="1:11" s="22" customFormat="1">
      <c r="A83" s="22" t="s">
        <v>1136</v>
      </c>
      <c r="B83" s="30" t="s">
        <v>873</v>
      </c>
      <c r="C83" s="22" t="s">
        <v>586</v>
      </c>
      <c r="I83" s="21"/>
      <c r="J83" s="21"/>
      <c r="K83" s="21"/>
    </row>
    <row r="84" spans="1:11" s="22" customFormat="1">
      <c r="A84" s="22" t="s">
        <v>1136</v>
      </c>
      <c r="B84" s="30" t="s">
        <v>599</v>
      </c>
      <c r="C84" s="22" t="s">
        <v>587</v>
      </c>
      <c r="I84" s="21"/>
      <c r="J84" s="21"/>
      <c r="K84" s="21"/>
    </row>
    <row r="85" spans="1:11" s="22" customFormat="1">
      <c r="A85" s="22" t="s">
        <v>1136</v>
      </c>
      <c r="B85" s="30" t="s">
        <v>600</v>
      </c>
      <c r="C85" s="22" t="s">
        <v>564</v>
      </c>
      <c r="I85" s="21"/>
      <c r="J85" s="21"/>
      <c r="K85" s="21"/>
    </row>
    <row r="86" spans="1:11" s="22" customFormat="1">
      <c r="A86" s="22" t="s">
        <v>1136</v>
      </c>
      <c r="B86" s="30" t="s">
        <v>601</v>
      </c>
      <c r="C86" s="22" t="s">
        <v>542</v>
      </c>
      <c r="I86" s="21"/>
      <c r="J86" s="21"/>
      <c r="K86" s="21"/>
    </row>
    <row r="87" spans="1:11" s="22" customFormat="1">
      <c r="A87" s="22" t="s">
        <v>1136</v>
      </c>
      <c r="B87" s="30" t="s">
        <v>602</v>
      </c>
      <c r="C87" s="22" t="s">
        <v>565</v>
      </c>
      <c r="I87" s="21"/>
      <c r="J87" s="21"/>
      <c r="K87" s="21"/>
    </row>
    <row r="88" spans="1:11" s="22" customFormat="1">
      <c r="A88" s="22" t="s">
        <v>1136</v>
      </c>
      <c r="B88" s="30" t="s">
        <v>603</v>
      </c>
      <c r="C88" s="22" t="s">
        <v>543</v>
      </c>
      <c r="I88" s="21"/>
      <c r="J88" s="21"/>
      <c r="K88" s="21"/>
    </row>
    <row r="89" spans="1:11" s="22" customFormat="1">
      <c r="A89" s="22" t="s">
        <v>1136</v>
      </c>
      <c r="B89" s="30" t="s">
        <v>604</v>
      </c>
      <c r="C89" s="22" t="s">
        <v>588</v>
      </c>
      <c r="I89" s="21"/>
      <c r="J89" s="21"/>
      <c r="K89" s="21"/>
    </row>
    <row r="90" spans="1:11" s="22" customFormat="1">
      <c r="A90" s="22" t="s">
        <v>1136</v>
      </c>
      <c r="B90" s="30" t="s">
        <v>874</v>
      </c>
      <c r="C90" s="22" t="s">
        <v>589</v>
      </c>
      <c r="I90" s="21"/>
      <c r="J90" s="21"/>
      <c r="K90" s="21"/>
    </row>
    <row r="91" spans="1:11" s="22" customFormat="1">
      <c r="A91" s="22" t="s">
        <v>1136</v>
      </c>
      <c r="B91" s="30" t="s">
        <v>605</v>
      </c>
      <c r="C91" s="22" t="s">
        <v>590</v>
      </c>
      <c r="I91" s="21"/>
      <c r="J91" s="21"/>
      <c r="K91" s="21"/>
    </row>
    <row r="92" spans="1:11" s="22" customFormat="1">
      <c r="A92" s="22" t="s">
        <v>1136</v>
      </c>
      <c r="B92" s="30" t="s">
        <v>606</v>
      </c>
      <c r="C92" s="22" t="s">
        <v>566</v>
      </c>
      <c r="I92" s="21"/>
      <c r="J92" s="21"/>
      <c r="K92" s="21"/>
    </row>
    <row r="93" spans="1:11" s="22" customFormat="1">
      <c r="A93" s="22" t="s">
        <v>1136</v>
      </c>
      <c r="B93" s="30" t="s">
        <v>607</v>
      </c>
      <c r="C93" s="22" t="s">
        <v>544</v>
      </c>
      <c r="I93" s="21"/>
      <c r="J93" s="21"/>
      <c r="K93" s="21"/>
    </row>
    <row r="94" spans="1:11" s="22" customFormat="1">
      <c r="A94" s="22" t="s">
        <v>1136</v>
      </c>
      <c r="B94" s="30" t="s">
        <v>608</v>
      </c>
      <c r="C94" s="22" t="s">
        <v>567</v>
      </c>
      <c r="I94" s="21"/>
      <c r="J94" s="21"/>
      <c r="K94" s="21"/>
    </row>
    <row r="95" spans="1:11" s="22" customFormat="1">
      <c r="A95" s="22" t="s">
        <v>1136</v>
      </c>
      <c r="B95" s="30" t="s">
        <v>609</v>
      </c>
      <c r="C95" s="22" t="s">
        <v>545</v>
      </c>
      <c r="I95" s="21"/>
      <c r="J95" s="21"/>
      <c r="K95" s="21"/>
    </row>
    <row r="96" spans="1:11" s="22" customFormat="1">
      <c r="A96" s="22" t="s">
        <v>1136</v>
      </c>
      <c r="B96" s="30" t="s">
        <v>610</v>
      </c>
      <c r="C96" s="22" t="s">
        <v>591</v>
      </c>
      <c r="I96" s="21"/>
      <c r="J96" s="21"/>
      <c r="K96" s="21"/>
    </row>
    <row r="97" spans="1:11" s="22" customFormat="1">
      <c r="A97" s="22" t="s">
        <v>1136</v>
      </c>
      <c r="B97" s="30" t="s">
        <v>875</v>
      </c>
      <c r="C97" s="22" t="s">
        <v>592</v>
      </c>
      <c r="I97" s="21"/>
      <c r="J97" s="21"/>
      <c r="K97" s="21"/>
    </row>
    <row r="98" spans="1:11" s="22" customFormat="1">
      <c r="A98" s="22" t="s">
        <v>1136</v>
      </c>
      <c r="B98" s="30" t="s">
        <v>611</v>
      </c>
      <c r="C98" s="22" t="s">
        <v>593</v>
      </c>
      <c r="I98" s="21"/>
      <c r="J98" s="21"/>
      <c r="K98" s="21"/>
    </row>
    <row r="99" spans="1:11" s="22" customFormat="1">
      <c r="A99" s="22" t="s">
        <v>1136</v>
      </c>
      <c r="B99" s="30" t="s">
        <v>612</v>
      </c>
      <c r="C99" s="22" t="s">
        <v>568</v>
      </c>
      <c r="I99" s="21"/>
      <c r="J99" s="21"/>
      <c r="K99" s="21"/>
    </row>
    <row r="100" spans="1:11" s="22" customFormat="1">
      <c r="A100" s="22" t="s">
        <v>1136</v>
      </c>
      <c r="B100" s="30" t="s">
        <v>613</v>
      </c>
      <c r="C100" s="22" t="s">
        <v>546</v>
      </c>
      <c r="I100" s="21"/>
      <c r="J100" s="21"/>
      <c r="K100" s="21"/>
    </row>
    <row r="101" spans="1:11" s="22" customFormat="1">
      <c r="A101" s="22" t="s">
        <v>1136</v>
      </c>
      <c r="B101" s="30" t="s">
        <v>614</v>
      </c>
      <c r="C101" s="22" t="s">
        <v>569</v>
      </c>
      <c r="I101" s="21"/>
      <c r="J101" s="21"/>
      <c r="K101" s="21"/>
    </row>
    <row r="102" spans="1:11" s="22" customFormat="1">
      <c r="A102" s="22" t="s">
        <v>1136</v>
      </c>
      <c r="B102" s="30" t="s">
        <v>615</v>
      </c>
      <c r="C102" s="22" t="s">
        <v>547</v>
      </c>
      <c r="I102" s="21"/>
      <c r="J102" s="21"/>
      <c r="K102" s="21"/>
    </row>
    <row r="103" spans="1:11" s="22" customFormat="1">
      <c r="A103" s="22" t="s">
        <v>1136</v>
      </c>
      <c r="B103" s="30" t="s">
        <v>616</v>
      </c>
      <c r="C103" s="22" t="s">
        <v>594</v>
      </c>
      <c r="I103" s="21"/>
      <c r="J103" s="21"/>
      <c r="K103" s="21"/>
    </row>
    <row r="104" spans="1:11" s="22" customFormat="1">
      <c r="A104" s="22" t="s">
        <v>1136</v>
      </c>
      <c r="B104" s="30" t="s">
        <v>876</v>
      </c>
      <c r="C104" s="22" t="s">
        <v>595</v>
      </c>
      <c r="I104" s="21"/>
      <c r="J104" s="21"/>
      <c r="K104" s="21"/>
    </row>
    <row r="105" spans="1:11" s="22" customFormat="1">
      <c r="A105" s="22" t="s">
        <v>1136</v>
      </c>
      <c r="B105" s="30" t="s">
        <v>877</v>
      </c>
      <c r="C105" s="22" t="s">
        <v>596</v>
      </c>
      <c r="I105" s="21"/>
      <c r="J105" s="21"/>
      <c r="K105" s="21"/>
    </row>
    <row r="106" spans="1:11" s="22" customFormat="1">
      <c r="A106" s="22" t="s">
        <v>1137</v>
      </c>
      <c r="B106" s="30" t="s">
        <v>804</v>
      </c>
      <c r="C106" s="22" t="s">
        <v>310</v>
      </c>
      <c r="I106" s="21"/>
      <c r="J106" s="21"/>
      <c r="K106" s="21"/>
    </row>
    <row r="107" spans="1:11" s="22" customFormat="1">
      <c r="A107" s="22" t="s">
        <v>1137</v>
      </c>
      <c r="B107" s="30" t="s">
        <v>805</v>
      </c>
      <c r="C107" s="22" t="s">
        <v>243</v>
      </c>
      <c r="I107" s="21"/>
      <c r="J107" s="21"/>
      <c r="K107" s="21"/>
    </row>
    <row r="108" spans="1:11" s="22" customFormat="1">
      <c r="A108" s="22" t="s">
        <v>1137</v>
      </c>
      <c r="B108" s="30" t="s">
        <v>806</v>
      </c>
      <c r="C108" s="22" t="s">
        <v>259</v>
      </c>
      <c r="I108" s="21"/>
      <c r="J108" s="21"/>
      <c r="K108" s="21"/>
    </row>
    <row r="109" spans="1:11" s="22" customFormat="1">
      <c r="A109" s="22" t="s">
        <v>1137</v>
      </c>
      <c r="B109" s="30" t="s">
        <v>807</v>
      </c>
      <c r="C109" s="22" t="s">
        <v>244</v>
      </c>
      <c r="I109" s="21"/>
      <c r="J109" s="21"/>
      <c r="K109" s="21"/>
    </row>
    <row r="110" spans="1:11" s="22" customFormat="1">
      <c r="A110" s="22" t="s">
        <v>1137</v>
      </c>
      <c r="B110" s="30" t="s">
        <v>179</v>
      </c>
      <c r="C110" s="22" t="s">
        <v>524</v>
      </c>
      <c r="I110" s="21"/>
      <c r="J110" s="21"/>
      <c r="K110" s="21"/>
    </row>
    <row r="111" spans="1:11" s="22" customFormat="1">
      <c r="A111" s="22" t="s">
        <v>1137</v>
      </c>
      <c r="B111" s="30" t="s">
        <v>808</v>
      </c>
      <c r="C111" s="22" t="s">
        <v>311</v>
      </c>
      <c r="I111" s="21"/>
      <c r="J111" s="21"/>
      <c r="K111" s="21"/>
    </row>
    <row r="112" spans="1:11" s="22" customFormat="1">
      <c r="A112" s="22" t="s">
        <v>1137</v>
      </c>
      <c r="B112" s="30" t="s">
        <v>809</v>
      </c>
      <c r="C112" s="22" t="s">
        <v>245</v>
      </c>
      <c r="I112" s="21"/>
      <c r="J112" s="21"/>
      <c r="K112" s="21"/>
    </row>
    <row r="113" spans="1:11" s="22" customFormat="1">
      <c r="A113" s="22" t="s">
        <v>1137</v>
      </c>
      <c r="B113" s="30" t="s">
        <v>810</v>
      </c>
      <c r="C113" s="22" t="s">
        <v>260</v>
      </c>
      <c r="I113" s="21"/>
      <c r="J113" s="21"/>
      <c r="K113" s="21"/>
    </row>
    <row r="114" spans="1:11" s="22" customFormat="1">
      <c r="A114" s="22" t="s">
        <v>1137</v>
      </c>
      <c r="B114" s="30" t="s">
        <v>811</v>
      </c>
      <c r="C114" s="22" t="s">
        <v>246</v>
      </c>
      <c r="I114" s="21"/>
      <c r="J114" s="21"/>
      <c r="K114" s="21"/>
    </row>
    <row r="115" spans="1:11">
      <c r="A115" s="22" t="s">
        <v>1137</v>
      </c>
      <c r="B115" s="30" t="s">
        <v>812</v>
      </c>
      <c r="C115" s="22" t="s">
        <v>525</v>
      </c>
    </row>
    <row r="116" spans="1:11">
      <c r="A116" s="22" t="s">
        <v>1137</v>
      </c>
      <c r="B116" s="30" t="s">
        <v>813</v>
      </c>
      <c r="C116" s="22" t="s">
        <v>440</v>
      </c>
    </row>
    <row r="117" spans="1:11">
      <c r="A117" s="22" t="s">
        <v>1137</v>
      </c>
      <c r="B117" s="30" t="s">
        <v>814</v>
      </c>
      <c r="C117" s="22" t="s">
        <v>441</v>
      </c>
    </row>
    <row r="118" spans="1:11">
      <c r="A118" s="22" t="s">
        <v>1137</v>
      </c>
      <c r="B118" s="30" t="s">
        <v>815</v>
      </c>
      <c r="C118" s="22" t="s">
        <v>442</v>
      </c>
    </row>
    <row r="119" spans="1:11">
      <c r="A119" s="22" t="s">
        <v>1137</v>
      </c>
      <c r="B119" s="30" t="s">
        <v>816</v>
      </c>
      <c r="C119" s="22" t="s">
        <v>443</v>
      </c>
    </row>
    <row r="120" spans="1:11">
      <c r="A120" s="22" t="s">
        <v>1137</v>
      </c>
      <c r="B120" s="30" t="s">
        <v>817</v>
      </c>
      <c r="C120" s="22" t="s">
        <v>526</v>
      </c>
    </row>
    <row r="121" spans="1:11">
      <c r="A121" s="22" t="s">
        <v>1137</v>
      </c>
      <c r="B121" s="30" t="s">
        <v>818</v>
      </c>
      <c r="C121" s="22" t="s">
        <v>819</v>
      </c>
    </row>
    <row r="122" spans="1:11">
      <c r="A122" s="22" t="s">
        <v>1137</v>
      </c>
      <c r="B122" s="30" t="s">
        <v>281</v>
      </c>
      <c r="C122" s="22" t="s">
        <v>820</v>
      </c>
    </row>
    <row r="123" spans="1:11">
      <c r="A123" s="28"/>
      <c r="B123" s="28"/>
      <c r="C123" s="28"/>
      <c r="D123" s="28"/>
      <c r="E123" s="29" t="s">
        <v>341</v>
      </c>
      <c r="F123" s="28"/>
      <c r="G123" s="28"/>
      <c r="H123" s="28"/>
      <c r="I123" s="28"/>
    </row>
    <row r="124" spans="1:11">
      <c r="A124" s="22" t="s">
        <v>1136</v>
      </c>
      <c r="B124" s="30"/>
      <c r="C124" s="30"/>
      <c r="D124" s="22" t="s">
        <v>369</v>
      </c>
      <c r="E124" s="30" t="s">
        <v>115</v>
      </c>
      <c r="F124" s="30" t="s">
        <v>111</v>
      </c>
      <c r="G124" s="30" t="s">
        <v>863</v>
      </c>
      <c r="H124" s="30" t="s">
        <v>241</v>
      </c>
      <c r="I124" s="30" t="s">
        <v>114</v>
      </c>
      <c r="J124" s="21">
        <v>1</v>
      </c>
    </row>
    <row r="125" spans="1:11">
      <c r="A125" s="22" t="s">
        <v>1136</v>
      </c>
      <c r="B125" s="30"/>
      <c r="C125" s="30"/>
      <c r="D125" s="22" t="s">
        <v>176</v>
      </c>
      <c r="E125" s="30" t="s">
        <v>120</v>
      </c>
      <c r="F125" s="30" t="s">
        <v>111</v>
      </c>
      <c r="G125" s="30" t="s">
        <v>863</v>
      </c>
      <c r="H125" s="30" t="s">
        <v>241</v>
      </c>
      <c r="I125" s="30" t="s">
        <v>114</v>
      </c>
      <c r="J125" s="21">
        <v>2</v>
      </c>
    </row>
    <row r="126" spans="1:11">
      <c r="A126" s="22" t="s">
        <v>1136</v>
      </c>
      <c r="B126" s="30"/>
      <c r="C126" s="30"/>
      <c r="D126" s="30" t="s">
        <v>177</v>
      </c>
      <c r="E126" s="30" t="s">
        <v>112</v>
      </c>
      <c r="F126" s="30" t="s">
        <v>111</v>
      </c>
      <c r="G126" s="30" t="s">
        <v>113</v>
      </c>
      <c r="H126" s="30" t="s">
        <v>241</v>
      </c>
      <c r="I126" s="30" t="s">
        <v>114</v>
      </c>
      <c r="J126" s="21">
        <v>3</v>
      </c>
    </row>
    <row r="127" spans="1:11">
      <c r="A127" s="22" t="s">
        <v>1136</v>
      </c>
      <c r="C127" s="30"/>
      <c r="D127" s="30" t="s">
        <v>233</v>
      </c>
      <c r="E127" s="30" t="s">
        <v>115</v>
      </c>
      <c r="F127" s="30" t="s">
        <v>111</v>
      </c>
      <c r="G127" s="30" t="s">
        <v>863</v>
      </c>
      <c r="H127" s="30" t="s">
        <v>241</v>
      </c>
      <c r="I127" s="30" t="s">
        <v>204</v>
      </c>
      <c r="J127" s="21">
        <v>4</v>
      </c>
    </row>
    <row r="128" spans="1:11">
      <c r="A128" s="22" t="s">
        <v>1136</v>
      </c>
      <c r="C128" s="30"/>
      <c r="D128" s="30" t="s">
        <v>287</v>
      </c>
      <c r="E128" s="30" t="s">
        <v>115</v>
      </c>
      <c r="F128" s="30" t="s">
        <v>111</v>
      </c>
      <c r="G128" s="30" t="s">
        <v>863</v>
      </c>
      <c r="H128" s="30" t="s">
        <v>241</v>
      </c>
      <c r="I128" s="30" t="s">
        <v>232</v>
      </c>
      <c r="J128" s="21">
        <v>5</v>
      </c>
    </row>
    <row r="129" spans="1:10">
      <c r="A129" s="22" t="s">
        <v>1136</v>
      </c>
      <c r="B129" s="30"/>
      <c r="C129" s="30"/>
      <c r="D129" s="30" t="s">
        <v>288</v>
      </c>
      <c r="E129" s="30" t="s">
        <v>115</v>
      </c>
      <c r="F129" s="30" t="s">
        <v>111</v>
      </c>
      <c r="G129" s="30" t="s">
        <v>863</v>
      </c>
      <c r="H129" s="30" t="s">
        <v>241</v>
      </c>
      <c r="I129" s="30" t="s">
        <v>118</v>
      </c>
      <c r="J129" s="21">
        <v>6</v>
      </c>
    </row>
    <row r="130" spans="1:10">
      <c r="A130" s="22" t="s">
        <v>1136</v>
      </c>
      <c r="B130" s="30"/>
      <c r="C130" s="30"/>
      <c r="D130" s="30" t="s">
        <v>370</v>
      </c>
      <c r="E130" s="30" t="s">
        <v>115</v>
      </c>
      <c r="F130" s="30" t="s">
        <v>111</v>
      </c>
      <c r="G130" s="30" t="s">
        <v>864</v>
      </c>
      <c r="H130" s="30" t="s">
        <v>241</v>
      </c>
      <c r="I130" s="30" t="s">
        <v>118</v>
      </c>
      <c r="J130" s="21">
        <v>7</v>
      </c>
    </row>
    <row r="131" spans="1:10">
      <c r="A131" s="22" t="s">
        <v>1136</v>
      </c>
      <c r="C131" s="30"/>
      <c r="D131" s="30" t="s">
        <v>879</v>
      </c>
      <c r="E131" s="30" t="s">
        <v>112</v>
      </c>
      <c r="F131" s="30" t="s">
        <v>247</v>
      </c>
      <c r="G131" s="30"/>
      <c r="H131" s="30" t="s">
        <v>241</v>
      </c>
      <c r="I131" s="30" t="s">
        <v>118</v>
      </c>
      <c r="J131" s="21">
        <v>8</v>
      </c>
    </row>
    <row r="132" spans="1:10">
      <c r="A132" s="22" t="s">
        <v>1136</v>
      </c>
      <c r="C132" s="30"/>
      <c r="D132" s="30" t="s">
        <v>880</v>
      </c>
      <c r="E132" s="30" t="s">
        <v>127</v>
      </c>
      <c r="F132" s="30" t="s">
        <v>247</v>
      </c>
      <c r="G132" s="30"/>
      <c r="H132" s="30" t="s">
        <v>241</v>
      </c>
      <c r="I132" s="30" t="s">
        <v>118</v>
      </c>
      <c r="J132" s="21">
        <v>9</v>
      </c>
    </row>
    <row r="133" spans="1:10">
      <c r="A133" s="22" t="s">
        <v>1136</v>
      </c>
      <c r="B133" s="30"/>
      <c r="C133" s="30"/>
      <c r="D133" s="30" t="s">
        <v>881</v>
      </c>
      <c r="E133" s="30" t="s">
        <v>112</v>
      </c>
      <c r="F133" s="30" t="s">
        <v>123</v>
      </c>
      <c r="G133" s="30"/>
      <c r="H133" s="30" t="s">
        <v>241</v>
      </c>
      <c r="I133" s="30" t="s">
        <v>240</v>
      </c>
      <c r="J133" s="21">
        <v>10</v>
      </c>
    </row>
    <row r="134" spans="1:10">
      <c r="A134" s="22" t="s">
        <v>1136</v>
      </c>
      <c r="B134" s="30"/>
      <c r="C134" s="30"/>
      <c r="D134" s="30" t="s">
        <v>882</v>
      </c>
      <c r="E134" s="30" t="s">
        <v>127</v>
      </c>
      <c r="F134" s="30" t="s">
        <v>123</v>
      </c>
      <c r="G134" s="30"/>
      <c r="H134" s="30" t="s">
        <v>241</v>
      </c>
      <c r="I134" s="30" t="s">
        <v>240</v>
      </c>
      <c r="J134" s="21">
        <v>11</v>
      </c>
    </row>
    <row r="135" spans="1:10">
      <c r="A135" s="22" t="s">
        <v>1136</v>
      </c>
      <c r="B135" s="30"/>
      <c r="C135" s="30"/>
      <c r="D135" s="30" t="s">
        <v>371</v>
      </c>
      <c r="E135" s="30" t="s">
        <v>112</v>
      </c>
      <c r="F135" s="30" t="s">
        <v>866</v>
      </c>
      <c r="G135" s="30"/>
      <c r="H135" s="30" t="s">
        <v>241</v>
      </c>
      <c r="I135" s="30" t="s">
        <v>126</v>
      </c>
      <c r="J135" s="21">
        <v>12</v>
      </c>
    </row>
    <row r="136" spans="1:10">
      <c r="A136" s="22" t="s">
        <v>1136</v>
      </c>
      <c r="B136" s="30"/>
      <c r="C136" s="30"/>
      <c r="D136" s="30" t="s">
        <v>372</v>
      </c>
      <c r="E136" s="30" t="s">
        <v>127</v>
      </c>
      <c r="F136" s="30" t="s">
        <v>866</v>
      </c>
      <c r="G136" s="30"/>
      <c r="H136" s="30" t="s">
        <v>241</v>
      </c>
      <c r="I136" s="30" t="s">
        <v>126</v>
      </c>
      <c r="J136" s="21">
        <v>13</v>
      </c>
    </row>
    <row r="137" spans="1:10">
      <c r="A137" s="22" t="s">
        <v>1136</v>
      </c>
      <c r="B137" s="30"/>
      <c r="C137" s="30"/>
      <c r="D137" s="30" t="s">
        <v>883</v>
      </c>
      <c r="E137" s="30" t="s">
        <v>112</v>
      </c>
      <c r="F137" s="30" t="s">
        <v>866</v>
      </c>
      <c r="G137" s="30"/>
      <c r="H137" s="30" t="s">
        <v>241</v>
      </c>
      <c r="I137" s="30" t="s">
        <v>128</v>
      </c>
      <c r="J137" s="21">
        <v>14</v>
      </c>
    </row>
    <row r="138" spans="1:10">
      <c r="A138" s="22" t="s">
        <v>1136</v>
      </c>
      <c r="B138" s="30"/>
      <c r="C138" s="30"/>
      <c r="D138" s="30" t="s">
        <v>884</v>
      </c>
      <c r="E138" s="30" t="s">
        <v>127</v>
      </c>
      <c r="F138" s="30" t="s">
        <v>866</v>
      </c>
      <c r="G138" s="30"/>
      <c r="H138" s="30" t="s">
        <v>241</v>
      </c>
      <c r="I138" s="30" t="s">
        <v>128</v>
      </c>
      <c r="J138" s="21">
        <v>15</v>
      </c>
    </row>
    <row r="139" spans="1:10">
      <c r="A139" s="22" t="s">
        <v>1136</v>
      </c>
      <c r="B139" s="30"/>
      <c r="C139" s="30"/>
      <c r="D139" s="22" t="s">
        <v>289</v>
      </c>
      <c r="E139" s="30" t="s">
        <v>120</v>
      </c>
      <c r="F139" s="30" t="s">
        <v>111</v>
      </c>
      <c r="G139" s="30"/>
      <c r="H139" s="30" t="s">
        <v>241</v>
      </c>
      <c r="I139" s="30" t="s">
        <v>213</v>
      </c>
      <c r="J139" s="21">
        <v>16</v>
      </c>
    </row>
    <row r="140" spans="1:10">
      <c r="A140" s="22" t="s">
        <v>1136</v>
      </c>
      <c r="B140" s="30"/>
      <c r="C140" s="30"/>
      <c r="D140" s="30" t="s">
        <v>623</v>
      </c>
      <c r="E140" s="30" t="s">
        <v>115</v>
      </c>
      <c r="F140" s="30" t="s">
        <v>178</v>
      </c>
      <c r="G140" s="30" t="s">
        <v>1191</v>
      </c>
      <c r="H140" s="30" t="s">
        <v>241</v>
      </c>
      <c r="I140" s="30" t="s">
        <v>114</v>
      </c>
      <c r="J140" s="21">
        <v>17</v>
      </c>
    </row>
    <row r="141" spans="1:10">
      <c r="A141" s="22" t="s">
        <v>1136</v>
      </c>
      <c r="B141" s="30"/>
      <c r="C141" s="30"/>
      <c r="D141" s="30" t="s">
        <v>373</v>
      </c>
      <c r="E141" s="30" t="s">
        <v>115</v>
      </c>
      <c r="F141" s="30" t="s">
        <v>178</v>
      </c>
      <c r="G141" s="30" t="s">
        <v>1192</v>
      </c>
      <c r="H141" s="30" t="s">
        <v>241</v>
      </c>
      <c r="I141" s="30" t="s">
        <v>114</v>
      </c>
      <c r="J141" s="21">
        <v>18</v>
      </c>
    </row>
    <row r="142" spans="1:10">
      <c r="A142" s="22" t="s">
        <v>1136</v>
      </c>
      <c r="B142" s="30"/>
      <c r="C142" s="30"/>
      <c r="D142" s="30" t="s">
        <v>1140</v>
      </c>
      <c r="E142" s="30" t="s">
        <v>112</v>
      </c>
      <c r="F142" s="30" t="s">
        <v>178</v>
      </c>
      <c r="G142" s="30" t="s">
        <v>571</v>
      </c>
      <c r="H142" s="30" t="s">
        <v>241</v>
      </c>
      <c r="I142" s="30" t="s">
        <v>572</v>
      </c>
      <c r="J142" s="21">
        <v>19</v>
      </c>
    </row>
    <row r="143" spans="1:10">
      <c r="A143" s="22" t="s">
        <v>1136</v>
      </c>
      <c r="B143" s="30"/>
      <c r="C143" s="30"/>
      <c r="D143" s="30" t="s">
        <v>624</v>
      </c>
      <c r="E143" s="30" t="s">
        <v>115</v>
      </c>
      <c r="F143" s="30" t="s">
        <v>179</v>
      </c>
      <c r="G143" s="30" t="s">
        <v>1193</v>
      </c>
      <c r="H143" s="30" t="s">
        <v>241</v>
      </c>
      <c r="I143" s="30" t="s">
        <v>114</v>
      </c>
      <c r="J143" s="21">
        <v>20</v>
      </c>
    </row>
    <row r="144" spans="1:10">
      <c r="A144" s="22" t="s">
        <v>1136</v>
      </c>
      <c r="B144" s="30"/>
      <c r="C144" s="30"/>
      <c r="D144" s="30" t="s">
        <v>374</v>
      </c>
      <c r="E144" s="30" t="s">
        <v>115</v>
      </c>
      <c r="F144" s="30" t="s">
        <v>179</v>
      </c>
      <c r="G144" s="30" t="s">
        <v>1194</v>
      </c>
      <c r="H144" s="30" t="s">
        <v>241</v>
      </c>
      <c r="I144" s="30" t="s">
        <v>114</v>
      </c>
      <c r="J144" s="21">
        <v>21</v>
      </c>
    </row>
    <row r="145" spans="1:10">
      <c r="A145" s="22" t="s">
        <v>1136</v>
      </c>
      <c r="B145" s="30"/>
      <c r="C145" s="30"/>
      <c r="D145" s="30" t="s">
        <v>885</v>
      </c>
      <c r="E145" s="30" t="s">
        <v>112</v>
      </c>
      <c r="F145" s="30" t="s">
        <v>179</v>
      </c>
      <c r="G145" s="30" t="s">
        <v>571</v>
      </c>
      <c r="H145" s="30" t="s">
        <v>241</v>
      </c>
      <c r="I145" s="30" t="s">
        <v>572</v>
      </c>
      <c r="J145" s="21">
        <v>22</v>
      </c>
    </row>
    <row r="146" spans="1:10">
      <c r="A146" s="22" t="s">
        <v>1136</v>
      </c>
      <c r="B146" s="30"/>
      <c r="C146" s="30"/>
      <c r="D146" s="30" t="s">
        <v>1141</v>
      </c>
      <c r="E146" s="30" t="s">
        <v>115</v>
      </c>
      <c r="F146" s="30" t="s">
        <v>169</v>
      </c>
      <c r="G146" s="30" t="s">
        <v>1195</v>
      </c>
      <c r="H146" s="30" t="s">
        <v>241</v>
      </c>
      <c r="I146" s="30" t="s">
        <v>114</v>
      </c>
      <c r="J146" s="21">
        <v>23</v>
      </c>
    </row>
    <row r="147" spans="1:10">
      <c r="A147" s="22" t="s">
        <v>1136</v>
      </c>
      <c r="B147" s="30"/>
      <c r="C147" s="30"/>
      <c r="D147" s="30" t="s">
        <v>375</v>
      </c>
      <c r="E147" s="30" t="s">
        <v>115</v>
      </c>
      <c r="F147" s="30" t="s">
        <v>169</v>
      </c>
      <c r="G147" s="30" t="s">
        <v>1196</v>
      </c>
      <c r="H147" s="30" t="s">
        <v>241</v>
      </c>
      <c r="I147" s="30" t="s">
        <v>114</v>
      </c>
      <c r="J147" s="21">
        <v>24</v>
      </c>
    </row>
    <row r="148" spans="1:10">
      <c r="A148" s="22" t="s">
        <v>1136</v>
      </c>
      <c r="B148" s="30"/>
      <c r="C148" s="30"/>
      <c r="D148" s="30" t="s">
        <v>886</v>
      </c>
      <c r="E148" s="30" t="s">
        <v>112</v>
      </c>
      <c r="F148" s="30" t="s">
        <v>169</v>
      </c>
      <c r="G148" s="30" t="s">
        <v>571</v>
      </c>
      <c r="H148" s="30" t="s">
        <v>241</v>
      </c>
      <c r="I148" s="30" t="s">
        <v>572</v>
      </c>
      <c r="J148" s="21">
        <v>25</v>
      </c>
    </row>
    <row r="149" spans="1:10">
      <c r="A149" s="22" t="s">
        <v>1136</v>
      </c>
      <c r="B149" s="30"/>
      <c r="C149" s="30"/>
      <c r="D149" s="30" t="s">
        <v>625</v>
      </c>
      <c r="E149" s="30" t="s">
        <v>115</v>
      </c>
      <c r="F149" s="30" t="s">
        <v>180</v>
      </c>
      <c r="G149" s="30" t="s">
        <v>1202</v>
      </c>
      <c r="H149" s="30" t="s">
        <v>241</v>
      </c>
      <c r="I149" s="30" t="s">
        <v>114</v>
      </c>
      <c r="J149" s="21">
        <v>26</v>
      </c>
    </row>
    <row r="150" spans="1:10">
      <c r="A150" s="22" t="s">
        <v>1136</v>
      </c>
      <c r="B150" s="30"/>
      <c r="C150" s="30"/>
      <c r="D150" s="30" t="s">
        <v>376</v>
      </c>
      <c r="E150" s="30" t="s">
        <v>115</v>
      </c>
      <c r="F150" s="30" t="s">
        <v>180</v>
      </c>
      <c r="G150" s="30" t="s">
        <v>1203</v>
      </c>
      <c r="H150" s="30" t="s">
        <v>241</v>
      </c>
      <c r="I150" s="30" t="s">
        <v>114</v>
      </c>
      <c r="J150" s="21">
        <v>27</v>
      </c>
    </row>
    <row r="151" spans="1:10">
      <c r="A151" s="22" t="s">
        <v>1136</v>
      </c>
      <c r="B151" s="30"/>
      <c r="C151" s="30"/>
      <c r="D151" s="30" t="s">
        <v>887</v>
      </c>
      <c r="E151" s="30" t="s">
        <v>112</v>
      </c>
      <c r="F151" s="30" t="s">
        <v>180</v>
      </c>
      <c r="G151" s="30" t="s">
        <v>571</v>
      </c>
      <c r="H151" s="30" t="s">
        <v>241</v>
      </c>
      <c r="I151" s="30" t="s">
        <v>572</v>
      </c>
      <c r="J151" s="21">
        <v>28</v>
      </c>
    </row>
    <row r="152" spans="1:10">
      <c r="A152" s="22" t="s">
        <v>1136</v>
      </c>
      <c r="B152" s="30"/>
      <c r="C152" s="30"/>
      <c r="D152" s="30" t="s">
        <v>626</v>
      </c>
      <c r="E152" s="30" t="s">
        <v>115</v>
      </c>
      <c r="F152" s="30" t="s">
        <v>181</v>
      </c>
      <c r="G152" s="30" t="s">
        <v>1197</v>
      </c>
      <c r="H152" s="30" t="s">
        <v>241</v>
      </c>
      <c r="I152" s="30" t="s">
        <v>114</v>
      </c>
      <c r="J152" s="21">
        <v>29</v>
      </c>
    </row>
    <row r="153" spans="1:10">
      <c r="A153" s="22" t="s">
        <v>1136</v>
      </c>
      <c r="B153" s="30"/>
      <c r="C153" s="30"/>
      <c r="D153" s="30" t="s">
        <v>888</v>
      </c>
      <c r="E153" s="30" t="s">
        <v>115</v>
      </c>
      <c r="F153" s="30" t="s">
        <v>181</v>
      </c>
      <c r="G153" s="30" t="s">
        <v>1198</v>
      </c>
      <c r="H153" s="30" t="s">
        <v>241</v>
      </c>
      <c r="I153" s="30" t="s">
        <v>114</v>
      </c>
      <c r="J153" s="21">
        <v>30</v>
      </c>
    </row>
    <row r="154" spans="1:10">
      <c r="A154" s="22" t="s">
        <v>1136</v>
      </c>
      <c r="B154" s="30"/>
      <c r="C154" s="30"/>
      <c r="D154" s="30" t="s">
        <v>889</v>
      </c>
      <c r="E154" s="30" t="s">
        <v>112</v>
      </c>
      <c r="F154" s="30" t="s">
        <v>181</v>
      </c>
      <c r="G154" s="30" t="s">
        <v>571</v>
      </c>
      <c r="H154" s="30" t="s">
        <v>241</v>
      </c>
      <c r="I154" s="30" t="s">
        <v>572</v>
      </c>
      <c r="J154" s="21">
        <v>31</v>
      </c>
    </row>
    <row r="155" spans="1:10">
      <c r="A155" s="22" t="s">
        <v>1136</v>
      </c>
      <c r="B155" s="30"/>
      <c r="C155" s="30"/>
      <c r="D155" s="30" t="s">
        <v>627</v>
      </c>
      <c r="E155" s="30" t="s">
        <v>115</v>
      </c>
      <c r="F155" s="30" t="s">
        <v>182</v>
      </c>
      <c r="G155" s="30" t="s">
        <v>1199</v>
      </c>
      <c r="H155" s="30" t="s">
        <v>241</v>
      </c>
      <c r="I155" s="30" t="s">
        <v>114</v>
      </c>
      <c r="J155" s="21">
        <v>32</v>
      </c>
    </row>
    <row r="156" spans="1:10">
      <c r="A156" s="22" t="s">
        <v>1136</v>
      </c>
      <c r="B156" s="30"/>
      <c r="C156" s="30"/>
      <c r="D156" s="30" t="s">
        <v>890</v>
      </c>
      <c r="E156" s="30" t="s">
        <v>115</v>
      </c>
      <c r="F156" s="30" t="s">
        <v>182</v>
      </c>
      <c r="G156" s="30" t="s">
        <v>1200</v>
      </c>
      <c r="H156" s="30" t="s">
        <v>241</v>
      </c>
      <c r="I156" s="30" t="s">
        <v>114</v>
      </c>
      <c r="J156" s="21">
        <v>33</v>
      </c>
    </row>
    <row r="157" spans="1:10">
      <c r="A157" s="22" t="s">
        <v>1136</v>
      </c>
      <c r="B157" s="30"/>
      <c r="C157" s="30"/>
      <c r="D157" s="30" t="s">
        <v>891</v>
      </c>
      <c r="E157" s="30" t="s">
        <v>112</v>
      </c>
      <c r="F157" s="30" t="s">
        <v>182</v>
      </c>
      <c r="G157" s="30" t="s">
        <v>571</v>
      </c>
      <c r="H157" s="30" t="s">
        <v>241</v>
      </c>
      <c r="I157" s="30" t="s">
        <v>572</v>
      </c>
      <c r="J157" s="21">
        <v>34</v>
      </c>
    </row>
    <row r="158" spans="1:10">
      <c r="A158" s="22" t="s">
        <v>1136</v>
      </c>
      <c r="B158" s="30"/>
      <c r="C158" s="30"/>
      <c r="D158" s="30" t="s">
        <v>628</v>
      </c>
      <c r="E158" s="30" t="s">
        <v>115</v>
      </c>
      <c r="F158" s="30" t="s">
        <v>183</v>
      </c>
      <c r="G158" s="30" t="s">
        <v>1204</v>
      </c>
      <c r="H158" s="30" t="s">
        <v>241</v>
      </c>
      <c r="I158" s="30" t="s">
        <v>114</v>
      </c>
      <c r="J158" s="21">
        <v>35</v>
      </c>
    </row>
    <row r="159" spans="1:10">
      <c r="A159" s="22" t="s">
        <v>1136</v>
      </c>
      <c r="B159" s="30"/>
      <c r="C159" s="30"/>
      <c r="D159" s="30" t="s">
        <v>892</v>
      </c>
      <c r="E159" s="30" t="s">
        <v>115</v>
      </c>
      <c r="F159" s="30" t="s">
        <v>183</v>
      </c>
      <c r="G159" s="30" t="s">
        <v>1205</v>
      </c>
      <c r="H159" s="30" t="s">
        <v>241</v>
      </c>
      <c r="I159" s="30" t="s">
        <v>114</v>
      </c>
      <c r="J159" s="21">
        <v>36</v>
      </c>
    </row>
    <row r="160" spans="1:10">
      <c r="A160" s="22" t="s">
        <v>1136</v>
      </c>
      <c r="B160" s="30"/>
      <c r="C160" s="30"/>
      <c r="D160" s="30" t="s">
        <v>893</v>
      </c>
      <c r="E160" s="30" t="s">
        <v>112</v>
      </c>
      <c r="F160" s="30" t="s">
        <v>183</v>
      </c>
      <c r="G160" s="30" t="s">
        <v>571</v>
      </c>
      <c r="H160" s="30" t="s">
        <v>241</v>
      </c>
      <c r="I160" s="30" t="s">
        <v>572</v>
      </c>
      <c r="J160" s="21">
        <v>37</v>
      </c>
    </row>
    <row r="161" spans="1:10">
      <c r="A161" s="22" t="s">
        <v>1136</v>
      </c>
      <c r="B161" s="30"/>
      <c r="C161" s="30"/>
      <c r="D161" s="30" t="s">
        <v>629</v>
      </c>
      <c r="E161" s="30" t="s">
        <v>115</v>
      </c>
      <c r="F161" s="30" t="s">
        <v>184</v>
      </c>
      <c r="G161" s="30" t="s">
        <v>1189</v>
      </c>
      <c r="H161" s="30" t="s">
        <v>241</v>
      </c>
      <c r="I161" s="30" t="s">
        <v>114</v>
      </c>
      <c r="J161" s="21">
        <v>38</v>
      </c>
    </row>
    <row r="162" spans="1:10">
      <c r="A162" s="22" t="s">
        <v>1136</v>
      </c>
      <c r="B162" s="30"/>
      <c r="C162" s="30"/>
      <c r="D162" s="30" t="s">
        <v>894</v>
      </c>
      <c r="E162" s="30" t="s">
        <v>115</v>
      </c>
      <c r="F162" s="30" t="s">
        <v>184</v>
      </c>
      <c r="G162" s="30" t="s">
        <v>1190</v>
      </c>
      <c r="H162" s="30" t="s">
        <v>241</v>
      </c>
      <c r="I162" s="30" t="s">
        <v>114</v>
      </c>
      <c r="J162" s="21">
        <v>39</v>
      </c>
    </row>
    <row r="163" spans="1:10">
      <c r="A163" s="22" t="s">
        <v>1136</v>
      </c>
      <c r="B163" s="30"/>
      <c r="C163" s="30"/>
      <c r="D163" s="30" t="s">
        <v>1142</v>
      </c>
      <c r="E163" s="30" t="s">
        <v>112</v>
      </c>
      <c r="F163" s="30" t="s">
        <v>184</v>
      </c>
      <c r="G163" s="30" t="s">
        <v>571</v>
      </c>
      <c r="H163" s="30" t="s">
        <v>241</v>
      </c>
      <c r="I163" s="30" t="s">
        <v>572</v>
      </c>
      <c r="J163" s="21">
        <v>40</v>
      </c>
    </row>
    <row r="164" spans="1:10">
      <c r="A164" s="22" t="s">
        <v>1137</v>
      </c>
      <c r="B164" s="30"/>
      <c r="C164" s="30"/>
      <c r="D164" s="30" t="s">
        <v>821</v>
      </c>
      <c r="E164" s="30" t="s">
        <v>822</v>
      </c>
      <c r="F164" s="30" t="s">
        <v>111</v>
      </c>
      <c r="G164" s="30" t="s">
        <v>865</v>
      </c>
      <c r="H164" s="30" t="s">
        <v>241</v>
      </c>
      <c r="I164" s="30" t="s">
        <v>232</v>
      </c>
      <c r="J164" s="21">
        <v>41</v>
      </c>
    </row>
    <row r="165" spans="1:10">
      <c r="A165" s="22" t="s">
        <v>1137</v>
      </c>
      <c r="B165" s="30"/>
      <c r="C165" s="30"/>
      <c r="D165" s="30" t="s">
        <v>331</v>
      </c>
      <c r="E165" s="30" t="s">
        <v>822</v>
      </c>
      <c r="F165" s="30" t="s">
        <v>111</v>
      </c>
      <c r="G165" s="30" t="s">
        <v>865</v>
      </c>
      <c r="H165" s="30" t="s">
        <v>241</v>
      </c>
      <c r="I165" s="30" t="s">
        <v>823</v>
      </c>
      <c r="J165" s="21">
        <v>42</v>
      </c>
    </row>
    <row r="166" spans="1:10">
      <c r="A166" s="28"/>
      <c r="B166" s="28"/>
      <c r="C166" s="28"/>
      <c r="D166" s="28"/>
      <c r="E166" s="29" t="s">
        <v>368</v>
      </c>
      <c r="F166" s="28"/>
      <c r="G166" s="28"/>
      <c r="H166" s="28"/>
      <c r="I166" s="28"/>
    </row>
    <row r="167" spans="1:10">
      <c r="A167" s="22" t="s">
        <v>1136</v>
      </c>
      <c r="B167" s="30"/>
      <c r="C167" s="30"/>
      <c r="D167" s="22" t="s">
        <v>350</v>
      </c>
      <c r="E167" s="30" t="s">
        <v>115</v>
      </c>
      <c r="F167" s="30" t="s">
        <v>111</v>
      </c>
      <c r="G167" s="30" t="s">
        <v>863</v>
      </c>
      <c r="H167" s="30" t="s">
        <v>241</v>
      </c>
      <c r="I167" s="30" t="s">
        <v>114</v>
      </c>
    </row>
    <row r="168" spans="1:10">
      <c r="A168" s="22" t="s">
        <v>1136</v>
      </c>
      <c r="B168" s="30"/>
      <c r="C168" s="30"/>
      <c r="D168" s="22" t="s">
        <v>266</v>
      </c>
      <c r="E168" s="30" t="s">
        <v>120</v>
      </c>
      <c r="F168" s="30" t="s">
        <v>111</v>
      </c>
      <c r="G168" s="30" t="s">
        <v>863</v>
      </c>
      <c r="H168" s="30" t="s">
        <v>241</v>
      </c>
      <c r="I168" s="30" t="s">
        <v>114</v>
      </c>
    </row>
    <row r="169" spans="1:10">
      <c r="A169" s="22" t="s">
        <v>1136</v>
      </c>
      <c r="B169" s="30"/>
      <c r="C169" s="30"/>
      <c r="D169" s="30" t="s">
        <v>267</v>
      </c>
      <c r="E169" s="30" t="s">
        <v>112</v>
      </c>
      <c r="F169" s="30" t="s">
        <v>111</v>
      </c>
      <c r="G169" s="30" t="s">
        <v>113</v>
      </c>
      <c r="H169" s="30" t="s">
        <v>241</v>
      </c>
      <c r="I169" s="30" t="s">
        <v>114</v>
      </c>
    </row>
    <row r="170" spans="1:10">
      <c r="A170" s="22" t="s">
        <v>1136</v>
      </c>
      <c r="C170" s="30"/>
      <c r="D170" s="30" t="s">
        <v>268</v>
      </c>
      <c r="E170" s="30" t="s">
        <v>115</v>
      </c>
      <c r="F170" s="30" t="s">
        <v>111</v>
      </c>
      <c r="G170" s="30" t="s">
        <v>863</v>
      </c>
      <c r="H170" s="30" t="s">
        <v>241</v>
      </c>
      <c r="I170" s="30" t="s">
        <v>204</v>
      </c>
    </row>
    <row r="171" spans="1:10">
      <c r="A171" s="22" t="s">
        <v>1136</v>
      </c>
      <c r="C171" s="30"/>
      <c r="D171" s="30" t="s">
        <v>302</v>
      </c>
      <c r="E171" s="30" t="s">
        <v>115</v>
      </c>
      <c r="F171" s="30" t="s">
        <v>111</v>
      </c>
      <c r="G171" s="30" t="s">
        <v>863</v>
      </c>
      <c r="H171" s="30" t="s">
        <v>241</v>
      </c>
      <c r="I171" s="30" t="s">
        <v>232</v>
      </c>
    </row>
    <row r="172" spans="1:10">
      <c r="A172" s="22" t="s">
        <v>1136</v>
      </c>
      <c r="B172" s="30"/>
      <c r="C172" s="30"/>
      <c r="D172" s="30" t="s">
        <v>303</v>
      </c>
      <c r="E172" s="30" t="s">
        <v>115</v>
      </c>
      <c r="F172" s="30" t="s">
        <v>111</v>
      </c>
      <c r="G172" s="30" t="s">
        <v>863</v>
      </c>
      <c r="H172" s="30" t="s">
        <v>241</v>
      </c>
      <c r="I172" s="30" t="s">
        <v>118</v>
      </c>
    </row>
    <row r="173" spans="1:10">
      <c r="A173" s="22" t="s">
        <v>1136</v>
      </c>
      <c r="B173" s="30"/>
      <c r="C173" s="30"/>
      <c r="D173" s="30" t="s">
        <v>351</v>
      </c>
      <c r="E173" s="30" t="s">
        <v>115</v>
      </c>
      <c r="F173" s="30" t="s">
        <v>111</v>
      </c>
      <c r="G173" s="30" t="s">
        <v>864</v>
      </c>
      <c r="H173" s="30" t="s">
        <v>241</v>
      </c>
      <c r="I173" s="30" t="s">
        <v>118</v>
      </c>
    </row>
    <row r="174" spans="1:10">
      <c r="A174" s="22" t="s">
        <v>1136</v>
      </c>
      <c r="C174" s="30"/>
      <c r="D174" s="30" t="s">
        <v>911</v>
      </c>
      <c r="E174" s="30" t="s">
        <v>112</v>
      </c>
      <c r="F174" s="30" t="s">
        <v>247</v>
      </c>
      <c r="G174" s="30"/>
      <c r="H174" s="30" t="s">
        <v>241</v>
      </c>
      <c r="I174" s="30" t="s">
        <v>118</v>
      </c>
    </row>
    <row r="175" spans="1:10">
      <c r="A175" s="22" t="s">
        <v>1136</v>
      </c>
      <c r="C175" s="30"/>
      <c r="D175" s="30" t="s">
        <v>912</v>
      </c>
      <c r="E175" s="30" t="s">
        <v>127</v>
      </c>
      <c r="F175" s="30" t="s">
        <v>247</v>
      </c>
      <c r="G175" s="30"/>
      <c r="H175" s="30" t="s">
        <v>241</v>
      </c>
      <c r="I175" s="30" t="s">
        <v>118</v>
      </c>
    </row>
    <row r="176" spans="1:10">
      <c r="A176" s="22" t="s">
        <v>1136</v>
      </c>
      <c r="B176" s="30"/>
      <c r="C176" s="30"/>
      <c r="D176" s="30" t="s">
        <v>913</v>
      </c>
      <c r="E176" s="30" t="s">
        <v>112</v>
      </c>
      <c r="F176" s="30" t="s">
        <v>123</v>
      </c>
      <c r="G176" s="30"/>
      <c r="H176" s="30" t="s">
        <v>241</v>
      </c>
      <c r="I176" s="30" t="s">
        <v>240</v>
      </c>
    </row>
    <row r="177" spans="1:9">
      <c r="A177" s="22" t="s">
        <v>1136</v>
      </c>
      <c r="B177" s="30"/>
      <c r="C177" s="30"/>
      <c r="D177" s="30" t="s">
        <v>914</v>
      </c>
      <c r="E177" s="30" t="s">
        <v>127</v>
      </c>
      <c r="F177" s="30" t="s">
        <v>123</v>
      </c>
      <c r="G177" s="30"/>
      <c r="H177" s="30" t="s">
        <v>241</v>
      </c>
      <c r="I177" s="30" t="s">
        <v>240</v>
      </c>
    </row>
    <row r="178" spans="1:9">
      <c r="A178" s="22" t="s">
        <v>1136</v>
      </c>
      <c r="B178" s="30"/>
      <c r="C178" s="30"/>
      <c r="D178" s="30" t="s">
        <v>352</v>
      </c>
      <c r="E178" s="30" t="s">
        <v>112</v>
      </c>
      <c r="F178" s="30" t="s">
        <v>866</v>
      </c>
      <c r="G178" s="30"/>
      <c r="H178" s="30" t="s">
        <v>241</v>
      </c>
      <c r="I178" s="30" t="s">
        <v>126</v>
      </c>
    </row>
    <row r="179" spans="1:9">
      <c r="A179" s="22" t="s">
        <v>1136</v>
      </c>
      <c r="B179" s="30"/>
      <c r="C179" s="30"/>
      <c r="D179" s="30" t="s">
        <v>353</v>
      </c>
      <c r="E179" s="30" t="s">
        <v>127</v>
      </c>
      <c r="F179" s="30" t="s">
        <v>866</v>
      </c>
      <c r="G179" s="30"/>
      <c r="H179" s="30" t="s">
        <v>241</v>
      </c>
      <c r="I179" s="30" t="s">
        <v>126</v>
      </c>
    </row>
    <row r="180" spans="1:9">
      <c r="A180" s="22" t="s">
        <v>1136</v>
      </c>
      <c r="B180" s="30"/>
      <c r="C180" s="30"/>
      <c r="D180" s="30" t="s">
        <v>915</v>
      </c>
      <c r="E180" s="30" t="s">
        <v>112</v>
      </c>
      <c r="F180" s="30" t="s">
        <v>866</v>
      </c>
      <c r="G180" s="30"/>
      <c r="H180" s="30" t="s">
        <v>241</v>
      </c>
      <c r="I180" s="30" t="s">
        <v>128</v>
      </c>
    </row>
    <row r="181" spans="1:9">
      <c r="A181" s="22" t="s">
        <v>1136</v>
      </c>
      <c r="B181" s="30"/>
      <c r="C181" s="30"/>
      <c r="D181" s="30" t="s">
        <v>916</v>
      </c>
      <c r="E181" s="30" t="s">
        <v>127</v>
      </c>
      <c r="F181" s="30" t="s">
        <v>866</v>
      </c>
      <c r="G181" s="30"/>
      <c r="H181" s="30" t="s">
        <v>241</v>
      </c>
      <c r="I181" s="30" t="s">
        <v>128</v>
      </c>
    </row>
    <row r="182" spans="1:9">
      <c r="A182" s="22" t="s">
        <v>1136</v>
      </c>
      <c r="B182" s="30"/>
      <c r="C182" s="30"/>
      <c r="D182" s="22" t="s">
        <v>304</v>
      </c>
      <c r="E182" s="30" t="s">
        <v>120</v>
      </c>
      <c r="F182" s="30" t="s">
        <v>111</v>
      </c>
      <c r="G182" s="30"/>
      <c r="H182" s="30" t="s">
        <v>241</v>
      </c>
      <c r="I182" s="30" t="s">
        <v>213</v>
      </c>
    </row>
    <row r="183" spans="1:9">
      <c r="A183" s="22" t="s">
        <v>1136</v>
      </c>
      <c r="B183" s="30"/>
      <c r="C183" s="30"/>
      <c r="D183" s="30" t="s">
        <v>655</v>
      </c>
      <c r="E183" s="30" t="s">
        <v>115</v>
      </c>
      <c r="F183" s="30" t="s">
        <v>178</v>
      </c>
      <c r="G183" s="30" t="s">
        <v>1191</v>
      </c>
      <c r="H183" s="30" t="s">
        <v>241</v>
      </c>
      <c r="I183" s="30" t="s">
        <v>114</v>
      </c>
    </row>
    <row r="184" spans="1:9">
      <c r="A184" s="22" t="s">
        <v>1136</v>
      </c>
      <c r="B184" s="30"/>
      <c r="C184" s="30"/>
      <c r="D184" s="30" t="s">
        <v>355</v>
      </c>
      <c r="E184" s="30" t="s">
        <v>115</v>
      </c>
      <c r="F184" s="30" t="s">
        <v>178</v>
      </c>
      <c r="G184" s="30" t="s">
        <v>1192</v>
      </c>
      <c r="H184" s="30" t="s">
        <v>241</v>
      </c>
      <c r="I184" s="30" t="s">
        <v>114</v>
      </c>
    </row>
    <row r="185" spans="1:9">
      <c r="A185" s="22" t="s">
        <v>1136</v>
      </c>
      <c r="B185" s="30"/>
      <c r="C185" s="30"/>
      <c r="D185" s="30" t="s">
        <v>1143</v>
      </c>
      <c r="E185" s="30" t="s">
        <v>112</v>
      </c>
      <c r="F185" s="30" t="s">
        <v>178</v>
      </c>
      <c r="G185" s="30" t="s">
        <v>571</v>
      </c>
      <c r="H185" s="30" t="s">
        <v>241</v>
      </c>
      <c r="I185" s="30" t="s">
        <v>572</v>
      </c>
    </row>
    <row r="186" spans="1:9">
      <c r="A186" s="22" t="s">
        <v>1136</v>
      </c>
      <c r="B186" s="30"/>
      <c r="C186" s="30"/>
      <c r="D186" s="30" t="s">
        <v>656</v>
      </c>
      <c r="E186" s="30" t="s">
        <v>115</v>
      </c>
      <c r="F186" s="30" t="s">
        <v>179</v>
      </c>
      <c r="G186" s="30" t="s">
        <v>1193</v>
      </c>
      <c r="H186" s="30" t="s">
        <v>241</v>
      </c>
      <c r="I186" s="30" t="s">
        <v>114</v>
      </c>
    </row>
    <row r="187" spans="1:9">
      <c r="A187" s="22" t="s">
        <v>1136</v>
      </c>
      <c r="B187" s="30"/>
      <c r="C187" s="30"/>
      <c r="D187" s="30" t="s">
        <v>356</v>
      </c>
      <c r="E187" s="30" t="s">
        <v>115</v>
      </c>
      <c r="F187" s="30" t="s">
        <v>179</v>
      </c>
      <c r="G187" s="30" t="s">
        <v>1194</v>
      </c>
      <c r="H187" s="30" t="s">
        <v>241</v>
      </c>
      <c r="I187" s="30" t="s">
        <v>114</v>
      </c>
    </row>
    <row r="188" spans="1:9">
      <c r="A188" s="22" t="s">
        <v>1136</v>
      </c>
      <c r="B188" s="30"/>
      <c r="C188" s="30"/>
      <c r="D188" s="30" t="s">
        <v>917</v>
      </c>
      <c r="E188" s="30" t="s">
        <v>112</v>
      </c>
      <c r="F188" s="30" t="s">
        <v>179</v>
      </c>
      <c r="G188" s="30" t="s">
        <v>571</v>
      </c>
      <c r="H188" s="30" t="s">
        <v>241</v>
      </c>
      <c r="I188" s="30" t="s">
        <v>572</v>
      </c>
    </row>
    <row r="189" spans="1:9">
      <c r="A189" s="22" t="s">
        <v>1136</v>
      </c>
      <c r="B189" s="30"/>
      <c r="C189" s="30"/>
      <c r="D189" s="30" t="s">
        <v>1144</v>
      </c>
      <c r="E189" s="30" t="s">
        <v>115</v>
      </c>
      <c r="F189" s="30" t="s">
        <v>169</v>
      </c>
      <c r="G189" s="30" t="s">
        <v>1195</v>
      </c>
      <c r="H189" s="30" t="s">
        <v>241</v>
      </c>
      <c r="I189" s="30" t="s">
        <v>114</v>
      </c>
    </row>
    <row r="190" spans="1:9">
      <c r="A190" s="22" t="s">
        <v>1136</v>
      </c>
      <c r="B190" s="30"/>
      <c r="C190" s="30"/>
      <c r="D190" s="30" t="s">
        <v>357</v>
      </c>
      <c r="E190" s="30" t="s">
        <v>115</v>
      </c>
      <c r="F190" s="30" t="s">
        <v>169</v>
      </c>
      <c r="G190" s="30" t="s">
        <v>1196</v>
      </c>
      <c r="H190" s="30" t="s">
        <v>241</v>
      </c>
      <c r="I190" s="30" t="s">
        <v>114</v>
      </c>
    </row>
    <row r="191" spans="1:9">
      <c r="A191" s="22" t="s">
        <v>1136</v>
      </c>
      <c r="B191" s="30"/>
      <c r="C191" s="30"/>
      <c r="D191" s="30" t="s">
        <v>918</v>
      </c>
      <c r="E191" s="30" t="s">
        <v>112</v>
      </c>
      <c r="F191" s="30" t="s">
        <v>169</v>
      </c>
      <c r="G191" s="30" t="s">
        <v>571</v>
      </c>
      <c r="H191" s="30" t="s">
        <v>241</v>
      </c>
      <c r="I191" s="30" t="s">
        <v>572</v>
      </c>
    </row>
    <row r="192" spans="1:9">
      <c r="A192" s="22" t="s">
        <v>1136</v>
      </c>
      <c r="B192" s="30"/>
      <c r="C192" s="30"/>
      <c r="D192" s="30" t="s">
        <v>657</v>
      </c>
      <c r="E192" s="30" t="s">
        <v>115</v>
      </c>
      <c r="F192" s="30" t="s">
        <v>180</v>
      </c>
      <c r="G192" s="30" t="s">
        <v>1202</v>
      </c>
      <c r="H192" s="30" t="s">
        <v>241</v>
      </c>
      <c r="I192" s="30" t="s">
        <v>114</v>
      </c>
    </row>
    <row r="193" spans="1:9">
      <c r="A193" s="22" t="s">
        <v>1136</v>
      </c>
      <c r="B193" s="30"/>
      <c r="C193" s="30"/>
      <c r="D193" s="30" t="s">
        <v>358</v>
      </c>
      <c r="E193" s="30" t="s">
        <v>115</v>
      </c>
      <c r="F193" s="30" t="s">
        <v>180</v>
      </c>
      <c r="G193" s="30" t="s">
        <v>1203</v>
      </c>
      <c r="H193" s="30" t="s">
        <v>241</v>
      </c>
      <c r="I193" s="30" t="s">
        <v>114</v>
      </c>
    </row>
    <row r="194" spans="1:9">
      <c r="A194" s="22" t="s">
        <v>1136</v>
      </c>
      <c r="B194" s="30"/>
      <c r="C194" s="30"/>
      <c r="D194" s="30" t="s">
        <v>919</v>
      </c>
      <c r="E194" s="30" t="s">
        <v>112</v>
      </c>
      <c r="F194" s="30" t="s">
        <v>180</v>
      </c>
      <c r="G194" s="30" t="s">
        <v>571</v>
      </c>
      <c r="H194" s="30" t="s">
        <v>241</v>
      </c>
      <c r="I194" s="30" t="s">
        <v>572</v>
      </c>
    </row>
    <row r="195" spans="1:9">
      <c r="A195" s="22" t="s">
        <v>1136</v>
      </c>
      <c r="B195" s="30"/>
      <c r="C195" s="30"/>
      <c r="D195" s="30" t="s">
        <v>630</v>
      </c>
      <c r="E195" s="30" t="s">
        <v>115</v>
      </c>
      <c r="F195" s="30" t="s">
        <v>181</v>
      </c>
      <c r="G195" s="30" t="s">
        <v>1197</v>
      </c>
      <c r="H195" s="30" t="s">
        <v>241</v>
      </c>
      <c r="I195" s="30" t="s">
        <v>114</v>
      </c>
    </row>
    <row r="196" spans="1:9">
      <c r="A196" s="22" t="s">
        <v>1136</v>
      </c>
      <c r="B196" s="30"/>
      <c r="C196" s="30"/>
      <c r="D196" s="30" t="s">
        <v>920</v>
      </c>
      <c r="E196" s="30" t="s">
        <v>115</v>
      </c>
      <c r="F196" s="30" t="s">
        <v>181</v>
      </c>
      <c r="G196" s="30" t="s">
        <v>1198</v>
      </c>
      <c r="H196" s="30" t="s">
        <v>241</v>
      </c>
      <c r="I196" s="30" t="s">
        <v>114</v>
      </c>
    </row>
    <row r="197" spans="1:9">
      <c r="A197" s="22" t="s">
        <v>1136</v>
      </c>
      <c r="B197" s="30"/>
      <c r="C197" s="30"/>
      <c r="D197" s="30" t="s">
        <v>921</v>
      </c>
      <c r="E197" s="30" t="s">
        <v>112</v>
      </c>
      <c r="F197" s="30" t="s">
        <v>181</v>
      </c>
      <c r="G197" s="30" t="s">
        <v>571</v>
      </c>
      <c r="H197" s="30" t="s">
        <v>241</v>
      </c>
      <c r="I197" s="30" t="s">
        <v>572</v>
      </c>
    </row>
    <row r="198" spans="1:9">
      <c r="A198" s="22" t="s">
        <v>1136</v>
      </c>
      <c r="B198" s="30"/>
      <c r="C198" s="30"/>
      <c r="D198" s="30" t="s">
        <v>631</v>
      </c>
      <c r="E198" s="30" t="s">
        <v>115</v>
      </c>
      <c r="F198" s="30" t="s">
        <v>182</v>
      </c>
      <c r="G198" s="30" t="s">
        <v>1199</v>
      </c>
      <c r="H198" s="30" t="s">
        <v>241</v>
      </c>
      <c r="I198" s="30" t="s">
        <v>114</v>
      </c>
    </row>
    <row r="199" spans="1:9">
      <c r="A199" s="22" t="s">
        <v>1136</v>
      </c>
      <c r="B199" s="30"/>
      <c r="C199" s="30"/>
      <c r="D199" s="30" t="s">
        <v>922</v>
      </c>
      <c r="E199" s="30" t="s">
        <v>115</v>
      </c>
      <c r="F199" s="30" t="s">
        <v>182</v>
      </c>
      <c r="G199" s="30" t="s">
        <v>1200</v>
      </c>
      <c r="H199" s="30" t="s">
        <v>241</v>
      </c>
      <c r="I199" s="30" t="s">
        <v>114</v>
      </c>
    </row>
    <row r="200" spans="1:9">
      <c r="A200" s="22" t="s">
        <v>1136</v>
      </c>
      <c r="B200" s="30"/>
      <c r="C200" s="30"/>
      <c r="D200" s="30" t="s">
        <v>923</v>
      </c>
      <c r="E200" s="30" t="s">
        <v>112</v>
      </c>
      <c r="F200" s="30" t="s">
        <v>182</v>
      </c>
      <c r="G200" s="30" t="s">
        <v>571</v>
      </c>
      <c r="H200" s="30" t="s">
        <v>241</v>
      </c>
      <c r="I200" s="30" t="s">
        <v>572</v>
      </c>
    </row>
    <row r="201" spans="1:9">
      <c r="A201" s="22" t="s">
        <v>1136</v>
      </c>
      <c r="B201" s="30"/>
      <c r="C201" s="30"/>
      <c r="D201" s="30" t="s">
        <v>632</v>
      </c>
      <c r="E201" s="30" t="s">
        <v>115</v>
      </c>
      <c r="F201" s="30" t="s">
        <v>183</v>
      </c>
      <c r="G201" s="30" t="s">
        <v>1204</v>
      </c>
      <c r="H201" s="30" t="s">
        <v>241</v>
      </c>
      <c r="I201" s="30" t="s">
        <v>114</v>
      </c>
    </row>
    <row r="202" spans="1:9">
      <c r="A202" s="22" t="s">
        <v>1136</v>
      </c>
      <c r="B202" s="30"/>
      <c r="C202" s="30"/>
      <c r="D202" s="30" t="s">
        <v>924</v>
      </c>
      <c r="E202" s="30" t="s">
        <v>115</v>
      </c>
      <c r="F202" s="30" t="s">
        <v>183</v>
      </c>
      <c r="G202" s="30" t="s">
        <v>1205</v>
      </c>
      <c r="H202" s="30" t="s">
        <v>241</v>
      </c>
      <c r="I202" s="30" t="s">
        <v>114</v>
      </c>
    </row>
    <row r="203" spans="1:9">
      <c r="A203" s="22" t="s">
        <v>1136</v>
      </c>
      <c r="B203" s="30"/>
      <c r="C203" s="30"/>
      <c r="D203" s="30" t="s">
        <v>925</v>
      </c>
      <c r="E203" s="30" t="s">
        <v>112</v>
      </c>
      <c r="F203" s="30" t="s">
        <v>183</v>
      </c>
      <c r="G203" s="30" t="s">
        <v>571</v>
      </c>
      <c r="H203" s="30" t="s">
        <v>241</v>
      </c>
      <c r="I203" s="30" t="s">
        <v>572</v>
      </c>
    </row>
    <row r="204" spans="1:9">
      <c r="A204" s="22" t="s">
        <v>1136</v>
      </c>
      <c r="B204" s="30"/>
      <c r="C204" s="30"/>
      <c r="D204" s="30" t="s">
        <v>633</v>
      </c>
      <c r="E204" s="30" t="s">
        <v>115</v>
      </c>
      <c r="F204" s="30" t="s">
        <v>184</v>
      </c>
      <c r="G204" s="30" t="s">
        <v>1189</v>
      </c>
      <c r="H204" s="30" t="s">
        <v>241</v>
      </c>
      <c r="I204" s="30" t="s">
        <v>114</v>
      </c>
    </row>
    <row r="205" spans="1:9">
      <c r="A205" s="22" t="s">
        <v>1136</v>
      </c>
      <c r="B205" s="30"/>
      <c r="C205" s="30"/>
      <c r="D205" s="30" t="s">
        <v>926</v>
      </c>
      <c r="E205" s="30" t="s">
        <v>115</v>
      </c>
      <c r="F205" s="30" t="s">
        <v>184</v>
      </c>
      <c r="G205" s="30" t="s">
        <v>1190</v>
      </c>
      <c r="H205" s="30" t="s">
        <v>241</v>
      </c>
      <c r="I205" s="30" t="s">
        <v>114</v>
      </c>
    </row>
    <row r="206" spans="1:9">
      <c r="A206" s="22" t="s">
        <v>1136</v>
      </c>
      <c r="B206" s="30"/>
      <c r="C206" s="30"/>
      <c r="D206" s="30" t="s">
        <v>1145</v>
      </c>
      <c r="E206" s="30" t="s">
        <v>112</v>
      </c>
      <c r="F206" s="30" t="s">
        <v>184</v>
      </c>
      <c r="G206" s="30" t="s">
        <v>571</v>
      </c>
      <c r="H206" s="30" t="s">
        <v>241</v>
      </c>
      <c r="I206" s="30" t="s">
        <v>572</v>
      </c>
    </row>
    <row r="207" spans="1:9">
      <c r="A207" s="22" t="s">
        <v>1137</v>
      </c>
      <c r="B207" s="30"/>
      <c r="C207" s="30"/>
      <c r="D207" s="30" t="s">
        <v>529</v>
      </c>
      <c r="E207" s="30" t="s">
        <v>822</v>
      </c>
      <c r="F207" s="30" t="s">
        <v>111</v>
      </c>
      <c r="G207" s="30" t="s">
        <v>865</v>
      </c>
      <c r="H207" s="30" t="s">
        <v>241</v>
      </c>
      <c r="I207" s="30" t="s">
        <v>823</v>
      </c>
    </row>
    <row r="208" spans="1:9">
      <c r="A208" s="22" t="s">
        <v>1137</v>
      </c>
      <c r="B208" s="30"/>
      <c r="C208" s="30"/>
      <c r="D208" s="30" t="s">
        <v>741</v>
      </c>
      <c r="E208" s="30" t="s">
        <v>822</v>
      </c>
      <c r="F208" s="30" t="s">
        <v>111</v>
      </c>
      <c r="G208" s="30" t="s">
        <v>865</v>
      </c>
      <c r="H208" s="30" t="s">
        <v>241</v>
      </c>
      <c r="I208" s="30" t="s">
        <v>232</v>
      </c>
    </row>
    <row r="209" spans="1:9">
      <c r="A209" s="28"/>
      <c r="B209" s="28"/>
      <c r="C209" s="28"/>
      <c r="D209" s="28"/>
      <c r="E209" s="29" t="s">
        <v>505</v>
      </c>
      <c r="F209" s="28"/>
      <c r="G209" s="28"/>
      <c r="H209" s="28"/>
      <c r="I209" s="28"/>
    </row>
    <row r="210" spans="1:9">
      <c r="A210" s="22" t="s">
        <v>1136</v>
      </c>
      <c r="B210" s="30"/>
      <c r="C210" s="30"/>
      <c r="D210" s="22" t="s">
        <v>477</v>
      </c>
      <c r="E210" s="30" t="s">
        <v>115</v>
      </c>
      <c r="F210" s="30" t="s">
        <v>111</v>
      </c>
      <c r="G210" s="30" t="s">
        <v>863</v>
      </c>
      <c r="H210" s="30" t="s">
        <v>241</v>
      </c>
      <c r="I210" s="30" t="s">
        <v>114</v>
      </c>
    </row>
    <row r="211" spans="1:9">
      <c r="A211" s="22" t="s">
        <v>1136</v>
      </c>
      <c r="B211" s="30"/>
      <c r="C211" s="30"/>
      <c r="D211" s="22" t="s">
        <v>478</v>
      </c>
      <c r="E211" s="30" t="s">
        <v>120</v>
      </c>
      <c r="F211" s="30" t="s">
        <v>111</v>
      </c>
      <c r="G211" s="30" t="s">
        <v>863</v>
      </c>
      <c r="H211" s="30" t="s">
        <v>241</v>
      </c>
      <c r="I211" s="30" t="s">
        <v>114</v>
      </c>
    </row>
    <row r="212" spans="1:9">
      <c r="A212" s="22" t="s">
        <v>1136</v>
      </c>
      <c r="B212" s="30"/>
      <c r="C212" s="30"/>
      <c r="D212" s="30" t="s">
        <v>479</v>
      </c>
      <c r="E212" s="30" t="s">
        <v>112</v>
      </c>
      <c r="F212" s="30" t="s">
        <v>111</v>
      </c>
      <c r="G212" s="30" t="s">
        <v>113</v>
      </c>
      <c r="H212" s="30" t="s">
        <v>241</v>
      </c>
      <c r="I212" s="30" t="s">
        <v>114</v>
      </c>
    </row>
    <row r="213" spans="1:9">
      <c r="A213" s="22" t="s">
        <v>1136</v>
      </c>
      <c r="C213" s="30"/>
      <c r="D213" s="30" t="s">
        <v>480</v>
      </c>
      <c r="E213" s="30" t="s">
        <v>115</v>
      </c>
      <c r="F213" s="30" t="s">
        <v>111</v>
      </c>
      <c r="G213" s="30" t="s">
        <v>863</v>
      </c>
      <c r="H213" s="30" t="s">
        <v>241</v>
      </c>
      <c r="I213" s="30" t="s">
        <v>204</v>
      </c>
    </row>
    <row r="214" spans="1:9">
      <c r="A214" s="22" t="s">
        <v>1136</v>
      </c>
      <c r="C214" s="30"/>
      <c r="D214" s="30" t="s">
        <v>481</v>
      </c>
      <c r="E214" s="30" t="s">
        <v>115</v>
      </c>
      <c r="F214" s="30" t="s">
        <v>111</v>
      </c>
      <c r="G214" s="30" t="s">
        <v>863</v>
      </c>
      <c r="H214" s="30" t="s">
        <v>241</v>
      </c>
      <c r="I214" s="30" t="s">
        <v>232</v>
      </c>
    </row>
    <row r="215" spans="1:9">
      <c r="A215" s="22" t="s">
        <v>1136</v>
      </c>
      <c r="B215" s="30"/>
      <c r="C215" s="30"/>
      <c r="D215" s="30" t="s">
        <v>482</v>
      </c>
      <c r="E215" s="30" t="s">
        <v>115</v>
      </c>
      <c r="F215" s="30" t="s">
        <v>111</v>
      </c>
      <c r="G215" s="30" t="s">
        <v>863</v>
      </c>
      <c r="H215" s="30" t="s">
        <v>241</v>
      </c>
      <c r="I215" s="30" t="s">
        <v>118</v>
      </c>
    </row>
    <row r="216" spans="1:9">
      <c r="A216" s="22" t="s">
        <v>1136</v>
      </c>
      <c r="B216" s="30"/>
      <c r="C216" s="30"/>
      <c r="D216" s="30" t="s">
        <v>483</v>
      </c>
      <c r="E216" s="30" t="s">
        <v>115</v>
      </c>
      <c r="F216" s="30" t="s">
        <v>111</v>
      </c>
      <c r="G216" s="30" t="s">
        <v>864</v>
      </c>
      <c r="H216" s="30" t="s">
        <v>241</v>
      </c>
      <c r="I216" s="30" t="s">
        <v>118</v>
      </c>
    </row>
    <row r="217" spans="1:9">
      <c r="A217" s="22" t="s">
        <v>1136</v>
      </c>
      <c r="C217" s="30"/>
      <c r="D217" s="30" t="s">
        <v>895</v>
      </c>
      <c r="E217" s="30" t="s">
        <v>112</v>
      </c>
      <c r="F217" s="30" t="s">
        <v>247</v>
      </c>
      <c r="G217" s="30"/>
      <c r="H217" s="30" t="s">
        <v>241</v>
      </c>
      <c r="I217" s="30" t="s">
        <v>118</v>
      </c>
    </row>
    <row r="218" spans="1:9">
      <c r="A218" s="22" t="s">
        <v>1136</v>
      </c>
      <c r="C218" s="30"/>
      <c r="D218" s="30" t="s">
        <v>896</v>
      </c>
      <c r="E218" s="30" t="s">
        <v>127</v>
      </c>
      <c r="F218" s="30" t="s">
        <v>247</v>
      </c>
      <c r="G218" s="30"/>
      <c r="H218" s="30" t="s">
        <v>241</v>
      </c>
      <c r="I218" s="30" t="s">
        <v>118</v>
      </c>
    </row>
    <row r="219" spans="1:9">
      <c r="A219" s="22" t="s">
        <v>1136</v>
      </c>
      <c r="B219" s="30"/>
      <c r="C219" s="30"/>
      <c r="D219" s="30" t="s">
        <v>897</v>
      </c>
      <c r="E219" s="30" t="s">
        <v>112</v>
      </c>
      <c r="F219" s="30" t="s">
        <v>123</v>
      </c>
      <c r="G219" s="30"/>
      <c r="H219" s="30" t="s">
        <v>241</v>
      </c>
      <c r="I219" s="30" t="s">
        <v>240</v>
      </c>
    </row>
    <row r="220" spans="1:9">
      <c r="A220" s="22" t="s">
        <v>1136</v>
      </c>
      <c r="B220" s="30"/>
      <c r="C220" s="30"/>
      <c r="D220" s="30" t="s">
        <v>898</v>
      </c>
      <c r="E220" s="30" t="s">
        <v>127</v>
      </c>
      <c r="F220" s="30" t="s">
        <v>123</v>
      </c>
      <c r="G220" s="30"/>
      <c r="H220" s="30" t="s">
        <v>241</v>
      </c>
      <c r="I220" s="30" t="s">
        <v>240</v>
      </c>
    </row>
    <row r="221" spans="1:9">
      <c r="A221" s="22" t="s">
        <v>1136</v>
      </c>
      <c r="B221" s="30"/>
      <c r="C221" s="30"/>
      <c r="D221" s="30" t="s">
        <v>484</v>
      </c>
      <c r="E221" s="30" t="s">
        <v>112</v>
      </c>
      <c r="F221" s="30" t="s">
        <v>866</v>
      </c>
      <c r="G221" s="30"/>
      <c r="H221" s="30" t="s">
        <v>241</v>
      </c>
      <c r="I221" s="30" t="s">
        <v>126</v>
      </c>
    </row>
    <row r="222" spans="1:9">
      <c r="A222" s="22" t="s">
        <v>1136</v>
      </c>
      <c r="B222" s="30"/>
      <c r="C222" s="30"/>
      <c r="D222" s="30" t="s">
        <v>485</v>
      </c>
      <c r="E222" s="30" t="s">
        <v>127</v>
      </c>
      <c r="F222" s="30" t="s">
        <v>866</v>
      </c>
      <c r="G222" s="30"/>
      <c r="H222" s="30" t="s">
        <v>241</v>
      </c>
      <c r="I222" s="30" t="s">
        <v>126</v>
      </c>
    </row>
    <row r="223" spans="1:9">
      <c r="A223" s="22" t="s">
        <v>1136</v>
      </c>
      <c r="B223" s="30"/>
      <c r="C223" s="30"/>
      <c r="D223" s="30" t="s">
        <v>899</v>
      </c>
      <c r="E223" s="30" t="s">
        <v>112</v>
      </c>
      <c r="F223" s="30" t="s">
        <v>866</v>
      </c>
      <c r="G223" s="30"/>
      <c r="H223" s="30" t="s">
        <v>241</v>
      </c>
      <c r="I223" s="30" t="s">
        <v>128</v>
      </c>
    </row>
    <row r="224" spans="1:9">
      <c r="A224" s="22" t="s">
        <v>1136</v>
      </c>
      <c r="B224" s="30"/>
      <c r="C224" s="30"/>
      <c r="D224" s="30" t="s">
        <v>900</v>
      </c>
      <c r="E224" s="30" t="s">
        <v>127</v>
      </c>
      <c r="F224" s="30" t="s">
        <v>866</v>
      </c>
      <c r="G224" s="30"/>
      <c r="H224" s="30" t="s">
        <v>241</v>
      </c>
      <c r="I224" s="30" t="s">
        <v>128</v>
      </c>
    </row>
    <row r="225" spans="1:9">
      <c r="A225" s="22" t="s">
        <v>1136</v>
      </c>
      <c r="B225" s="30"/>
      <c r="C225" s="30"/>
      <c r="D225" s="22" t="s">
        <v>486</v>
      </c>
      <c r="E225" s="30" t="s">
        <v>120</v>
      </c>
      <c r="F225" s="30" t="s">
        <v>111</v>
      </c>
      <c r="G225" s="30"/>
      <c r="H225" s="30" t="s">
        <v>241</v>
      </c>
      <c r="I225" s="30" t="s">
        <v>213</v>
      </c>
    </row>
    <row r="226" spans="1:9">
      <c r="A226" s="22" t="s">
        <v>1136</v>
      </c>
      <c r="B226" s="30"/>
      <c r="C226" s="30"/>
      <c r="D226" s="30" t="s">
        <v>686</v>
      </c>
      <c r="E226" s="30" t="s">
        <v>115</v>
      </c>
      <c r="F226" s="30" t="s">
        <v>178</v>
      </c>
      <c r="G226" s="30" t="s">
        <v>1191</v>
      </c>
      <c r="H226" s="30" t="s">
        <v>241</v>
      </c>
      <c r="I226" s="30" t="s">
        <v>114</v>
      </c>
    </row>
    <row r="227" spans="1:9">
      <c r="A227" s="22" t="s">
        <v>1136</v>
      </c>
      <c r="B227" s="30"/>
      <c r="C227" s="30"/>
      <c r="D227" s="30" t="s">
        <v>487</v>
      </c>
      <c r="E227" s="30" t="s">
        <v>115</v>
      </c>
      <c r="F227" s="30" t="s">
        <v>178</v>
      </c>
      <c r="G227" s="30" t="s">
        <v>1192</v>
      </c>
      <c r="H227" s="30" t="s">
        <v>241</v>
      </c>
      <c r="I227" s="30" t="s">
        <v>114</v>
      </c>
    </row>
    <row r="228" spans="1:9">
      <c r="A228" s="22" t="s">
        <v>1136</v>
      </c>
      <c r="B228" s="30"/>
      <c r="C228" s="30"/>
      <c r="D228" s="30" t="s">
        <v>1146</v>
      </c>
      <c r="E228" s="30" t="s">
        <v>112</v>
      </c>
      <c r="F228" s="30" t="s">
        <v>178</v>
      </c>
      <c r="G228" s="30" t="s">
        <v>571</v>
      </c>
      <c r="H228" s="30" t="s">
        <v>241</v>
      </c>
      <c r="I228" s="30" t="s">
        <v>572</v>
      </c>
    </row>
    <row r="229" spans="1:9">
      <c r="A229" s="22" t="s">
        <v>1136</v>
      </c>
      <c r="B229" s="30"/>
      <c r="C229" s="30"/>
      <c r="D229" s="30" t="s">
        <v>687</v>
      </c>
      <c r="E229" s="30" t="s">
        <v>115</v>
      </c>
      <c r="F229" s="30" t="s">
        <v>179</v>
      </c>
      <c r="G229" s="30" t="s">
        <v>1193</v>
      </c>
      <c r="H229" s="30" t="s">
        <v>241</v>
      </c>
      <c r="I229" s="30" t="s">
        <v>114</v>
      </c>
    </row>
    <row r="230" spans="1:9">
      <c r="A230" s="22" t="s">
        <v>1136</v>
      </c>
      <c r="B230" s="30"/>
      <c r="C230" s="30"/>
      <c r="D230" s="30" t="s">
        <v>488</v>
      </c>
      <c r="E230" s="30" t="s">
        <v>115</v>
      </c>
      <c r="F230" s="30" t="s">
        <v>179</v>
      </c>
      <c r="G230" s="30" t="s">
        <v>1194</v>
      </c>
      <c r="H230" s="30" t="s">
        <v>241</v>
      </c>
      <c r="I230" s="30" t="s">
        <v>114</v>
      </c>
    </row>
    <row r="231" spans="1:9">
      <c r="A231" s="22" t="s">
        <v>1136</v>
      </c>
      <c r="B231" s="30"/>
      <c r="C231" s="30"/>
      <c r="D231" s="30" t="s">
        <v>901</v>
      </c>
      <c r="E231" s="30" t="s">
        <v>112</v>
      </c>
      <c r="F231" s="30" t="s">
        <v>179</v>
      </c>
      <c r="G231" s="30" t="s">
        <v>571</v>
      </c>
      <c r="H231" s="30" t="s">
        <v>241</v>
      </c>
      <c r="I231" s="30" t="s">
        <v>572</v>
      </c>
    </row>
    <row r="232" spans="1:9">
      <c r="A232" s="22" t="s">
        <v>1136</v>
      </c>
      <c r="B232" s="30"/>
      <c r="C232" s="30"/>
      <c r="D232" s="30" t="s">
        <v>1147</v>
      </c>
      <c r="E232" s="30" t="s">
        <v>115</v>
      </c>
      <c r="F232" s="30" t="s">
        <v>169</v>
      </c>
      <c r="G232" s="30" t="s">
        <v>1195</v>
      </c>
      <c r="H232" s="30" t="s">
        <v>241</v>
      </c>
      <c r="I232" s="30" t="s">
        <v>114</v>
      </c>
    </row>
    <row r="233" spans="1:9">
      <c r="A233" s="22" t="s">
        <v>1136</v>
      </c>
      <c r="B233" s="30"/>
      <c r="C233" s="30"/>
      <c r="D233" s="30" t="s">
        <v>489</v>
      </c>
      <c r="E233" s="30" t="s">
        <v>115</v>
      </c>
      <c r="F233" s="30" t="s">
        <v>169</v>
      </c>
      <c r="G233" s="30" t="s">
        <v>1196</v>
      </c>
      <c r="H233" s="30" t="s">
        <v>241</v>
      </c>
      <c r="I233" s="30" t="s">
        <v>114</v>
      </c>
    </row>
    <row r="234" spans="1:9">
      <c r="A234" s="22" t="s">
        <v>1136</v>
      </c>
      <c r="B234" s="30"/>
      <c r="C234" s="30"/>
      <c r="D234" s="30" t="s">
        <v>902</v>
      </c>
      <c r="E234" s="30" t="s">
        <v>112</v>
      </c>
      <c r="F234" s="30" t="s">
        <v>169</v>
      </c>
      <c r="G234" s="30" t="s">
        <v>571</v>
      </c>
      <c r="H234" s="30" t="s">
        <v>241</v>
      </c>
      <c r="I234" s="30" t="s">
        <v>572</v>
      </c>
    </row>
    <row r="235" spans="1:9">
      <c r="A235" s="22" t="s">
        <v>1136</v>
      </c>
      <c r="B235" s="30"/>
      <c r="C235" s="30"/>
      <c r="D235" s="30" t="s">
        <v>688</v>
      </c>
      <c r="E235" s="30" t="s">
        <v>115</v>
      </c>
      <c r="F235" s="30" t="s">
        <v>180</v>
      </c>
      <c r="G235" s="30" t="s">
        <v>1202</v>
      </c>
      <c r="H235" s="30" t="s">
        <v>241</v>
      </c>
      <c r="I235" s="30" t="s">
        <v>114</v>
      </c>
    </row>
    <row r="236" spans="1:9">
      <c r="A236" s="22" t="s">
        <v>1136</v>
      </c>
      <c r="B236" s="30"/>
      <c r="C236" s="30"/>
      <c r="D236" s="30" t="s">
        <v>490</v>
      </c>
      <c r="E236" s="30" t="s">
        <v>115</v>
      </c>
      <c r="F236" s="30" t="s">
        <v>180</v>
      </c>
      <c r="G236" s="30" t="s">
        <v>1203</v>
      </c>
      <c r="H236" s="30" t="s">
        <v>241</v>
      </c>
      <c r="I236" s="30" t="s">
        <v>114</v>
      </c>
    </row>
    <row r="237" spans="1:9">
      <c r="A237" s="22" t="s">
        <v>1136</v>
      </c>
      <c r="B237" s="30"/>
      <c r="C237" s="30"/>
      <c r="D237" s="30" t="s">
        <v>903</v>
      </c>
      <c r="E237" s="30" t="s">
        <v>112</v>
      </c>
      <c r="F237" s="30" t="s">
        <v>180</v>
      </c>
      <c r="G237" s="30" t="s">
        <v>571</v>
      </c>
      <c r="H237" s="30" t="s">
        <v>241</v>
      </c>
      <c r="I237" s="30" t="s">
        <v>572</v>
      </c>
    </row>
    <row r="238" spans="1:9">
      <c r="A238" s="22" t="s">
        <v>1136</v>
      </c>
      <c r="B238" s="30"/>
      <c r="C238" s="30"/>
      <c r="D238" s="30" t="s">
        <v>689</v>
      </c>
      <c r="E238" s="30" t="s">
        <v>115</v>
      </c>
      <c r="F238" s="30" t="s">
        <v>181</v>
      </c>
      <c r="G238" s="30" t="s">
        <v>1197</v>
      </c>
      <c r="H238" s="30" t="s">
        <v>241</v>
      </c>
      <c r="I238" s="30" t="s">
        <v>114</v>
      </c>
    </row>
    <row r="239" spans="1:9">
      <c r="A239" s="22" t="s">
        <v>1136</v>
      </c>
      <c r="B239" s="30"/>
      <c r="C239" s="30"/>
      <c r="D239" s="30" t="s">
        <v>904</v>
      </c>
      <c r="E239" s="30" t="s">
        <v>115</v>
      </c>
      <c r="F239" s="30" t="s">
        <v>181</v>
      </c>
      <c r="G239" s="30" t="s">
        <v>1198</v>
      </c>
      <c r="H239" s="30" t="s">
        <v>241</v>
      </c>
      <c r="I239" s="30" t="s">
        <v>114</v>
      </c>
    </row>
    <row r="240" spans="1:9">
      <c r="A240" s="22" t="s">
        <v>1136</v>
      </c>
      <c r="B240" s="30"/>
      <c r="C240" s="30"/>
      <c r="D240" s="30" t="s">
        <v>905</v>
      </c>
      <c r="E240" s="30" t="s">
        <v>112</v>
      </c>
      <c r="F240" s="30" t="s">
        <v>181</v>
      </c>
      <c r="G240" s="30" t="s">
        <v>571</v>
      </c>
      <c r="H240" s="30" t="s">
        <v>241</v>
      </c>
      <c r="I240" s="30" t="s">
        <v>572</v>
      </c>
    </row>
    <row r="241" spans="1:9">
      <c r="A241" s="22" t="s">
        <v>1136</v>
      </c>
      <c r="B241" s="30"/>
      <c r="C241" s="30"/>
      <c r="D241" s="30" t="s">
        <v>690</v>
      </c>
      <c r="E241" s="30" t="s">
        <v>115</v>
      </c>
      <c r="F241" s="30" t="s">
        <v>182</v>
      </c>
      <c r="G241" s="30" t="s">
        <v>1199</v>
      </c>
      <c r="H241" s="30" t="s">
        <v>241</v>
      </c>
      <c r="I241" s="30" t="s">
        <v>114</v>
      </c>
    </row>
    <row r="242" spans="1:9">
      <c r="A242" s="22" t="s">
        <v>1136</v>
      </c>
      <c r="B242" s="30"/>
      <c r="C242" s="30"/>
      <c r="D242" s="30" t="s">
        <v>906</v>
      </c>
      <c r="E242" s="30" t="s">
        <v>115</v>
      </c>
      <c r="F242" s="30" t="s">
        <v>182</v>
      </c>
      <c r="G242" s="30" t="s">
        <v>1200</v>
      </c>
      <c r="H242" s="30" t="s">
        <v>241</v>
      </c>
      <c r="I242" s="30" t="s">
        <v>114</v>
      </c>
    </row>
    <row r="243" spans="1:9">
      <c r="A243" s="22" t="s">
        <v>1136</v>
      </c>
      <c r="B243" s="30"/>
      <c r="C243" s="30"/>
      <c r="D243" s="30" t="s">
        <v>907</v>
      </c>
      <c r="E243" s="30" t="s">
        <v>112</v>
      </c>
      <c r="F243" s="30" t="s">
        <v>182</v>
      </c>
      <c r="G243" s="30" t="s">
        <v>571</v>
      </c>
      <c r="H243" s="30" t="s">
        <v>241</v>
      </c>
      <c r="I243" s="30" t="s">
        <v>572</v>
      </c>
    </row>
    <row r="244" spans="1:9">
      <c r="A244" s="22" t="s">
        <v>1136</v>
      </c>
      <c r="B244" s="30"/>
      <c r="C244" s="30"/>
      <c r="D244" s="30" t="s">
        <v>691</v>
      </c>
      <c r="E244" s="30" t="s">
        <v>115</v>
      </c>
      <c r="F244" s="30" t="s">
        <v>183</v>
      </c>
      <c r="G244" s="30" t="s">
        <v>1204</v>
      </c>
      <c r="H244" s="30" t="s">
        <v>241</v>
      </c>
      <c r="I244" s="30" t="s">
        <v>114</v>
      </c>
    </row>
    <row r="245" spans="1:9">
      <c r="A245" s="22" t="s">
        <v>1136</v>
      </c>
      <c r="B245" s="30"/>
      <c r="C245" s="30"/>
      <c r="D245" s="30" t="s">
        <v>908</v>
      </c>
      <c r="E245" s="30" t="s">
        <v>115</v>
      </c>
      <c r="F245" s="30" t="s">
        <v>183</v>
      </c>
      <c r="G245" s="30" t="s">
        <v>1205</v>
      </c>
      <c r="H245" s="30" t="s">
        <v>241</v>
      </c>
      <c r="I245" s="30" t="s">
        <v>114</v>
      </c>
    </row>
    <row r="246" spans="1:9">
      <c r="A246" s="22" t="s">
        <v>1136</v>
      </c>
      <c r="B246" s="30"/>
      <c r="C246" s="30"/>
      <c r="D246" s="30" t="s">
        <v>909</v>
      </c>
      <c r="E246" s="30" t="s">
        <v>112</v>
      </c>
      <c r="F246" s="30" t="s">
        <v>183</v>
      </c>
      <c r="G246" s="30" t="s">
        <v>571</v>
      </c>
      <c r="H246" s="30" t="s">
        <v>241</v>
      </c>
      <c r="I246" s="30" t="s">
        <v>572</v>
      </c>
    </row>
    <row r="247" spans="1:9">
      <c r="A247" s="22" t="s">
        <v>1136</v>
      </c>
      <c r="B247" s="30"/>
      <c r="C247" s="30"/>
      <c r="D247" s="30" t="s">
        <v>692</v>
      </c>
      <c r="E247" s="30" t="s">
        <v>115</v>
      </c>
      <c r="F247" s="30" t="s">
        <v>184</v>
      </c>
      <c r="G247" s="30" t="s">
        <v>1189</v>
      </c>
      <c r="H247" s="30" t="s">
        <v>241</v>
      </c>
      <c r="I247" s="30" t="s">
        <v>114</v>
      </c>
    </row>
    <row r="248" spans="1:9">
      <c r="A248" s="22" t="s">
        <v>1136</v>
      </c>
      <c r="B248" s="30"/>
      <c r="C248" s="30"/>
      <c r="D248" s="30" t="s">
        <v>910</v>
      </c>
      <c r="E248" s="30" t="s">
        <v>115</v>
      </c>
      <c r="F248" s="30" t="s">
        <v>184</v>
      </c>
      <c r="G248" s="30" t="s">
        <v>1190</v>
      </c>
      <c r="H248" s="30" t="s">
        <v>241</v>
      </c>
      <c r="I248" s="30" t="s">
        <v>114</v>
      </c>
    </row>
    <row r="249" spans="1:9">
      <c r="A249" s="22" t="s">
        <v>1136</v>
      </c>
      <c r="B249" s="30"/>
      <c r="C249" s="30"/>
      <c r="D249" s="30" t="s">
        <v>1148</v>
      </c>
      <c r="E249" s="30" t="s">
        <v>112</v>
      </c>
      <c r="F249" s="30" t="s">
        <v>184</v>
      </c>
      <c r="G249" s="30" t="s">
        <v>571</v>
      </c>
      <c r="H249" s="30" t="s">
        <v>241</v>
      </c>
      <c r="I249" s="30" t="s">
        <v>572</v>
      </c>
    </row>
    <row r="250" spans="1:9">
      <c r="A250" s="22" t="s">
        <v>1137</v>
      </c>
      <c r="B250" s="30"/>
      <c r="C250" s="30"/>
      <c r="D250" s="30" t="s">
        <v>824</v>
      </c>
      <c r="E250" s="30" t="s">
        <v>822</v>
      </c>
      <c r="F250" s="30" t="s">
        <v>111</v>
      </c>
      <c r="G250" s="30" t="s">
        <v>865</v>
      </c>
      <c r="H250" s="30" t="s">
        <v>241</v>
      </c>
      <c r="I250" s="30" t="s">
        <v>823</v>
      </c>
    </row>
    <row r="251" spans="1:9">
      <c r="A251" s="22" t="s">
        <v>1137</v>
      </c>
      <c r="B251" s="30"/>
      <c r="C251" s="30"/>
      <c r="D251" s="30" t="s">
        <v>825</v>
      </c>
      <c r="E251" s="30" t="s">
        <v>822</v>
      </c>
      <c r="F251" s="30" t="s">
        <v>111</v>
      </c>
      <c r="G251" s="30" t="s">
        <v>865</v>
      </c>
      <c r="H251" s="30" t="s">
        <v>241</v>
      </c>
      <c r="I251" s="30" t="s">
        <v>232</v>
      </c>
    </row>
    <row r="252" spans="1:9">
      <c r="A252" s="28"/>
      <c r="B252" s="28"/>
      <c r="C252" s="28"/>
      <c r="D252" s="28"/>
      <c r="E252" s="29" t="s">
        <v>750</v>
      </c>
      <c r="F252" s="28"/>
      <c r="G252" s="28"/>
      <c r="H252" s="28"/>
      <c r="I252" s="28"/>
    </row>
    <row r="253" spans="1:9">
      <c r="A253" s="22" t="s">
        <v>1136</v>
      </c>
      <c r="B253" s="30"/>
      <c r="C253" s="30"/>
      <c r="D253" s="22" t="s">
        <v>342</v>
      </c>
      <c r="E253" s="30" t="s">
        <v>115</v>
      </c>
      <c r="F253" s="30" t="s">
        <v>111</v>
      </c>
      <c r="G253" s="30" t="s">
        <v>863</v>
      </c>
      <c r="H253" s="30" t="s">
        <v>241</v>
      </c>
      <c r="I253" s="30" t="s">
        <v>114</v>
      </c>
    </row>
    <row r="254" spans="1:9">
      <c r="A254" s="22" t="s">
        <v>1136</v>
      </c>
      <c r="B254" s="30"/>
      <c r="C254" s="30"/>
      <c r="D254" s="22" t="s">
        <v>121</v>
      </c>
      <c r="E254" s="30" t="s">
        <v>120</v>
      </c>
      <c r="F254" s="30" t="s">
        <v>111</v>
      </c>
      <c r="G254" s="30" t="s">
        <v>863</v>
      </c>
      <c r="H254" s="30" t="s">
        <v>241</v>
      </c>
      <c r="I254" s="30" t="s">
        <v>114</v>
      </c>
    </row>
    <row r="255" spans="1:9">
      <c r="A255" s="22" t="s">
        <v>1136</v>
      </c>
      <c r="B255" s="30"/>
      <c r="C255" s="30"/>
      <c r="D255" s="30" t="s">
        <v>124</v>
      </c>
      <c r="E255" s="30" t="s">
        <v>112</v>
      </c>
      <c r="F255" s="30" t="s">
        <v>111</v>
      </c>
      <c r="G255" s="30" t="s">
        <v>113</v>
      </c>
      <c r="H255" s="30" t="s">
        <v>241</v>
      </c>
      <c r="I255" s="30" t="s">
        <v>114</v>
      </c>
    </row>
    <row r="256" spans="1:9">
      <c r="A256" s="22" t="s">
        <v>1136</v>
      </c>
      <c r="C256" s="30"/>
      <c r="D256" s="30" t="s">
        <v>235</v>
      </c>
      <c r="E256" s="30" t="s">
        <v>115</v>
      </c>
      <c r="F256" s="30" t="s">
        <v>111</v>
      </c>
      <c r="G256" s="30" t="s">
        <v>863</v>
      </c>
      <c r="H256" s="30" t="s">
        <v>241</v>
      </c>
      <c r="I256" s="30" t="s">
        <v>204</v>
      </c>
    </row>
    <row r="257" spans="1:9">
      <c r="A257" s="22" t="s">
        <v>1136</v>
      </c>
      <c r="C257" s="30"/>
      <c r="D257" s="30" t="s">
        <v>290</v>
      </c>
      <c r="E257" s="30" t="s">
        <v>115</v>
      </c>
      <c r="F257" s="30" t="s">
        <v>111</v>
      </c>
      <c r="G257" s="30" t="s">
        <v>863</v>
      </c>
      <c r="H257" s="30" t="s">
        <v>241</v>
      </c>
      <c r="I257" s="30" t="s">
        <v>232</v>
      </c>
    </row>
    <row r="258" spans="1:9">
      <c r="A258" s="22" t="s">
        <v>1136</v>
      </c>
      <c r="B258" s="30"/>
      <c r="C258" s="30"/>
      <c r="D258" s="30" t="s">
        <v>291</v>
      </c>
      <c r="E258" s="30" t="s">
        <v>115</v>
      </c>
      <c r="F258" s="30" t="s">
        <v>111</v>
      </c>
      <c r="G258" s="30" t="s">
        <v>863</v>
      </c>
      <c r="H258" s="30" t="s">
        <v>241</v>
      </c>
      <c r="I258" s="30" t="s">
        <v>118</v>
      </c>
    </row>
    <row r="259" spans="1:9">
      <c r="A259" s="22" t="s">
        <v>1136</v>
      </c>
      <c r="B259" s="30"/>
      <c r="C259" s="30"/>
      <c r="D259" s="30" t="s">
        <v>343</v>
      </c>
      <c r="E259" s="30" t="s">
        <v>115</v>
      </c>
      <c r="F259" s="30" t="s">
        <v>111</v>
      </c>
      <c r="G259" s="30" t="s">
        <v>864</v>
      </c>
      <c r="H259" s="30" t="s">
        <v>241</v>
      </c>
      <c r="I259" s="30" t="s">
        <v>118</v>
      </c>
    </row>
    <row r="260" spans="1:9">
      <c r="A260" s="22" t="s">
        <v>1136</v>
      </c>
      <c r="C260" s="30"/>
      <c r="D260" s="30" t="s">
        <v>927</v>
      </c>
      <c r="E260" s="30" t="s">
        <v>112</v>
      </c>
      <c r="F260" s="30" t="s">
        <v>247</v>
      </c>
      <c r="G260" s="30"/>
      <c r="H260" s="30" t="s">
        <v>241</v>
      </c>
      <c r="I260" s="30" t="s">
        <v>118</v>
      </c>
    </row>
    <row r="261" spans="1:9">
      <c r="A261" s="22" t="s">
        <v>1136</v>
      </c>
      <c r="C261" s="30"/>
      <c r="D261" s="30" t="s">
        <v>928</v>
      </c>
      <c r="E261" s="30" t="s">
        <v>127</v>
      </c>
      <c r="F261" s="30" t="s">
        <v>247</v>
      </c>
      <c r="G261" s="30"/>
      <c r="H261" s="30" t="s">
        <v>241</v>
      </c>
      <c r="I261" s="30" t="s">
        <v>118</v>
      </c>
    </row>
    <row r="262" spans="1:9">
      <c r="A262" s="22" t="s">
        <v>1136</v>
      </c>
      <c r="B262" s="30"/>
      <c r="C262" s="30"/>
      <c r="D262" s="30" t="s">
        <v>929</v>
      </c>
      <c r="E262" s="30" t="s">
        <v>112</v>
      </c>
      <c r="F262" s="30" t="s">
        <v>123</v>
      </c>
      <c r="G262" s="30"/>
      <c r="H262" s="30" t="s">
        <v>241</v>
      </c>
      <c r="I262" s="30" t="s">
        <v>240</v>
      </c>
    </row>
    <row r="263" spans="1:9">
      <c r="A263" s="22" t="s">
        <v>1136</v>
      </c>
      <c r="B263" s="30"/>
      <c r="C263" s="30"/>
      <c r="D263" s="30" t="s">
        <v>930</v>
      </c>
      <c r="E263" s="30" t="s">
        <v>127</v>
      </c>
      <c r="F263" s="30" t="s">
        <v>123</v>
      </c>
      <c r="G263" s="30"/>
      <c r="H263" s="30" t="s">
        <v>241</v>
      </c>
      <c r="I263" s="30" t="s">
        <v>240</v>
      </c>
    </row>
    <row r="264" spans="1:9">
      <c r="A264" s="22" t="s">
        <v>1136</v>
      </c>
      <c r="B264" s="30"/>
      <c r="C264" s="30"/>
      <c r="D264" s="30" t="s">
        <v>344</v>
      </c>
      <c r="E264" s="30" t="s">
        <v>112</v>
      </c>
      <c r="F264" s="30" t="s">
        <v>866</v>
      </c>
      <c r="G264" s="30"/>
      <c r="H264" s="30" t="s">
        <v>241</v>
      </c>
      <c r="I264" s="30" t="s">
        <v>126</v>
      </c>
    </row>
    <row r="265" spans="1:9">
      <c r="A265" s="22" t="s">
        <v>1136</v>
      </c>
      <c r="B265" s="30"/>
      <c r="C265" s="30"/>
      <c r="D265" s="30" t="s">
        <v>345</v>
      </c>
      <c r="E265" s="30" t="s">
        <v>127</v>
      </c>
      <c r="F265" s="30" t="s">
        <v>866</v>
      </c>
      <c r="G265" s="30"/>
      <c r="H265" s="30" t="s">
        <v>241</v>
      </c>
      <c r="I265" s="30" t="s">
        <v>126</v>
      </c>
    </row>
    <row r="266" spans="1:9">
      <c r="A266" s="22" t="s">
        <v>1136</v>
      </c>
      <c r="B266" s="30"/>
      <c r="C266" s="30"/>
      <c r="D266" s="30" t="s">
        <v>931</v>
      </c>
      <c r="E266" s="30" t="s">
        <v>112</v>
      </c>
      <c r="F266" s="30" t="s">
        <v>866</v>
      </c>
      <c r="G266" s="30"/>
      <c r="H266" s="30" t="s">
        <v>241</v>
      </c>
      <c r="I266" s="30" t="s">
        <v>128</v>
      </c>
    </row>
    <row r="267" spans="1:9">
      <c r="A267" s="22" t="s">
        <v>1136</v>
      </c>
      <c r="B267" s="30"/>
      <c r="C267" s="30"/>
      <c r="D267" s="30" t="s">
        <v>932</v>
      </c>
      <c r="E267" s="30" t="s">
        <v>127</v>
      </c>
      <c r="F267" s="30" t="s">
        <v>866</v>
      </c>
      <c r="G267" s="30"/>
      <c r="H267" s="30" t="s">
        <v>241</v>
      </c>
      <c r="I267" s="30" t="s">
        <v>128</v>
      </c>
    </row>
    <row r="268" spans="1:9">
      <c r="A268" s="22" t="s">
        <v>1136</v>
      </c>
      <c r="B268" s="30"/>
      <c r="C268" s="30"/>
      <c r="D268" s="22" t="s">
        <v>292</v>
      </c>
      <c r="E268" s="30" t="s">
        <v>120</v>
      </c>
      <c r="F268" s="30" t="s">
        <v>111</v>
      </c>
      <c r="G268" s="30"/>
      <c r="H268" s="30" t="s">
        <v>241</v>
      </c>
      <c r="I268" s="30" t="s">
        <v>213</v>
      </c>
    </row>
    <row r="269" spans="1:9">
      <c r="A269" s="22" t="s">
        <v>1136</v>
      </c>
      <c r="B269" s="30"/>
      <c r="C269" s="30"/>
      <c r="D269" s="30" t="s">
        <v>570</v>
      </c>
      <c r="E269" s="30" t="s">
        <v>115</v>
      </c>
      <c r="F269" s="30" t="s">
        <v>178</v>
      </c>
      <c r="G269" s="30" t="s">
        <v>1191</v>
      </c>
      <c r="H269" s="30" t="s">
        <v>241</v>
      </c>
      <c r="I269" s="30" t="s">
        <v>114</v>
      </c>
    </row>
    <row r="270" spans="1:9">
      <c r="A270" s="22" t="s">
        <v>1136</v>
      </c>
      <c r="B270" s="30"/>
      <c r="C270" s="30"/>
      <c r="D270" s="30" t="s">
        <v>346</v>
      </c>
      <c r="E270" s="30" t="s">
        <v>115</v>
      </c>
      <c r="F270" s="30" t="s">
        <v>178</v>
      </c>
      <c r="G270" s="30" t="s">
        <v>1192</v>
      </c>
      <c r="H270" s="30" t="s">
        <v>241</v>
      </c>
      <c r="I270" s="30" t="s">
        <v>114</v>
      </c>
    </row>
    <row r="271" spans="1:9">
      <c r="A271" s="22" t="s">
        <v>1136</v>
      </c>
      <c r="B271" s="30"/>
      <c r="C271" s="30"/>
      <c r="D271" s="30" t="s">
        <v>1149</v>
      </c>
      <c r="E271" s="30" t="s">
        <v>112</v>
      </c>
      <c r="F271" s="30" t="s">
        <v>178</v>
      </c>
      <c r="G271" s="30" t="s">
        <v>571</v>
      </c>
      <c r="H271" s="30" t="s">
        <v>241</v>
      </c>
      <c r="I271" s="30" t="s">
        <v>572</v>
      </c>
    </row>
    <row r="272" spans="1:9">
      <c r="A272" s="22" t="s">
        <v>1136</v>
      </c>
      <c r="B272" s="30"/>
      <c r="C272" s="30"/>
      <c r="D272" s="30" t="s">
        <v>617</v>
      </c>
      <c r="E272" s="30" t="s">
        <v>115</v>
      </c>
      <c r="F272" s="30" t="s">
        <v>179</v>
      </c>
      <c r="G272" s="30" t="s">
        <v>1193</v>
      </c>
      <c r="H272" s="30" t="s">
        <v>241</v>
      </c>
      <c r="I272" s="30" t="s">
        <v>114</v>
      </c>
    </row>
    <row r="273" spans="1:9">
      <c r="A273" s="22" t="s">
        <v>1136</v>
      </c>
      <c r="B273" s="30"/>
      <c r="C273" s="30"/>
      <c r="D273" s="30" t="s">
        <v>347</v>
      </c>
      <c r="E273" s="30" t="s">
        <v>115</v>
      </c>
      <c r="F273" s="30" t="s">
        <v>179</v>
      </c>
      <c r="G273" s="30" t="s">
        <v>1194</v>
      </c>
      <c r="H273" s="30" t="s">
        <v>241</v>
      </c>
      <c r="I273" s="30" t="s">
        <v>114</v>
      </c>
    </row>
    <row r="274" spans="1:9">
      <c r="A274" s="22" t="s">
        <v>1136</v>
      </c>
      <c r="B274" s="30"/>
      <c r="C274" s="30"/>
      <c r="D274" s="30" t="s">
        <v>933</v>
      </c>
      <c r="E274" s="30" t="s">
        <v>112</v>
      </c>
      <c r="F274" s="30" t="s">
        <v>179</v>
      </c>
      <c r="G274" s="30" t="s">
        <v>571</v>
      </c>
      <c r="H274" s="30" t="s">
        <v>241</v>
      </c>
      <c r="I274" s="30" t="s">
        <v>572</v>
      </c>
    </row>
    <row r="275" spans="1:9">
      <c r="A275" s="22" t="s">
        <v>1136</v>
      </c>
      <c r="B275" s="30"/>
      <c r="C275" s="30"/>
      <c r="D275" s="30" t="s">
        <v>1150</v>
      </c>
      <c r="E275" s="30" t="s">
        <v>115</v>
      </c>
      <c r="F275" s="30" t="s">
        <v>169</v>
      </c>
      <c r="G275" s="30" t="s">
        <v>1195</v>
      </c>
      <c r="H275" s="30" t="s">
        <v>241</v>
      </c>
      <c r="I275" s="30" t="s">
        <v>114</v>
      </c>
    </row>
    <row r="276" spans="1:9">
      <c r="A276" s="22" t="s">
        <v>1136</v>
      </c>
      <c r="B276" s="30"/>
      <c r="C276" s="30"/>
      <c r="D276" s="30" t="s">
        <v>348</v>
      </c>
      <c r="E276" s="30" t="s">
        <v>115</v>
      </c>
      <c r="F276" s="30" t="s">
        <v>169</v>
      </c>
      <c r="G276" s="30" t="s">
        <v>1196</v>
      </c>
      <c r="H276" s="30" t="s">
        <v>241</v>
      </c>
      <c r="I276" s="30" t="s">
        <v>114</v>
      </c>
    </row>
    <row r="277" spans="1:9">
      <c r="A277" s="22" t="s">
        <v>1136</v>
      </c>
      <c r="B277" s="30"/>
      <c r="C277" s="30"/>
      <c r="D277" s="30" t="s">
        <v>934</v>
      </c>
      <c r="E277" s="30" t="s">
        <v>112</v>
      </c>
      <c r="F277" s="30" t="s">
        <v>169</v>
      </c>
      <c r="G277" s="30" t="s">
        <v>571</v>
      </c>
      <c r="H277" s="30" t="s">
        <v>241</v>
      </c>
      <c r="I277" s="30" t="s">
        <v>572</v>
      </c>
    </row>
    <row r="278" spans="1:9">
      <c r="A278" s="22" t="s">
        <v>1136</v>
      </c>
      <c r="B278" s="30"/>
      <c r="C278" s="30"/>
      <c r="D278" s="30" t="s">
        <v>618</v>
      </c>
      <c r="E278" s="30" t="s">
        <v>115</v>
      </c>
      <c r="F278" s="30" t="s">
        <v>180</v>
      </c>
      <c r="G278" s="30" t="s">
        <v>1202</v>
      </c>
      <c r="H278" s="30" t="s">
        <v>241</v>
      </c>
      <c r="I278" s="30" t="s">
        <v>114</v>
      </c>
    </row>
    <row r="279" spans="1:9">
      <c r="A279" s="22" t="s">
        <v>1136</v>
      </c>
      <c r="B279" s="30"/>
      <c r="C279" s="30"/>
      <c r="D279" s="30" t="s">
        <v>349</v>
      </c>
      <c r="E279" s="30" t="s">
        <v>115</v>
      </c>
      <c r="F279" s="30" t="s">
        <v>180</v>
      </c>
      <c r="G279" s="30" t="s">
        <v>1203</v>
      </c>
      <c r="H279" s="30" t="s">
        <v>241</v>
      </c>
      <c r="I279" s="30" t="s">
        <v>114</v>
      </c>
    </row>
    <row r="280" spans="1:9">
      <c r="A280" s="22" t="s">
        <v>1136</v>
      </c>
      <c r="B280" s="30"/>
      <c r="C280" s="30"/>
      <c r="D280" s="30" t="s">
        <v>935</v>
      </c>
      <c r="E280" s="30" t="s">
        <v>112</v>
      </c>
      <c r="F280" s="30" t="s">
        <v>180</v>
      </c>
      <c r="G280" s="30" t="s">
        <v>571</v>
      </c>
      <c r="H280" s="30" t="s">
        <v>241</v>
      </c>
      <c r="I280" s="30" t="s">
        <v>572</v>
      </c>
    </row>
    <row r="281" spans="1:9">
      <c r="A281" s="22" t="s">
        <v>1136</v>
      </c>
      <c r="B281" s="30"/>
      <c r="C281" s="30"/>
      <c r="D281" s="30" t="s">
        <v>619</v>
      </c>
      <c r="E281" s="30" t="s">
        <v>115</v>
      </c>
      <c r="F281" s="30" t="s">
        <v>181</v>
      </c>
      <c r="G281" s="30" t="s">
        <v>1197</v>
      </c>
      <c r="H281" s="30" t="s">
        <v>241</v>
      </c>
      <c r="I281" s="30" t="s">
        <v>114</v>
      </c>
    </row>
    <row r="282" spans="1:9">
      <c r="A282" s="22" t="s">
        <v>1136</v>
      </c>
      <c r="B282" s="30"/>
      <c r="C282" s="30"/>
      <c r="D282" s="30" t="s">
        <v>936</v>
      </c>
      <c r="E282" s="30" t="s">
        <v>115</v>
      </c>
      <c r="F282" s="30" t="s">
        <v>181</v>
      </c>
      <c r="G282" s="30" t="s">
        <v>1198</v>
      </c>
      <c r="H282" s="30" t="s">
        <v>241</v>
      </c>
      <c r="I282" s="30" t="s">
        <v>114</v>
      </c>
    </row>
    <row r="283" spans="1:9">
      <c r="A283" s="22" t="s">
        <v>1136</v>
      </c>
      <c r="B283" s="30"/>
      <c r="C283" s="30"/>
      <c r="D283" s="30" t="s">
        <v>937</v>
      </c>
      <c r="E283" s="30" t="s">
        <v>112</v>
      </c>
      <c r="F283" s="30" t="s">
        <v>181</v>
      </c>
      <c r="G283" s="30" t="s">
        <v>571</v>
      </c>
      <c r="H283" s="30" t="s">
        <v>241</v>
      </c>
      <c r="I283" s="30" t="s">
        <v>572</v>
      </c>
    </row>
    <row r="284" spans="1:9">
      <c r="A284" s="22" t="s">
        <v>1136</v>
      </c>
      <c r="B284" s="30"/>
      <c r="C284" s="30"/>
      <c r="D284" s="30" t="s">
        <v>620</v>
      </c>
      <c r="E284" s="30" t="s">
        <v>115</v>
      </c>
      <c r="F284" s="30" t="s">
        <v>182</v>
      </c>
      <c r="G284" s="30" t="s">
        <v>1199</v>
      </c>
      <c r="H284" s="30" t="s">
        <v>241</v>
      </c>
      <c r="I284" s="30" t="s">
        <v>114</v>
      </c>
    </row>
    <row r="285" spans="1:9">
      <c r="A285" s="22" t="s">
        <v>1136</v>
      </c>
      <c r="B285" s="30"/>
      <c r="C285" s="30"/>
      <c r="D285" s="30" t="s">
        <v>938</v>
      </c>
      <c r="E285" s="30" t="s">
        <v>115</v>
      </c>
      <c r="F285" s="30" t="s">
        <v>182</v>
      </c>
      <c r="G285" s="30" t="s">
        <v>1200</v>
      </c>
      <c r="H285" s="30" t="s">
        <v>241</v>
      </c>
      <c r="I285" s="30" t="s">
        <v>114</v>
      </c>
    </row>
    <row r="286" spans="1:9">
      <c r="A286" s="22" t="s">
        <v>1136</v>
      </c>
      <c r="B286" s="30"/>
      <c r="C286" s="30"/>
      <c r="D286" s="30" t="s">
        <v>939</v>
      </c>
      <c r="E286" s="30" t="s">
        <v>112</v>
      </c>
      <c r="F286" s="30" t="s">
        <v>182</v>
      </c>
      <c r="G286" s="30" t="s">
        <v>571</v>
      </c>
      <c r="H286" s="30" t="s">
        <v>241</v>
      </c>
      <c r="I286" s="30" t="s">
        <v>572</v>
      </c>
    </row>
    <row r="287" spans="1:9">
      <c r="A287" s="22" t="s">
        <v>1136</v>
      </c>
      <c r="B287" s="30"/>
      <c r="C287" s="30"/>
      <c r="D287" s="30" t="s">
        <v>621</v>
      </c>
      <c r="E287" s="30" t="s">
        <v>115</v>
      </c>
      <c r="F287" s="30" t="s">
        <v>183</v>
      </c>
      <c r="G287" s="30" t="s">
        <v>1204</v>
      </c>
      <c r="H287" s="30" t="s">
        <v>241</v>
      </c>
      <c r="I287" s="30" t="s">
        <v>114</v>
      </c>
    </row>
    <row r="288" spans="1:9">
      <c r="A288" s="22" t="s">
        <v>1136</v>
      </c>
      <c r="B288" s="30"/>
      <c r="C288" s="30"/>
      <c r="D288" s="30" t="s">
        <v>940</v>
      </c>
      <c r="E288" s="30" t="s">
        <v>115</v>
      </c>
      <c r="F288" s="30" t="s">
        <v>183</v>
      </c>
      <c r="G288" s="30" t="s">
        <v>1205</v>
      </c>
      <c r="H288" s="30" t="s">
        <v>241</v>
      </c>
      <c r="I288" s="30" t="s">
        <v>114</v>
      </c>
    </row>
    <row r="289" spans="1:9">
      <c r="A289" s="22" t="s">
        <v>1136</v>
      </c>
      <c r="B289" s="30"/>
      <c r="C289" s="30"/>
      <c r="D289" s="30" t="s">
        <v>941</v>
      </c>
      <c r="E289" s="30" t="s">
        <v>112</v>
      </c>
      <c r="F289" s="30" t="s">
        <v>183</v>
      </c>
      <c r="G289" s="30" t="s">
        <v>571</v>
      </c>
      <c r="H289" s="30" t="s">
        <v>241</v>
      </c>
      <c r="I289" s="30" t="s">
        <v>572</v>
      </c>
    </row>
    <row r="290" spans="1:9">
      <c r="A290" s="22" t="s">
        <v>1136</v>
      </c>
      <c r="B290" s="30"/>
      <c r="C290" s="30"/>
      <c r="D290" s="30" t="s">
        <v>622</v>
      </c>
      <c r="E290" s="30" t="s">
        <v>115</v>
      </c>
      <c r="F290" s="30" t="s">
        <v>184</v>
      </c>
      <c r="G290" s="30" t="s">
        <v>1189</v>
      </c>
      <c r="H290" s="30" t="s">
        <v>241</v>
      </c>
      <c r="I290" s="30" t="s">
        <v>114</v>
      </c>
    </row>
    <row r="291" spans="1:9">
      <c r="A291" s="22" t="s">
        <v>1136</v>
      </c>
      <c r="B291" s="30"/>
      <c r="C291" s="30"/>
      <c r="D291" s="30" t="s">
        <v>942</v>
      </c>
      <c r="E291" s="30" t="s">
        <v>115</v>
      </c>
      <c r="F291" s="30" t="s">
        <v>184</v>
      </c>
      <c r="G291" s="30" t="s">
        <v>1190</v>
      </c>
      <c r="H291" s="30" t="s">
        <v>241</v>
      </c>
      <c r="I291" s="30" t="s">
        <v>114</v>
      </c>
    </row>
    <row r="292" spans="1:9">
      <c r="A292" s="22" t="s">
        <v>1136</v>
      </c>
      <c r="B292" s="30"/>
      <c r="C292" s="30"/>
      <c r="D292" s="30" t="s">
        <v>1151</v>
      </c>
      <c r="E292" s="30" t="s">
        <v>112</v>
      </c>
      <c r="F292" s="30" t="s">
        <v>184</v>
      </c>
      <c r="G292" s="30" t="s">
        <v>571</v>
      </c>
      <c r="H292" s="30" t="s">
        <v>241</v>
      </c>
      <c r="I292" s="30" t="s">
        <v>572</v>
      </c>
    </row>
    <row r="293" spans="1:9">
      <c r="A293" s="22" t="s">
        <v>1137</v>
      </c>
      <c r="B293" s="30"/>
      <c r="C293" s="30"/>
      <c r="D293" s="30" t="s">
        <v>117</v>
      </c>
      <c r="E293" s="30" t="s">
        <v>822</v>
      </c>
      <c r="F293" s="30" t="s">
        <v>111</v>
      </c>
      <c r="G293" s="30" t="s">
        <v>865</v>
      </c>
      <c r="H293" s="30" t="s">
        <v>241</v>
      </c>
      <c r="I293" s="30" t="s">
        <v>823</v>
      </c>
    </row>
    <row r="294" spans="1:9">
      <c r="A294" s="22" t="s">
        <v>1137</v>
      </c>
      <c r="B294" s="30"/>
      <c r="C294" s="30"/>
      <c r="D294" s="30" t="s">
        <v>381</v>
      </c>
      <c r="E294" s="30" t="s">
        <v>822</v>
      </c>
      <c r="F294" s="30" t="s">
        <v>111</v>
      </c>
      <c r="G294" s="30" t="s">
        <v>865</v>
      </c>
      <c r="H294" s="30" t="s">
        <v>241</v>
      </c>
      <c r="I294" s="30" t="s">
        <v>232</v>
      </c>
    </row>
    <row r="295" spans="1:9">
      <c r="A295" s="28"/>
      <c r="B295" s="28"/>
      <c r="C295" s="28"/>
      <c r="D295" s="28"/>
      <c r="E295" s="29" t="s">
        <v>751</v>
      </c>
      <c r="F295" s="28"/>
      <c r="G295" s="28"/>
      <c r="H295" s="28"/>
      <c r="I295" s="28"/>
    </row>
    <row r="296" spans="1:9">
      <c r="A296" s="22" t="s">
        <v>1136</v>
      </c>
      <c r="B296" s="30"/>
      <c r="C296" s="30"/>
      <c r="D296" s="22" t="s">
        <v>377</v>
      </c>
      <c r="E296" s="30" t="s">
        <v>115</v>
      </c>
      <c r="F296" s="30" t="s">
        <v>111</v>
      </c>
      <c r="G296" s="30" t="s">
        <v>863</v>
      </c>
      <c r="H296" s="30" t="s">
        <v>241</v>
      </c>
      <c r="I296" s="30" t="s">
        <v>114</v>
      </c>
    </row>
    <row r="297" spans="1:9">
      <c r="A297" s="22" t="s">
        <v>1136</v>
      </c>
      <c r="B297" s="30"/>
      <c r="C297" s="30"/>
      <c r="D297" s="22" t="s">
        <v>122</v>
      </c>
      <c r="E297" s="30" t="s">
        <v>120</v>
      </c>
      <c r="F297" s="30" t="s">
        <v>111</v>
      </c>
      <c r="G297" s="30" t="s">
        <v>863</v>
      </c>
      <c r="H297" s="30" t="s">
        <v>241</v>
      </c>
      <c r="I297" s="30" t="s">
        <v>114</v>
      </c>
    </row>
    <row r="298" spans="1:9">
      <c r="A298" s="22" t="s">
        <v>1136</v>
      </c>
      <c r="B298" s="30"/>
      <c r="C298" s="30"/>
      <c r="D298" s="30" t="s">
        <v>125</v>
      </c>
      <c r="E298" s="30" t="s">
        <v>112</v>
      </c>
      <c r="F298" s="30" t="s">
        <v>111</v>
      </c>
      <c r="G298" s="30" t="s">
        <v>113</v>
      </c>
      <c r="H298" s="30" t="s">
        <v>241</v>
      </c>
      <c r="I298" s="30" t="s">
        <v>114</v>
      </c>
    </row>
    <row r="299" spans="1:9">
      <c r="A299" s="22" t="s">
        <v>1136</v>
      </c>
      <c r="C299" s="30"/>
      <c r="D299" s="30" t="s">
        <v>236</v>
      </c>
      <c r="E299" s="30" t="s">
        <v>115</v>
      </c>
      <c r="F299" s="30" t="s">
        <v>111</v>
      </c>
      <c r="G299" s="30" t="s">
        <v>863</v>
      </c>
      <c r="H299" s="30" t="s">
        <v>241</v>
      </c>
      <c r="I299" s="30" t="s">
        <v>204</v>
      </c>
    </row>
    <row r="300" spans="1:9">
      <c r="A300" s="22" t="s">
        <v>1136</v>
      </c>
      <c r="C300" s="30"/>
      <c r="D300" s="30" t="s">
        <v>293</v>
      </c>
      <c r="E300" s="30" t="s">
        <v>115</v>
      </c>
      <c r="F300" s="30" t="s">
        <v>111</v>
      </c>
      <c r="G300" s="30" t="s">
        <v>863</v>
      </c>
      <c r="H300" s="30" t="s">
        <v>241</v>
      </c>
      <c r="I300" s="30" t="s">
        <v>232</v>
      </c>
    </row>
    <row r="301" spans="1:9">
      <c r="A301" s="22" t="s">
        <v>1136</v>
      </c>
      <c r="B301" s="30"/>
      <c r="C301" s="30"/>
      <c r="D301" s="30" t="s">
        <v>294</v>
      </c>
      <c r="E301" s="30" t="s">
        <v>115</v>
      </c>
      <c r="F301" s="30" t="s">
        <v>111</v>
      </c>
      <c r="G301" s="30" t="s">
        <v>863</v>
      </c>
      <c r="H301" s="30" t="s">
        <v>241</v>
      </c>
      <c r="I301" s="30" t="s">
        <v>118</v>
      </c>
    </row>
    <row r="302" spans="1:9">
      <c r="A302" s="22" t="s">
        <v>1136</v>
      </c>
      <c r="B302" s="30"/>
      <c r="C302" s="30"/>
      <c r="D302" s="30" t="s">
        <v>378</v>
      </c>
      <c r="E302" s="30" t="s">
        <v>115</v>
      </c>
      <c r="F302" s="30" t="s">
        <v>111</v>
      </c>
      <c r="G302" s="30" t="s">
        <v>864</v>
      </c>
      <c r="H302" s="30" t="s">
        <v>241</v>
      </c>
      <c r="I302" s="30" t="s">
        <v>118</v>
      </c>
    </row>
    <row r="303" spans="1:9">
      <c r="A303" s="22" t="s">
        <v>1136</v>
      </c>
      <c r="C303" s="30"/>
      <c r="D303" s="30" t="s">
        <v>943</v>
      </c>
      <c r="E303" s="30" t="s">
        <v>112</v>
      </c>
      <c r="F303" s="30" t="s">
        <v>247</v>
      </c>
      <c r="G303" s="30"/>
      <c r="H303" s="30" t="s">
        <v>241</v>
      </c>
      <c r="I303" s="30" t="s">
        <v>118</v>
      </c>
    </row>
    <row r="304" spans="1:9">
      <c r="A304" s="22" t="s">
        <v>1136</v>
      </c>
      <c r="C304" s="30"/>
      <c r="D304" s="30" t="s">
        <v>944</v>
      </c>
      <c r="E304" s="30" t="s">
        <v>127</v>
      </c>
      <c r="F304" s="30" t="s">
        <v>247</v>
      </c>
      <c r="G304" s="30"/>
      <c r="H304" s="30" t="s">
        <v>241</v>
      </c>
      <c r="I304" s="30" t="s">
        <v>118</v>
      </c>
    </row>
    <row r="305" spans="1:9">
      <c r="A305" s="22" t="s">
        <v>1136</v>
      </c>
      <c r="B305" s="30"/>
      <c r="C305" s="30"/>
      <c r="D305" s="30" t="s">
        <v>945</v>
      </c>
      <c r="E305" s="30" t="s">
        <v>112</v>
      </c>
      <c r="F305" s="30" t="s">
        <v>123</v>
      </c>
      <c r="G305" s="30"/>
      <c r="H305" s="30" t="s">
        <v>241</v>
      </c>
      <c r="I305" s="30" t="s">
        <v>240</v>
      </c>
    </row>
    <row r="306" spans="1:9">
      <c r="A306" s="22" t="s">
        <v>1136</v>
      </c>
      <c r="B306" s="30"/>
      <c r="C306" s="30"/>
      <c r="D306" s="30" t="s">
        <v>946</v>
      </c>
      <c r="E306" s="30" t="s">
        <v>127</v>
      </c>
      <c r="F306" s="30" t="s">
        <v>123</v>
      </c>
      <c r="G306" s="30"/>
      <c r="H306" s="30" t="s">
        <v>241</v>
      </c>
      <c r="I306" s="30" t="s">
        <v>240</v>
      </c>
    </row>
    <row r="307" spans="1:9">
      <c r="A307" s="22" t="s">
        <v>1136</v>
      </c>
      <c r="B307" s="30"/>
      <c r="C307" s="30"/>
      <c r="D307" s="30" t="s">
        <v>379</v>
      </c>
      <c r="E307" s="30" t="s">
        <v>112</v>
      </c>
      <c r="F307" s="30" t="s">
        <v>866</v>
      </c>
      <c r="G307" s="30"/>
      <c r="H307" s="30" t="s">
        <v>241</v>
      </c>
      <c r="I307" s="30" t="s">
        <v>126</v>
      </c>
    </row>
    <row r="308" spans="1:9">
      <c r="A308" s="22" t="s">
        <v>1136</v>
      </c>
      <c r="B308" s="30"/>
      <c r="C308" s="30"/>
      <c r="D308" s="30" t="s">
        <v>380</v>
      </c>
      <c r="E308" s="30" t="s">
        <v>127</v>
      </c>
      <c r="F308" s="30" t="s">
        <v>866</v>
      </c>
      <c r="G308" s="30"/>
      <c r="H308" s="30" t="s">
        <v>241</v>
      </c>
      <c r="I308" s="30" t="s">
        <v>126</v>
      </c>
    </row>
    <row r="309" spans="1:9">
      <c r="A309" s="22" t="s">
        <v>1136</v>
      </c>
      <c r="B309" s="30"/>
      <c r="C309" s="30"/>
      <c r="D309" s="30" t="s">
        <v>947</v>
      </c>
      <c r="E309" s="30" t="s">
        <v>112</v>
      </c>
      <c r="F309" s="30" t="s">
        <v>866</v>
      </c>
      <c r="G309" s="30"/>
      <c r="H309" s="30" t="s">
        <v>241</v>
      </c>
      <c r="I309" s="30" t="s">
        <v>128</v>
      </c>
    </row>
    <row r="310" spans="1:9">
      <c r="A310" s="22" t="s">
        <v>1136</v>
      </c>
      <c r="B310" s="30"/>
      <c r="C310" s="30"/>
      <c r="D310" s="30" t="s">
        <v>948</v>
      </c>
      <c r="E310" s="30" t="s">
        <v>127</v>
      </c>
      <c r="F310" s="30" t="s">
        <v>866</v>
      </c>
      <c r="G310" s="30"/>
      <c r="H310" s="30" t="s">
        <v>241</v>
      </c>
      <c r="I310" s="30" t="s">
        <v>128</v>
      </c>
    </row>
    <row r="311" spans="1:9">
      <c r="A311" s="22" t="s">
        <v>1136</v>
      </c>
      <c r="B311" s="30"/>
      <c r="C311" s="30"/>
      <c r="D311" s="22" t="s">
        <v>295</v>
      </c>
      <c r="E311" s="30" t="s">
        <v>120</v>
      </c>
      <c r="F311" s="30" t="s">
        <v>111</v>
      </c>
      <c r="G311" s="30"/>
      <c r="H311" s="30" t="s">
        <v>241</v>
      </c>
      <c r="I311" s="30" t="s">
        <v>213</v>
      </c>
    </row>
    <row r="312" spans="1:9">
      <c r="A312" s="22" t="s">
        <v>1136</v>
      </c>
      <c r="B312" s="30"/>
      <c r="C312" s="30"/>
      <c r="D312" s="30" t="s">
        <v>634</v>
      </c>
      <c r="E312" s="30" t="s">
        <v>115</v>
      </c>
      <c r="F312" s="30" t="s">
        <v>178</v>
      </c>
      <c r="G312" s="30" t="s">
        <v>1191</v>
      </c>
      <c r="H312" s="30" t="s">
        <v>241</v>
      </c>
      <c r="I312" s="30" t="s">
        <v>114</v>
      </c>
    </row>
    <row r="313" spans="1:9">
      <c r="A313" s="22" t="s">
        <v>1136</v>
      </c>
      <c r="B313" s="30"/>
      <c r="C313" s="30"/>
      <c r="D313" s="30" t="s">
        <v>382</v>
      </c>
      <c r="E313" s="30" t="s">
        <v>115</v>
      </c>
      <c r="F313" s="30" t="s">
        <v>178</v>
      </c>
      <c r="G313" s="30" t="s">
        <v>1192</v>
      </c>
      <c r="H313" s="30" t="s">
        <v>241</v>
      </c>
      <c r="I313" s="30" t="s">
        <v>114</v>
      </c>
    </row>
    <row r="314" spans="1:9">
      <c r="A314" s="22" t="s">
        <v>1136</v>
      </c>
      <c r="B314" s="30"/>
      <c r="C314" s="30"/>
      <c r="D314" s="30" t="s">
        <v>1152</v>
      </c>
      <c r="E314" s="30" t="s">
        <v>112</v>
      </c>
      <c r="F314" s="30" t="s">
        <v>178</v>
      </c>
      <c r="G314" s="30" t="s">
        <v>571</v>
      </c>
      <c r="H314" s="30" t="s">
        <v>241</v>
      </c>
      <c r="I314" s="30" t="s">
        <v>572</v>
      </c>
    </row>
    <row r="315" spans="1:9">
      <c r="A315" s="22" t="s">
        <v>1136</v>
      </c>
      <c r="B315" s="30"/>
      <c r="C315" s="30"/>
      <c r="D315" s="30" t="s">
        <v>635</v>
      </c>
      <c r="E315" s="30" t="s">
        <v>115</v>
      </c>
      <c r="F315" s="30" t="s">
        <v>179</v>
      </c>
      <c r="G315" s="30" t="s">
        <v>1193</v>
      </c>
      <c r="H315" s="30" t="s">
        <v>241</v>
      </c>
      <c r="I315" s="30" t="s">
        <v>114</v>
      </c>
    </row>
    <row r="316" spans="1:9">
      <c r="A316" s="22" t="s">
        <v>1136</v>
      </c>
      <c r="B316" s="30"/>
      <c r="C316" s="30"/>
      <c r="D316" s="30" t="s">
        <v>383</v>
      </c>
      <c r="E316" s="30" t="s">
        <v>115</v>
      </c>
      <c r="F316" s="30" t="s">
        <v>179</v>
      </c>
      <c r="G316" s="30" t="s">
        <v>1194</v>
      </c>
      <c r="H316" s="30" t="s">
        <v>241</v>
      </c>
      <c r="I316" s="30" t="s">
        <v>114</v>
      </c>
    </row>
    <row r="317" spans="1:9">
      <c r="A317" s="22" t="s">
        <v>1136</v>
      </c>
      <c r="B317" s="30"/>
      <c r="C317" s="30"/>
      <c r="D317" s="30" t="s">
        <v>949</v>
      </c>
      <c r="E317" s="30" t="s">
        <v>112</v>
      </c>
      <c r="F317" s="30" t="s">
        <v>179</v>
      </c>
      <c r="G317" s="30" t="s">
        <v>571</v>
      </c>
      <c r="H317" s="30" t="s">
        <v>241</v>
      </c>
      <c r="I317" s="30" t="s">
        <v>572</v>
      </c>
    </row>
    <row r="318" spans="1:9">
      <c r="A318" s="22" t="s">
        <v>1136</v>
      </c>
      <c r="B318" s="30"/>
      <c r="C318" s="30"/>
      <c r="D318" s="30" t="s">
        <v>1153</v>
      </c>
      <c r="E318" s="30" t="s">
        <v>115</v>
      </c>
      <c r="F318" s="30" t="s">
        <v>169</v>
      </c>
      <c r="G318" s="30" t="s">
        <v>1195</v>
      </c>
      <c r="H318" s="30" t="s">
        <v>241</v>
      </c>
      <c r="I318" s="30" t="s">
        <v>114</v>
      </c>
    </row>
    <row r="319" spans="1:9">
      <c r="A319" s="22" t="s">
        <v>1136</v>
      </c>
      <c r="B319" s="30"/>
      <c r="C319" s="30"/>
      <c r="D319" s="30" t="s">
        <v>384</v>
      </c>
      <c r="E319" s="30" t="s">
        <v>115</v>
      </c>
      <c r="F319" s="30" t="s">
        <v>169</v>
      </c>
      <c r="G319" s="30" t="s">
        <v>1196</v>
      </c>
      <c r="H319" s="30" t="s">
        <v>241</v>
      </c>
      <c r="I319" s="30" t="s">
        <v>114</v>
      </c>
    </row>
    <row r="320" spans="1:9">
      <c r="A320" s="22" t="s">
        <v>1136</v>
      </c>
      <c r="B320" s="30"/>
      <c r="C320" s="30"/>
      <c r="D320" s="30" t="s">
        <v>950</v>
      </c>
      <c r="E320" s="30" t="s">
        <v>112</v>
      </c>
      <c r="F320" s="30" t="s">
        <v>169</v>
      </c>
      <c r="G320" s="30" t="s">
        <v>571</v>
      </c>
      <c r="H320" s="30" t="s">
        <v>241</v>
      </c>
      <c r="I320" s="30" t="s">
        <v>572</v>
      </c>
    </row>
    <row r="321" spans="1:9">
      <c r="A321" s="22" t="s">
        <v>1136</v>
      </c>
      <c r="B321" s="30"/>
      <c r="C321" s="30"/>
      <c r="D321" s="30" t="s">
        <v>636</v>
      </c>
      <c r="E321" s="30" t="s">
        <v>115</v>
      </c>
      <c r="F321" s="30" t="s">
        <v>180</v>
      </c>
      <c r="G321" s="30" t="s">
        <v>1202</v>
      </c>
      <c r="H321" s="30" t="s">
        <v>241</v>
      </c>
      <c r="I321" s="30" t="s">
        <v>114</v>
      </c>
    </row>
    <row r="322" spans="1:9">
      <c r="A322" s="22" t="s">
        <v>1136</v>
      </c>
      <c r="B322" s="30"/>
      <c r="C322" s="30"/>
      <c r="D322" s="30" t="s">
        <v>385</v>
      </c>
      <c r="E322" s="30" t="s">
        <v>115</v>
      </c>
      <c r="F322" s="30" t="s">
        <v>180</v>
      </c>
      <c r="G322" s="30" t="s">
        <v>1203</v>
      </c>
      <c r="H322" s="30" t="s">
        <v>241</v>
      </c>
      <c r="I322" s="30" t="s">
        <v>114</v>
      </c>
    </row>
    <row r="323" spans="1:9">
      <c r="A323" s="22" t="s">
        <v>1136</v>
      </c>
      <c r="B323" s="30"/>
      <c r="C323" s="30"/>
      <c r="D323" s="30" t="s">
        <v>951</v>
      </c>
      <c r="E323" s="30" t="s">
        <v>112</v>
      </c>
      <c r="F323" s="30" t="s">
        <v>180</v>
      </c>
      <c r="G323" s="30" t="s">
        <v>571</v>
      </c>
      <c r="H323" s="30" t="s">
        <v>241</v>
      </c>
      <c r="I323" s="30" t="s">
        <v>572</v>
      </c>
    </row>
    <row r="324" spans="1:9">
      <c r="A324" s="22" t="s">
        <v>1136</v>
      </c>
      <c r="B324" s="30"/>
      <c r="C324" s="30"/>
      <c r="D324" s="30" t="s">
        <v>637</v>
      </c>
      <c r="E324" s="30" t="s">
        <v>115</v>
      </c>
      <c r="F324" s="30" t="s">
        <v>181</v>
      </c>
      <c r="G324" s="30" t="s">
        <v>1197</v>
      </c>
      <c r="H324" s="30" t="s">
        <v>241</v>
      </c>
      <c r="I324" s="30" t="s">
        <v>114</v>
      </c>
    </row>
    <row r="325" spans="1:9">
      <c r="A325" s="22" t="s">
        <v>1136</v>
      </c>
      <c r="B325" s="30"/>
      <c r="C325" s="30"/>
      <c r="D325" s="30" t="s">
        <v>952</v>
      </c>
      <c r="E325" s="30" t="s">
        <v>115</v>
      </c>
      <c r="F325" s="30" t="s">
        <v>181</v>
      </c>
      <c r="G325" s="30" t="s">
        <v>1198</v>
      </c>
      <c r="H325" s="30" t="s">
        <v>241</v>
      </c>
      <c r="I325" s="30" t="s">
        <v>114</v>
      </c>
    </row>
    <row r="326" spans="1:9">
      <c r="A326" s="22" t="s">
        <v>1136</v>
      </c>
      <c r="B326" s="30"/>
      <c r="C326" s="30"/>
      <c r="D326" s="30" t="s">
        <v>953</v>
      </c>
      <c r="E326" s="30" t="s">
        <v>112</v>
      </c>
      <c r="F326" s="30" t="s">
        <v>181</v>
      </c>
      <c r="G326" s="30" t="s">
        <v>571</v>
      </c>
      <c r="H326" s="30" t="s">
        <v>241</v>
      </c>
      <c r="I326" s="30" t="s">
        <v>572</v>
      </c>
    </row>
    <row r="327" spans="1:9">
      <c r="A327" s="22" t="s">
        <v>1136</v>
      </c>
      <c r="B327" s="30"/>
      <c r="C327" s="30"/>
      <c r="D327" s="30" t="s">
        <v>638</v>
      </c>
      <c r="E327" s="30" t="s">
        <v>115</v>
      </c>
      <c r="F327" s="30" t="s">
        <v>182</v>
      </c>
      <c r="G327" s="30" t="s">
        <v>1199</v>
      </c>
      <c r="H327" s="30" t="s">
        <v>241</v>
      </c>
      <c r="I327" s="30" t="s">
        <v>114</v>
      </c>
    </row>
    <row r="328" spans="1:9">
      <c r="A328" s="22" t="s">
        <v>1136</v>
      </c>
      <c r="B328" s="30"/>
      <c r="C328" s="30"/>
      <c r="D328" s="30" t="s">
        <v>954</v>
      </c>
      <c r="E328" s="30" t="s">
        <v>115</v>
      </c>
      <c r="F328" s="30" t="s">
        <v>182</v>
      </c>
      <c r="G328" s="30" t="s">
        <v>1200</v>
      </c>
      <c r="H328" s="30" t="s">
        <v>241</v>
      </c>
      <c r="I328" s="30" t="s">
        <v>114</v>
      </c>
    </row>
    <row r="329" spans="1:9">
      <c r="A329" s="22" t="s">
        <v>1136</v>
      </c>
      <c r="B329" s="30"/>
      <c r="C329" s="30"/>
      <c r="D329" s="30" t="s">
        <v>955</v>
      </c>
      <c r="E329" s="30" t="s">
        <v>112</v>
      </c>
      <c r="F329" s="30" t="s">
        <v>182</v>
      </c>
      <c r="G329" s="30" t="s">
        <v>571</v>
      </c>
      <c r="H329" s="30" t="s">
        <v>241</v>
      </c>
      <c r="I329" s="30" t="s">
        <v>572</v>
      </c>
    </row>
    <row r="330" spans="1:9">
      <c r="A330" s="22" t="s">
        <v>1136</v>
      </c>
      <c r="B330" s="30"/>
      <c r="C330" s="30"/>
      <c r="D330" s="30" t="s">
        <v>639</v>
      </c>
      <c r="E330" s="30" t="s">
        <v>115</v>
      </c>
      <c r="F330" s="30" t="s">
        <v>183</v>
      </c>
      <c r="G330" s="30" t="s">
        <v>1204</v>
      </c>
      <c r="H330" s="30" t="s">
        <v>241</v>
      </c>
      <c r="I330" s="30" t="s">
        <v>114</v>
      </c>
    </row>
    <row r="331" spans="1:9">
      <c r="A331" s="22" t="s">
        <v>1136</v>
      </c>
      <c r="B331" s="30"/>
      <c r="C331" s="30"/>
      <c r="D331" s="30" t="s">
        <v>956</v>
      </c>
      <c r="E331" s="30" t="s">
        <v>115</v>
      </c>
      <c r="F331" s="30" t="s">
        <v>183</v>
      </c>
      <c r="G331" s="30" t="s">
        <v>1205</v>
      </c>
      <c r="H331" s="30" t="s">
        <v>241</v>
      </c>
      <c r="I331" s="30" t="s">
        <v>114</v>
      </c>
    </row>
    <row r="332" spans="1:9">
      <c r="A332" s="22" t="s">
        <v>1136</v>
      </c>
      <c r="B332" s="30"/>
      <c r="C332" s="30"/>
      <c r="D332" s="30" t="s">
        <v>957</v>
      </c>
      <c r="E332" s="30" t="s">
        <v>112</v>
      </c>
      <c r="F332" s="30" t="s">
        <v>183</v>
      </c>
      <c r="G332" s="30" t="s">
        <v>571</v>
      </c>
      <c r="H332" s="30" t="s">
        <v>241</v>
      </c>
      <c r="I332" s="30" t="s">
        <v>572</v>
      </c>
    </row>
    <row r="333" spans="1:9">
      <c r="A333" s="22" t="s">
        <v>1136</v>
      </c>
      <c r="B333" s="30"/>
      <c r="C333" s="30"/>
      <c r="D333" s="30" t="s">
        <v>640</v>
      </c>
      <c r="E333" s="30" t="s">
        <v>115</v>
      </c>
      <c r="F333" s="30" t="s">
        <v>184</v>
      </c>
      <c r="G333" s="30" t="s">
        <v>1189</v>
      </c>
      <c r="H333" s="30" t="s">
        <v>241</v>
      </c>
      <c r="I333" s="30" t="s">
        <v>114</v>
      </c>
    </row>
    <row r="334" spans="1:9">
      <c r="A334" s="22" t="s">
        <v>1136</v>
      </c>
      <c r="B334" s="30"/>
      <c r="C334" s="30"/>
      <c r="D334" s="30" t="s">
        <v>958</v>
      </c>
      <c r="E334" s="30" t="s">
        <v>115</v>
      </c>
      <c r="F334" s="30" t="s">
        <v>184</v>
      </c>
      <c r="G334" s="30" t="s">
        <v>1190</v>
      </c>
      <c r="H334" s="30" t="s">
        <v>241</v>
      </c>
      <c r="I334" s="30" t="s">
        <v>114</v>
      </c>
    </row>
    <row r="335" spans="1:9">
      <c r="A335" s="22" t="s">
        <v>1136</v>
      </c>
      <c r="B335" s="30"/>
      <c r="C335" s="30"/>
      <c r="D335" s="30" t="s">
        <v>1154</v>
      </c>
      <c r="E335" s="30" t="s">
        <v>112</v>
      </c>
      <c r="F335" s="30" t="s">
        <v>184</v>
      </c>
      <c r="G335" s="30" t="s">
        <v>571</v>
      </c>
      <c r="H335" s="30" t="s">
        <v>241</v>
      </c>
      <c r="I335" s="30" t="s">
        <v>572</v>
      </c>
    </row>
    <row r="336" spans="1:9">
      <c r="A336" s="22" t="s">
        <v>1137</v>
      </c>
      <c r="B336" s="30"/>
      <c r="C336" s="30"/>
      <c r="D336" s="30" t="s">
        <v>262</v>
      </c>
      <c r="E336" s="30" t="s">
        <v>822</v>
      </c>
      <c r="F336" s="30" t="s">
        <v>111</v>
      </c>
      <c r="G336" s="30" t="s">
        <v>865</v>
      </c>
      <c r="H336" s="30" t="s">
        <v>241</v>
      </c>
      <c r="I336" s="30" t="s">
        <v>823</v>
      </c>
    </row>
    <row r="337" spans="1:9">
      <c r="A337" s="22" t="s">
        <v>1137</v>
      </c>
      <c r="B337" s="30"/>
      <c r="C337" s="30"/>
      <c r="D337" s="30" t="s">
        <v>354</v>
      </c>
      <c r="E337" s="30" t="s">
        <v>822</v>
      </c>
      <c r="F337" s="30" t="s">
        <v>111</v>
      </c>
      <c r="G337" s="30" t="s">
        <v>865</v>
      </c>
      <c r="H337" s="30" t="s">
        <v>241</v>
      </c>
      <c r="I337" s="30" t="s">
        <v>232</v>
      </c>
    </row>
    <row r="338" spans="1:9">
      <c r="A338" s="28"/>
      <c r="B338" s="28"/>
      <c r="C338" s="28"/>
      <c r="D338" s="28"/>
      <c r="E338" s="29" t="s">
        <v>752</v>
      </c>
      <c r="F338" s="28"/>
      <c r="G338" s="28"/>
      <c r="H338" s="28"/>
      <c r="I338" s="28"/>
    </row>
    <row r="339" spans="1:9">
      <c r="A339" s="22" t="s">
        <v>1136</v>
      </c>
      <c r="B339" s="30"/>
      <c r="C339" s="30"/>
      <c r="D339" s="22" t="s">
        <v>386</v>
      </c>
      <c r="E339" s="30" t="s">
        <v>115</v>
      </c>
      <c r="F339" s="30" t="s">
        <v>111</v>
      </c>
      <c r="G339" s="30" t="s">
        <v>863</v>
      </c>
      <c r="H339" s="30" t="s">
        <v>241</v>
      </c>
      <c r="I339" s="30" t="s">
        <v>114</v>
      </c>
    </row>
    <row r="340" spans="1:9">
      <c r="A340" s="22" t="s">
        <v>1136</v>
      </c>
      <c r="B340" s="30"/>
      <c r="C340" s="30"/>
      <c r="D340" s="22" t="s">
        <v>129</v>
      </c>
      <c r="E340" s="30" t="s">
        <v>120</v>
      </c>
      <c r="F340" s="30" t="s">
        <v>111</v>
      </c>
      <c r="G340" s="30" t="s">
        <v>863</v>
      </c>
      <c r="H340" s="30" t="s">
        <v>241</v>
      </c>
      <c r="I340" s="30" t="s">
        <v>114</v>
      </c>
    </row>
    <row r="341" spans="1:9">
      <c r="A341" s="22" t="s">
        <v>1136</v>
      </c>
      <c r="B341" s="30"/>
      <c r="C341" s="30"/>
      <c r="D341" s="30" t="s">
        <v>130</v>
      </c>
      <c r="E341" s="30" t="s">
        <v>112</v>
      </c>
      <c r="F341" s="30" t="s">
        <v>111</v>
      </c>
      <c r="G341" s="30" t="s">
        <v>113</v>
      </c>
      <c r="H341" s="30" t="s">
        <v>241</v>
      </c>
      <c r="I341" s="30" t="s">
        <v>114</v>
      </c>
    </row>
    <row r="342" spans="1:9">
      <c r="A342" s="22" t="s">
        <v>1136</v>
      </c>
      <c r="C342" s="30"/>
      <c r="D342" s="30" t="s">
        <v>237</v>
      </c>
      <c r="E342" s="30" t="s">
        <v>115</v>
      </c>
      <c r="F342" s="30" t="s">
        <v>111</v>
      </c>
      <c r="G342" s="30" t="s">
        <v>863</v>
      </c>
      <c r="H342" s="30" t="s">
        <v>241</v>
      </c>
      <c r="I342" s="30" t="s">
        <v>204</v>
      </c>
    </row>
    <row r="343" spans="1:9">
      <c r="A343" s="22" t="s">
        <v>1136</v>
      </c>
      <c r="C343" s="30"/>
      <c r="D343" s="30" t="s">
        <v>296</v>
      </c>
      <c r="E343" s="30" t="s">
        <v>115</v>
      </c>
      <c r="F343" s="30" t="s">
        <v>111</v>
      </c>
      <c r="G343" s="30" t="s">
        <v>863</v>
      </c>
      <c r="H343" s="30" t="s">
        <v>241</v>
      </c>
      <c r="I343" s="30" t="s">
        <v>232</v>
      </c>
    </row>
    <row r="344" spans="1:9">
      <c r="A344" s="22" t="s">
        <v>1136</v>
      </c>
      <c r="B344" s="30"/>
      <c r="C344" s="30"/>
      <c r="D344" s="30" t="s">
        <v>297</v>
      </c>
      <c r="E344" s="30" t="s">
        <v>115</v>
      </c>
      <c r="F344" s="30" t="s">
        <v>111</v>
      </c>
      <c r="G344" s="30" t="s">
        <v>863</v>
      </c>
      <c r="H344" s="30" t="s">
        <v>241</v>
      </c>
      <c r="I344" s="30" t="s">
        <v>118</v>
      </c>
    </row>
    <row r="345" spans="1:9">
      <c r="A345" s="22" t="s">
        <v>1136</v>
      </c>
      <c r="B345" s="30"/>
      <c r="C345" s="30"/>
      <c r="D345" s="30" t="s">
        <v>387</v>
      </c>
      <c r="E345" s="30" t="s">
        <v>115</v>
      </c>
      <c r="F345" s="30" t="s">
        <v>111</v>
      </c>
      <c r="G345" s="30" t="s">
        <v>864</v>
      </c>
      <c r="H345" s="30" t="s">
        <v>241</v>
      </c>
      <c r="I345" s="30" t="s">
        <v>118</v>
      </c>
    </row>
    <row r="346" spans="1:9">
      <c r="A346" s="22" t="s">
        <v>1136</v>
      </c>
      <c r="C346" s="30"/>
      <c r="D346" s="30" t="s">
        <v>959</v>
      </c>
      <c r="E346" s="30" t="s">
        <v>112</v>
      </c>
      <c r="F346" s="30" t="s">
        <v>247</v>
      </c>
      <c r="G346" s="30"/>
      <c r="H346" s="30" t="s">
        <v>241</v>
      </c>
      <c r="I346" s="30" t="s">
        <v>118</v>
      </c>
    </row>
    <row r="347" spans="1:9">
      <c r="A347" s="22" t="s">
        <v>1136</v>
      </c>
      <c r="C347" s="30"/>
      <c r="D347" s="30" t="s">
        <v>960</v>
      </c>
      <c r="E347" s="30" t="s">
        <v>127</v>
      </c>
      <c r="F347" s="30" t="s">
        <v>247</v>
      </c>
      <c r="G347" s="30"/>
      <c r="H347" s="30" t="s">
        <v>241</v>
      </c>
      <c r="I347" s="30" t="s">
        <v>118</v>
      </c>
    </row>
    <row r="348" spans="1:9">
      <c r="A348" s="22" t="s">
        <v>1136</v>
      </c>
      <c r="B348" s="30"/>
      <c r="C348" s="30"/>
      <c r="D348" s="30" t="s">
        <v>961</v>
      </c>
      <c r="E348" s="30" t="s">
        <v>112</v>
      </c>
      <c r="F348" s="30" t="s">
        <v>123</v>
      </c>
      <c r="G348" s="30"/>
      <c r="H348" s="30" t="s">
        <v>241</v>
      </c>
      <c r="I348" s="30" t="s">
        <v>240</v>
      </c>
    </row>
    <row r="349" spans="1:9">
      <c r="A349" s="22" t="s">
        <v>1136</v>
      </c>
      <c r="B349" s="30"/>
      <c r="C349" s="30"/>
      <c r="D349" s="30" t="s">
        <v>962</v>
      </c>
      <c r="E349" s="30" t="s">
        <v>127</v>
      </c>
      <c r="F349" s="30" t="s">
        <v>123</v>
      </c>
      <c r="G349" s="30"/>
      <c r="H349" s="30" t="s">
        <v>241</v>
      </c>
      <c r="I349" s="30" t="s">
        <v>240</v>
      </c>
    </row>
    <row r="350" spans="1:9">
      <c r="A350" s="22" t="s">
        <v>1136</v>
      </c>
      <c r="B350" s="30"/>
      <c r="C350" s="30"/>
      <c r="D350" s="30" t="s">
        <v>388</v>
      </c>
      <c r="E350" s="30" t="s">
        <v>112</v>
      </c>
      <c r="F350" s="30" t="s">
        <v>866</v>
      </c>
      <c r="G350" s="30"/>
      <c r="H350" s="30" t="s">
        <v>241</v>
      </c>
      <c r="I350" s="30" t="s">
        <v>126</v>
      </c>
    </row>
    <row r="351" spans="1:9">
      <c r="A351" s="22" t="s">
        <v>1136</v>
      </c>
      <c r="B351" s="30"/>
      <c r="C351" s="30"/>
      <c r="D351" s="30" t="s">
        <v>389</v>
      </c>
      <c r="E351" s="30" t="s">
        <v>127</v>
      </c>
      <c r="F351" s="30" t="s">
        <v>866</v>
      </c>
      <c r="G351" s="30"/>
      <c r="H351" s="30" t="s">
        <v>241</v>
      </c>
      <c r="I351" s="30" t="s">
        <v>126</v>
      </c>
    </row>
    <row r="352" spans="1:9">
      <c r="A352" s="22" t="s">
        <v>1136</v>
      </c>
      <c r="B352" s="30"/>
      <c r="C352" s="30"/>
      <c r="D352" s="30" t="s">
        <v>963</v>
      </c>
      <c r="E352" s="30" t="s">
        <v>112</v>
      </c>
      <c r="F352" s="30" t="s">
        <v>866</v>
      </c>
      <c r="G352" s="30"/>
      <c r="H352" s="30" t="s">
        <v>241</v>
      </c>
      <c r="I352" s="30" t="s">
        <v>128</v>
      </c>
    </row>
    <row r="353" spans="1:9">
      <c r="A353" s="22" t="s">
        <v>1136</v>
      </c>
      <c r="B353" s="30"/>
      <c r="C353" s="30"/>
      <c r="D353" s="30" t="s">
        <v>964</v>
      </c>
      <c r="E353" s="30" t="s">
        <v>127</v>
      </c>
      <c r="F353" s="30" t="s">
        <v>866</v>
      </c>
      <c r="G353" s="30"/>
      <c r="H353" s="30" t="s">
        <v>241</v>
      </c>
      <c r="I353" s="30" t="s">
        <v>128</v>
      </c>
    </row>
    <row r="354" spans="1:9">
      <c r="A354" s="22" t="s">
        <v>1136</v>
      </c>
      <c r="B354" s="30"/>
      <c r="C354" s="30"/>
      <c r="D354" s="22" t="s">
        <v>298</v>
      </c>
      <c r="E354" s="30" t="s">
        <v>120</v>
      </c>
      <c r="F354" s="30" t="s">
        <v>111</v>
      </c>
      <c r="G354" s="30"/>
      <c r="H354" s="30" t="s">
        <v>241</v>
      </c>
      <c r="I354" s="30" t="s">
        <v>213</v>
      </c>
    </row>
    <row r="355" spans="1:9">
      <c r="A355" s="22" t="s">
        <v>1136</v>
      </c>
      <c r="B355" s="30"/>
      <c r="C355" s="30"/>
      <c r="D355" s="30" t="s">
        <v>641</v>
      </c>
      <c r="E355" s="30" t="s">
        <v>115</v>
      </c>
      <c r="F355" s="30" t="s">
        <v>178</v>
      </c>
      <c r="G355" s="30" t="s">
        <v>1191</v>
      </c>
      <c r="H355" s="30" t="s">
        <v>241</v>
      </c>
      <c r="I355" s="30" t="s">
        <v>114</v>
      </c>
    </row>
    <row r="356" spans="1:9">
      <c r="A356" s="22" t="s">
        <v>1136</v>
      </c>
      <c r="B356" s="30"/>
      <c r="C356" s="30"/>
      <c r="D356" s="30" t="s">
        <v>390</v>
      </c>
      <c r="E356" s="30" t="s">
        <v>115</v>
      </c>
      <c r="F356" s="30" t="s">
        <v>178</v>
      </c>
      <c r="G356" s="30" t="s">
        <v>1192</v>
      </c>
      <c r="H356" s="30" t="s">
        <v>241</v>
      </c>
      <c r="I356" s="30" t="s">
        <v>114</v>
      </c>
    </row>
    <row r="357" spans="1:9">
      <c r="A357" s="22" t="s">
        <v>1136</v>
      </c>
      <c r="B357" s="30"/>
      <c r="C357" s="30"/>
      <c r="D357" s="30" t="s">
        <v>1155</v>
      </c>
      <c r="E357" s="30" t="s">
        <v>112</v>
      </c>
      <c r="F357" s="30" t="s">
        <v>178</v>
      </c>
      <c r="G357" s="30" t="s">
        <v>571</v>
      </c>
      <c r="H357" s="30" t="s">
        <v>241</v>
      </c>
      <c r="I357" s="30" t="s">
        <v>572</v>
      </c>
    </row>
    <row r="358" spans="1:9">
      <c r="A358" s="22" t="s">
        <v>1136</v>
      </c>
      <c r="B358" s="30"/>
      <c r="C358" s="30"/>
      <c r="D358" s="30" t="s">
        <v>642</v>
      </c>
      <c r="E358" s="30" t="s">
        <v>115</v>
      </c>
      <c r="F358" s="30" t="s">
        <v>179</v>
      </c>
      <c r="G358" s="30" t="s">
        <v>1193</v>
      </c>
      <c r="H358" s="30" t="s">
        <v>241</v>
      </c>
      <c r="I358" s="30" t="s">
        <v>114</v>
      </c>
    </row>
    <row r="359" spans="1:9">
      <c r="A359" s="22" t="s">
        <v>1136</v>
      </c>
      <c r="B359" s="30"/>
      <c r="C359" s="30"/>
      <c r="D359" s="30" t="s">
        <v>391</v>
      </c>
      <c r="E359" s="30" t="s">
        <v>115</v>
      </c>
      <c r="F359" s="30" t="s">
        <v>179</v>
      </c>
      <c r="G359" s="30" t="s">
        <v>1194</v>
      </c>
      <c r="H359" s="30" t="s">
        <v>241</v>
      </c>
      <c r="I359" s="30" t="s">
        <v>114</v>
      </c>
    </row>
    <row r="360" spans="1:9">
      <c r="A360" s="22" t="s">
        <v>1136</v>
      </c>
      <c r="B360" s="30"/>
      <c r="C360" s="30"/>
      <c r="D360" s="30" t="s">
        <v>965</v>
      </c>
      <c r="E360" s="30" t="s">
        <v>112</v>
      </c>
      <c r="F360" s="30" t="s">
        <v>179</v>
      </c>
      <c r="G360" s="30" t="s">
        <v>571</v>
      </c>
      <c r="H360" s="30" t="s">
        <v>241</v>
      </c>
      <c r="I360" s="30" t="s">
        <v>572</v>
      </c>
    </row>
    <row r="361" spans="1:9">
      <c r="A361" s="22" t="s">
        <v>1136</v>
      </c>
      <c r="B361" s="30"/>
      <c r="C361" s="30"/>
      <c r="D361" s="30" t="s">
        <v>1156</v>
      </c>
      <c r="E361" s="30" t="s">
        <v>115</v>
      </c>
      <c r="F361" s="30" t="s">
        <v>169</v>
      </c>
      <c r="G361" s="30" t="s">
        <v>1195</v>
      </c>
      <c r="H361" s="30" t="s">
        <v>241</v>
      </c>
      <c r="I361" s="30" t="s">
        <v>114</v>
      </c>
    </row>
    <row r="362" spans="1:9">
      <c r="A362" s="22" t="s">
        <v>1136</v>
      </c>
      <c r="B362" s="30"/>
      <c r="C362" s="30"/>
      <c r="D362" s="30" t="s">
        <v>392</v>
      </c>
      <c r="E362" s="30" t="s">
        <v>115</v>
      </c>
      <c r="F362" s="30" t="s">
        <v>169</v>
      </c>
      <c r="G362" s="30" t="s">
        <v>1196</v>
      </c>
      <c r="H362" s="30" t="s">
        <v>241</v>
      </c>
      <c r="I362" s="30" t="s">
        <v>114</v>
      </c>
    </row>
    <row r="363" spans="1:9">
      <c r="A363" s="22" t="s">
        <v>1136</v>
      </c>
      <c r="B363" s="30"/>
      <c r="C363" s="30"/>
      <c r="D363" s="30" t="s">
        <v>966</v>
      </c>
      <c r="E363" s="30" t="s">
        <v>112</v>
      </c>
      <c r="F363" s="30" t="s">
        <v>169</v>
      </c>
      <c r="G363" s="30" t="s">
        <v>571</v>
      </c>
      <c r="H363" s="30" t="s">
        <v>241</v>
      </c>
      <c r="I363" s="30" t="s">
        <v>572</v>
      </c>
    </row>
    <row r="364" spans="1:9">
      <c r="A364" s="22" t="s">
        <v>1136</v>
      </c>
      <c r="B364" s="30"/>
      <c r="C364" s="30"/>
      <c r="D364" s="30" t="s">
        <v>643</v>
      </c>
      <c r="E364" s="30" t="s">
        <v>115</v>
      </c>
      <c r="F364" s="30" t="s">
        <v>180</v>
      </c>
      <c r="G364" s="30" t="s">
        <v>1202</v>
      </c>
      <c r="H364" s="30" t="s">
        <v>241</v>
      </c>
      <c r="I364" s="30" t="s">
        <v>114</v>
      </c>
    </row>
    <row r="365" spans="1:9">
      <c r="A365" s="22" t="s">
        <v>1136</v>
      </c>
      <c r="B365" s="30"/>
      <c r="C365" s="30"/>
      <c r="D365" s="30" t="s">
        <v>393</v>
      </c>
      <c r="E365" s="30" t="s">
        <v>115</v>
      </c>
      <c r="F365" s="30" t="s">
        <v>180</v>
      </c>
      <c r="G365" s="30" t="s">
        <v>1203</v>
      </c>
      <c r="H365" s="30" t="s">
        <v>241</v>
      </c>
      <c r="I365" s="30" t="s">
        <v>114</v>
      </c>
    </row>
    <row r="366" spans="1:9">
      <c r="A366" s="22" t="s">
        <v>1136</v>
      </c>
      <c r="B366" s="30"/>
      <c r="C366" s="30"/>
      <c r="D366" s="30" t="s">
        <v>967</v>
      </c>
      <c r="E366" s="30" t="s">
        <v>112</v>
      </c>
      <c r="F366" s="30" t="s">
        <v>180</v>
      </c>
      <c r="G366" s="30" t="s">
        <v>571</v>
      </c>
      <c r="H366" s="30" t="s">
        <v>241</v>
      </c>
      <c r="I366" s="30" t="s">
        <v>572</v>
      </c>
    </row>
    <row r="367" spans="1:9">
      <c r="A367" s="22" t="s">
        <v>1136</v>
      </c>
      <c r="B367" s="30"/>
      <c r="C367" s="30"/>
      <c r="D367" s="30" t="s">
        <v>644</v>
      </c>
      <c r="E367" s="30" t="s">
        <v>115</v>
      </c>
      <c r="F367" s="30" t="s">
        <v>181</v>
      </c>
      <c r="G367" s="30" t="s">
        <v>1197</v>
      </c>
      <c r="H367" s="30" t="s">
        <v>241</v>
      </c>
      <c r="I367" s="30" t="s">
        <v>114</v>
      </c>
    </row>
    <row r="368" spans="1:9">
      <c r="A368" s="22" t="s">
        <v>1136</v>
      </c>
      <c r="B368" s="30"/>
      <c r="C368" s="30"/>
      <c r="D368" s="30" t="s">
        <v>968</v>
      </c>
      <c r="E368" s="30" t="s">
        <v>115</v>
      </c>
      <c r="F368" s="30" t="s">
        <v>181</v>
      </c>
      <c r="G368" s="30" t="s">
        <v>1198</v>
      </c>
      <c r="H368" s="30" t="s">
        <v>241</v>
      </c>
      <c r="I368" s="30" t="s">
        <v>114</v>
      </c>
    </row>
    <row r="369" spans="1:9">
      <c r="A369" s="22" t="s">
        <v>1136</v>
      </c>
      <c r="B369" s="30"/>
      <c r="C369" s="30"/>
      <c r="D369" s="30" t="s">
        <v>969</v>
      </c>
      <c r="E369" s="30" t="s">
        <v>112</v>
      </c>
      <c r="F369" s="30" t="s">
        <v>181</v>
      </c>
      <c r="G369" s="30" t="s">
        <v>571</v>
      </c>
      <c r="H369" s="30" t="s">
        <v>241</v>
      </c>
      <c r="I369" s="30" t="s">
        <v>572</v>
      </c>
    </row>
    <row r="370" spans="1:9">
      <c r="A370" s="22" t="s">
        <v>1136</v>
      </c>
      <c r="B370" s="30"/>
      <c r="C370" s="30"/>
      <c r="D370" s="30" t="s">
        <v>645</v>
      </c>
      <c r="E370" s="30" t="s">
        <v>115</v>
      </c>
      <c r="F370" s="30" t="s">
        <v>182</v>
      </c>
      <c r="G370" s="30" t="s">
        <v>1199</v>
      </c>
      <c r="H370" s="30" t="s">
        <v>241</v>
      </c>
      <c r="I370" s="30" t="s">
        <v>114</v>
      </c>
    </row>
    <row r="371" spans="1:9">
      <c r="A371" s="22" t="s">
        <v>1136</v>
      </c>
      <c r="B371" s="30"/>
      <c r="C371" s="30"/>
      <c r="D371" s="30" t="s">
        <v>970</v>
      </c>
      <c r="E371" s="30" t="s">
        <v>115</v>
      </c>
      <c r="F371" s="30" t="s">
        <v>182</v>
      </c>
      <c r="G371" s="30" t="s">
        <v>1200</v>
      </c>
      <c r="H371" s="30" t="s">
        <v>241</v>
      </c>
      <c r="I371" s="30" t="s">
        <v>114</v>
      </c>
    </row>
    <row r="372" spans="1:9">
      <c r="A372" s="22" t="s">
        <v>1136</v>
      </c>
      <c r="B372" s="30"/>
      <c r="C372" s="30"/>
      <c r="D372" s="30" t="s">
        <v>971</v>
      </c>
      <c r="E372" s="30" t="s">
        <v>112</v>
      </c>
      <c r="F372" s="30" t="s">
        <v>182</v>
      </c>
      <c r="G372" s="30" t="s">
        <v>571</v>
      </c>
      <c r="H372" s="30" t="s">
        <v>241</v>
      </c>
      <c r="I372" s="30" t="s">
        <v>572</v>
      </c>
    </row>
    <row r="373" spans="1:9">
      <c r="A373" s="22" t="s">
        <v>1136</v>
      </c>
      <c r="B373" s="30"/>
      <c r="C373" s="30"/>
      <c r="D373" s="30" t="s">
        <v>646</v>
      </c>
      <c r="E373" s="30" t="s">
        <v>115</v>
      </c>
      <c r="F373" s="30" t="s">
        <v>183</v>
      </c>
      <c r="G373" s="30" t="s">
        <v>1204</v>
      </c>
      <c r="H373" s="30" t="s">
        <v>241</v>
      </c>
      <c r="I373" s="30" t="s">
        <v>114</v>
      </c>
    </row>
    <row r="374" spans="1:9">
      <c r="A374" s="22" t="s">
        <v>1136</v>
      </c>
      <c r="B374" s="30"/>
      <c r="C374" s="30"/>
      <c r="D374" s="30" t="s">
        <v>972</v>
      </c>
      <c r="E374" s="30" t="s">
        <v>115</v>
      </c>
      <c r="F374" s="30" t="s">
        <v>183</v>
      </c>
      <c r="G374" s="30" t="s">
        <v>1205</v>
      </c>
      <c r="H374" s="30" t="s">
        <v>241</v>
      </c>
      <c r="I374" s="30" t="s">
        <v>114</v>
      </c>
    </row>
    <row r="375" spans="1:9">
      <c r="A375" s="22" t="s">
        <v>1136</v>
      </c>
      <c r="B375" s="30"/>
      <c r="C375" s="30"/>
      <c r="D375" s="30" t="s">
        <v>973</v>
      </c>
      <c r="E375" s="30" t="s">
        <v>112</v>
      </c>
      <c r="F375" s="30" t="s">
        <v>183</v>
      </c>
      <c r="G375" s="30" t="s">
        <v>571</v>
      </c>
      <c r="H375" s="30" t="s">
        <v>241</v>
      </c>
      <c r="I375" s="30" t="s">
        <v>572</v>
      </c>
    </row>
    <row r="376" spans="1:9">
      <c r="A376" s="22" t="s">
        <v>1136</v>
      </c>
      <c r="B376" s="30"/>
      <c r="C376" s="30"/>
      <c r="D376" s="30" t="s">
        <v>647</v>
      </c>
      <c r="E376" s="30" t="s">
        <v>115</v>
      </c>
      <c r="F376" s="30" t="s">
        <v>184</v>
      </c>
      <c r="G376" s="30" t="s">
        <v>1189</v>
      </c>
      <c r="H376" s="30" t="s">
        <v>241</v>
      </c>
      <c r="I376" s="30" t="s">
        <v>114</v>
      </c>
    </row>
    <row r="377" spans="1:9">
      <c r="A377" s="22" t="s">
        <v>1136</v>
      </c>
      <c r="B377" s="30"/>
      <c r="C377" s="30"/>
      <c r="D377" s="30" t="s">
        <v>974</v>
      </c>
      <c r="E377" s="30" t="s">
        <v>115</v>
      </c>
      <c r="F377" s="30" t="s">
        <v>184</v>
      </c>
      <c r="G377" s="30" t="s">
        <v>1190</v>
      </c>
      <c r="H377" s="30" t="s">
        <v>241</v>
      </c>
      <c r="I377" s="30" t="s">
        <v>114</v>
      </c>
    </row>
    <row r="378" spans="1:9">
      <c r="A378" s="22" t="s">
        <v>1136</v>
      </c>
      <c r="B378" s="30"/>
      <c r="C378" s="30"/>
      <c r="D378" s="30" t="s">
        <v>1157</v>
      </c>
      <c r="E378" s="30" t="s">
        <v>112</v>
      </c>
      <c r="F378" s="30" t="s">
        <v>184</v>
      </c>
      <c r="G378" s="30" t="s">
        <v>571</v>
      </c>
      <c r="H378" s="30" t="s">
        <v>241</v>
      </c>
      <c r="I378" s="30" t="s">
        <v>572</v>
      </c>
    </row>
    <row r="379" spans="1:9">
      <c r="A379" s="22" t="s">
        <v>1137</v>
      </c>
      <c r="B379" s="30"/>
      <c r="C379" s="30"/>
      <c r="D379" s="30" t="s">
        <v>444</v>
      </c>
      <c r="E379" s="30" t="s">
        <v>822</v>
      </c>
      <c r="F379" s="30" t="s">
        <v>111</v>
      </c>
      <c r="G379" s="30" t="s">
        <v>865</v>
      </c>
      <c r="H379" s="30" t="s">
        <v>241</v>
      </c>
      <c r="I379" s="30" t="s">
        <v>823</v>
      </c>
    </row>
    <row r="380" spans="1:9">
      <c r="A380" s="22" t="s">
        <v>1137</v>
      </c>
      <c r="B380" s="30"/>
      <c r="C380" s="30"/>
      <c r="D380" s="30" t="s">
        <v>457</v>
      </c>
      <c r="E380" s="30" t="s">
        <v>822</v>
      </c>
      <c r="F380" s="30" t="s">
        <v>111</v>
      </c>
      <c r="G380" s="30" t="s">
        <v>865</v>
      </c>
      <c r="H380" s="30" t="s">
        <v>241</v>
      </c>
      <c r="I380" s="30" t="s">
        <v>232</v>
      </c>
    </row>
    <row r="381" spans="1:9">
      <c r="A381" s="28"/>
      <c r="B381" s="28"/>
      <c r="C381" s="28"/>
      <c r="D381" s="28"/>
      <c r="E381" s="29" t="s">
        <v>753</v>
      </c>
      <c r="F381" s="28"/>
      <c r="G381" s="28"/>
      <c r="H381" s="28"/>
      <c r="I381" s="28"/>
    </row>
    <row r="382" spans="1:9">
      <c r="A382" s="22" t="s">
        <v>1136</v>
      </c>
      <c r="B382" s="30"/>
      <c r="C382" s="30"/>
      <c r="D382" s="22" t="s">
        <v>360</v>
      </c>
      <c r="E382" s="30" t="s">
        <v>115</v>
      </c>
      <c r="F382" s="30" t="s">
        <v>111</v>
      </c>
      <c r="G382" s="30" t="s">
        <v>863</v>
      </c>
      <c r="H382" s="30" t="s">
        <v>241</v>
      </c>
      <c r="I382" s="30" t="s">
        <v>114</v>
      </c>
    </row>
    <row r="383" spans="1:9">
      <c r="A383" s="22" t="s">
        <v>1136</v>
      </c>
      <c r="B383" s="30"/>
      <c r="C383" s="30"/>
      <c r="D383" s="22" t="s">
        <v>263</v>
      </c>
      <c r="E383" s="30" t="s">
        <v>120</v>
      </c>
      <c r="F383" s="30" t="s">
        <v>111</v>
      </c>
      <c r="G383" s="30" t="s">
        <v>863</v>
      </c>
      <c r="H383" s="30" t="s">
        <v>241</v>
      </c>
      <c r="I383" s="30" t="s">
        <v>114</v>
      </c>
    </row>
    <row r="384" spans="1:9">
      <c r="A384" s="22" t="s">
        <v>1136</v>
      </c>
      <c r="B384" s="30"/>
      <c r="C384" s="30"/>
      <c r="D384" s="30" t="s">
        <v>264</v>
      </c>
      <c r="E384" s="30" t="s">
        <v>112</v>
      </c>
      <c r="F384" s="30" t="s">
        <v>111</v>
      </c>
      <c r="G384" s="30" t="s">
        <v>113</v>
      </c>
      <c r="H384" s="30" t="s">
        <v>241</v>
      </c>
      <c r="I384" s="30" t="s">
        <v>114</v>
      </c>
    </row>
    <row r="385" spans="1:9">
      <c r="A385" s="22" t="s">
        <v>1136</v>
      </c>
      <c r="C385" s="30"/>
      <c r="D385" s="30" t="s">
        <v>265</v>
      </c>
      <c r="E385" s="30" t="s">
        <v>115</v>
      </c>
      <c r="F385" s="30" t="s">
        <v>111</v>
      </c>
      <c r="G385" s="30" t="s">
        <v>863</v>
      </c>
      <c r="H385" s="30" t="s">
        <v>241</v>
      </c>
      <c r="I385" s="30" t="s">
        <v>204</v>
      </c>
    </row>
    <row r="386" spans="1:9">
      <c r="A386" s="22" t="s">
        <v>1136</v>
      </c>
      <c r="C386" s="30"/>
      <c r="D386" s="30" t="s">
        <v>299</v>
      </c>
      <c r="E386" s="30" t="s">
        <v>115</v>
      </c>
      <c r="F386" s="30" t="s">
        <v>111</v>
      </c>
      <c r="G386" s="30" t="s">
        <v>863</v>
      </c>
      <c r="H386" s="30" t="s">
        <v>241</v>
      </c>
      <c r="I386" s="30" t="s">
        <v>232</v>
      </c>
    </row>
    <row r="387" spans="1:9">
      <c r="A387" s="22" t="s">
        <v>1136</v>
      </c>
      <c r="B387" s="30"/>
      <c r="C387" s="30"/>
      <c r="D387" s="30" t="s">
        <v>300</v>
      </c>
      <c r="E387" s="30" t="s">
        <v>115</v>
      </c>
      <c r="F387" s="30" t="s">
        <v>111</v>
      </c>
      <c r="G387" s="30" t="s">
        <v>863</v>
      </c>
      <c r="H387" s="30" t="s">
        <v>241</v>
      </c>
      <c r="I387" s="30" t="s">
        <v>118</v>
      </c>
    </row>
    <row r="388" spans="1:9">
      <c r="A388" s="22" t="s">
        <v>1136</v>
      </c>
      <c r="B388" s="30"/>
      <c r="C388" s="30"/>
      <c r="D388" s="30" t="s">
        <v>361</v>
      </c>
      <c r="E388" s="30" t="s">
        <v>115</v>
      </c>
      <c r="F388" s="30" t="s">
        <v>111</v>
      </c>
      <c r="G388" s="30" t="s">
        <v>864</v>
      </c>
      <c r="H388" s="30" t="s">
        <v>241</v>
      </c>
      <c r="I388" s="30" t="s">
        <v>118</v>
      </c>
    </row>
    <row r="389" spans="1:9">
      <c r="A389" s="22" t="s">
        <v>1136</v>
      </c>
      <c r="C389" s="30"/>
      <c r="D389" s="30" t="s">
        <v>975</v>
      </c>
      <c r="E389" s="30" t="s">
        <v>112</v>
      </c>
      <c r="F389" s="30" t="s">
        <v>247</v>
      </c>
      <c r="G389" s="30"/>
      <c r="H389" s="30" t="s">
        <v>241</v>
      </c>
      <c r="I389" s="30" t="s">
        <v>118</v>
      </c>
    </row>
    <row r="390" spans="1:9">
      <c r="A390" s="22" t="s">
        <v>1136</v>
      </c>
      <c r="C390" s="30"/>
      <c r="D390" s="30" t="s">
        <v>976</v>
      </c>
      <c r="E390" s="30" t="s">
        <v>127</v>
      </c>
      <c r="F390" s="30" t="s">
        <v>247</v>
      </c>
      <c r="G390" s="30"/>
      <c r="H390" s="30" t="s">
        <v>241</v>
      </c>
      <c r="I390" s="30" t="s">
        <v>118</v>
      </c>
    </row>
    <row r="391" spans="1:9">
      <c r="A391" s="22" t="s">
        <v>1136</v>
      </c>
      <c r="B391" s="30"/>
      <c r="C391" s="30"/>
      <c r="D391" s="30" t="s">
        <v>977</v>
      </c>
      <c r="E391" s="30" t="s">
        <v>112</v>
      </c>
      <c r="F391" s="30" t="s">
        <v>123</v>
      </c>
      <c r="G391" s="30"/>
      <c r="H391" s="30" t="s">
        <v>241</v>
      </c>
      <c r="I391" s="30" t="s">
        <v>240</v>
      </c>
    </row>
    <row r="392" spans="1:9">
      <c r="A392" s="22" t="s">
        <v>1136</v>
      </c>
      <c r="B392" s="30"/>
      <c r="C392" s="30"/>
      <c r="D392" s="30" t="s">
        <v>978</v>
      </c>
      <c r="E392" s="30" t="s">
        <v>127</v>
      </c>
      <c r="F392" s="30" t="s">
        <v>123</v>
      </c>
      <c r="G392" s="30"/>
      <c r="H392" s="30" t="s">
        <v>241</v>
      </c>
      <c r="I392" s="30" t="s">
        <v>240</v>
      </c>
    </row>
    <row r="393" spans="1:9">
      <c r="A393" s="22" t="s">
        <v>1136</v>
      </c>
      <c r="B393" s="30"/>
      <c r="C393" s="30"/>
      <c r="D393" s="30" t="s">
        <v>362</v>
      </c>
      <c r="E393" s="30" t="s">
        <v>112</v>
      </c>
      <c r="F393" s="30" t="s">
        <v>866</v>
      </c>
      <c r="G393" s="30"/>
      <c r="H393" s="30" t="s">
        <v>241</v>
      </c>
      <c r="I393" s="30" t="s">
        <v>126</v>
      </c>
    </row>
    <row r="394" spans="1:9">
      <c r="A394" s="22" t="s">
        <v>1136</v>
      </c>
      <c r="B394" s="30"/>
      <c r="C394" s="30"/>
      <c r="D394" s="30" t="s">
        <v>363</v>
      </c>
      <c r="E394" s="30" t="s">
        <v>127</v>
      </c>
      <c r="F394" s="30" t="s">
        <v>866</v>
      </c>
      <c r="G394" s="30"/>
      <c r="H394" s="30" t="s">
        <v>241</v>
      </c>
      <c r="I394" s="30" t="s">
        <v>126</v>
      </c>
    </row>
    <row r="395" spans="1:9">
      <c r="A395" s="22" t="s">
        <v>1136</v>
      </c>
      <c r="B395" s="30"/>
      <c r="C395" s="30"/>
      <c r="D395" s="30" t="s">
        <v>979</v>
      </c>
      <c r="E395" s="30" t="s">
        <v>112</v>
      </c>
      <c r="F395" s="30" t="s">
        <v>866</v>
      </c>
      <c r="G395" s="30"/>
      <c r="H395" s="30" t="s">
        <v>241</v>
      </c>
      <c r="I395" s="30" t="s">
        <v>128</v>
      </c>
    </row>
    <row r="396" spans="1:9">
      <c r="A396" s="22" t="s">
        <v>1136</v>
      </c>
      <c r="B396" s="30"/>
      <c r="C396" s="30"/>
      <c r="D396" s="30" t="s">
        <v>980</v>
      </c>
      <c r="E396" s="30" t="s">
        <v>127</v>
      </c>
      <c r="F396" s="30" t="s">
        <v>866</v>
      </c>
      <c r="G396" s="30"/>
      <c r="H396" s="30" t="s">
        <v>241</v>
      </c>
      <c r="I396" s="30" t="s">
        <v>128</v>
      </c>
    </row>
    <row r="397" spans="1:9">
      <c r="A397" s="22" t="s">
        <v>1136</v>
      </c>
      <c r="B397" s="30"/>
      <c r="C397" s="30"/>
      <c r="D397" s="22" t="s">
        <v>301</v>
      </c>
      <c r="E397" s="30" t="s">
        <v>120</v>
      </c>
      <c r="F397" s="30" t="s">
        <v>111</v>
      </c>
      <c r="G397" s="30"/>
      <c r="H397" s="30" t="s">
        <v>241</v>
      </c>
      <c r="I397" s="30" t="s">
        <v>213</v>
      </c>
    </row>
    <row r="398" spans="1:9">
      <c r="A398" s="22" t="s">
        <v>1136</v>
      </c>
      <c r="B398" s="30"/>
      <c r="C398" s="30"/>
      <c r="D398" s="30" t="s">
        <v>648</v>
      </c>
      <c r="E398" s="30" t="s">
        <v>115</v>
      </c>
      <c r="F398" s="30" t="s">
        <v>178</v>
      </c>
      <c r="G398" s="30" t="s">
        <v>1191</v>
      </c>
      <c r="H398" s="30" t="s">
        <v>241</v>
      </c>
      <c r="I398" s="30" t="s">
        <v>114</v>
      </c>
    </row>
    <row r="399" spans="1:9">
      <c r="A399" s="22" t="s">
        <v>1136</v>
      </c>
      <c r="B399" s="30"/>
      <c r="C399" s="30"/>
      <c r="D399" s="30" t="s">
        <v>364</v>
      </c>
      <c r="E399" s="30" t="s">
        <v>115</v>
      </c>
      <c r="F399" s="30" t="s">
        <v>178</v>
      </c>
      <c r="G399" s="30" t="s">
        <v>1192</v>
      </c>
      <c r="H399" s="30" t="s">
        <v>241</v>
      </c>
      <c r="I399" s="30" t="s">
        <v>114</v>
      </c>
    </row>
    <row r="400" spans="1:9">
      <c r="A400" s="22" t="s">
        <v>1136</v>
      </c>
      <c r="B400" s="30"/>
      <c r="C400" s="30"/>
      <c r="D400" s="30" t="s">
        <v>1158</v>
      </c>
      <c r="E400" s="30" t="s">
        <v>112</v>
      </c>
      <c r="F400" s="30" t="s">
        <v>178</v>
      </c>
      <c r="G400" s="30" t="s">
        <v>571</v>
      </c>
      <c r="H400" s="30" t="s">
        <v>241</v>
      </c>
      <c r="I400" s="30" t="s">
        <v>572</v>
      </c>
    </row>
    <row r="401" spans="1:9">
      <c r="A401" s="22" t="s">
        <v>1136</v>
      </c>
      <c r="B401" s="30"/>
      <c r="C401" s="30"/>
      <c r="D401" s="30" t="s">
        <v>649</v>
      </c>
      <c r="E401" s="30" t="s">
        <v>115</v>
      </c>
      <c r="F401" s="30" t="s">
        <v>179</v>
      </c>
      <c r="G401" s="30" t="s">
        <v>1193</v>
      </c>
      <c r="H401" s="30" t="s">
        <v>241</v>
      </c>
      <c r="I401" s="30" t="s">
        <v>114</v>
      </c>
    </row>
    <row r="402" spans="1:9">
      <c r="A402" s="22" t="s">
        <v>1136</v>
      </c>
      <c r="B402" s="30"/>
      <c r="C402" s="30"/>
      <c r="D402" s="30" t="s">
        <v>365</v>
      </c>
      <c r="E402" s="30" t="s">
        <v>115</v>
      </c>
      <c r="F402" s="30" t="s">
        <v>179</v>
      </c>
      <c r="G402" s="30" t="s">
        <v>1194</v>
      </c>
      <c r="H402" s="30" t="s">
        <v>241</v>
      </c>
      <c r="I402" s="30" t="s">
        <v>114</v>
      </c>
    </row>
    <row r="403" spans="1:9">
      <c r="A403" s="22" t="s">
        <v>1136</v>
      </c>
      <c r="B403" s="30"/>
      <c r="C403" s="30"/>
      <c r="D403" s="30" t="s">
        <v>981</v>
      </c>
      <c r="E403" s="30" t="s">
        <v>112</v>
      </c>
      <c r="F403" s="30" t="s">
        <v>179</v>
      </c>
      <c r="G403" s="30" t="s">
        <v>571</v>
      </c>
      <c r="H403" s="30" t="s">
        <v>241</v>
      </c>
      <c r="I403" s="30" t="s">
        <v>572</v>
      </c>
    </row>
    <row r="404" spans="1:9">
      <c r="A404" s="22" t="s">
        <v>1136</v>
      </c>
      <c r="B404" s="30"/>
      <c r="C404" s="30"/>
      <c r="D404" s="30" t="s">
        <v>1159</v>
      </c>
      <c r="E404" s="30" t="s">
        <v>115</v>
      </c>
      <c r="F404" s="30" t="s">
        <v>169</v>
      </c>
      <c r="G404" s="30" t="s">
        <v>1195</v>
      </c>
      <c r="H404" s="30" t="s">
        <v>241</v>
      </c>
      <c r="I404" s="30" t="s">
        <v>114</v>
      </c>
    </row>
    <row r="405" spans="1:9">
      <c r="A405" s="22" t="s">
        <v>1136</v>
      </c>
      <c r="B405" s="30"/>
      <c r="C405" s="30"/>
      <c r="D405" s="30" t="s">
        <v>366</v>
      </c>
      <c r="E405" s="30" t="s">
        <v>115</v>
      </c>
      <c r="F405" s="30" t="s">
        <v>169</v>
      </c>
      <c r="G405" s="30" t="s">
        <v>1196</v>
      </c>
      <c r="H405" s="30" t="s">
        <v>241</v>
      </c>
      <c r="I405" s="30" t="s">
        <v>114</v>
      </c>
    </row>
    <row r="406" spans="1:9">
      <c r="A406" s="22" t="s">
        <v>1136</v>
      </c>
      <c r="B406" s="30"/>
      <c r="C406" s="30"/>
      <c r="D406" s="30" t="s">
        <v>982</v>
      </c>
      <c r="E406" s="30" t="s">
        <v>112</v>
      </c>
      <c r="F406" s="30" t="s">
        <v>169</v>
      </c>
      <c r="G406" s="30" t="s">
        <v>571</v>
      </c>
      <c r="H406" s="30" t="s">
        <v>241</v>
      </c>
      <c r="I406" s="30" t="s">
        <v>572</v>
      </c>
    </row>
    <row r="407" spans="1:9">
      <c r="A407" s="22" t="s">
        <v>1136</v>
      </c>
      <c r="B407" s="30"/>
      <c r="C407" s="30"/>
      <c r="D407" s="30" t="s">
        <v>650</v>
      </c>
      <c r="E407" s="30" t="s">
        <v>115</v>
      </c>
      <c r="F407" s="30" t="s">
        <v>180</v>
      </c>
      <c r="G407" s="30" t="s">
        <v>1202</v>
      </c>
      <c r="H407" s="30" t="s">
        <v>241</v>
      </c>
      <c r="I407" s="30" t="s">
        <v>114</v>
      </c>
    </row>
    <row r="408" spans="1:9">
      <c r="A408" s="22" t="s">
        <v>1136</v>
      </c>
      <c r="B408" s="30"/>
      <c r="C408" s="30"/>
      <c r="D408" s="30" t="s">
        <v>367</v>
      </c>
      <c r="E408" s="30" t="s">
        <v>115</v>
      </c>
      <c r="F408" s="30" t="s">
        <v>180</v>
      </c>
      <c r="G408" s="30" t="s">
        <v>1203</v>
      </c>
      <c r="H408" s="30" t="s">
        <v>241</v>
      </c>
      <c r="I408" s="30" t="s">
        <v>114</v>
      </c>
    </row>
    <row r="409" spans="1:9">
      <c r="A409" s="22" t="s">
        <v>1136</v>
      </c>
      <c r="B409" s="30"/>
      <c r="C409" s="30"/>
      <c r="D409" s="30" t="s">
        <v>983</v>
      </c>
      <c r="E409" s="30" t="s">
        <v>112</v>
      </c>
      <c r="F409" s="30" t="s">
        <v>180</v>
      </c>
      <c r="G409" s="30" t="s">
        <v>571</v>
      </c>
      <c r="H409" s="30" t="s">
        <v>241</v>
      </c>
      <c r="I409" s="30" t="s">
        <v>572</v>
      </c>
    </row>
    <row r="410" spans="1:9">
      <c r="A410" s="22" t="s">
        <v>1136</v>
      </c>
      <c r="B410" s="30"/>
      <c r="C410" s="30"/>
      <c r="D410" s="30" t="s">
        <v>651</v>
      </c>
      <c r="E410" s="30" t="s">
        <v>115</v>
      </c>
      <c r="F410" s="30" t="s">
        <v>181</v>
      </c>
      <c r="G410" s="30" t="s">
        <v>1197</v>
      </c>
      <c r="H410" s="30" t="s">
        <v>241</v>
      </c>
      <c r="I410" s="30" t="s">
        <v>114</v>
      </c>
    </row>
    <row r="411" spans="1:9">
      <c r="A411" s="22" t="s">
        <v>1136</v>
      </c>
      <c r="B411" s="30"/>
      <c r="C411" s="30"/>
      <c r="D411" s="30" t="s">
        <v>984</v>
      </c>
      <c r="E411" s="30" t="s">
        <v>115</v>
      </c>
      <c r="F411" s="30" t="s">
        <v>181</v>
      </c>
      <c r="G411" s="30" t="s">
        <v>1198</v>
      </c>
      <c r="H411" s="30" t="s">
        <v>241</v>
      </c>
      <c r="I411" s="30" t="s">
        <v>114</v>
      </c>
    </row>
    <row r="412" spans="1:9">
      <c r="A412" s="22" t="s">
        <v>1136</v>
      </c>
      <c r="B412" s="30"/>
      <c r="C412" s="30"/>
      <c r="D412" s="30" t="s">
        <v>985</v>
      </c>
      <c r="E412" s="30" t="s">
        <v>112</v>
      </c>
      <c r="F412" s="30" t="s">
        <v>181</v>
      </c>
      <c r="G412" s="30" t="s">
        <v>571</v>
      </c>
      <c r="H412" s="30" t="s">
        <v>241</v>
      </c>
      <c r="I412" s="30" t="s">
        <v>572</v>
      </c>
    </row>
    <row r="413" spans="1:9">
      <c r="A413" s="22" t="s">
        <v>1136</v>
      </c>
      <c r="B413" s="30"/>
      <c r="C413" s="30"/>
      <c r="D413" s="30" t="s">
        <v>652</v>
      </c>
      <c r="E413" s="30" t="s">
        <v>115</v>
      </c>
      <c r="F413" s="30" t="s">
        <v>182</v>
      </c>
      <c r="G413" s="30" t="s">
        <v>1199</v>
      </c>
      <c r="H413" s="30" t="s">
        <v>241</v>
      </c>
      <c r="I413" s="30" t="s">
        <v>114</v>
      </c>
    </row>
    <row r="414" spans="1:9">
      <c r="A414" s="22" t="s">
        <v>1136</v>
      </c>
      <c r="B414" s="30"/>
      <c r="C414" s="30"/>
      <c r="D414" s="30" t="s">
        <v>986</v>
      </c>
      <c r="E414" s="30" t="s">
        <v>115</v>
      </c>
      <c r="F414" s="30" t="s">
        <v>182</v>
      </c>
      <c r="G414" s="30" t="s">
        <v>1200</v>
      </c>
      <c r="H414" s="30" t="s">
        <v>241</v>
      </c>
      <c r="I414" s="30" t="s">
        <v>114</v>
      </c>
    </row>
    <row r="415" spans="1:9">
      <c r="A415" s="22" t="s">
        <v>1136</v>
      </c>
      <c r="B415" s="30"/>
      <c r="C415" s="30"/>
      <c r="D415" s="30" t="s">
        <v>987</v>
      </c>
      <c r="E415" s="30" t="s">
        <v>112</v>
      </c>
      <c r="F415" s="30" t="s">
        <v>182</v>
      </c>
      <c r="G415" s="30" t="s">
        <v>571</v>
      </c>
      <c r="H415" s="30" t="s">
        <v>241</v>
      </c>
      <c r="I415" s="30" t="s">
        <v>572</v>
      </c>
    </row>
    <row r="416" spans="1:9">
      <c r="A416" s="22" t="s">
        <v>1136</v>
      </c>
      <c r="B416" s="30"/>
      <c r="C416" s="30"/>
      <c r="D416" s="30" t="s">
        <v>653</v>
      </c>
      <c r="E416" s="30" t="s">
        <v>115</v>
      </c>
      <c r="F416" s="30" t="s">
        <v>183</v>
      </c>
      <c r="G416" s="30" t="s">
        <v>1204</v>
      </c>
      <c r="H416" s="30" t="s">
        <v>241</v>
      </c>
      <c r="I416" s="30" t="s">
        <v>114</v>
      </c>
    </row>
    <row r="417" spans="1:9">
      <c r="A417" s="22" t="s">
        <v>1136</v>
      </c>
      <c r="B417" s="30"/>
      <c r="C417" s="30"/>
      <c r="D417" s="30" t="s">
        <v>988</v>
      </c>
      <c r="E417" s="30" t="s">
        <v>115</v>
      </c>
      <c r="F417" s="30" t="s">
        <v>183</v>
      </c>
      <c r="G417" s="30" t="s">
        <v>1205</v>
      </c>
      <c r="H417" s="30" t="s">
        <v>241</v>
      </c>
      <c r="I417" s="30" t="s">
        <v>114</v>
      </c>
    </row>
    <row r="418" spans="1:9">
      <c r="A418" s="22" t="s">
        <v>1136</v>
      </c>
      <c r="B418" s="30"/>
      <c r="C418" s="30"/>
      <c r="D418" s="30" t="s">
        <v>989</v>
      </c>
      <c r="E418" s="30" t="s">
        <v>112</v>
      </c>
      <c r="F418" s="30" t="s">
        <v>183</v>
      </c>
      <c r="G418" s="30" t="s">
        <v>571</v>
      </c>
      <c r="H418" s="30" t="s">
        <v>241</v>
      </c>
      <c r="I418" s="30" t="s">
        <v>572</v>
      </c>
    </row>
    <row r="419" spans="1:9">
      <c r="A419" s="22" t="s">
        <v>1136</v>
      </c>
      <c r="B419" s="30"/>
      <c r="C419" s="30"/>
      <c r="D419" s="30" t="s">
        <v>654</v>
      </c>
      <c r="E419" s="30" t="s">
        <v>115</v>
      </c>
      <c r="F419" s="30" t="s">
        <v>184</v>
      </c>
      <c r="G419" s="30" t="s">
        <v>1189</v>
      </c>
      <c r="H419" s="30" t="s">
        <v>241</v>
      </c>
      <c r="I419" s="30" t="s">
        <v>114</v>
      </c>
    </row>
    <row r="420" spans="1:9">
      <c r="A420" s="22" t="s">
        <v>1136</v>
      </c>
      <c r="B420" s="30"/>
      <c r="C420" s="30"/>
      <c r="D420" s="30" t="s">
        <v>990</v>
      </c>
      <c r="E420" s="30" t="s">
        <v>115</v>
      </c>
      <c r="F420" s="30" t="s">
        <v>184</v>
      </c>
      <c r="G420" s="30" t="s">
        <v>1190</v>
      </c>
      <c r="H420" s="30" t="s">
        <v>241</v>
      </c>
      <c r="I420" s="30" t="s">
        <v>114</v>
      </c>
    </row>
    <row r="421" spans="1:9">
      <c r="A421" s="22" t="s">
        <v>1136</v>
      </c>
      <c r="B421" s="30"/>
      <c r="C421" s="30"/>
      <c r="D421" s="30" t="s">
        <v>1160</v>
      </c>
      <c r="E421" s="30" t="s">
        <v>112</v>
      </c>
      <c r="F421" s="30" t="s">
        <v>184</v>
      </c>
      <c r="G421" s="30" t="s">
        <v>571</v>
      </c>
      <c r="H421" s="30" t="s">
        <v>241</v>
      </c>
      <c r="I421" s="30" t="s">
        <v>572</v>
      </c>
    </row>
    <row r="422" spans="1:9">
      <c r="A422" s="22" t="s">
        <v>1137</v>
      </c>
      <c r="B422" s="30"/>
      <c r="C422" s="30"/>
      <c r="D422" s="30" t="s">
        <v>169</v>
      </c>
      <c r="E422" s="30" t="s">
        <v>822</v>
      </c>
      <c r="F422" s="30" t="s">
        <v>111</v>
      </c>
      <c r="G422" s="30" t="s">
        <v>865</v>
      </c>
      <c r="H422" s="30" t="s">
        <v>241</v>
      </c>
      <c r="I422" s="30" t="s">
        <v>823</v>
      </c>
    </row>
    <row r="423" spans="1:9">
      <c r="A423" s="22" t="s">
        <v>1137</v>
      </c>
      <c r="B423" s="30"/>
      <c r="C423" s="30"/>
      <c r="D423" s="30" t="s">
        <v>499</v>
      </c>
      <c r="E423" s="30" t="s">
        <v>822</v>
      </c>
      <c r="F423" s="30" t="s">
        <v>111</v>
      </c>
      <c r="G423" s="30" t="s">
        <v>865</v>
      </c>
      <c r="H423" s="30" t="s">
        <v>241</v>
      </c>
      <c r="I423" s="30" t="s">
        <v>232</v>
      </c>
    </row>
    <row r="424" spans="1:9">
      <c r="A424" s="28"/>
      <c r="B424" s="28"/>
      <c r="C424" s="28"/>
      <c r="D424" s="28"/>
      <c r="E424" s="29" t="s">
        <v>754</v>
      </c>
      <c r="F424" s="28"/>
      <c r="G424" s="28"/>
      <c r="H424" s="28"/>
      <c r="I424" s="28"/>
    </row>
    <row r="425" spans="1:9">
      <c r="A425" s="22" t="s">
        <v>1136</v>
      </c>
      <c r="B425" s="30"/>
      <c r="C425" s="30"/>
      <c r="D425" s="22" t="s">
        <v>394</v>
      </c>
      <c r="E425" s="30" t="s">
        <v>115</v>
      </c>
      <c r="F425" s="30" t="s">
        <v>111</v>
      </c>
      <c r="G425" s="30" t="s">
        <v>863</v>
      </c>
      <c r="H425" s="30" t="s">
        <v>241</v>
      </c>
      <c r="I425" s="30" t="s">
        <v>114</v>
      </c>
    </row>
    <row r="426" spans="1:9">
      <c r="A426" s="22" t="s">
        <v>1136</v>
      </c>
      <c r="B426" s="30"/>
      <c r="C426" s="30"/>
      <c r="D426" s="22" t="s">
        <v>395</v>
      </c>
      <c r="E426" s="30" t="s">
        <v>120</v>
      </c>
      <c r="F426" s="30" t="s">
        <v>111</v>
      </c>
      <c r="G426" s="30" t="s">
        <v>863</v>
      </c>
      <c r="H426" s="30" t="s">
        <v>241</v>
      </c>
      <c r="I426" s="30" t="s">
        <v>114</v>
      </c>
    </row>
    <row r="427" spans="1:9">
      <c r="A427" s="22" t="s">
        <v>1136</v>
      </c>
      <c r="B427" s="30"/>
      <c r="C427" s="30"/>
      <c r="D427" s="30" t="s">
        <v>396</v>
      </c>
      <c r="E427" s="30" t="s">
        <v>112</v>
      </c>
      <c r="F427" s="30" t="s">
        <v>111</v>
      </c>
      <c r="G427" s="30" t="s">
        <v>113</v>
      </c>
      <c r="H427" s="30" t="s">
        <v>241</v>
      </c>
      <c r="I427" s="30" t="s">
        <v>114</v>
      </c>
    </row>
    <row r="428" spans="1:9">
      <c r="A428" s="22" t="s">
        <v>1136</v>
      </c>
      <c r="C428" s="30"/>
      <c r="D428" s="30" t="s">
        <v>397</v>
      </c>
      <c r="E428" s="30" t="s">
        <v>115</v>
      </c>
      <c r="F428" s="30" t="s">
        <v>111</v>
      </c>
      <c r="G428" s="30" t="s">
        <v>863</v>
      </c>
      <c r="H428" s="30" t="s">
        <v>241</v>
      </c>
      <c r="I428" s="30" t="s">
        <v>204</v>
      </c>
    </row>
    <row r="429" spans="1:9">
      <c r="A429" s="22" t="s">
        <v>1136</v>
      </c>
      <c r="C429" s="30"/>
      <c r="D429" s="30" t="s">
        <v>398</v>
      </c>
      <c r="E429" s="30" t="s">
        <v>115</v>
      </c>
      <c r="F429" s="30" t="s">
        <v>111</v>
      </c>
      <c r="G429" s="30" t="s">
        <v>863</v>
      </c>
      <c r="H429" s="30" t="s">
        <v>241</v>
      </c>
      <c r="I429" s="30" t="s">
        <v>232</v>
      </c>
    </row>
    <row r="430" spans="1:9">
      <c r="A430" s="22" t="s">
        <v>1136</v>
      </c>
      <c r="B430" s="30"/>
      <c r="C430" s="30"/>
      <c r="D430" s="30" t="s">
        <v>399</v>
      </c>
      <c r="E430" s="30" t="s">
        <v>115</v>
      </c>
      <c r="F430" s="30" t="s">
        <v>111</v>
      </c>
      <c r="G430" s="30" t="s">
        <v>863</v>
      </c>
      <c r="H430" s="30" t="s">
        <v>241</v>
      </c>
      <c r="I430" s="30" t="s">
        <v>118</v>
      </c>
    </row>
    <row r="431" spans="1:9">
      <c r="A431" s="22" t="s">
        <v>1136</v>
      </c>
      <c r="B431" s="30"/>
      <c r="C431" s="30"/>
      <c r="D431" s="30" t="s">
        <v>400</v>
      </c>
      <c r="E431" s="30" t="s">
        <v>115</v>
      </c>
      <c r="F431" s="30" t="s">
        <v>111</v>
      </c>
      <c r="G431" s="30" t="s">
        <v>864</v>
      </c>
      <c r="H431" s="30" t="s">
        <v>241</v>
      </c>
      <c r="I431" s="30" t="s">
        <v>118</v>
      </c>
    </row>
    <row r="432" spans="1:9">
      <c r="A432" s="22" t="s">
        <v>1136</v>
      </c>
      <c r="C432" s="30"/>
      <c r="D432" s="30" t="s">
        <v>991</v>
      </c>
      <c r="E432" s="30" t="s">
        <v>112</v>
      </c>
      <c r="F432" s="30" t="s">
        <v>247</v>
      </c>
      <c r="G432" s="30"/>
      <c r="H432" s="30" t="s">
        <v>241</v>
      </c>
      <c r="I432" s="30" t="s">
        <v>118</v>
      </c>
    </row>
    <row r="433" spans="1:9">
      <c r="A433" s="22" t="s">
        <v>1136</v>
      </c>
      <c r="C433" s="30"/>
      <c r="D433" s="30" t="s">
        <v>992</v>
      </c>
      <c r="E433" s="30" t="s">
        <v>127</v>
      </c>
      <c r="F433" s="30" t="s">
        <v>247</v>
      </c>
      <c r="G433" s="30"/>
      <c r="H433" s="30" t="s">
        <v>241</v>
      </c>
      <c r="I433" s="30" t="s">
        <v>118</v>
      </c>
    </row>
    <row r="434" spans="1:9">
      <c r="A434" s="22" t="s">
        <v>1136</v>
      </c>
      <c r="B434" s="30"/>
      <c r="C434" s="30"/>
      <c r="D434" s="30" t="s">
        <v>993</v>
      </c>
      <c r="E434" s="30" t="s">
        <v>112</v>
      </c>
      <c r="F434" s="30" t="s">
        <v>123</v>
      </c>
      <c r="G434" s="30"/>
      <c r="H434" s="30" t="s">
        <v>241</v>
      </c>
      <c r="I434" s="30" t="s">
        <v>240</v>
      </c>
    </row>
    <row r="435" spans="1:9">
      <c r="A435" s="22" t="s">
        <v>1136</v>
      </c>
      <c r="B435" s="30"/>
      <c r="C435" s="30"/>
      <c r="D435" s="30" t="s">
        <v>994</v>
      </c>
      <c r="E435" s="30" t="s">
        <v>127</v>
      </c>
      <c r="F435" s="30" t="s">
        <v>123</v>
      </c>
      <c r="G435" s="30"/>
      <c r="H435" s="30" t="s">
        <v>241</v>
      </c>
      <c r="I435" s="30" t="s">
        <v>240</v>
      </c>
    </row>
    <row r="436" spans="1:9">
      <c r="A436" s="22" t="s">
        <v>1136</v>
      </c>
      <c r="B436" s="30"/>
      <c r="C436" s="30"/>
      <c r="D436" s="30" t="s">
        <v>401</v>
      </c>
      <c r="E436" s="30" t="s">
        <v>112</v>
      </c>
      <c r="F436" s="30" t="s">
        <v>866</v>
      </c>
      <c r="G436" s="30"/>
      <c r="H436" s="30" t="s">
        <v>241</v>
      </c>
      <c r="I436" s="30" t="s">
        <v>126</v>
      </c>
    </row>
    <row r="437" spans="1:9">
      <c r="A437" s="22" t="s">
        <v>1136</v>
      </c>
      <c r="B437" s="30"/>
      <c r="C437" s="30"/>
      <c r="D437" s="30" t="s">
        <v>402</v>
      </c>
      <c r="E437" s="30" t="s">
        <v>127</v>
      </c>
      <c r="F437" s="30" t="s">
        <v>866</v>
      </c>
      <c r="G437" s="30"/>
      <c r="H437" s="30" t="s">
        <v>241</v>
      </c>
      <c r="I437" s="30" t="s">
        <v>126</v>
      </c>
    </row>
    <row r="438" spans="1:9">
      <c r="A438" s="22" t="s">
        <v>1136</v>
      </c>
      <c r="B438" s="30"/>
      <c r="C438" s="30"/>
      <c r="D438" s="30" t="s">
        <v>995</v>
      </c>
      <c r="E438" s="30" t="s">
        <v>112</v>
      </c>
      <c r="F438" s="30" t="s">
        <v>866</v>
      </c>
      <c r="G438" s="30"/>
      <c r="H438" s="30" t="s">
        <v>241</v>
      </c>
      <c r="I438" s="30" t="s">
        <v>128</v>
      </c>
    </row>
    <row r="439" spans="1:9">
      <c r="A439" s="22" t="s">
        <v>1136</v>
      </c>
      <c r="B439" s="30"/>
      <c r="C439" s="30"/>
      <c r="D439" s="30" t="s">
        <v>996</v>
      </c>
      <c r="E439" s="30" t="s">
        <v>127</v>
      </c>
      <c r="F439" s="30" t="s">
        <v>866</v>
      </c>
      <c r="G439" s="30"/>
      <c r="H439" s="30" t="s">
        <v>241</v>
      </c>
      <c r="I439" s="30" t="s">
        <v>128</v>
      </c>
    </row>
    <row r="440" spans="1:9">
      <c r="A440" s="22" t="s">
        <v>1136</v>
      </c>
      <c r="B440" s="30"/>
      <c r="C440" s="30"/>
      <c r="D440" s="22" t="s">
        <v>403</v>
      </c>
      <c r="E440" s="30" t="s">
        <v>120</v>
      </c>
      <c r="F440" s="30" t="s">
        <v>111</v>
      </c>
      <c r="G440" s="30"/>
      <c r="H440" s="30" t="s">
        <v>241</v>
      </c>
      <c r="I440" s="30" t="s">
        <v>213</v>
      </c>
    </row>
    <row r="441" spans="1:9">
      <c r="A441" s="22" t="s">
        <v>1136</v>
      </c>
      <c r="B441" s="30"/>
      <c r="C441" s="30"/>
      <c r="D441" s="30" t="s">
        <v>658</v>
      </c>
      <c r="E441" s="30" t="s">
        <v>115</v>
      </c>
      <c r="F441" s="30" t="s">
        <v>178</v>
      </c>
      <c r="G441" s="30" t="s">
        <v>1191</v>
      </c>
      <c r="H441" s="30" t="s">
        <v>241</v>
      </c>
      <c r="I441" s="30" t="s">
        <v>114</v>
      </c>
    </row>
    <row r="442" spans="1:9">
      <c r="A442" s="22" t="s">
        <v>1136</v>
      </c>
      <c r="B442" s="30"/>
      <c r="C442" s="30"/>
      <c r="D442" s="30" t="s">
        <v>404</v>
      </c>
      <c r="E442" s="30" t="s">
        <v>115</v>
      </c>
      <c r="F442" s="30" t="s">
        <v>178</v>
      </c>
      <c r="G442" s="30" t="s">
        <v>1192</v>
      </c>
      <c r="H442" s="30" t="s">
        <v>241</v>
      </c>
      <c r="I442" s="30" t="s">
        <v>114</v>
      </c>
    </row>
    <row r="443" spans="1:9">
      <c r="A443" s="22" t="s">
        <v>1136</v>
      </c>
      <c r="B443" s="30"/>
      <c r="C443" s="30"/>
      <c r="D443" s="30" t="s">
        <v>1161</v>
      </c>
      <c r="E443" s="30" t="s">
        <v>112</v>
      </c>
      <c r="F443" s="30" t="s">
        <v>178</v>
      </c>
      <c r="G443" s="30" t="s">
        <v>571</v>
      </c>
      <c r="H443" s="30" t="s">
        <v>241</v>
      </c>
      <c r="I443" s="30" t="s">
        <v>572</v>
      </c>
    </row>
    <row r="444" spans="1:9">
      <c r="A444" s="22" t="s">
        <v>1136</v>
      </c>
      <c r="B444" s="30"/>
      <c r="C444" s="30"/>
      <c r="D444" s="30" t="s">
        <v>659</v>
      </c>
      <c r="E444" s="30" t="s">
        <v>115</v>
      </c>
      <c r="F444" s="30" t="s">
        <v>179</v>
      </c>
      <c r="G444" s="30" t="s">
        <v>1193</v>
      </c>
      <c r="H444" s="30" t="s">
        <v>241</v>
      </c>
      <c r="I444" s="30" t="s">
        <v>114</v>
      </c>
    </row>
    <row r="445" spans="1:9">
      <c r="A445" s="22" t="s">
        <v>1136</v>
      </c>
      <c r="B445" s="30"/>
      <c r="C445" s="30"/>
      <c r="D445" s="30" t="s">
        <v>405</v>
      </c>
      <c r="E445" s="30" t="s">
        <v>115</v>
      </c>
      <c r="F445" s="30" t="s">
        <v>179</v>
      </c>
      <c r="G445" s="30" t="s">
        <v>1194</v>
      </c>
      <c r="H445" s="30" t="s">
        <v>241</v>
      </c>
      <c r="I445" s="30" t="s">
        <v>114</v>
      </c>
    </row>
    <row r="446" spans="1:9">
      <c r="A446" s="22" t="s">
        <v>1136</v>
      </c>
      <c r="B446" s="30"/>
      <c r="C446" s="30"/>
      <c r="D446" s="30" t="s">
        <v>997</v>
      </c>
      <c r="E446" s="30" t="s">
        <v>112</v>
      </c>
      <c r="F446" s="30" t="s">
        <v>179</v>
      </c>
      <c r="G446" s="30" t="s">
        <v>571</v>
      </c>
      <c r="H446" s="30" t="s">
        <v>241</v>
      </c>
      <c r="I446" s="30" t="s">
        <v>572</v>
      </c>
    </row>
    <row r="447" spans="1:9">
      <c r="A447" s="22" t="s">
        <v>1136</v>
      </c>
      <c r="B447" s="30"/>
      <c r="C447" s="30"/>
      <c r="D447" s="30" t="s">
        <v>1162</v>
      </c>
      <c r="E447" s="30" t="s">
        <v>115</v>
      </c>
      <c r="F447" s="30" t="s">
        <v>169</v>
      </c>
      <c r="G447" s="30" t="s">
        <v>1195</v>
      </c>
      <c r="H447" s="30" t="s">
        <v>241</v>
      </c>
      <c r="I447" s="30" t="s">
        <v>114</v>
      </c>
    </row>
    <row r="448" spans="1:9">
      <c r="A448" s="22" t="s">
        <v>1136</v>
      </c>
      <c r="B448" s="30"/>
      <c r="C448" s="30"/>
      <c r="D448" s="30" t="s">
        <v>406</v>
      </c>
      <c r="E448" s="30" t="s">
        <v>115</v>
      </c>
      <c r="F448" s="30" t="s">
        <v>169</v>
      </c>
      <c r="G448" s="30" t="s">
        <v>1196</v>
      </c>
      <c r="H448" s="30" t="s">
        <v>241</v>
      </c>
      <c r="I448" s="30" t="s">
        <v>114</v>
      </c>
    </row>
    <row r="449" spans="1:9">
      <c r="A449" s="22" t="s">
        <v>1136</v>
      </c>
      <c r="B449" s="30"/>
      <c r="C449" s="30"/>
      <c r="D449" s="30" t="s">
        <v>998</v>
      </c>
      <c r="E449" s="30" t="s">
        <v>112</v>
      </c>
      <c r="F449" s="30" t="s">
        <v>169</v>
      </c>
      <c r="G449" s="30" t="s">
        <v>571</v>
      </c>
      <c r="H449" s="30" t="s">
        <v>241</v>
      </c>
      <c r="I449" s="30" t="s">
        <v>572</v>
      </c>
    </row>
    <row r="450" spans="1:9">
      <c r="A450" s="22" t="s">
        <v>1136</v>
      </c>
      <c r="B450" s="30"/>
      <c r="C450" s="30"/>
      <c r="D450" s="30" t="s">
        <v>660</v>
      </c>
      <c r="E450" s="30" t="s">
        <v>115</v>
      </c>
      <c r="F450" s="30" t="s">
        <v>180</v>
      </c>
      <c r="G450" s="30" t="s">
        <v>1202</v>
      </c>
      <c r="H450" s="30" t="s">
        <v>241</v>
      </c>
      <c r="I450" s="30" t="s">
        <v>114</v>
      </c>
    </row>
    <row r="451" spans="1:9">
      <c r="A451" s="22" t="s">
        <v>1136</v>
      </c>
      <c r="B451" s="30"/>
      <c r="C451" s="30"/>
      <c r="D451" s="30" t="s">
        <v>407</v>
      </c>
      <c r="E451" s="30" t="s">
        <v>115</v>
      </c>
      <c r="F451" s="30" t="s">
        <v>180</v>
      </c>
      <c r="G451" s="30" t="s">
        <v>1203</v>
      </c>
      <c r="H451" s="30" t="s">
        <v>241</v>
      </c>
      <c r="I451" s="30" t="s">
        <v>114</v>
      </c>
    </row>
    <row r="452" spans="1:9">
      <c r="A452" s="22" t="s">
        <v>1136</v>
      </c>
      <c r="B452" s="30"/>
      <c r="C452" s="30"/>
      <c r="D452" s="30" t="s">
        <v>999</v>
      </c>
      <c r="E452" s="30" t="s">
        <v>112</v>
      </c>
      <c r="F452" s="30" t="s">
        <v>180</v>
      </c>
      <c r="G452" s="30" t="s">
        <v>571</v>
      </c>
      <c r="H452" s="30" t="s">
        <v>241</v>
      </c>
      <c r="I452" s="30" t="s">
        <v>572</v>
      </c>
    </row>
    <row r="453" spans="1:9">
      <c r="A453" s="22" t="s">
        <v>1136</v>
      </c>
      <c r="B453" s="30"/>
      <c r="C453" s="30"/>
      <c r="D453" s="30" t="s">
        <v>661</v>
      </c>
      <c r="E453" s="30" t="s">
        <v>115</v>
      </c>
      <c r="F453" s="30" t="s">
        <v>181</v>
      </c>
      <c r="G453" s="30" t="s">
        <v>1197</v>
      </c>
      <c r="H453" s="30" t="s">
        <v>241</v>
      </c>
      <c r="I453" s="30" t="s">
        <v>114</v>
      </c>
    </row>
    <row r="454" spans="1:9">
      <c r="A454" s="22" t="s">
        <v>1136</v>
      </c>
      <c r="B454" s="30"/>
      <c r="C454" s="30"/>
      <c r="D454" s="30" t="s">
        <v>1000</v>
      </c>
      <c r="E454" s="30" t="s">
        <v>115</v>
      </c>
      <c r="F454" s="30" t="s">
        <v>181</v>
      </c>
      <c r="G454" s="30" t="s">
        <v>1198</v>
      </c>
      <c r="H454" s="30" t="s">
        <v>241</v>
      </c>
      <c r="I454" s="30" t="s">
        <v>114</v>
      </c>
    </row>
    <row r="455" spans="1:9">
      <c r="A455" s="22" t="s">
        <v>1136</v>
      </c>
      <c r="B455" s="30"/>
      <c r="C455" s="30"/>
      <c r="D455" s="30" t="s">
        <v>1001</v>
      </c>
      <c r="E455" s="30" t="s">
        <v>112</v>
      </c>
      <c r="F455" s="30" t="s">
        <v>181</v>
      </c>
      <c r="G455" s="30" t="s">
        <v>571</v>
      </c>
      <c r="H455" s="30" t="s">
        <v>241</v>
      </c>
      <c r="I455" s="30" t="s">
        <v>572</v>
      </c>
    </row>
    <row r="456" spans="1:9">
      <c r="A456" s="22" t="s">
        <v>1136</v>
      </c>
      <c r="B456" s="30"/>
      <c r="C456" s="30"/>
      <c r="D456" s="30" t="s">
        <v>662</v>
      </c>
      <c r="E456" s="30" t="s">
        <v>115</v>
      </c>
      <c r="F456" s="30" t="s">
        <v>182</v>
      </c>
      <c r="G456" s="30" t="s">
        <v>1199</v>
      </c>
      <c r="H456" s="30" t="s">
        <v>241</v>
      </c>
      <c r="I456" s="30" t="s">
        <v>114</v>
      </c>
    </row>
    <row r="457" spans="1:9">
      <c r="A457" s="22" t="s">
        <v>1136</v>
      </c>
      <c r="B457" s="30"/>
      <c r="C457" s="30"/>
      <c r="D457" s="30" t="s">
        <v>1002</v>
      </c>
      <c r="E457" s="30" t="s">
        <v>115</v>
      </c>
      <c r="F457" s="30" t="s">
        <v>182</v>
      </c>
      <c r="G457" s="30" t="s">
        <v>1200</v>
      </c>
      <c r="H457" s="30" t="s">
        <v>241</v>
      </c>
      <c r="I457" s="30" t="s">
        <v>114</v>
      </c>
    </row>
    <row r="458" spans="1:9">
      <c r="A458" s="22" t="s">
        <v>1136</v>
      </c>
      <c r="B458" s="30"/>
      <c r="C458" s="30"/>
      <c r="D458" s="30" t="s">
        <v>1003</v>
      </c>
      <c r="E458" s="30" t="s">
        <v>112</v>
      </c>
      <c r="F458" s="30" t="s">
        <v>182</v>
      </c>
      <c r="G458" s="30" t="s">
        <v>571</v>
      </c>
      <c r="H458" s="30" t="s">
        <v>241</v>
      </c>
      <c r="I458" s="30" t="s">
        <v>572</v>
      </c>
    </row>
    <row r="459" spans="1:9">
      <c r="A459" s="22" t="s">
        <v>1136</v>
      </c>
      <c r="B459" s="30"/>
      <c r="C459" s="30"/>
      <c r="D459" s="30" t="s">
        <v>663</v>
      </c>
      <c r="E459" s="30" t="s">
        <v>115</v>
      </c>
      <c r="F459" s="30" t="s">
        <v>183</v>
      </c>
      <c r="G459" s="30" t="s">
        <v>1204</v>
      </c>
      <c r="H459" s="30" t="s">
        <v>241</v>
      </c>
      <c r="I459" s="30" t="s">
        <v>114</v>
      </c>
    </row>
    <row r="460" spans="1:9">
      <c r="A460" s="22" t="s">
        <v>1136</v>
      </c>
      <c r="B460" s="30"/>
      <c r="C460" s="30"/>
      <c r="D460" s="30" t="s">
        <v>1004</v>
      </c>
      <c r="E460" s="30" t="s">
        <v>115</v>
      </c>
      <c r="F460" s="30" t="s">
        <v>183</v>
      </c>
      <c r="G460" s="30" t="s">
        <v>1205</v>
      </c>
      <c r="H460" s="30" t="s">
        <v>241</v>
      </c>
      <c r="I460" s="30" t="s">
        <v>114</v>
      </c>
    </row>
    <row r="461" spans="1:9">
      <c r="A461" s="22" t="s">
        <v>1136</v>
      </c>
      <c r="B461" s="30"/>
      <c r="C461" s="30"/>
      <c r="D461" s="30" t="s">
        <v>1005</v>
      </c>
      <c r="E461" s="30" t="s">
        <v>112</v>
      </c>
      <c r="F461" s="30" t="s">
        <v>183</v>
      </c>
      <c r="G461" s="30" t="s">
        <v>571</v>
      </c>
      <c r="H461" s="30" t="s">
        <v>241</v>
      </c>
      <c r="I461" s="30" t="s">
        <v>572</v>
      </c>
    </row>
    <row r="462" spans="1:9">
      <c r="A462" s="22" t="s">
        <v>1136</v>
      </c>
      <c r="B462" s="30"/>
      <c r="C462" s="30"/>
      <c r="D462" s="30" t="s">
        <v>664</v>
      </c>
      <c r="E462" s="30" t="s">
        <v>115</v>
      </c>
      <c r="F462" s="30" t="s">
        <v>184</v>
      </c>
      <c r="G462" s="30" t="s">
        <v>1189</v>
      </c>
      <c r="H462" s="30" t="s">
        <v>241</v>
      </c>
      <c r="I462" s="30" t="s">
        <v>114</v>
      </c>
    </row>
    <row r="463" spans="1:9">
      <c r="A463" s="22" t="s">
        <v>1136</v>
      </c>
      <c r="B463" s="30"/>
      <c r="C463" s="30"/>
      <c r="D463" s="30" t="s">
        <v>1006</v>
      </c>
      <c r="E463" s="30" t="s">
        <v>115</v>
      </c>
      <c r="F463" s="30" t="s">
        <v>184</v>
      </c>
      <c r="G463" s="30" t="s">
        <v>1190</v>
      </c>
      <c r="H463" s="30" t="s">
        <v>241</v>
      </c>
      <c r="I463" s="30" t="s">
        <v>114</v>
      </c>
    </row>
    <row r="464" spans="1:9">
      <c r="A464" s="22" t="s">
        <v>1136</v>
      </c>
      <c r="B464" s="30"/>
      <c r="C464" s="30"/>
      <c r="D464" s="30" t="s">
        <v>1163</v>
      </c>
      <c r="E464" s="30" t="s">
        <v>112</v>
      </c>
      <c r="F464" s="30" t="s">
        <v>184</v>
      </c>
      <c r="G464" s="30" t="s">
        <v>571</v>
      </c>
      <c r="H464" s="30" t="s">
        <v>241</v>
      </c>
      <c r="I464" s="30" t="s">
        <v>572</v>
      </c>
    </row>
    <row r="465" spans="1:9">
      <c r="A465" s="22" t="s">
        <v>1137</v>
      </c>
      <c r="B465" s="30"/>
      <c r="C465" s="30"/>
      <c r="D465" s="30" t="s">
        <v>826</v>
      </c>
      <c r="E465" s="30" t="s">
        <v>822</v>
      </c>
      <c r="F465" s="30" t="s">
        <v>111</v>
      </c>
      <c r="G465" s="30" t="s">
        <v>865</v>
      </c>
      <c r="H465" s="30" t="s">
        <v>241</v>
      </c>
      <c r="I465" s="30" t="s">
        <v>823</v>
      </c>
    </row>
    <row r="466" spans="1:9">
      <c r="A466" s="22" t="s">
        <v>1137</v>
      </c>
      <c r="B466" s="30"/>
      <c r="C466" s="30"/>
      <c r="D466" s="30" t="s">
        <v>827</v>
      </c>
      <c r="E466" s="30" t="s">
        <v>822</v>
      </c>
      <c r="F466" s="30" t="s">
        <v>111</v>
      </c>
      <c r="G466" s="30" t="s">
        <v>865</v>
      </c>
      <c r="H466" s="30" t="s">
        <v>241</v>
      </c>
      <c r="I466" s="30" t="s">
        <v>232</v>
      </c>
    </row>
    <row r="467" spans="1:9">
      <c r="A467" s="28"/>
      <c r="B467" s="28"/>
      <c r="C467" s="28"/>
      <c r="D467" s="28"/>
      <c r="E467" s="29" t="s">
        <v>755</v>
      </c>
      <c r="F467" s="28"/>
      <c r="G467" s="28"/>
      <c r="H467" s="28"/>
      <c r="I467" s="28"/>
    </row>
    <row r="468" spans="1:9">
      <c r="A468" s="22" t="s">
        <v>1136</v>
      </c>
      <c r="B468" s="30"/>
      <c r="C468" s="30"/>
      <c r="D468" s="22" t="s">
        <v>408</v>
      </c>
      <c r="E468" s="30" t="s">
        <v>115</v>
      </c>
      <c r="F468" s="30" t="s">
        <v>111</v>
      </c>
      <c r="G468" s="30" t="s">
        <v>863</v>
      </c>
      <c r="H468" s="30" t="s">
        <v>241</v>
      </c>
      <c r="I468" s="30" t="s">
        <v>114</v>
      </c>
    </row>
    <row r="469" spans="1:9">
      <c r="A469" s="22" t="s">
        <v>1136</v>
      </c>
      <c r="B469" s="30"/>
      <c r="C469" s="30"/>
      <c r="D469" s="22" t="s">
        <v>409</v>
      </c>
      <c r="E469" s="30" t="s">
        <v>120</v>
      </c>
      <c r="F469" s="30" t="s">
        <v>111</v>
      </c>
      <c r="G469" s="30" t="s">
        <v>863</v>
      </c>
      <c r="H469" s="30" t="s">
        <v>241</v>
      </c>
      <c r="I469" s="30" t="s">
        <v>114</v>
      </c>
    </row>
    <row r="470" spans="1:9">
      <c r="A470" s="22" t="s">
        <v>1136</v>
      </c>
      <c r="B470" s="30"/>
      <c r="C470" s="30"/>
      <c r="D470" s="30" t="s">
        <v>410</v>
      </c>
      <c r="E470" s="30" t="s">
        <v>112</v>
      </c>
      <c r="F470" s="30" t="s">
        <v>111</v>
      </c>
      <c r="G470" s="30" t="s">
        <v>113</v>
      </c>
      <c r="H470" s="30" t="s">
        <v>241</v>
      </c>
      <c r="I470" s="30" t="s">
        <v>114</v>
      </c>
    </row>
    <row r="471" spans="1:9">
      <c r="A471" s="22" t="s">
        <v>1136</v>
      </c>
      <c r="C471" s="30"/>
      <c r="D471" s="30" t="s">
        <v>411</v>
      </c>
      <c r="E471" s="30" t="s">
        <v>115</v>
      </c>
      <c r="F471" s="30" t="s">
        <v>111</v>
      </c>
      <c r="G471" s="30" t="s">
        <v>863</v>
      </c>
      <c r="H471" s="30" t="s">
        <v>241</v>
      </c>
      <c r="I471" s="30" t="s">
        <v>204</v>
      </c>
    </row>
    <row r="472" spans="1:9">
      <c r="A472" s="22" t="s">
        <v>1136</v>
      </c>
      <c r="C472" s="30"/>
      <c r="D472" s="30" t="s">
        <v>412</v>
      </c>
      <c r="E472" s="30" t="s">
        <v>115</v>
      </c>
      <c r="F472" s="30" t="s">
        <v>111</v>
      </c>
      <c r="G472" s="30" t="s">
        <v>863</v>
      </c>
      <c r="H472" s="30" t="s">
        <v>241</v>
      </c>
      <c r="I472" s="30" t="s">
        <v>232</v>
      </c>
    </row>
    <row r="473" spans="1:9">
      <c r="A473" s="22" t="s">
        <v>1136</v>
      </c>
      <c r="B473" s="30"/>
      <c r="C473" s="30"/>
      <c r="D473" s="30" t="s">
        <v>413</v>
      </c>
      <c r="E473" s="30" t="s">
        <v>115</v>
      </c>
      <c r="F473" s="30" t="s">
        <v>111</v>
      </c>
      <c r="G473" s="30" t="s">
        <v>863</v>
      </c>
      <c r="H473" s="30" t="s">
        <v>241</v>
      </c>
      <c r="I473" s="30" t="s">
        <v>118</v>
      </c>
    </row>
    <row r="474" spans="1:9">
      <c r="A474" s="22" t="s">
        <v>1136</v>
      </c>
      <c r="B474" s="30"/>
      <c r="C474" s="30"/>
      <c r="D474" s="30" t="s">
        <v>414</v>
      </c>
      <c r="E474" s="30" t="s">
        <v>115</v>
      </c>
      <c r="F474" s="30" t="s">
        <v>111</v>
      </c>
      <c r="G474" s="30" t="s">
        <v>864</v>
      </c>
      <c r="H474" s="30" t="s">
        <v>241</v>
      </c>
      <c r="I474" s="30" t="s">
        <v>118</v>
      </c>
    </row>
    <row r="475" spans="1:9">
      <c r="A475" s="22" t="s">
        <v>1136</v>
      </c>
      <c r="C475" s="30"/>
      <c r="D475" s="30" t="s">
        <v>1007</v>
      </c>
      <c r="E475" s="30" t="s">
        <v>112</v>
      </c>
      <c r="F475" s="30" t="s">
        <v>247</v>
      </c>
      <c r="G475" s="30"/>
      <c r="H475" s="30" t="s">
        <v>241</v>
      </c>
      <c r="I475" s="30" t="s">
        <v>118</v>
      </c>
    </row>
    <row r="476" spans="1:9">
      <c r="A476" s="22" t="s">
        <v>1136</v>
      </c>
      <c r="C476" s="30"/>
      <c r="D476" s="30" t="s">
        <v>1008</v>
      </c>
      <c r="E476" s="30" t="s">
        <v>127</v>
      </c>
      <c r="F476" s="30" t="s">
        <v>247</v>
      </c>
      <c r="G476" s="30"/>
      <c r="H476" s="30" t="s">
        <v>241</v>
      </c>
      <c r="I476" s="30" t="s">
        <v>118</v>
      </c>
    </row>
    <row r="477" spans="1:9">
      <c r="A477" s="22" t="s">
        <v>1136</v>
      </c>
      <c r="B477" s="30"/>
      <c r="C477" s="30"/>
      <c r="D477" s="30" t="s">
        <v>1009</v>
      </c>
      <c r="E477" s="30" t="s">
        <v>112</v>
      </c>
      <c r="F477" s="30" t="s">
        <v>123</v>
      </c>
      <c r="G477" s="30"/>
      <c r="H477" s="30" t="s">
        <v>241</v>
      </c>
      <c r="I477" s="30" t="s">
        <v>240</v>
      </c>
    </row>
    <row r="478" spans="1:9">
      <c r="A478" s="22" t="s">
        <v>1136</v>
      </c>
      <c r="B478" s="30"/>
      <c r="C478" s="30"/>
      <c r="D478" s="30" t="s">
        <v>1010</v>
      </c>
      <c r="E478" s="30" t="s">
        <v>127</v>
      </c>
      <c r="F478" s="30" t="s">
        <v>123</v>
      </c>
      <c r="G478" s="30"/>
      <c r="H478" s="30" t="s">
        <v>241</v>
      </c>
      <c r="I478" s="30" t="s">
        <v>240</v>
      </c>
    </row>
    <row r="479" spans="1:9">
      <c r="A479" s="22" t="s">
        <v>1136</v>
      </c>
      <c r="B479" s="30"/>
      <c r="C479" s="30"/>
      <c r="D479" s="30" t="s">
        <v>415</v>
      </c>
      <c r="E479" s="30" t="s">
        <v>112</v>
      </c>
      <c r="F479" s="30" t="s">
        <v>866</v>
      </c>
      <c r="G479" s="30"/>
      <c r="H479" s="30" t="s">
        <v>241</v>
      </c>
      <c r="I479" s="30" t="s">
        <v>126</v>
      </c>
    </row>
    <row r="480" spans="1:9">
      <c r="A480" s="22" t="s">
        <v>1136</v>
      </c>
      <c r="B480" s="30"/>
      <c r="C480" s="30"/>
      <c r="D480" s="30" t="s">
        <v>416</v>
      </c>
      <c r="E480" s="30" t="s">
        <v>127</v>
      </c>
      <c r="F480" s="30" t="s">
        <v>866</v>
      </c>
      <c r="G480" s="30"/>
      <c r="H480" s="30" t="s">
        <v>241</v>
      </c>
      <c r="I480" s="30" t="s">
        <v>126</v>
      </c>
    </row>
    <row r="481" spans="1:9">
      <c r="A481" s="22" t="s">
        <v>1136</v>
      </c>
      <c r="B481" s="30"/>
      <c r="C481" s="30"/>
      <c r="D481" s="30" t="s">
        <v>1011</v>
      </c>
      <c r="E481" s="30" t="s">
        <v>112</v>
      </c>
      <c r="F481" s="30" t="s">
        <v>866</v>
      </c>
      <c r="G481" s="30"/>
      <c r="H481" s="30" t="s">
        <v>241</v>
      </c>
      <c r="I481" s="30" t="s">
        <v>128</v>
      </c>
    </row>
    <row r="482" spans="1:9">
      <c r="A482" s="22" t="s">
        <v>1136</v>
      </c>
      <c r="B482" s="30"/>
      <c r="C482" s="30"/>
      <c r="D482" s="30" t="s">
        <v>1012</v>
      </c>
      <c r="E482" s="30" t="s">
        <v>127</v>
      </c>
      <c r="F482" s="30" t="s">
        <v>866</v>
      </c>
      <c r="G482" s="30"/>
      <c r="H482" s="30" t="s">
        <v>241</v>
      </c>
      <c r="I482" s="30" t="s">
        <v>128</v>
      </c>
    </row>
    <row r="483" spans="1:9">
      <c r="A483" s="22" t="s">
        <v>1136</v>
      </c>
      <c r="B483" s="30"/>
      <c r="C483" s="30"/>
      <c r="D483" s="22" t="s">
        <v>417</v>
      </c>
      <c r="E483" s="30" t="s">
        <v>120</v>
      </c>
      <c r="F483" s="30" t="s">
        <v>111</v>
      </c>
      <c r="G483" s="30"/>
      <c r="H483" s="30" t="s">
        <v>241</v>
      </c>
      <c r="I483" s="30" t="s">
        <v>213</v>
      </c>
    </row>
    <row r="484" spans="1:9">
      <c r="A484" s="22" t="s">
        <v>1136</v>
      </c>
      <c r="B484" s="30"/>
      <c r="C484" s="30"/>
      <c r="D484" s="30" t="s">
        <v>665</v>
      </c>
      <c r="E484" s="30" t="s">
        <v>115</v>
      </c>
      <c r="F484" s="30" t="s">
        <v>178</v>
      </c>
      <c r="G484" s="30" t="s">
        <v>1191</v>
      </c>
      <c r="H484" s="30" t="s">
        <v>241</v>
      </c>
      <c r="I484" s="30" t="s">
        <v>114</v>
      </c>
    </row>
    <row r="485" spans="1:9">
      <c r="A485" s="22" t="s">
        <v>1136</v>
      </c>
      <c r="B485" s="30"/>
      <c r="C485" s="30"/>
      <c r="D485" s="30" t="s">
        <v>418</v>
      </c>
      <c r="E485" s="30" t="s">
        <v>115</v>
      </c>
      <c r="F485" s="30" t="s">
        <v>178</v>
      </c>
      <c r="G485" s="30" t="s">
        <v>1192</v>
      </c>
      <c r="H485" s="30" t="s">
        <v>241</v>
      </c>
      <c r="I485" s="30" t="s">
        <v>114</v>
      </c>
    </row>
    <row r="486" spans="1:9">
      <c r="A486" s="22" t="s">
        <v>1136</v>
      </c>
      <c r="B486" s="30"/>
      <c r="C486" s="30"/>
      <c r="D486" s="30" t="s">
        <v>1164</v>
      </c>
      <c r="E486" s="30" t="s">
        <v>112</v>
      </c>
      <c r="F486" s="30" t="s">
        <v>178</v>
      </c>
      <c r="G486" s="30" t="s">
        <v>571</v>
      </c>
      <c r="H486" s="30" t="s">
        <v>241</v>
      </c>
      <c r="I486" s="30" t="s">
        <v>572</v>
      </c>
    </row>
    <row r="487" spans="1:9">
      <c r="A487" s="22" t="s">
        <v>1136</v>
      </c>
      <c r="B487" s="30"/>
      <c r="C487" s="30"/>
      <c r="D487" s="30" t="s">
        <v>666</v>
      </c>
      <c r="E487" s="30" t="s">
        <v>115</v>
      </c>
      <c r="F487" s="30" t="s">
        <v>179</v>
      </c>
      <c r="G487" s="30" t="s">
        <v>1193</v>
      </c>
      <c r="H487" s="30" t="s">
        <v>241</v>
      </c>
      <c r="I487" s="30" t="s">
        <v>114</v>
      </c>
    </row>
    <row r="488" spans="1:9">
      <c r="A488" s="22" t="s">
        <v>1136</v>
      </c>
      <c r="B488" s="30"/>
      <c r="C488" s="30"/>
      <c r="D488" s="30" t="s">
        <v>419</v>
      </c>
      <c r="E488" s="30" t="s">
        <v>115</v>
      </c>
      <c r="F488" s="30" t="s">
        <v>179</v>
      </c>
      <c r="G488" s="30" t="s">
        <v>1194</v>
      </c>
      <c r="H488" s="30" t="s">
        <v>241</v>
      </c>
      <c r="I488" s="30" t="s">
        <v>114</v>
      </c>
    </row>
    <row r="489" spans="1:9">
      <c r="A489" s="22" t="s">
        <v>1136</v>
      </c>
      <c r="B489" s="30"/>
      <c r="C489" s="30"/>
      <c r="D489" s="30" t="s">
        <v>1013</v>
      </c>
      <c r="E489" s="30" t="s">
        <v>112</v>
      </c>
      <c r="F489" s="30" t="s">
        <v>179</v>
      </c>
      <c r="G489" s="30" t="s">
        <v>571</v>
      </c>
      <c r="H489" s="30" t="s">
        <v>241</v>
      </c>
      <c r="I489" s="30" t="s">
        <v>572</v>
      </c>
    </row>
    <row r="490" spans="1:9">
      <c r="A490" s="22" t="s">
        <v>1136</v>
      </c>
      <c r="B490" s="30"/>
      <c r="C490" s="30"/>
      <c r="D490" s="30" t="s">
        <v>1165</v>
      </c>
      <c r="E490" s="30" t="s">
        <v>115</v>
      </c>
      <c r="F490" s="30" t="s">
        <v>169</v>
      </c>
      <c r="G490" s="30" t="s">
        <v>1195</v>
      </c>
      <c r="H490" s="30" t="s">
        <v>241</v>
      </c>
      <c r="I490" s="30" t="s">
        <v>114</v>
      </c>
    </row>
    <row r="491" spans="1:9">
      <c r="A491" s="22" t="s">
        <v>1136</v>
      </c>
      <c r="B491" s="30"/>
      <c r="C491" s="30"/>
      <c r="D491" s="30" t="s">
        <v>420</v>
      </c>
      <c r="E491" s="30" t="s">
        <v>115</v>
      </c>
      <c r="F491" s="30" t="s">
        <v>169</v>
      </c>
      <c r="G491" s="30" t="s">
        <v>1196</v>
      </c>
      <c r="H491" s="30" t="s">
        <v>241</v>
      </c>
      <c r="I491" s="30" t="s">
        <v>114</v>
      </c>
    </row>
    <row r="492" spans="1:9">
      <c r="A492" s="22" t="s">
        <v>1136</v>
      </c>
      <c r="B492" s="30"/>
      <c r="C492" s="30"/>
      <c r="D492" s="30" t="s">
        <v>1014</v>
      </c>
      <c r="E492" s="30" t="s">
        <v>112</v>
      </c>
      <c r="F492" s="30" t="s">
        <v>169</v>
      </c>
      <c r="G492" s="30" t="s">
        <v>571</v>
      </c>
      <c r="H492" s="30" t="s">
        <v>241</v>
      </c>
      <c r="I492" s="30" t="s">
        <v>572</v>
      </c>
    </row>
    <row r="493" spans="1:9">
      <c r="A493" s="22" t="s">
        <v>1136</v>
      </c>
      <c r="B493" s="30"/>
      <c r="C493" s="30"/>
      <c r="D493" s="30" t="s">
        <v>667</v>
      </c>
      <c r="E493" s="30" t="s">
        <v>115</v>
      </c>
      <c r="F493" s="30" t="s">
        <v>180</v>
      </c>
      <c r="G493" s="30" t="s">
        <v>1202</v>
      </c>
      <c r="H493" s="30" t="s">
        <v>241</v>
      </c>
      <c r="I493" s="30" t="s">
        <v>114</v>
      </c>
    </row>
    <row r="494" spans="1:9">
      <c r="A494" s="22" t="s">
        <v>1136</v>
      </c>
      <c r="B494" s="30"/>
      <c r="C494" s="30"/>
      <c r="D494" s="30" t="s">
        <v>421</v>
      </c>
      <c r="E494" s="30" t="s">
        <v>115</v>
      </c>
      <c r="F494" s="30" t="s">
        <v>180</v>
      </c>
      <c r="G494" s="30" t="s">
        <v>1203</v>
      </c>
      <c r="H494" s="30" t="s">
        <v>241</v>
      </c>
      <c r="I494" s="30" t="s">
        <v>114</v>
      </c>
    </row>
    <row r="495" spans="1:9">
      <c r="A495" s="22" t="s">
        <v>1136</v>
      </c>
      <c r="B495" s="30"/>
      <c r="C495" s="30"/>
      <c r="D495" s="30" t="s">
        <v>1015</v>
      </c>
      <c r="E495" s="30" t="s">
        <v>112</v>
      </c>
      <c r="F495" s="30" t="s">
        <v>180</v>
      </c>
      <c r="G495" s="30" t="s">
        <v>571</v>
      </c>
      <c r="H495" s="30" t="s">
        <v>241</v>
      </c>
      <c r="I495" s="30" t="s">
        <v>572</v>
      </c>
    </row>
    <row r="496" spans="1:9">
      <c r="A496" s="22" t="s">
        <v>1136</v>
      </c>
      <c r="B496" s="30"/>
      <c r="C496" s="30"/>
      <c r="D496" s="30" t="s">
        <v>668</v>
      </c>
      <c r="E496" s="30" t="s">
        <v>115</v>
      </c>
      <c r="F496" s="30" t="s">
        <v>181</v>
      </c>
      <c r="G496" s="30" t="s">
        <v>1197</v>
      </c>
      <c r="H496" s="30" t="s">
        <v>241</v>
      </c>
      <c r="I496" s="30" t="s">
        <v>114</v>
      </c>
    </row>
    <row r="497" spans="1:9">
      <c r="A497" s="22" t="s">
        <v>1136</v>
      </c>
      <c r="B497" s="30"/>
      <c r="C497" s="30"/>
      <c r="D497" s="30" t="s">
        <v>1016</v>
      </c>
      <c r="E497" s="30" t="s">
        <v>115</v>
      </c>
      <c r="F497" s="30" t="s">
        <v>181</v>
      </c>
      <c r="G497" s="30" t="s">
        <v>1198</v>
      </c>
      <c r="H497" s="30" t="s">
        <v>241</v>
      </c>
      <c r="I497" s="30" t="s">
        <v>114</v>
      </c>
    </row>
    <row r="498" spans="1:9">
      <c r="A498" s="22" t="s">
        <v>1136</v>
      </c>
      <c r="B498" s="30"/>
      <c r="C498" s="30"/>
      <c r="D498" s="30" t="s">
        <v>1017</v>
      </c>
      <c r="E498" s="30" t="s">
        <v>112</v>
      </c>
      <c r="F498" s="30" t="s">
        <v>181</v>
      </c>
      <c r="G498" s="30" t="s">
        <v>571</v>
      </c>
      <c r="H498" s="30" t="s">
        <v>241</v>
      </c>
      <c r="I498" s="30" t="s">
        <v>572</v>
      </c>
    </row>
    <row r="499" spans="1:9">
      <c r="A499" s="22" t="s">
        <v>1136</v>
      </c>
      <c r="B499" s="30"/>
      <c r="C499" s="30"/>
      <c r="D499" s="30" t="s">
        <v>669</v>
      </c>
      <c r="E499" s="30" t="s">
        <v>115</v>
      </c>
      <c r="F499" s="30" t="s">
        <v>182</v>
      </c>
      <c r="G499" s="30" t="s">
        <v>1199</v>
      </c>
      <c r="H499" s="30" t="s">
        <v>241</v>
      </c>
      <c r="I499" s="30" t="s">
        <v>114</v>
      </c>
    </row>
    <row r="500" spans="1:9">
      <c r="A500" s="22" t="s">
        <v>1136</v>
      </c>
      <c r="B500" s="30"/>
      <c r="C500" s="30"/>
      <c r="D500" s="30" t="s">
        <v>1018</v>
      </c>
      <c r="E500" s="30" t="s">
        <v>115</v>
      </c>
      <c r="F500" s="30" t="s">
        <v>182</v>
      </c>
      <c r="G500" s="30" t="s">
        <v>1200</v>
      </c>
      <c r="H500" s="30" t="s">
        <v>241</v>
      </c>
      <c r="I500" s="30" t="s">
        <v>114</v>
      </c>
    </row>
    <row r="501" spans="1:9">
      <c r="A501" s="22" t="s">
        <v>1136</v>
      </c>
      <c r="B501" s="30"/>
      <c r="C501" s="30"/>
      <c r="D501" s="30" t="s">
        <v>1019</v>
      </c>
      <c r="E501" s="30" t="s">
        <v>112</v>
      </c>
      <c r="F501" s="30" t="s">
        <v>182</v>
      </c>
      <c r="G501" s="30" t="s">
        <v>571</v>
      </c>
      <c r="H501" s="30" t="s">
        <v>241</v>
      </c>
      <c r="I501" s="30" t="s">
        <v>572</v>
      </c>
    </row>
    <row r="502" spans="1:9">
      <c r="A502" s="22" t="s">
        <v>1136</v>
      </c>
      <c r="B502" s="30"/>
      <c r="C502" s="30"/>
      <c r="D502" s="30" t="s">
        <v>670</v>
      </c>
      <c r="E502" s="30" t="s">
        <v>115</v>
      </c>
      <c r="F502" s="30" t="s">
        <v>183</v>
      </c>
      <c r="G502" s="30" t="s">
        <v>1204</v>
      </c>
      <c r="H502" s="30" t="s">
        <v>241</v>
      </c>
      <c r="I502" s="30" t="s">
        <v>114</v>
      </c>
    </row>
    <row r="503" spans="1:9">
      <c r="A503" s="22" t="s">
        <v>1136</v>
      </c>
      <c r="B503" s="30"/>
      <c r="C503" s="30"/>
      <c r="D503" s="30" t="s">
        <v>1020</v>
      </c>
      <c r="E503" s="30" t="s">
        <v>115</v>
      </c>
      <c r="F503" s="30" t="s">
        <v>183</v>
      </c>
      <c r="G503" s="30" t="s">
        <v>1205</v>
      </c>
      <c r="H503" s="30" t="s">
        <v>241</v>
      </c>
      <c r="I503" s="30" t="s">
        <v>114</v>
      </c>
    </row>
    <row r="504" spans="1:9">
      <c r="A504" s="22" t="s">
        <v>1136</v>
      </c>
      <c r="B504" s="30"/>
      <c r="C504" s="30"/>
      <c r="D504" s="30" t="s">
        <v>1021</v>
      </c>
      <c r="E504" s="30" t="s">
        <v>112</v>
      </c>
      <c r="F504" s="30" t="s">
        <v>183</v>
      </c>
      <c r="G504" s="30" t="s">
        <v>571</v>
      </c>
      <c r="H504" s="30" t="s">
        <v>241</v>
      </c>
      <c r="I504" s="30" t="s">
        <v>572</v>
      </c>
    </row>
    <row r="505" spans="1:9">
      <c r="A505" s="22" t="s">
        <v>1136</v>
      </c>
      <c r="B505" s="30"/>
      <c r="C505" s="30"/>
      <c r="D505" s="30" t="s">
        <v>671</v>
      </c>
      <c r="E505" s="30" t="s">
        <v>115</v>
      </c>
      <c r="F505" s="30" t="s">
        <v>184</v>
      </c>
      <c r="G505" s="30" t="s">
        <v>1189</v>
      </c>
      <c r="H505" s="30" t="s">
        <v>241</v>
      </c>
      <c r="I505" s="30" t="s">
        <v>114</v>
      </c>
    </row>
    <row r="506" spans="1:9">
      <c r="A506" s="22" t="s">
        <v>1136</v>
      </c>
      <c r="B506" s="30"/>
      <c r="C506" s="30"/>
      <c r="D506" s="30" t="s">
        <v>1022</v>
      </c>
      <c r="E506" s="30" t="s">
        <v>115</v>
      </c>
      <c r="F506" s="30" t="s">
        <v>184</v>
      </c>
      <c r="G506" s="30" t="s">
        <v>1190</v>
      </c>
      <c r="H506" s="30" t="s">
        <v>241</v>
      </c>
      <c r="I506" s="30" t="s">
        <v>114</v>
      </c>
    </row>
    <row r="507" spans="1:9">
      <c r="A507" s="22" t="s">
        <v>1136</v>
      </c>
      <c r="B507" s="30"/>
      <c r="C507" s="30"/>
      <c r="D507" s="30" t="s">
        <v>1166</v>
      </c>
      <c r="E507" s="30" t="s">
        <v>112</v>
      </c>
      <c r="F507" s="30" t="s">
        <v>184</v>
      </c>
      <c r="G507" s="30" t="s">
        <v>571</v>
      </c>
      <c r="H507" s="30" t="s">
        <v>241</v>
      </c>
      <c r="I507" s="30" t="s">
        <v>572</v>
      </c>
    </row>
    <row r="508" spans="1:9">
      <c r="A508" s="22" t="s">
        <v>1137</v>
      </c>
      <c r="B508" s="30"/>
      <c r="C508" s="30"/>
      <c r="D508" s="30" t="s">
        <v>828</v>
      </c>
      <c r="E508" s="30" t="s">
        <v>822</v>
      </c>
      <c r="F508" s="30" t="s">
        <v>111</v>
      </c>
      <c r="G508" s="30" t="s">
        <v>865</v>
      </c>
      <c r="H508" s="30" t="s">
        <v>241</v>
      </c>
      <c r="I508" s="30" t="s">
        <v>823</v>
      </c>
    </row>
    <row r="509" spans="1:9">
      <c r="A509" s="22" t="s">
        <v>1137</v>
      </c>
      <c r="B509" s="30"/>
      <c r="C509" s="30"/>
      <c r="D509" s="30" t="s">
        <v>829</v>
      </c>
      <c r="E509" s="30" t="s">
        <v>822</v>
      </c>
      <c r="F509" s="30" t="s">
        <v>111</v>
      </c>
      <c r="G509" s="30" t="s">
        <v>865</v>
      </c>
      <c r="H509" s="30" t="s">
        <v>241</v>
      </c>
      <c r="I509" s="30" t="s">
        <v>232</v>
      </c>
    </row>
    <row r="510" spans="1:9">
      <c r="A510" s="28"/>
      <c r="B510" s="28"/>
      <c r="C510" s="28"/>
      <c r="D510" s="28"/>
      <c r="E510" s="29" t="s">
        <v>756</v>
      </c>
      <c r="F510" s="28"/>
      <c r="G510" s="28"/>
      <c r="H510" s="28"/>
      <c r="I510" s="28"/>
    </row>
    <row r="511" spans="1:9">
      <c r="A511" s="22" t="s">
        <v>1136</v>
      </c>
      <c r="B511" s="30"/>
      <c r="C511" s="30"/>
      <c r="D511" s="22" t="s">
        <v>448</v>
      </c>
      <c r="E511" s="30" t="s">
        <v>115</v>
      </c>
      <c r="F511" s="30" t="s">
        <v>111</v>
      </c>
      <c r="G511" s="30" t="s">
        <v>863</v>
      </c>
      <c r="H511" s="30" t="s">
        <v>241</v>
      </c>
      <c r="I511" s="30" t="s">
        <v>114</v>
      </c>
    </row>
    <row r="512" spans="1:9">
      <c r="A512" s="22" t="s">
        <v>1136</v>
      </c>
      <c r="B512" s="30"/>
      <c r="C512" s="30"/>
      <c r="D512" s="22" t="s">
        <v>449</v>
      </c>
      <c r="E512" s="30" t="s">
        <v>120</v>
      </c>
      <c r="F512" s="30" t="s">
        <v>111</v>
      </c>
      <c r="G512" s="30" t="s">
        <v>863</v>
      </c>
      <c r="H512" s="30" t="s">
        <v>241</v>
      </c>
      <c r="I512" s="30" t="s">
        <v>114</v>
      </c>
    </row>
    <row r="513" spans="1:9">
      <c r="A513" s="22" t="s">
        <v>1136</v>
      </c>
      <c r="B513" s="30"/>
      <c r="C513" s="30"/>
      <c r="D513" s="30" t="s">
        <v>450</v>
      </c>
      <c r="E513" s="30" t="s">
        <v>112</v>
      </c>
      <c r="F513" s="30" t="s">
        <v>111</v>
      </c>
      <c r="G513" s="30" t="s">
        <v>113</v>
      </c>
      <c r="H513" s="30" t="s">
        <v>241</v>
      </c>
      <c r="I513" s="30" t="s">
        <v>114</v>
      </c>
    </row>
    <row r="514" spans="1:9">
      <c r="A514" s="22" t="s">
        <v>1136</v>
      </c>
      <c r="C514" s="30"/>
      <c r="D514" s="30" t="s">
        <v>451</v>
      </c>
      <c r="E514" s="30" t="s">
        <v>115</v>
      </c>
      <c r="F514" s="30" t="s">
        <v>111</v>
      </c>
      <c r="G514" s="30" t="s">
        <v>863</v>
      </c>
      <c r="H514" s="30" t="s">
        <v>241</v>
      </c>
      <c r="I514" s="30" t="s">
        <v>204</v>
      </c>
    </row>
    <row r="515" spans="1:9">
      <c r="A515" s="22" t="s">
        <v>1136</v>
      </c>
      <c r="C515" s="30"/>
      <c r="D515" s="30" t="s">
        <v>452</v>
      </c>
      <c r="E515" s="30" t="s">
        <v>115</v>
      </c>
      <c r="F515" s="30" t="s">
        <v>111</v>
      </c>
      <c r="G515" s="30" t="s">
        <v>863</v>
      </c>
      <c r="H515" s="30" t="s">
        <v>241</v>
      </c>
      <c r="I515" s="30" t="s">
        <v>232</v>
      </c>
    </row>
    <row r="516" spans="1:9">
      <c r="A516" s="22" t="s">
        <v>1136</v>
      </c>
      <c r="B516" s="30"/>
      <c r="C516" s="30"/>
      <c r="D516" s="30" t="s">
        <v>453</v>
      </c>
      <c r="E516" s="30" t="s">
        <v>115</v>
      </c>
      <c r="F516" s="30" t="s">
        <v>111</v>
      </c>
      <c r="G516" s="30" t="s">
        <v>863</v>
      </c>
      <c r="H516" s="30" t="s">
        <v>241</v>
      </c>
      <c r="I516" s="30" t="s">
        <v>118</v>
      </c>
    </row>
    <row r="517" spans="1:9">
      <c r="A517" s="22" t="s">
        <v>1136</v>
      </c>
      <c r="B517" s="30"/>
      <c r="C517" s="30"/>
      <c r="D517" s="30" t="s">
        <v>454</v>
      </c>
      <c r="E517" s="30" t="s">
        <v>115</v>
      </c>
      <c r="F517" s="30" t="s">
        <v>111</v>
      </c>
      <c r="G517" s="30" t="s">
        <v>864</v>
      </c>
      <c r="H517" s="30" t="s">
        <v>241</v>
      </c>
      <c r="I517" s="30" t="s">
        <v>118</v>
      </c>
    </row>
    <row r="518" spans="1:9">
      <c r="A518" s="22" t="s">
        <v>1136</v>
      </c>
      <c r="C518" s="30"/>
      <c r="D518" s="30" t="s">
        <v>1023</v>
      </c>
      <c r="E518" s="30" t="s">
        <v>112</v>
      </c>
      <c r="F518" s="30" t="s">
        <v>247</v>
      </c>
      <c r="G518" s="30"/>
      <c r="H518" s="30" t="s">
        <v>241</v>
      </c>
      <c r="I518" s="30" t="s">
        <v>118</v>
      </c>
    </row>
    <row r="519" spans="1:9">
      <c r="A519" s="22" t="s">
        <v>1136</v>
      </c>
      <c r="C519" s="30"/>
      <c r="D519" s="30" t="s">
        <v>1024</v>
      </c>
      <c r="E519" s="30" t="s">
        <v>127</v>
      </c>
      <c r="F519" s="30" t="s">
        <v>247</v>
      </c>
      <c r="G519" s="30"/>
      <c r="H519" s="30" t="s">
        <v>241</v>
      </c>
      <c r="I519" s="30" t="s">
        <v>118</v>
      </c>
    </row>
    <row r="520" spans="1:9">
      <c r="A520" s="22" t="s">
        <v>1136</v>
      </c>
      <c r="B520" s="30"/>
      <c r="C520" s="30"/>
      <c r="D520" s="30" t="s">
        <v>1025</v>
      </c>
      <c r="E520" s="30" t="s">
        <v>112</v>
      </c>
      <c r="F520" s="30" t="s">
        <v>123</v>
      </c>
      <c r="G520" s="30"/>
      <c r="H520" s="30" t="s">
        <v>241</v>
      </c>
      <c r="I520" s="30" t="s">
        <v>240</v>
      </c>
    </row>
    <row r="521" spans="1:9">
      <c r="A521" s="22" t="s">
        <v>1136</v>
      </c>
      <c r="B521" s="30"/>
      <c r="C521" s="30"/>
      <c r="D521" s="30" t="s">
        <v>1026</v>
      </c>
      <c r="E521" s="30" t="s">
        <v>127</v>
      </c>
      <c r="F521" s="30" t="s">
        <v>123</v>
      </c>
      <c r="G521" s="30"/>
      <c r="H521" s="30" t="s">
        <v>241</v>
      </c>
      <c r="I521" s="30" t="s">
        <v>240</v>
      </c>
    </row>
    <row r="522" spans="1:9">
      <c r="A522" s="22" t="s">
        <v>1136</v>
      </c>
      <c r="B522" s="30"/>
      <c r="C522" s="30"/>
      <c r="D522" s="30" t="s">
        <v>455</v>
      </c>
      <c r="E522" s="30" t="s">
        <v>112</v>
      </c>
      <c r="F522" s="30" t="s">
        <v>866</v>
      </c>
      <c r="G522" s="30"/>
      <c r="H522" s="30" t="s">
        <v>241</v>
      </c>
      <c r="I522" s="30" t="s">
        <v>126</v>
      </c>
    </row>
    <row r="523" spans="1:9">
      <c r="A523" s="22" t="s">
        <v>1136</v>
      </c>
      <c r="B523" s="30"/>
      <c r="C523" s="30"/>
      <c r="D523" s="30" t="s">
        <v>456</v>
      </c>
      <c r="E523" s="30" t="s">
        <v>127</v>
      </c>
      <c r="F523" s="30" t="s">
        <v>866</v>
      </c>
      <c r="G523" s="30"/>
      <c r="H523" s="30" t="s">
        <v>241</v>
      </c>
      <c r="I523" s="30" t="s">
        <v>126</v>
      </c>
    </row>
    <row r="524" spans="1:9">
      <c r="A524" s="22" t="s">
        <v>1136</v>
      </c>
      <c r="B524" s="30"/>
      <c r="C524" s="30"/>
      <c r="D524" s="30" t="s">
        <v>1027</v>
      </c>
      <c r="E524" s="30" t="s">
        <v>112</v>
      </c>
      <c r="F524" s="30" t="s">
        <v>866</v>
      </c>
      <c r="G524" s="30"/>
      <c r="H524" s="30" t="s">
        <v>241</v>
      </c>
      <c r="I524" s="30" t="s">
        <v>128</v>
      </c>
    </row>
    <row r="525" spans="1:9">
      <c r="A525" s="22" t="s">
        <v>1136</v>
      </c>
      <c r="B525" s="30"/>
      <c r="C525" s="30"/>
      <c r="D525" s="30" t="s">
        <v>1028</v>
      </c>
      <c r="E525" s="30" t="s">
        <v>127</v>
      </c>
      <c r="F525" s="30" t="s">
        <v>866</v>
      </c>
      <c r="G525" s="30"/>
      <c r="H525" s="30" t="s">
        <v>241</v>
      </c>
      <c r="I525" s="30" t="s">
        <v>128</v>
      </c>
    </row>
    <row r="526" spans="1:9">
      <c r="A526" s="22" t="s">
        <v>1136</v>
      </c>
      <c r="B526" s="30"/>
      <c r="C526" s="30"/>
      <c r="D526" s="22" t="s">
        <v>458</v>
      </c>
      <c r="E526" s="30" t="s">
        <v>120</v>
      </c>
      <c r="F526" s="30" t="s">
        <v>111</v>
      </c>
      <c r="G526" s="30"/>
      <c r="H526" s="30" t="s">
        <v>241</v>
      </c>
      <c r="I526" s="30" t="s">
        <v>213</v>
      </c>
    </row>
    <row r="527" spans="1:9">
      <c r="A527" s="22" t="s">
        <v>1136</v>
      </c>
      <c r="B527" s="30"/>
      <c r="C527" s="30"/>
      <c r="D527" s="30" t="s">
        <v>672</v>
      </c>
      <c r="E527" s="30" t="s">
        <v>115</v>
      </c>
      <c r="F527" s="30" t="s">
        <v>178</v>
      </c>
      <c r="G527" s="30" t="s">
        <v>1191</v>
      </c>
      <c r="H527" s="30" t="s">
        <v>241</v>
      </c>
      <c r="I527" s="30" t="s">
        <v>114</v>
      </c>
    </row>
    <row r="528" spans="1:9">
      <c r="A528" s="22" t="s">
        <v>1136</v>
      </c>
      <c r="B528" s="30"/>
      <c r="C528" s="30"/>
      <c r="D528" s="30" t="s">
        <v>459</v>
      </c>
      <c r="E528" s="30" t="s">
        <v>115</v>
      </c>
      <c r="F528" s="30" t="s">
        <v>178</v>
      </c>
      <c r="G528" s="30" t="s">
        <v>1192</v>
      </c>
      <c r="H528" s="30" t="s">
        <v>241</v>
      </c>
      <c r="I528" s="30" t="s">
        <v>114</v>
      </c>
    </row>
    <row r="529" spans="1:9">
      <c r="A529" s="22" t="s">
        <v>1136</v>
      </c>
      <c r="B529" s="30"/>
      <c r="C529" s="30"/>
      <c r="D529" s="30" t="s">
        <v>1167</v>
      </c>
      <c r="E529" s="30" t="s">
        <v>112</v>
      </c>
      <c r="F529" s="30" t="s">
        <v>178</v>
      </c>
      <c r="G529" s="30" t="s">
        <v>571</v>
      </c>
      <c r="H529" s="30" t="s">
        <v>241</v>
      </c>
      <c r="I529" s="30" t="s">
        <v>572</v>
      </c>
    </row>
    <row r="530" spans="1:9">
      <c r="A530" s="22" t="s">
        <v>1136</v>
      </c>
      <c r="B530" s="30"/>
      <c r="C530" s="30"/>
      <c r="D530" s="30" t="s">
        <v>673</v>
      </c>
      <c r="E530" s="30" t="s">
        <v>115</v>
      </c>
      <c r="F530" s="30" t="s">
        <v>179</v>
      </c>
      <c r="G530" s="30" t="s">
        <v>1193</v>
      </c>
      <c r="H530" s="30" t="s">
        <v>241</v>
      </c>
      <c r="I530" s="30" t="s">
        <v>114</v>
      </c>
    </row>
    <row r="531" spans="1:9">
      <c r="A531" s="22" t="s">
        <v>1136</v>
      </c>
      <c r="B531" s="30"/>
      <c r="C531" s="30"/>
      <c r="D531" s="30" t="s">
        <v>460</v>
      </c>
      <c r="E531" s="30" t="s">
        <v>115</v>
      </c>
      <c r="F531" s="30" t="s">
        <v>179</v>
      </c>
      <c r="G531" s="30" t="s">
        <v>1194</v>
      </c>
      <c r="H531" s="30" t="s">
        <v>241</v>
      </c>
      <c r="I531" s="30" t="s">
        <v>114</v>
      </c>
    </row>
    <row r="532" spans="1:9">
      <c r="A532" s="22" t="s">
        <v>1136</v>
      </c>
      <c r="B532" s="30"/>
      <c r="C532" s="30"/>
      <c r="D532" s="30" t="s">
        <v>1029</v>
      </c>
      <c r="E532" s="30" t="s">
        <v>112</v>
      </c>
      <c r="F532" s="30" t="s">
        <v>179</v>
      </c>
      <c r="G532" s="30" t="s">
        <v>571</v>
      </c>
      <c r="H532" s="30" t="s">
        <v>241</v>
      </c>
      <c r="I532" s="30" t="s">
        <v>572</v>
      </c>
    </row>
    <row r="533" spans="1:9">
      <c r="A533" s="22" t="s">
        <v>1136</v>
      </c>
      <c r="B533" s="30"/>
      <c r="C533" s="30"/>
      <c r="D533" s="30" t="s">
        <v>1168</v>
      </c>
      <c r="E533" s="30" t="s">
        <v>115</v>
      </c>
      <c r="F533" s="30" t="s">
        <v>169</v>
      </c>
      <c r="G533" s="30" t="s">
        <v>1195</v>
      </c>
      <c r="H533" s="30" t="s">
        <v>241</v>
      </c>
      <c r="I533" s="30" t="s">
        <v>114</v>
      </c>
    </row>
    <row r="534" spans="1:9">
      <c r="A534" s="22" t="s">
        <v>1136</v>
      </c>
      <c r="B534" s="30"/>
      <c r="C534" s="30"/>
      <c r="D534" s="30" t="s">
        <v>461</v>
      </c>
      <c r="E534" s="30" t="s">
        <v>115</v>
      </c>
      <c r="F534" s="30" t="s">
        <v>169</v>
      </c>
      <c r="G534" s="30" t="s">
        <v>1196</v>
      </c>
      <c r="H534" s="30" t="s">
        <v>241</v>
      </c>
      <c r="I534" s="30" t="s">
        <v>114</v>
      </c>
    </row>
    <row r="535" spans="1:9">
      <c r="A535" s="22" t="s">
        <v>1136</v>
      </c>
      <c r="B535" s="30"/>
      <c r="C535" s="30"/>
      <c r="D535" s="30" t="s">
        <v>1030</v>
      </c>
      <c r="E535" s="30" t="s">
        <v>112</v>
      </c>
      <c r="F535" s="30" t="s">
        <v>169</v>
      </c>
      <c r="G535" s="30" t="s">
        <v>571</v>
      </c>
      <c r="H535" s="30" t="s">
        <v>241</v>
      </c>
      <c r="I535" s="30" t="s">
        <v>572</v>
      </c>
    </row>
    <row r="536" spans="1:9">
      <c r="A536" s="22" t="s">
        <v>1136</v>
      </c>
      <c r="B536" s="30"/>
      <c r="C536" s="30"/>
      <c r="D536" s="30" t="s">
        <v>674</v>
      </c>
      <c r="E536" s="30" t="s">
        <v>115</v>
      </c>
      <c r="F536" s="30" t="s">
        <v>180</v>
      </c>
      <c r="G536" s="30" t="s">
        <v>1202</v>
      </c>
      <c r="H536" s="30" t="s">
        <v>241</v>
      </c>
      <c r="I536" s="30" t="s">
        <v>114</v>
      </c>
    </row>
    <row r="537" spans="1:9">
      <c r="A537" s="22" t="s">
        <v>1136</v>
      </c>
      <c r="B537" s="30"/>
      <c r="C537" s="30"/>
      <c r="D537" s="30" t="s">
        <v>462</v>
      </c>
      <c r="E537" s="30" t="s">
        <v>115</v>
      </c>
      <c r="F537" s="30" t="s">
        <v>180</v>
      </c>
      <c r="G537" s="30" t="s">
        <v>1203</v>
      </c>
      <c r="H537" s="30" t="s">
        <v>241</v>
      </c>
      <c r="I537" s="30" t="s">
        <v>114</v>
      </c>
    </row>
    <row r="538" spans="1:9">
      <c r="A538" s="22" t="s">
        <v>1136</v>
      </c>
      <c r="B538" s="30"/>
      <c r="C538" s="30"/>
      <c r="D538" s="30" t="s">
        <v>1031</v>
      </c>
      <c r="E538" s="30" t="s">
        <v>112</v>
      </c>
      <c r="F538" s="30" t="s">
        <v>180</v>
      </c>
      <c r="G538" s="30" t="s">
        <v>571</v>
      </c>
      <c r="H538" s="30" t="s">
        <v>241</v>
      </c>
      <c r="I538" s="30" t="s">
        <v>572</v>
      </c>
    </row>
    <row r="539" spans="1:9">
      <c r="A539" s="22" t="s">
        <v>1136</v>
      </c>
      <c r="B539" s="30"/>
      <c r="C539" s="30"/>
      <c r="D539" s="30" t="s">
        <v>675</v>
      </c>
      <c r="E539" s="30" t="s">
        <v>115</v>
      </c>
      <c r="F539" s="30" t="s">
        <v>181</v>
      </c>
      <c r="G539" s="30" t="s">
        <v>1197</v>
      </c>
      <c r="H539" s="30" t="s">
        <v>241</v>
      </c>
      <c r="I539" s="30" t="s">
        <v>114</v>
      </c>
    </row>
    <row r="540" spans="1:9">
      <c r="A540" s="22" t="s">
        <v>1136</v>
      </c>
      <c r="B540" s="30"/>
      <c r="C540" s="30"/>
      <c r="D540" s="30" t="s">
        <v>1032</v>
      </c>
      <c r="E540" s="30" t="s">
        <v>115</v>
      </c>
      <c r="F540" s="30" t="s">
        <v>181</v>
      </c>
      <c r="G540" s="30" t="s">
        <v>1198</v>
      </c>
      <c r="H540" s="30" t="s">
        <v>241</v>
      </c>
      <c r="I540" s="30" t="s">
        <v>114</v>
      </c>
    </row>
    <row r="541" spans="1:9">
      <c r="A541" s="22" t="s">
        <v>1136</v>
      </c>
      <c r="B541" s="30"/>
      <c r="C541" s="30"/>
      <c r="D541" s="30" t="s">
        <v>1033</v>
      </c>
      <c r="E541" s="30" t="s">
        <v>112</v>
      </c>
      <c r="F541" s="30" t="s">
        <v>181</v>
      </c>
      <c r="G541" s="30" t="s">
        <v>571</v>
      </c>
      <c r="H541" s="30" t="s">
        <v>241</v>
      </c>
      <c r="I541" s="30" t="s">
        <v>572</v>
      </c>
    </row>
    <row r="542" spans="1:9">
      <c r="A542" s="22" t="s">
        <v>1136</v>
      </c>
      <c r="B542" s="30"/>
      <c r="C542" s="30"/>
      <c r="D542" s="30" t="s">
        <v>676</v>
      </c>
      <c r="E542" s="30" t="s">
        <v>115</v>
      </c>
      <c r="F542" s="30" t="s">
        <v>182</v>
      </c>
      <c r="G542" s="30" t="s">
        <v>1199</v>
      </c>
      <c r="H542" s="30" t="s">
        <v>241</v>
      </c>
      <c r="I542" s="30" t="s">
        <v>114</v>
      </c>
    </row>
    <row r="543" spans="1:9">
      <c r="A543" s="22" t="s">
        <v>1136</v>
      </c>
      <c r="B543" s="30"/>
      <c r="C543" s="30"/>
      <c r="D543" s="30" t="s">
        <v>1034</v>
      </c>
      <c r="E543" s="30" t="s">
        <v>115</v>
      </c>
      <c r="F543" s="30" t="s">
        <v>182</v>
      </c>
      <c r="G543" s="30" t="s">
        <v>1200</v>
      </c>
      <c r="H543" s="30" t="s">
        <v>241</v>
      </c>
      <c r="I543" s="30" t="s">
        <v>114</v>
      </c>
    </row>
    <row r="544" spans="1:9">
      <c r="A544" s="22" t="s">
        <v>1136</v>
      </c>
      <c r="B544" s="30"/>
      <c r="C544" s="30"/>
      <c r="D544" s="30" t="s">
        <v>1035</v>
      </c>
      <c r="E544" s="30" t="s">
        <v>112</v>
      </c>
      <c r="F544" s="30" t="s">
        <v>182</v>
      </c>
      <c r="G544" s="30" t="s">
        <v>571</v>
      </c>
      <c r="H544" s="30" t="s">
        <v>241</v>
      </c>
      <c r="I544" s="30" t="s">
        <v>572</v>
      </c>
    </row>
    <row r="545" spans="1:9">
      <c r="A545" s="22" t="s">
        <v>1136</v>
      </c>
      <c r="B545" s="30"/>
      <c r="C545" s="30"/>
      <c r="D545" s="30" t="s">
        <v>677</v>
      </c>
      <c r="E545" s="30" t="s">
        <v>115</v>
      </c>
      <c r="F545" s="30" t="s">
        <v>183</v>
      </c>
      <c r="G545" s="30" t="s">
        <v>1204</v>
      </c>
      <c r="H545" s="30" t="s">
        <v>241</v>
      </c>
      <c r="I545" s="30" t="s">
        <v>114</v>
      </c>
    </row>
    <row r="546" spans="1:9">
      <c r="A546" s="22" t="s">
        <v>1136</v>
      </c>
      <c r="B546" s="30"/>
      <c r="C546" s="30"/>
      <c r="D546" s="30" t="s">
        <v>1036</v>
      </c>
      <c r="E546" s="30" t="s">
        <v>115</v>
      </c>
      <c r="F546" s="30" t="s">
        <v>183</v>
      </c>
      <c r="G546" s="30" t="s">
        <v>1205</v>
      </c>
      <c r="H546" s="30" t="s">
        <v>241</v>
      </c>
      <c r="I546" s="30" t="s">
        <v>114</v>
      </c>
    </row>
    <row r="547" spans="1:9">
      <c r="A547" s="22" t="s">
        <v>1136</v>
      </c>
      <c r="B547" s="30"/>
      <c r="C547" s="30"/>
      <c r="D547" s="30" t="s">
        <v>1037</v>
      </c>
      <c r="E547" s="30" t="s">
        <v>112</v>
      </c>
      <c r="F547" s="30" t="s">
        <v>183</v>
      </c>
      <c r="G547" s="30" t="s">
        <v>571</v>
      </c>
      <c r="H547" s="30" t="s">
        <v>241</v>
      </c>
      <c r="I547" s="30" t="s">
        <v>572</v>
      </c>
    </row>
    <row r="548" spans="1:9">
      <c r="A548" s="22" t="s">
        <v>1136</v>
      </c>
      <c r="B548" s="30"/>
      <c r="C548" s="30"/>
      <c r="D548" s="30" t="s">
        <v>678</v>
      </c>
      <c r="E548" s="30" t="s">
        <v>115</v>
      </c>
      <c r="F548" s="30" t="s">
        <v>184</v>
      </c>
      <c r="G548" s="30" t="s">
        <v>1189</v>
      </c>
      <c r="H548" s="30" t="s">
        <v>241</v>
      </c>
      <c r="I548" s="30" t="s">
        <v>114</v>
      </c>
    </row>
    <row r="549" spans="1:9">
      <c r="A549" s="22" t="s">
        <v>1136</v>
      </c>
      <c r="B549" s="30"/>
      <c r="C549" s="30"/>
      <c r="D549" s="30" t="s">
        <v>1038</v>
      </c>
      <c r="E549" s="30" t="s">
        <v>115</v>
      </c>
      <c r="F549" s="30" t="s">
        <v>184</v>
      </c>
      <c r="G549" s="30" t="s">
        <v>1190</v>
      </c>
      <c r="H549" s="30" t="s">
        <v>241</v>
      </c>
      <c r="I549" s="30" t="s">
        <v>114</v>
      </c>
    </row>
    <row r="550" spans="1:9">
      <c r="A550" s="22" t="s">
        <v>1136</v>
      </c>
      <c r="B550" s="30"/>
      <c r="C550" s="30"/>
      <c r="D550" s="30" t="s">
        <v>1169</v>
      </c>
      <c r="E550" s="30" t="s">
        <v>112</v>
      </c>
      <c r="F550" s="30" t="s">
        <v>184</v>
      </c>
      <c r="G550" s="30" t="s">
        <v>571</v>
      </c>
      <c r="H550" s="30" t="s">
        <v>241</v>
      </c>
      <c r="I550" s="30" t="s">
        <v>572</v>
      </c>
    </row>
    <row r="551" spans="1:9">
      <c r="A551" s="22" t="s">
        <v>1137</v>
      </c>
      <c r="B551" s="30"/>
      <c r="C551" s="30"/>
      <c r="D551" s="30" t="s">
        <v>830</v>
      </c>
      <c r="E551" s="30" t="s">
        <v>822</v>
      </c>
      <c r="F551" s="30" t="s">
        <v>111</v>
      </c>
      <c r="G551" s="30" t="s">
        <v>865</v>
      </c>
      <c r="H551" s="30" t="s">
        <v>241</v>
      </c>
      <c r="I551" s="30" t="s">
        <v>823</v>
      </c>
    </row>
    <row r="552" spans="1:9">
      <c r="A552" s="22" t="s">
        <v>1137</v>
      </c>
      <c r="B552" s="30"/>
      <c r="C552" s="30"/>
      <c r="D552" s="30" t="s">
        <v>831</v>
      </c>
      <c r="E552" s="30" t="s">
        <v>822</v>
      </c>
      <c r="F552" s="30" t="s">
        <v>111</v>
      </c>
      <c r="G552" s="30" t="s">
        <v>865</v>
      </c>
      <c r="H552" s="30" t="s">
        <v>241</v>
      </c>
      <c r="I552" s="30" t="s">
        <v>232</v>
      </c>
    </row>
    <row r="553" spans="1:9">
      <c r="A553" s="28"/>
      <c r="B553" s="28"/>
      <c r="C553" s="28"/>
      <c r="D553" s="28"/>
      <c r="E553" s="29" t="s">
        <v>757</v>
      </c>
      <c r="F553" s="28"/>
      <c r="G553" s="28"/>
      <c r="H553" s="28"/>
      <c r="I553" s="28"/>
    </row>
    <row r="554" spans="1:9">
      <c r="A554" s="22" t="s">
        <v>1136</v>
      </c>
      <c r="B554" s="30"/>
      <c r="C554" s="30"/>
      <c r="D554" s="22" t="s">
        <v>463</v>
      </c>
      <c r="E554" s="30" t="s">
        <v>115</v>
      </c>
      <c r="F554" s="30" t="s">
        <v>111</v>
      </c>
      <c r="G554" s="30" t="s">
        <v>863</v>
      </c>
      <c r="H554" s="30" t="s">
        <v>241</v>
      </c>
      <c r="I554" s="30" t="s">
        <v>114</v>
      </c>
    </row>
    <row r="555" spans="1:9">
      <c r="A555" s="22" t="s">
        <v>1136</v>
      </c>
      <c r="B555" s="30"/>
      <c r="C555" s="30"/>
      <c r="D555" s="22" t="s">
        <v>464</v>
      </c>
      <c r="E555" s="30" t="s">
        <v>120</v>
      </c>
      <c r="F555" s="30" t="s">
        <v>111</v>
      </c>
      <c r="G555" s="30" t="s">
        <v>863</v>
      </c>
      <c r="H555" s="30" t="s">
        <v>241</v>
      </c>
      <c r="I555" s="30" t="s">
        <v>114</v>
      </c>
    </row>
    <row r="556" spans="1:9">
      <c r="A556" s="22" t="s">
        <v>1136</v>
      </c>
      <c r="B556" s="30"/>
      <c r="C556" s="30"/>
      <c r="D556" s="30" t="s">
        <v>465</v>
      </c>
      <c r="E556" s="30" t="s">
        <v>112</v>
      </c>
      <c r="F556" s="30" t="s">
        <v>111</v>
      </c>
      <c r="G556" s="30" t="s">
        <v>113</v>
      </c>
      <c r="H556" s="30" t="s">
        <v>241</v>
      </c>
      <c r="I556" s="30" t="s">
        <v>114</v>
      </c>
    </row>
    <row r="557" spans="1:9">
      <c r="A557" s="22" t="s">
        <v>1136</v>
      </c>
      <c r="C557" s="30"/>
      <c r="D557" s="30" t="s">
        <v>466</v>
      </c>
      <c r="E557" s="30" t="s">
        <v>115</v>
      </c>
      <c r="F557" s="30" t="s">
        <v>111</v>
      </c>
      <c r="G557" s="30" t="s">
        <v>863</v>
      </c>
      <c r="H557" s="30" t="s">
        <v>241</v>
      </c>
      <c r="I557" s="30" t="s">
        <v>204</v>
      </c>
    </row>
    <row r="558" spans="1:9">
      <c r="A558" s="22" t="s">
        <v>1136</v>
      </c>
      <c r="C558" s="30"/>
      <c r="D558" s="30" t="s">
        <v>467</v>
      </c>
      <c r="E558" s="30" t="s">
        <v>115</v>
      </c>
      <c r="F558" s="30" t="s">
        <v>111</v>
      </c>
      <c r="G558" s="30" t="s">
        <v>863</v>
      </c>
      <c r="H558" s="30" t="s">
        <v>241</v>
      </c>
      <c r="I558" s="30" t="s">
        <v>232</v>
      </c>
    </row>
    <row r="559" spans="1:9">
      <c r="A559" s="22" t="s">
        <v>1136</v>
      </c>
      <c r="B559" s="30"/>
      <c r="C559" s="30"/>
      <c r="D559" s="30" t="s">
        <v>468</v>
      </c>
      <c r="E559" s="30" t="s">
        <v>115</v>
      </c>
      <c r="F559" s="30" t="s">
        <v>111</v>
      </c>
      <c r="G559" s="30" t="s">
        <v>863</v>
      </c>
      <c r="H559" s="30" t="s">
        <v>241</v>
      </c>
      <c r="I559" s="30" t="s">
        <v>118</v>
      </c>
    </row>
    <row r="560" spans="1:9">
      <c r="A560" s="22" t="s">
        <v>1136</v>
      </c>
      <c r="B560" s="30"/>
      <c r="C560" s="30"/>
      <c r="D560" s="30" t="s">
        <v>469</v>
      </c>
      <c r="E560" s="30" t="s">
        <v>115</v>
      </c>
      <c r="F560" s="30" t="s">
        <v>111</v>
      </c>
      <c r="G560" s="30" t="s">
        <v>864</v>
      </c>
      <c r="H560" s="30" t="s">
        <v>241</v>
      </c>
      <c r="I560" s="30" t="s">
        <v>118</v>
      </c>
    </row>
    <row r="561" spans="1:9">
      <c r="A561" s="22" t="s">
        <v>1136</v>
      </c>
      <c r="C561" s="30"/>
      <c r="D561" s="30" t="s">
        <v>1039</v>
      </c>
      <c r="E561" s="30" t="s">
        <v>112</v>
      </c>
      <c r="F561" s="30" t="s">
        <v>247</v>
      </c>
      <c r="G561" s="30"/>
      <c r="H561" s="30" t="s">
        <v>241</v>
      </c>
      <c r="I561" s="30" t="s">
        <v>118</v>
      </c>
    </row>
    <row r="562" spans="1:9">
      <c r="A562" s="22" t="s">
        <v>1136</v>
      </c>
      <c r="C562" s="30"/>
      <c r="D562" s="30" t="s">
        <v>1040</v>
      </c>
      <c r="E562" s="30" t="s">
        <v>127</v>
      </c>
      <c r="F562" s="30" t="s">
        <v>247</v>
      </c>
      <c r="G562" s="30"/>
      <c r="H562" s="30" t="s">
        <v>241</v>
      </c>
      <c r="I562" s="30" t="s">
        <v>118</v>
      </c>
    </row>
    <row r="563" spans="1:9">
      <c r="A563" s="22" t="s">
        <v>1136</v>
      </c>
      <c r="B563" s="30"/>
      <c r="C563" s="30"/>
      <c r="D563" s="30" t="s">
        <v>1041</v>
      </c>
      <c r="E563" s="30" t="s">
        <v>112</v>
      </c>
      <c r="F563" s="30" t="s">
        <v>123</v>
      </c>
      <c r="G563" s="30"/>
      <c r="H563" s="30" t="s">
        <v>241</v>
      </c>
      <c r="I563" s="30" t="s">
        <v>240</v>
      </c>
    </row>
    <row r="564" spans="1:9">
      <c r="A564" s="22" t="s">
        <v>1136</v>
      </c>
      <c r="B564" s="30"/>
      <c r="C564" s="30"/>
      <c r="D564" s="30" t="s">
        <v>1042</v>
      </c>
      <c r="E564" s="30" t="s">
        <v>127</v>
      </c>
      <c r="F564" s="30" t="s">
        <v>123</v>
      </c>
      <c r="G564" s="30"/>
      <c r="H564" s="30" t="s">
        <v>241</v>
      </c>
      <c r="I564" s="30" t="s">
        <v>240</v>
      </c>
    </row>
    <row r="565" spans="1:9">
      <c r="A565" s="22" t="s">
        <v>1136</v>
      </c>
      <c r="B565" s="30"/>
      <c r="C565" s="30"/>
      <c r="D565" s="30" t="s">
        <v>470</v>
      </c>
      <c r="E565" s="30" t="s">
        <v>112</v>
      </c>
      <c r="F565" s="30" t="s">
        <v>866</v>
      </c>
      <c r="G565" s="30"/>
      <c r="H565" s="30" t="s">
        <v>241</v>
      </c>
      <c r="I565" s="30" t="s">
        <v>126</v>
      </c>
    </row>
    <row r="566" spans="1:9">
      <c r="A566" s="22" t="s">
        <v>1136</v>
      </c>
      <c r="B566" s="30"/>
      <c r="C566" s="30"/>
      <c r="D566" s="30" t="s">
        <v>471</v>
      </c>
      <c r="E566" s="30" t="s">
        <v>127</v>
      </c>
      <c r="F566" s="30" t="s">
        <v>866</v>
      </c>
      <c r="G566" s="30"/>
      <c r="H566" s="30" t="s">
        <v>241</v>
      </c>
      <c r="I566" s="30" t="s">
        <v>126</v>
      </c>
    </row>
    <row r="567" spans="1:9">
      <c r="A567" s="22" t="s">
        <v>1136</v>
      </c>
      <c r="B567" s="30"/>
      <c r="C567" s="30"/>
      <c r="D567" s="30" t="s">
        <v>1043</v>
      </c>
      <c r="E567" s="30" t="s">
        <v>112</v>
      </c>
      <c r="F567" s="30" t="s">
        <v>866</v>
      </c>
      <c r="G567" s="30"/>
      <c r="H567" s="30" t="s">
        <v>241</v>
      </c>
      <c r="I567" s="30" t="s">
        <v>128</v>
      </c>
    </row>
    <row r="568" spans="1:9">
      <c r="A568" s="22" t="s">
        <v>1136</v>
      </c>
      <c r="B568" s="30"/>
      <c r="C568" s="30"/>
      <c r="D568" s="30" t="s">
        <v>1044</v>
      </c>
      <c r="E568" s="30" t="s">
        <v>127</v>
      </c>
      <c r="F568" s="30" t="s">
        <v>866</v>
      </c>
      <c r="G568" s="30"/>
      <c r="H568" s="30" t="s">
        <v>241</v>
      </c>
      <c r="I568" s="30" t="s">
        <v>128</v>
      </c>
    </row>
    <row r="569" spans="1:9">
      <c r="A569" s="22" t="s">
        <v>1136</v>
      </c>
      <c r="B569" s="30"/>
      <c r="C569" s="30"/>
      <c r="D569" s="22" t="s">
        <v>472</v>
      </c>
      <c r="E569" s="30" t="s">
        <v>120</v>
      </c>
      <c r="F569" s="30" t="s">
        <v>111</v>
      </c>
      <c r="G569" s="30"/>
      <c r="H569" s="30" t="s">
        <v>241</v>
      </c>
      <c r="I569" s="30" t="s">
        <v>213</v>
      </c>
    </row>
    <row r="570" spans="1:9">
      <c r="A570" s="22" t="s">
        <v>1136</v>
      </c>
      <c r="B570" s="30"/>
      <c r="C570" s="30"/>
      <c r="D570" s="30" t="s">
        <v>679</v>
      </c>
      <c r="E570" s="30" t="s">
        <v>115</v>
      </c>
      <c r="F570" s="30" t="s">
        <v>178</v>
      </c>
      <c r="G570" s="30" t="s">
        <v>1191</v>
      </c>
      <c r="H570" s="30" t="s">
        <v>241</v>
      </c>
      <c r="I570" s="30" t="s">
        <v>114</v>
      </c>
    </row>
    <row r="571" spans="1:9">
      <c r="A571" s="22" t="s">
        <v>1136</v>
      </c>
      <c r="B571" s="30"/>
      <c r="C571" s="30"/>
      <c r="D571" s="30" t="s">
        <v>473</v>
      </c>
      <c r="E571" s="30" t="s">
        <v>115</v>
      </c>
      <c r="F571" s="30" t="s">
        <v>178</v>
      </c>
      <c r="G571" s="30" t="s">
        <v>1192</v>
      </c>
      <c r="H571" s="30" t="s">
        <v>241</v>
      </c>
      <c r="I571" s="30" t="s">
        <v>114</v>
      </c>
    </row>
    <row r="572" spans="1:9">
      <c r="A572" s="22" t="s">
        <v>1136</v>
      </c>
      <c r="B572" s="30"/>
      <c r="C572" s="30"/>
      <c r="D572" s="30" t="s">
        <v>1170</v>
      </c>
      <c r="E572" s="30" t="s">
        <v>112</v>
      </c>
      <c r="F572" s="30" t="s">
        <v>178</v>
      </c>
      <c r="G572" s="30" t="s">
        <v>571</v>
      </c>
      <c r="H572" s="30" t="s">
        <v>241</v>
      </c>
      <c r="I572" s="30" t="s">
        <v>572</v>
      </c>
    </row>
    <row r="573" spans="1:9">
      <c r="A573" s="22" t="s">
        <v>1136</v>
      </c>
      <c r="B573" s="30"/>
      <c r="C573" s="30"/>
      <c r="D573" s="30" t="s">
        <v>680</v>
      </c>
      <c r="E573" s="30" t="s">
        <v>115</v>
      </c>
      <c r="F573" s="30" t="s">
        <v>179</v>
      </c>
      <c r="G573" s="30" t="s">
        <v>1193</v>
      </c>
      <c r="H573" s="30" t="s">
        <v>241</v>
      </c>
      <c r="I573" s="30" t="s">
        <v>114</v>
      </c>
    </row>
    <row r="574" spans="1:9">
      <c r="A574" s="22" t="s">
        <v>1136</v>
      </c>
      <c r="B574" s="30"/>
      <c r="C574" s="30"/>
      <c r="D574" s="30" t="s">
        <v>474</v>
      </c>
      <c r="E574" s="30" t="s">
        <v>115</v>
      </c>
      <c r="F574" s="30" t="s">
        <v>179</v>
      </c>
      <c r="G574" s="30" t="s">
        <v>1194</v>
      </c>
      <c r="H574" s="30" t="s">
        <v>241</v>
      </c>
      <c r="I574" s="30" t="s">
        <v>114</v>
      </c>
    </row>
    <row r="575" spans="1:9">
      <c r="A575" s="22" t="s">
        <v>1136</v>
      </c>
      <c r="B575" s="30"/>
      <c r="C575" s="30"/>
      <c r="D575" s="30" t="s">
        <v>1045</v>
      </c>
      <c r="E575" s="30" t="s">
        <v>112</v>
      </c>
      <c r="F575" s="30" t="s">
        <v>179</v>
      </c>
      <c r="G575" s="30" t="s">
        <v>571</v>
      </c>
      <c r="H575" s="30" t="s">
        <v>241</v>
      </c>
      <c r="I575" s="30" t="s">
        <v>572</v>
      </c>
    </row>
    <row r="576" spans="1:9">
      <c r="A576" s="22" t="s">
        <v>1136</v>
      </c>
      <c r="B576" s="30"/>
      <c r="C576" s="30"/>
      <c r="D576" s="30" t="s">
        <v>1171</v>
      </c>
      <c r="E576" s="30" t="s">
        <v>115</v>
      </c>
      <c r="F576" s="30" t="s">
        <v>169</v>
      </c>
      <c r="G576" s="30" t="s">
        <v>1195</v>
      </c>
      <c r="H576" s="30" t="s">
        <v>241</v>
      </c>
      <c r="I576" s="30" t="s">
        <v>114</v>
      </c>
    </row>
    <row r="577" spans="1:9">
      <c r="A577" s="22" t="s">
        <v>1136</v>
      </c>
      <c r="B577" s="30"/>
      <c r="C577" s="30"/>
      <c r="D577" s="30" t="s">
        <v>475</v>
      </c>
      <c r="E577" s="30" t="s">
        <v>115</v>
      </c>
      <c r="F577" s="30" t="s">
        <v>169</v>
      </c>
      <c r="G577" s="30" t="s">
        <v>1196</v>
      </c>
      <c r="H577" s="30" t="s">
        <v>241</v>
      </c>
      <c r="I577" s="30" t="s">
        <v>114</v>
      </c>
    </row>
    <row r="578" spans="1:9">
      <c r="A578" s="22" t="s">
        <v>1136</v>
      </c>
      <c r="B578" s="30"/>
      <c r="C578" s="30"/>
      <c r="D578" s="30" t="s">
        <v>1046</v>
      </c>
      <c r="E578" s="30" t="s">
        <v>112</v>
      </c>
      <c r="F578" s="30" t="s">
        <v>169</v>
      </c>
      <c r="G578" s="30" t="s">
        <v>571</v>
      </c>
      <c r="H578" s="30" t="s">
        <v>241</v>
      </c>
      <c r="I578" s="30" t="s">
        <v>572</v>
      </c>
    </row>
    <row r="579" spans="1:9">
      <c r="A579" s="22" t="s">
        <v>1136</v>
      </c>
      <c r="B579" s="30"/>
      <c r="C579" s="30"/>
      <c r="D579" s="30" t="s">
        <v>681</v>
      </c>
      <c r="E579" s="30" t="s">
        <v>115</v>
      </c>
      <c r="F579" s="30" t="s">
        <v>180</v>
      </c>
      <c r="G579" s="30" t="s">
        <v>1202</v>
      </c>
      <c r="H579" s="30" t="s">
        <v>241</v>
      </c>
      <c r="I579" s="30" t="s">
        <v>114</v>
      </c>
    </row>
    <row r="580" spans="1:9">
      <c r="A580" s="22" t="s">
        <v>1136</v>
      </c>
      <c r="B580" s="30"/>
      <c r="C580" s="30"/>
      <c r="D580" s="30" t="s">
        <v>476</v>
      </c>
      <c r="E580" s="30" t="s">
        <v>115</v>
      </c>
      <c r="F580" s="30" t="s">
        <v>180</v>
      </c>
      <c r="G580" s="30" t="s">
        <v>1203</v>
      </c>
      <c r="H580" s="30" t="s">
        <v>241</v>
      </c>
      <c r="I580" s="30" t="s">
        <v>114</v>
      </c>
    </row>
    <row r="581" spans="1:9">
      <c r="A581" s="22" t="s">
        <v>1136</v>
      </c>
      <c r="B581" s="30"/>
      <c r="C581" s="30"/>
      <c r="D581" s="30" t="s">
        <v>1047</v>
      </c>
      <c r="E581" s="30" t="s">
        <v>112</v>
      </c>
      <c r="F581" s="30" t="s">
        <v>180</v>
      </c>
      <c r="G581" s="30" t="s">
        <v>571</v>
      </c>
      <c r="H581" s="30" t="s">
        <v>241</v>
      </c>
      <c r="I581" s="30" t="s">
        <v>572</v>
      </c>
    </row>
    <row r="582" spans="1:9">
      <c r="A582" s="22" t="s">
        <v>1136</v>
      </c>
      <c r="B582" s="30"/>
      <c r="C582" s="30"/>
      <c r="D582" s="30" t="s">
        <v>682</v>
      </c>
      <c r="E582" s="30" t="s">
        <v>115</v>
      </c>
      <c r="F582" s="30" t="s">
        <v>181</v>
      </c>
      <c r="G582" s="30" t="s">
        <v>1197</v>
      </c>
      <c r="H582" s="30" t="s">
        <v>241</v>
      </c>
      <c r="I582" s="30" t="s">
        <v>114</v>
      </c>
    </row>
    <row r="583" spans="1:9">
      <c r="A583" s="22" t="s">
        <v>1136</v>
      </c>
      <c r="B583" s="30"/>
      <c r="C583" s="30"/>
      <c r="D583" s="30" t="s">
        <v>1048</v>
      </c>
      <c r="E583" s="30" t="s">
        <v>115</v>
      </c>
      <c r="F583" s="30" t="s">
        <v>181</v>
      </c>
      <c r="G583" s="30" t="s">
        <v>1198</v>
      </c>
      <c r="H583" s="30" t="s">
        <v>241</v>
      </c>
      <c r="I583" s="30" t="s">
        <v>114</v>
      </c>
    </row>
    <row r="584" spans="1:9">
      <c r="A584" s="22" t="s">
        <v>1136</v>
      </c>
      <c r="B584" s="30"/>
      <c r="C584" s="30"/>
      <c r="D584" s="30" t="s">
        <v>1049</v>
      </c>
      <c r="E584" s="30" t="s">
        <v>112</v>
      </c>
      <c r="F584" s="30" t="s">
        <v>181</v>
      </c>
      <c r="G584" s="30" t="s">
        <v>571</v>
      </c>
      <c r="H584" s="30" t="s">
        <v>241</v>
      </c>
      <c r="I584" s="30" t="s">
        <v>572</v>
      </c>
    </row>
    <row r="585" spans="1:9">
      <c r="A585" s="22" t="s">
        <v>1136</v>
      </c>
      <c r="B585" s="30"/>
      <c r="C585" s="30"/>
      <c r="D585" s="30" t="s">
        <v>683</v>
      </c>
      <c r="E585" s="30" t="s">
        <v>115</v>
      </c>
      <c r="F585" s="30" t="s">
        <v>182</v>
      </c>
      <c r="G585" s="30" t="s">
        <v>1199</v>
      </c>
      <c r="H585" s="30" t="s">
        <v>241</v>
      </c>
      <c r="I585" s="30" t="s">
        <v>114</v>
      </c>
    </row>
    <row r="586" spans="1:9">
      <c r="A586" s="22" t="s">
        <v>1136</v>
      </c>
      <c r="B586" s="30"/>
      <c r="C586" s="30"/>
      <c r="D586" s="30" t="s">
        <v>1050</v>
      </c>
      <c r="E586" s="30" t="s">
        <v>115</v>
      </c>
      <c r="F586" s="30" t="s">
        <v>182</v>
      </c>
      <c r="G586" s="30" t="s">
        <v>1200</v>
      </c>
      <c r="H586" s="30" t="s">
        <v>241</v>
      </c>
      <c r="I586" s="30" t="s">
        <v>114</v>
      </c>
    </row>
    <row r="587" spans="1:9">
      <c r="A587" s="22" t="s">
        <v>1136</v>
      </c>
      <c r="B587" s="30"/>
      <c r="C587" s="30"/>
      <c r="D587" s="30" t="s">
        <v>1051</v>
      </c>
      <c r="E587" s="30" t="s">
        <v>112</v>
      </c>
      <c r="F587" s="30" t="s">
        <v>182</v>
      </c>
      <c r="G587" s="30" t="s">
        <v>571</v>
      </c>
      <c r="H587" s="30" t="s">
        <v>241</v>
      </c>
      <c r="I587" s="30" t="s">
        <v>572</v>
      </c>
    </row>
    <row r="588" spans="1:9">
      <c r="A588" s="22" t="s">
        <v>1136</v>
      </c>
      <c r="B588" s="30"/>
      <c r="C588" s="30"/>
      <c r="D588" s="30" t="s">
        <v>684</v>
      </c>
      <c r="E588" s="30" t="s">
        <v>115</v>
      </c>
      <c r="F588" s="30" t="s">
        <v>183</v>
      </c>
      <c r="G588" s="30" t="s">
        <v>1204</v>
      </c>
      <c r="H588" s="30" t="s">
        <v>241</v>
      </c>
      <c r="I588" s="30" t="s">
        <v>114</v>
      </c>
    </row>
    <row r="589" spans="1:9">
      <c r="A589" s="22" t="s">
        <v>1136</v>
      </c>
      <c r="B589" s="30"/>
      <c r="C589" s="30"/>
      <c r="D589" s="30" t="s">
        <v>1052</v>
      </c>
      <c r="E589" s="30" t="s">
        <v>115</v>
      </c>
      <c r="F589" s="30" t="s">
        <v>183</v>
      </c>
      <c r="G589" s="30" t="s">
        <v>1205</v>
      </c>
      <c r="H589" s="30" t="s">
        <v>241</v>
      </c>
      <c r="I589" s="30" t="s">
        <v>114</v>
      </c>
    </row>
    <row r="590" spans="1:9">
      <c r="A590" s="22" t="s">
        <v>1136</v>
      </c>
      <c r="B590" s="30"/>
      <c r="C590" s="30"/>
      <c r="D590" s="30" t="s">
        <v>1053</v>
      </c>
      <c r="E590" s="30" t="s">
        <v>112</v>
      </c>
      <c r="F590" s="30" t="s">
        <v>183</v>
      </c>
      <c r="G590" s="30" t="s">
        <v>571</v>
      </c>
      <c r="H590" s="30" t="s">
        <v>241</v>
      </c>
      <c r="I590" s="30" t="s">
        <v>572</v>
      </c>
    </row>
    <row r="591" spans="1:9">
      <c r="A591" s="22" t="s">
        <v>1136</v>
      </c>
      <c r="B591" s="30"/>
      <c r="C591" s="30"/>
      <c r="D591" s="30" t="s">
        <v>685</v>
      </c>
      <c r="E591" s="30" t="s">
        <v>115</v>
      </c>
      <c r="F591" s="30" t="s">
        <v>184</v>
      </c>
      <c r="G591" s="30" t="s">
        <v>1189</v>
      </c>
      <c r="H591" s="30" t="s">
        <v>241</v>
      </c>
      <c r="I591" s="30" t="s">
        <v>114</v>
      </c>
    </row>
    <row r="592" spans="1:9">
      <c r="A592" s="22" t="s">
        <v>1136</v>
      </c>
      <c r="B592" s="30"/>
      <c r="C592" s="30"/>
      <c r="D592" s="30" t="s">
        <v>1054</v>
      </c>
      <c r="E592" s="30" t="s">
        <v>115</v>
      </c>
      <c r="F592" s="30" t="s">
        <v>184</v>
      </c>
      <c r="G592" s="30" t="s">
        <v>1190</v>
      </c>
      <c r="H592" s="30" t="s">
        <v>241</v>
      </c>
      <c r="I592" s="30" t="s">
        <v>114</v>
      </c>
    </row>
    <row r="593" spans="1:9">
      <c r="A593" s="22" t="s">
        <v>1136</v>
      </c>
      <c r="B593" s="30"/>
      <c r="C593" s="30"/>
      <c r="D593" s="30" t="s">
        <v>1172</v>
      </c>
      <c r="E593" s="30" t="s">
        <v>112</v>
      </c>
      <c r="F593" s="30" t="s">
        <v>184</v>
      </c>
      <c r="G593" s="30" t="s">
        <v>571</v>
      </c>
      <c r="H593" s="30" t="s">
        <v>241</v>
      </c>
      <c r="I593" s="30" t="s">
        <v>572</v>
      </c>
    </row>
    <row r="594" spans="1:9">
      <c r="A594" s="22" t="s">
        <v>1137</v>
      </c>
      <c r="B594" s="30"/>
      <c r="C594" s="30"/>
      <c r="D594" s="30" t="s">
        <v>832</v>
      </c>
      <c r="E594" s="30" t="s">
        <v>822</v>
      </c>
      <c r="F594" s="30" t="s">
        <v>111</v>
      </c>
      <c r="G594" s="30" t="s">
        <v>865</v>
      </c>
      <c r="H594" s="30" t="s">
        <v>241</v>
      </c>
      <c r="I594" s="30" t="s">
        <v>823</v>
      </c>
    </row>
    <row r="595" spans="1:9">
      <c r="A595" s="22" t="s">
        <v>1137</v>
      </c>
      <c r="B595" s="30"/>
      <c r="C595" s="30"/>
      <c r="D595" s="30" t="s">
        <v>833</v>
      </c>
      <c r="E595" s="30" t="s">
        <v>822</v>
      </c>
      <c r="F595" s="30" t="s">
        <v>111</v>
      </c>
      <c r="G595" s="30" t="s">
        <v>865</v>
      </c>
      <c r="H595" s="30" t="s">
        <v>241</v>
      </c>
      <c r="I595" s="30" t="s">
        <v>232</v>
      </c>
    </row>
    <row r="596" spans="1:9">
      <c r="A596" s="28"/>
      <c r="B596" s="28"/>
      <c r="C596" s="28"/>
      <c r="D596" s="28"/>
      <c r="E596" s="29" t="s">
        <v>758</v>
      </c>
      <c r="F596" s="28"/>
      <c r="G596" s="28"/>
      <c r="H596" s="28"/>
      <c r="I596" s="28"/>
    </row>
    <row r="597" spans="1:9">
      <c r="A597" s="22" t="s">
        <v>1136</v>
      </c>
      <c r="B597" s="30"/>
      <c r="C597" s="30"/>
      <c r="D597" s="22" t="s">
        <v>183</v>
      </c>
      <c r="E597" s="30" t="s">
        <v>115</v>
      </c>
      <c r="F597" s="30" t="s">
        <v>111</v>
      </c>
      <c r="G597" s="30" t="s">
        <v>863</v>
      </c>
      <c r="H597" s="30" t="s">
        <v>241</v>
      </c>
      <c r="I597" s="30" t="s">
        <v>114</v>
      </c>
    </row>
    <row r="598" spans="1:9">
      <c r="A598" s="22" t="s">
        <v>1136</v>
      </c>
      <c r="B598" s="30"/>
      <c r="C598" s="30"/>
      <c r="D598" s="22" t="s">
        <v>491</v>
      </c>
      <c r="E598" s="30" t="s">
        <v>120</v>
      </c>
      <c r="F598" s="30" t="s">
        <v>111</v>
      </c>
      <c r="G598" s="30" t="s">
        <v>863</v>
      </c>
      <c r="H598" s="30" t="s">
        <v>241</v>
      </c>
      <c r="I598" s="30" t="s">
        <v>114</v>
      </c>
    </row>
    <row r="599" spans="1:9">
      <c r="A599" s="22" t="s">
        <v>1136</v>
      </c>
      <c r="B599" s="30"/>
      <c r="C599" s="30"/>
      <c r="D599" s="30" t="s">
        <v>492</v>
      </c>
      <c r="E599" s="30" t="s">
        <v>112</v>
      </c>
      <c r="F599" s="30" t="s">
        <v>111</v>
      </c>
      <c r="G599" s="30" t="s">
        <v>113</v>
      </c>
      <c r="H599" s="30" t="s">
        <v>241</v>
      </c>
      <c r="I599" s="30" t="s">
        <v>114</v>
      </c>
    </row>
    <row r="600" spans="1:9">
      <c r="A600" s="22" t="s">
        <v>1136</v>
      </c>
      <c r="C600" s="30"/>
      <c r="D600" s="30" t="s">
        <v>493</v>
      </c>
      <c r="E600" s="30" t="s">
        <v>115</v>
      </c>
      <c r="F600" s="30" t="s">
        <v>111</v>
      </c>
      <c r="G600" s="30" t="s">
        <v>863</v>
      </c>
      <c r="H600" s="30" t="s">
        <v>241</v>
      </c>
      <c r="I600" s="30" t="s">
        <v>204</v>
      </c>
    </row>
    <row r="601" spans="1:9">
      <c r="A601" s="22" t="s">
        <v>1136</v>
      </c>
      <c r="C601" s="30"/>
      <c r="D601" s="30" t="s">
        <v>494</v>
      </c>
      <c r="E601" s="30" t="s">
        <v>115</v>
      </c>
      <c r="F601" s="30" t="s">
        <v>111</v>
      </c>
      <c r="G601" s="30" t="s">
        <v>863</v>
      </c>
      <c r="H601" s="30" t="s">
        <v>241</v>
      </c>
      <c r="I601" s="30" t="s">
        <v>232</v>
      </c>
    </row>
    <row r="602" spans="1:9">
      <c r="A602" s="22" t="s">
        <v>1136</v>
      </c>
      <c r="B602" s="30"/>
      <c r="C602" s="30"/>
      <c r="D602" s="30" t="s">
        <v>495</v>
      </c>
      <c r="E602" s="30" t="s">
        <v>115</v>
      </c>
      <c r="F602" s="30" t="s">
        <v>111</v>
      </c>
      <c r="G602" s="30" t="s">
        <v>863</v>
      </c>
      <c r="H602" s="30" t="s">
        <v>241</v>
      </c>
      <c r="I602" s="30" t="s">
        <v>118</v>
      </c>
    </row>
    <row r="603" spans="1:9">
      <c r="A603" s="22" t="s">
        <v>1136</v>
      </c>
      <c r="B603" s="30"/>
      <c r="C603" s="30"/>
      <c r="D603" s="30" t="s">
        <v>496</v>
      </c>
      <c r="E603" s="30" t="s">
        <v>115</v>
      </c>
      <c r="F603" s="30" t="s">
        <v>111</v>
      </c>
      <c r="G603" s="30" t="s">
        <v>864</v>
      </c>
      <c r="H603" s="30" t="s">
        <v>241</v>
      </c>
      <c r="I603" s="30" t="s">
        <v>118</v>
      </c>
    </row>
    <row r="604" spans="1:9">
      <c r="A604" s="22" t="s">
        <v>1136</v>
      </c>
      <c r="C604" s="30"/>
      <c r="D604" s="30" t="s">
        <v>1055</v>
      </c>
      <c r="E604" s="30" t="s">
        <v>112</v>
      </c>
      <c r="F604" s="30" t="s">
        <v>247</v>
      </c>
      <c r="G604" s="30"/>
      <c r="H604" s="30" t="s">
        <v>241</v>
      </c>
      <c r="I604" s="30" t="s">
        <v>118</v>
      </c>
    </row>
    <row r="605" spans="1:9">
      <c r="A605" s="22" t="s">
        <v>1136</v>
      </c>
      <c r="C605" s="30"/>
      <c r="D605" s="30" t="s">
        <v>1056</v>
      </c>
      <c r="E605" s="30" t="s">
        <v>127</v>
      </c>
      <c r="F605" s="30" t="s">
        <v>247</v>
      </c>
      <c r="G605" s="30"/>
      <c r="H605" s="30" t="s">
        <v>241</v>
      </c>
      <c r="I605" s="30" t="s">
        <v>118</v>
      </c>
    </row>
    <row r="606" spans="1:9">
      <c r="A606" s="22" t="s">
        <v>1136</v>
      </c>
      <c r="B606" s="30"/>
      <c r="C606" s="30"/>
      <c r="D606" s="30" t="s">
        <v>1057</v>
      </c>
      <c r="E606" s="30" t="s">
        <v>112</v>
      </c>
      <c r="F606" s="30" t="s">
        <v>123</v>
      </c>
      <c r="G606" s="30"/>
      <c r="H606" s="30" t="s">
        <v>241</v>
      </c>
      <c r="I606" s="30" t="s">
        <v>240</v>
      </c>
    </row>
    <row r="607" spans="1:9">
      <c r="A607" s="22" t="s">
        <v>1136</v>
      </c>
      <c r="B607" s="30"/>
      <c r="C607" s="30"/>
      <c r="D607" s="30" t="s">
        <v>1058</v>
      </c>
      <c r="E607" s="30" t="s">
        <v>127</v>
      </c>
      <c r="F607" s="30" t="s">
        <v>123</v>
      </c>
      <c r="G607" s="30"/>
      <c r="H607" s="30" t="s">
        <v>241</v>
      </c>
      <c r="I607" s="30" t="s">
        <v>240</v>
      </c>
    </row>
    <row r="608" spans="1:9">
      <c r="A608" s="22" t="s">
        <v>1136</v>
      </c>
      <c r="B608" s="30"/>
      <c r="C608" s="30"/>
      <c r="D608" s="30" t="s">
        <v>497</v>
      </c>
      <c r="E608" s="30" t="s">
        <v>112</v>
      </c>
      <c r="F608" s="30" t="s">
        <v>866</v>
      </c>
      <c r="G608" s="30"/>
      <c r="H608" s="30" t="s">
        <v>241</v>
      </c>
      <c r="I608" s="30" t="s">
        <v>126</v>
      </c>
    </row>
    <row r="609" spans="1:9">
      <c r="A609" s="22" t="s">
        <v>1136</v>
      </c>
      <c r="B609" s="30"/>
      <c r="C609" s="30"/>
      <c r="D609" s="30" t="s">
        <v>498</v>
      </c>
      <c r="E609" s="30" t="s">
        <v>127</v>
      </c>
      <c r="F609" s="30" t="s">
        <v>866</v>
      </c>
      <c r="G609" s="30"/>
      <c r="H609" s="30" t="s">
        <v>241</v>
      </c>
      <c r="I609" s="30" t="s">
        <v>126</v>
      </c>
    </row>
    <row r="610" spans="1:9">
      <c r="A610" s="22" t="s">
        <v>1136</v>
      </c>
      <c r="B610" s="30"/>
      <c r="C610" s="30"/>
      <c r="D610" s="30" t="s">
        <v>1059</v>
      </c>
      <c r="E610" s="30" t="s">
        <v>112</v>
      </c>
      <c r="F610" s="30" t="s">
        <v>866</v>
      </c>
      <c r="G610" s="30"/>
      <c r="H610" s="30" t="s">
        <v>241</v>
      </c>
      <c r="I610" s="30" t="s">
        <v>128</v>
      </c>
    </row>
    <row r="611" spans="1:9">
      <c r="A611" s="22" t="s">
        <v>1136</v>
      </c>
      <c r="B611" s="30"/>
      <c r="C611" s="30"/>
      <c r="D611" s="30" t="s">
        <v>1060</v>
      </c>
      <c r="E611" s="30" t="s">
        <v>127</v>
      </c>
      <c r="F611" s="30" t="s">
        <v>866</v>
      </c>
      <c r="G611" s="30"/>
      <c r="H611" s="30" t="s">
        <v>241</v>
      </c>
      <c r="I611" s="30" t="s">
        <v>128</v>
      </c>
    </row>
    <row r="612" spans="1:9">
      <c r="A612" s="22" t="s">
        <v>1136</v>
      </c>
      <c r="B612" s="30"/>
      <c r="C612" s="30"/>
      <c r="D612" s="22" t="s">
        <v>500</v>
      </c>
      <c r="E612" s="30" t="s">
        <v>120</v>
      </c>
      <c r="F612" s="30" t="s">
        <v>111</v>
      </c>
      <c r="G612" s="30"/>
      <c r="H612" s="30" t="s">
        <v>241</v>
      </c>
      <c r="I612" s="30" t="s">
        <v>213</v>
      </c>
    </row>
    <row r="613" spans="1:9">
      <c r="A613" s="22" t="s">
        <v>1136</v>
      </c>
      <c r="B613" s="30"/>
      <c r="C613" s="30"/>
      <c r="D613" s="30" t="s">
        <v>693</v>
      </c>
      <c r="E613" s="30" t="s">
        <v>115</v>
      </c>
      <c r="F613" s="30" t="s">
        <v>178</v>
      </c>
      <c r="G613" s="30" t="s">
        <v>1191</v>
      </c>
      <c r="H613" s="30" t="s">
        <v>241</v>
      </c>
      <c r="I613" s="30" t="s">
        <v>114</v>
      </c>
    </row>
    <row r="614" spans="1:9">
      <c r="A614" s="22" t="s">
        <v>1136</v>
      </c>
      <c r="B614" s="30"/>
      <c r="C614" s="30"/>
      <c r="D614" s="30" t="s">
        <v>501</v>
      </c>
      <c r="E614" s="30" t="s">
        <v>115</v>
      </c>
      <c r="F614" s="30" t="s">
        <v>178</v>
      </c>
      <c r="G614" s="30" t="s">
        <v>1192</v>
      </c>
      <c r="H614" s="30" t="s">
        <v>241</v>
      </c>
      <c r="I614" s="30" t="s">
        <v>114</v>
      </c>
    </row>
    <row r="615" spans="1:9">
      <c r="A615" s="22" t="s">
        <v>1136</v>
      </c>
      <c r="B615" s="30"/>
      <c r="C615" s="30"/>
      <c r="D615" s="30" t="s">
        <v>1173</v>
      </c>
      <c r="E615" s="30" t="s">
        <v>112</v>
      </c>
      <c r="F615" s="30" t="s">
        <v>178</v>
      </c>
      <c r="G615" s="30" t="s">
        <v>571</v>
      </c>
      <c r="H615" s="30" t="s">
        <v>241</v>
      </c>
      <c r="I615" s="30" t="s">
        <v>572</v>
      </c>
    </row>
    <row r="616" spans="1:9">
      <c r="A616" s="22" t="s">
        <v>1136</v>
      </c>
      <c r="B616" s="30"/>
      <c r="C616" s="30"/>
      <c r="D616" s="30" t="s">
        <v>694</v>
      </c>
      <c r="E616" s="30" t="s">
        <v>115</v>
      </c>
      <c r="F616" s="30" t="s">
        <v>179</v>
      </c>
      <c r="G616" s="30" t="s">
        <v>1193</v>
      </c>
      <c r="H616" s="30" t="s">
        <v>241</v>
      </c>
      <c r="I616" s="30" t="s">
        <v>114</v>
      </c>
    </row>
    <row r="617" spans="1:9">
      <c r="A617" s="22" t="s">
        <v>1136</v>
      </c>
      <c r="B617" s="30"/>
      <c r="C617" s="30"/>
      <c r="D617" s="30" t="s">
        <v>502</v>
      </c>
      <c r="E617" s="30" t="s">
        <v>115</v>
      </c>
      <c r="F617" s="30" t="s">
        <v>179</v>
      </c>
      <c r="G617" s="30" t="s">
        <v>1194</v>
      </c>
      <c r="H617" s="30" t="s">
        <v>241</v>
      </c>
      <c r="I617" s="30" t="s">
        <v>114</v>
      </c>
    </row>
    <row r="618" spans="1:9">
      <c r="A618" s="22" t="s">
        <v>1136</v>
      </c>
      <c r="B618" s="30"/>
      <c r="C618" s="30"/>
      <c r="D618" s="30" t="s">
        <v>1061</v>
      </c>
      <c r="E618" s="30" t="s">
        <v>112</v>
      </c>
      <c r="F618" s="30" t="s">
        <v>179</v>
      </c>
      <c r="G618" s="30" t="s">
        <v>571</v>
      </c>
      <c r="H618" s="30" t="s">
        <v>241</v>
      </c>
      <c r="I618" s="30" t="s">
        <v>572</v>
      </c>
    </row>
    <row r="619" spans="1:9">
      <c r="A619" s="22" t="s">
        <v>1136</v>
      </c>
      <c r="B619" s="30"/>
      <c r="C619" s="30"/>
      <c r="D619" s="30" t="s">
        <v>1174</v>
      </c>
      <c r="E619" s="30" t="s">
        <v>115</v>
      </c>
      <c r="F619" s="30" t="s">
        <v>169</v>
      </c>
      <c r="G619" s="30" t="s">
        <v>1195</v>
      </c>
      <c r="H619" s="30" t="s">
        <v>241</v>
      </c>
      <c r="I619" s="30" t="s">
        <v>114</v>
      </c>
    </row>
    <row r="620" spans="1:9">
      <c r="A620" s="22" t="s">
        <v>1136</v>
      </c>
      <c r="B620" s="30"/>
      <c r="C620" s="30"/>
      <c r="D620" s="30" t="s">
        <v>503</v>
      </c>
      <c r="E620" s="30" t="s">
        <v>115</v>
      </c>
      <c r="F620" s="30" t="s">
        <v>169</v>
      </c>
      <c r="G620" s="30" t="s">
        <v>1196</v>
      </c>
      <c r="H620" s="30" t="s">
        <v>241</v>
      </c>
      <c r="I620" s="30" t="s">
        <v>114</v>
      </c>
    </row>
    <row r="621" spans="1:9">
      <c r="A621" s="22" t="s">
        <v>1136</v>
      </c>
      <c r="B621" s="30"/>
      <c r="C621" s="30"/>
      <c r="D621" s="30" t="s">
        <v>1062</v>
      </c>
      <c r="E621" s="30" t="s">
        <v>112</v>
      </c>
      <c r="F621" s="30" t="s">
        <v>169</v>
      </c>
      <c r="G621" s="30" t="s">
        <v>571</v>
      </c>
      <c r="H621" s="30" t="s">
        <v>241</v>
      </c>
      <c r="I621" s="30" t="s">
        <v>572</v>
      </c>
    </row>
    <row r="622" spans="1:9">
      <c r="A622" s="22" t="s">
        <v>1136</v>
      </c>
      <c r="B622" s="30"/>
      <c r="C622" s="30"/>
      <c r="D622" s="30" t="s">
        <v>695</v>
      </c>
      <c r="E622" s="30" t="s">
        <v>115</v>
      </c>
      <c r="F622" s="30" t="s">
        <v>180</v>
      </c>
      <c r="G622" s="30" t="s">
        <v>1202</v>
      </c>
      <c r="H622" s="30" t="s">
        <v>241</v>
      </c>
      <c r="I622" s="30" t="s">
        <v>114</v>
      </c>
    </row>
    <row r="623" spans="1:9">
      <c r="A623" s="22" t="s">
        <v>1136</v>
      </c>
      <c r="B623" s="30"/>
      <c r="C623" s="30"/>
      <c r="D623" s="30" t="s">
        <v>504</v>
      </c>
      <c r="E623" s="30" t="s">
        <v>115</v>
      </c>
      <c r="F623" s="30" t="s">
        <v>180</v>
      </c>
      <c r="G623" s="30" t="s">
        <v>1203</v>
      </c>
      <c r="H623" s="30" t="s">
        <v>241</v>
      </c>
      <c r="I623" s="30" t="s">
        <v>114</v>
      </c>
    </row>
    <row r="624" spans="1:9">
      <c r="A624" s="22" t="s">
        <v>1136</v>
      </c>
      <c r="B624" s="30"/>
      <c r="C624" s="30"/>
      <c r="D624" s="30" t="s">
        <v>1063</v>
      </c>
      <c r="E624" s="30" t="s">
        <v>112</v>
      </c>
      <c r="F624" s="30" t="s">
        <v>180</v>
      </c>
      <c r="G624" s="30" t="s">
        <v>571</v>
      </c>
      <c r="H624" s="30" t="s">
        <v>241</v>
      </c>
      <c r="I624" s="30" t="s">
        <v>572</v>
      </c>
    </row>
    <row r="625" spans="1:9">
      <c r="A625" s="22" t="s">
        <v>1136</v>
      </c>
      <c r="B625" s="30"/>
      <c r="C625" s="30"/>
      <c r="D625" s="30" t="s">
        <v>696</v>
      </c>
      <c r="E625" s="30" t="s">
        <v>115</v>
      </c>
      <c r="F625" s="30" t="s">
        <v>181</v>
      </c>
      <c r="G625" s="30" t="s">
        <v>1197</v>
      </c>
      <c r="H625" s="30" t="s">
        <v>241</v>
      </c>
      <c r="I625" s="30" t="s">
        <v>114</v>
      </c>
    </row>
    <row r="626" spans="1:9">
      <c r="A626" s="22" t="s">
        <v>1136</v>
      </c>
      <c r="B626" s="30"/>
      <c r="C626" s="30"/>
      <c r="D626" s="30" t="s">
        <v>1064</v>
      </c>
      <c r="E626" s="30" t="s">
        <v>115</v>
      </c>
      <c r="F626" s="30" t="s">
        <v>181</v>
      </c>
      <c r="G626" s="30" t="s">
        <v>1198</v>
      </c>
      <c r="H626" s="30" t="s">
        <v>241</v>
      </c>
      <c r="I626" s="30" t="s">
        <v>114</v>
      </c>
    </row>
    <row r="627" spans="1:9">
      <c r="A627" s="22" t="s">
        <v>1136</v>
      </c>
      <c r="B627" s="30"/>
      <c r="C627" s="30"/>
      <c r="D627" s="30" t="s">
        <v>1065</v>
      </c>
      <c r="E627" s="30" t="s">
        <v>112</v>
      </c>
      <c r="F627" s="30" t="s">
        <v>181</v>
      </c>
      <c r="G627" s="30" t="s">
        <v>571</v>
      </c>
      <c r="H627" s="30" t="s">
        <v>241</v>
      </c>
      <c r="I627" s="30" t="s">
        <v>572</v>
      </c>
    </row>
    <row r="628" spans="1:9">
      <c r="A628" s="22" t="s">
        <v>1136</v>
      </c>
      <c r="B628" s="30"/>
      <c r="C628" s="30"/>
      <c r="D628" s="30" t="s">
        <v>697</v>
      </c>
      <c r="E628" s="30" t="s">
        <v>115</v>
      </c>
      <c r="F628" s="30" t="s">
        <v>182</v>
      </c>
      <c r="G628" s="30" t="s">
        <v>1199</v>
      </c>
      <c r="H628" s="30" t="s">
        <v>241</v>
      </c>
      <c r="I628" s="30" t="s">
        <v>114</v>
      </c>
    </row>
    <row r="629" spans="1:9">
      <c r="A629" s="22" t="s">
        <v>1136</v>
      </c>
      <c r="B629" s="30"/>
      <c r="C629" s="30"/>
      <c r="D629" s="30" t="s">
        <v>1066</v>
      </c>
      <c r="E629" s="30" t="s">
        <v>115</v>
      </c>
      <c r="F629" s="30" t="s">
        <v>182</v>
      </c>
      <c r="G629" s="30" t="s">
        <v>1200</v>
      </c>
      <c r="H629" s="30" t="s">
        <v>241</v>
      </c>
      <c r="I629" s="30" t="s">
        <v>114</v>
      </c>
    </row>
    <row r="630" spans="1:9">
      <c r="A630" s="22" t="s">
        <v>1136</v>
      </c>
      <c r="B630" s="30"/>
      <c r="C630" s="30"/>
      <c r="D630" s="30" t="s">
        <v>1067</v>
      </c>
      <c r="E630" s="30" t="s">
        <v>112</v>
      </c>
      <c r="F630" s="30" t="s">
        <v>182</v>
      </c>
      <c r="G630" s="30" t="s">
        <v>571</v>
      </c>
      <c r="H630" s="30" t="s">
        <v>241</v>
      </c>
      <c r="I630" s="30" t="s">
        <v>572</v>
      </c>
    </row>
    <row r="631" spans="1:9">
      <c r="A631" s="22" t="s">
        <v>1136</v>
      </c>
      <c r="B631" s="30"/>
      <c r="C631" s="30"/>
      <c r="D631" s="30" t="s">
        <v>698</v>
      </c>
      <c r="E631" s="30" t="s">
        <v>115</v>
      </c>
      <c r="F631" s="30" t="s">
        <v>183</v>
      </c>
      <c r="G631" s="30" t="s">
        <v>1204</v>
      </c>
      <c r="H631" s="30" t="s">
        <v>241</v>
      </c>
      <c r="I631" s="30" t="s">
        <v>114</v>
      </c>
    </row>
    <row r="632" spans="1:9">
      <c r="A632" s="22" t="s">
        <v>1136</v>
      </c>
      <c r="B632" s="30"/>
      <c r="C632" s="30"/>
      <c r="D632" s="30" t="s">
        <v>1068</v>
      </c>
      <c r="E632" s="30" t="s">
        <v>115</v>
      </c>
      <c r="F632" s="30" t="s">
        <v>183</v>
      </c>
      <c r="G632" s="30" t="s">
        <v>1205</v>
      </c>
      <c r="H632" s="30" t="s">
        <v>241</v>
      </c>
      <c r="I632" s="30" t="s">
        <v>114</v>
      </c>
    </row>
    <row r="633" spans="1:9">
      <c r="A633" s="22" t="s">
        <v>1136</v>
      </c>
      <c r="B633" s="30"/>
      <c r="C633" s="30"/>
      <c r="D633" s="30" t="s">
        <v>1069</v>
      </c>
      <c r="E633" s="30" t="s">
        <v>112</v>
      </c>
      <c r="F633" s="30" t="s">
        <v>183</v>
      </c>
      <c r="G633" s="30" t="s">
        <v>571</v>
      </c>
      <c r="H633" s="30" t="s">
        <v>241</v>
      </c>
      <c r="I633" s="30" t="s">
        <v>572</v>
      </c>
    </row>
    <row r="634" spans="1:9">
      <c r="A634" s="22" t="s">
        <v>1136</v>
      </c>
      <c r="B634" s="30"/>
      <c r="C634" s="30"/>
      <c r="D634" s="30" t="s">
        <v>699</v>
      </c>
      <c r="E634" s="30" t="s">
        <v>115</v>
      </c>
      <c r="F634" s="30" t="s">
        <v>184</v>
      </c>
      <c r="G634" s="30" t="s">
        <v>1189</v>
      </c>
      <c r="H634" s="30" t="s">
        <v>241</v>
      </c>
      <c r="I634" s="30" t="s">
        <v>114</v>
      </c>
    </row>
    <row r="635" spans="1:9">
      <c r="A635" s="22" t="s">
        <v>1136</v>
      </c>
      <c r="B635" s="30"/>
      <c r="C635" s="30"/>
      <c r="D635" s="30" t="s">
        <v>1070</v>
      </c>
      <c r="E635" s="30" t="s">
        <v>115</v>
      </c>
      <c r="F635" s="30" t="s">
        <v>184</v>
      </c>
      <c r="G635" s="30" t="s">
        <v>1190</v>
      </c>
      <c r="H635" s="30" t="s">
        <v>241</v>
      </c>
      <c r="I635" s="30" t="s">
        <v>114</v>
      </c>
    </row>
    <row r="636" spans="1:9">
      <c r="A636" s="22" t="s">
        <v>1136</v>
      </c>
      <c r="B636" s="30"/>
      <c r="C636" s="30"/>
      <c r="D636" s="30" t="s">
        <v>1175</v>
      </c>
      <c r="E636" s="30" t="s">
        <v>112</v>
      </c>
      <c r="F636" s="30" t="s">
        <v>184</v>
      </c>
      <c r="G636" s="30" t="s">
        <v>571</v>
      </c>
      <c r="H636" s="30" t="s">
        <v>241</v>
      </c>
      <c r="I636" s="30" t="s">
        <v>572</v>
      </c>
    </row>
    <row r="637" spans="1:9">
      <c r="A637" s="22" t="s">
        <v>1137</v>
      </c>
      <c r="B637" s="30"/>
      <c r="C637" s="30"/>
      <c r="D637" s="30" t="s">
        <v>834</v>
      </c>
      <c r="E637" s="30" t="s">
        <v>822</v>
      </c>
      <c r="F637" s="30" t="s">
        <v>111</v>
      </c>
      <c r="G637" s="30" t="s">
        <v>865</v>
      </c>
      <c r="H637" s="30" t="s">
        <v>241</v>
      </c>
      <c r="I637" s="30" t="s">
        <v>823</v>
      </c>
    </row>
    <row r="638" spans="1:9">
      <c r="A638" s="22" t="s">
        <v>1137</v>
      </c>
      <c r="B638" s="30"/>
      <c r="C638" s="30"/>
      <c r="D638" s="30" t="s">
        <v>835</v>
      </c>
      <c r="E638" s="30" t="s">
        <v>822</v>
      </c>
      <c r="F638" s="30" t="s">
        <v>111</v>
      </c>
      <c r="G638" s="30" t="s">
        <v>865</v>
      </c>
      <c r="H638" s="30" t="s">
        <v>241</v>
      </c>
      <c r="I638" s="30" t="s">
        <v>232</v>
      </c>
    </row>
    <row r="639" spans="1:9">
      <c r="A639" s="28"/>
      <c r="B639" s="28"/>
      <c r="C639" s="28"/>
      <c r="D639" s="28"/>
      <c r="E639" s="29" t="s">
        <v>759</v>
      </c>
      <c r="F639" s="28"/>
      <c r="G639" s="28"/>
      <c r="H639" s="28"/>
      <c r="I639" s="28"/>
    </row>
    <row r="640" spans="1:9">
      <c r="A640" s="22" t="s">
        <v>1136</v>
      </c>
      <c r="B640" s="30"/>
      <c r="C640" s="30"/>
      <c r="D640" s="22" t="s">
        <v>700</v>
      </c>
      <c r="E640" s="30" t="s">
        <v>115</v>
      </c>
      <c r="F640" s="30" t="s">
        <v>111</v>
      </c>
      <c r="G640" s="30" t="s">
        <v>863</v>
      </c>
      <c r="H640" s="30" t="s">
        <v>241</v>
      </c>
      <c r="I640" s="30" t="s">
        <v>114</v>
      </c>
    </row>
    <row r="641" spans="1:9">
      <c r="A641" s="22" t="s">
        <v>1136</v>
      </c>
      <c r="B641" s="30"/>
      <c r="C641" s="30"/>
      <c r="D641" s="22" t="s">
        <v>701</v>
      </c>
      <c r="E641" s="30" t="s">
        <v>120</v>
      </c>
      <c r="F641" s="30" t="s">
        <v>111</v>
      </c>
      <c r="G641" s="30" t="s">
        <v>863</v>
      </c>
      <c r="H641" s="30" t="s">
        <v>241</v>
      </c>
      <c r="I641" s="30" t="s">
        <v>114</v>
      </c>
    </row>
    <row r="642" spans="1:9">
      <c r="A642" s="22" t="s">
        <v>1136</v>
      </c>
      <c r="B642" s="30"/>
      <c r="C642" s="30"/>
      <c r="D642" s="30" t="s">
        <v>702</v>
      </c>
      <c r="E642" s="30" t="s">
        <v>112</v>
      </c>
      <c r="F642" s="30" t="s">
        <v>111</v>
      </c>
      <c r="G642" s="30" t="s">
        <v>113</v>
      </c>
      <c r="H642" s="30" t="s">
        <v>241</v>
      </c>
      <c r="I642" s="30" t="s">
        <v>114</v>
      </c>
    </row>
    <row r="643" spans="1:9">
      <c r="A643" s="22" t="s">
        <v>1136</v>
      </c>
      <c r="C643" s="30"/>
      <c r="D643" s="30" t="s">
        <v>703</v>
      </c>
      <c r="E643" s="30" t="s">
        <v>115</v>
      </c>
      <c r="F643" s="30" t="s">
        <v>111</v>
      </c>
      <c r="G643" s="30" t="s">
        <v>863</v>
      </c>
      <c r="H643" s="30" t="s">
        <v>241</v>
      </c>
      <c r="I643" s="30" t="s">
        <v>204</v>
      </c>
    </row>
    <row r="644" spans="1:9">
      <c r="A644" s="22" t="s">
        <v>1136</v>
      </c>
      <c r="C644" s="30"/>
      <c r="D644" s="30" t="s">
        <v>704</v>
      </c>
      <c r="E644" s="30" t="s">
        <v>115</v>
      </c>
      <c r="F644" s="30" t="s">
        <v>111</v>
      </c>
      <c r="G644" s="30" t="s">
        <v>863</v>
      </c>
      <c r="H644" s="30" t="s">
        <v>241</v>
      </c>
      <c r="I644" s="30" t="s">
        <v>232</v>
      </c>
    </row>
    <row r="645" spans="1:9">
      <c r="A645" s="22" t="s">
        <v>1136</v>
      </c>
      <c r="B645" s="30"/>
      <c r="C645" s="30"/>
      <c r="D645" s="30" t="s">
        <v>705</v>
      </c>
      <c r="E645" s="30" t="s">
        <v>115</v>
      </c>
      <c r="F645" s="30" t="s">
        <v>111</v>
      </c>
      <c r="G645" s="30" t="s">
        <v>863</v>
      </c>
      <c r="H645" s="30" t="s">
        <v>241</v>
      </c>
      <c r="I645" s="30" t="s">
        <v>118</v>
      </c>
    </row>
    <row r="646" spans="1:9">
      <c r="A646" s="22" t="s">
        <v>1136</v>
      </c>
      <c r="B646" s="30"/>
      <c r="C646" s="30"/>
      <c r="D646" s="30" t="s">
        <v>706</v>
      </c>
      <c r="E646" s="30" t="s">
        <v>115</v>
      </c>
      <c r="F646" s="30" t="s">
        <v>111</v>
      </c>
      <c r="G646" s="30" t="s">
        <v>864</v>
      </c>
      <c r="H646" s="30" t="s">
        <v>241</v>
      </c>
      <c r="I646" s="30" t="s">
        <v>118</v>
      </c>
    </row>
    <row r="647" spans="1:9">
      <c r="A647" s="22" t="s">
        <v>1136</v>
      </c>
      <c r="C647" s="30"/>
      <c r="D647" s="30" t="s">
        <v>1071</v>
      </c>
      <c r="E647" s="30" t="s">
        <v>112</v>
      </c>
      <c r="F647" s="30" t="s">
        <v>247</v>
      </c>
      <c r="G647" s="30"/>
      <c r="H647" s="30" t="s">
        <v>241</v>
      </c>
      <c r="I647" s="30" t="s">
        <v>118</v>
      </c>
    </row>
    <row r="648" spans="1:9">
      <c r="A648" s="22" t="s">
        <v>1136</v>
      </c>
      <c r="C648" s="30"/>
      <c r="D648" s="30" t="s">
        <v>1072</v>
      </c>
      <c r="E648" s="30" t="s">
        <v>127</v>
      </c>
      <c r="F648" s="30" t="s">
        <v>247</v>
      </c>
      <c r="G648" s="30"/>
      <c r="H648" s="30" t="s">
        <v>241</v>
      </c>
      <c r="I648" s="30" t="s">
        <v>118</v>
      </c>
    </row>
    <row r="649" spans="1:9">
      <c r="A649" s="22" t="s">
        <v>1136</v>
      </c>
      <c r="B649" s="30"/>
      <c r="C649" s="30"/>
      <c r="D649" s="30" t="s">
        <v>1073</v>
      </c>
      <c r="E649" s="30" t="s">
        <v>112</v>
      </c>
      <c r="F649" s="30" t="s">
        <v>123</v>
      </c>
      <c r="G649" s="30"/>
      <c r="H649" s="30" t="s">
        <v>241</v>
      </c>
      <c r="I649" s="30" t="s">
        <v>240</v>
      </c>
    </row>
    <row r="650" spans="1:9">
      <c r="A650" s="22" t="s">
        <v>1136</v>
      </c>
      <c r="B650" s="30"/>
      <c r="C650" s="30"/>
      <c r="D650" s="30" t="s">
        <v>1074</v>
      </c>
      <c r="E650" s="30" t="s">
        <v>127</v>
      </c>
      <c r="F650" s="30" t="s">
        <v>123</v>
      </c>
      <c r="G650" s="30"/>
      <c r="H650" s="30" t="s">
        <v>241</v>
      </c>
      <c r="I650" s="30" t="s">
        <v>240</v>
      </c>
    </row>
    <row r="651" spans="1:9">
      <c r="A651" s="22" t="s">
        <v>1136</v>
      </c>
      <c r="B651" s="30"/>
      <c r="C651" s="30"/>
      <c r="D651" s="30" t="s">
        <v>707</v>
      </c>
      <c r="E651" s="30" t="s">
        <v>112</v>
      </c>
      <c r="F651" s="30" t="s">
        <v>866</v>
      </c>
      <c r="G651" s="30"/>
      <c r="H651" s="30" t="s">
        <v>241</v>
      </c>
      <c r="I651" s="30" t="s">
        <v>126</v>
      </c>
    </row>
    <row r="652" spans="1:9">
      <c r="A652" s="22" t="s">
        <v>1136</v>
      </c>
      <c r="B652" s="30"/>
      <c r="C652" s="30"/>
      <c r="D652" s="30" t="s">
        <v>708</v>
      </c>
      <c r="E652" s="30" t="s">
        <v>127</v>
      </c>
      <c r="F652" s="30" t="s">
        <v>866</v>
      </c>
      <c r="G652" s="30"/>
      <c r="H652" s="30" t="s">
        <v>241</v>
      </c>
      <c r="I652" s="30" t="s">
        <v>126</v>
      </c>
    </row>
    <row r="653" spans="1:9">
      <c r="A653" s="22" t="s">
        <v>1136</v>
      </c>
      <c r="B653" s="30"/>
      <c r="C653" s="30"/>
      <c r="D653" s="30" t="s">
        <v>1075</v>
      </c>
      <c r="E653" s="30" t="s">
        <v>112</v>
      </c>
      <c r="F653" s="30" t="s">
        <v>866</v>
      </c>
      <c r="G653" s="30"/>
      <c r="H653" s="30" t="s">
        <v>241</v>
      </c>
      <c r="I653" s="30" t="s">
        <v>128</v>
      </c>
    </row>
    <row r="654" spans="1:9">
      <c r="A654" s="22" t="s">
        <v>1136</v>
      </c>
      <c r="B654" s="30"/>
      <c r="C654" s="30"/>
      <c r="D654" s="30" t="s">
        <v>1076</v>
      </c>
      <c r="E654" s="30" t="s">
        <v>127</v>
      </c>
      <c r="F654" s="30" t="s">
        <v>866</v>
      </c>
      <c r="G654" s="30"/>
      <c r="H654" s="30" t="s">
        <v>241</v>
      </c>
      <c r="I654" s="30" t="s">
        <v>128</v>
      </c>
    </row>
    <row r="655" spans="1:9">
      <c r="A655" s="22" t="s">
        <v>1136</v>
      </c>
      <c r="B655" s="30"/>
      <c r="C655" s="30"/>
      <c r="D655" s="22" t="s">
        <v>1077</v>
      </c>
      <c r="E655" s="30" t="s">
        <v>120</v>
      </c>
      <c r="F655" s="30" t="s">
        <v>111</v>
      </c>
      <c r="G655" s="30"/>
      <c r="H655" s="30" t="s">
        <v>241</v>
      </c>
      <c r="I655" s="30" t="s">
        <v>213</v>
      </c>
    </row>
    <row r="656" spans="1:9">
      <c r="A656" s="22" t="s">
        <v>1136</v>
      </c>
      <c r="B656" s="30"/>
      <c r="C656" s="30"/>
      <c r="D656" s="30" t="s">
        <v>709</v>
      </c>
      <c r="E656" s="30" t="s">
        <v>115</v>
      </c>
      <c r="F656" s="30" t="s">
        <v>178</v>
      </c>
      <c r="G656" s="30" t="s">
        <v>1191</v>
      </c>
      <c r="H656" s="30" t="s">
        <v>241</v>
      </c>
      <c r="I656" s="30" t="s">
        <v>114</v>
      </c>
    </row>
    <row r="657" spans="1:9">
      <c r="A657" s="22" t="s">
        <v>1136</v>
      </c>
      <c r="B657" s="30"/>
      <c r="C657" s="30"/>
      <c r="D657" s="30" t="s">
        <v>1078</v>
      </c>
      <c r="E657" s="30" t="s">
        <v>115</v>
      </c>
      <c r="F657" s="30" t="s">
        <v>178</v>
      </c>
      <c r="G657" s="30" t="s">
        <v>1192</v>
      </c>
      <c r="H657" s="30" t="s">
        <v>241</v>
      </c>
      <c r="I657" s="30" t="s">
        <v>114</v>
      </c>
    </row>
    <row r="658" spans="1:9">
      <c r="A658" s="22" t="s">
        <v>1136</v>
      </c>
      <c r="B658" s="30"/>
      <c r="C658" s="30"/>
      <c r="D658" s="30" t="s">
        <v>1176</v>
      </c>
      <c r="E658" s="30" t="s">
        <v>112</v>
      </c>
      <c r="F658" s="30" t="s">
        <v>178</v>
      </c>
      <c r="G658" s="30" t="s">
        <v>571</v>
      </c>
      <c r="H658" s="30" t="s">
        <v>241</v>
      </c>
      <c r="I658" s="30" t="s">
        <v>572</v>
      </c>
    </row>
    <row r="659" spans="1:9">
      <c r="A659" s="22" t="s">
        <v>1136</v>
      </c>
      <c r="B659" s="30"/>
      <c r="C659" s="30"/>
      <c r="D659" s="30" t="s">
        <v>710</v>
      </c>
      <c r="E659" s="30" t="s">
        <v>115</v>
      </c>
      <c r="F659" s="30" t="s">
        <v>179</v>
      </c>
      <c r="G659" s="30" t="s">
        <v>1193</v>
      </c>
      <c r="H659" s="30" t="s">
        <v>241</v>
      </c>
      <c r="I659" s="30" t="s">
        <v>114</v>
      </c>
    </row>
    <row r="660" spans="1:9">
      <c r="A660" s="22" t="s">
        <v>1136</v>
      </c>
      <c r="B660" s="30"/>
      <c r="C660" s="30"/>
      <c r="D660" s="30" t="s">
        <v>1079</v>
      </c>
      <c r="E660" s="30" t="s">
        <v>115</v>
      </c>
      <c r="F660" s="30" t="s">
        <v>179</v>
      </c>
      <c r="G660" s="30" t="s">
        <v>1194</v>
      </c>
      <c r="H660" s="30" t="s">
        <v>241</v>
      </c>
      <c r="I660" s="30" t="s">
        <v>114</v>
      </c>
    </row>
    <row r="661" spans="1:9">
      <c r="A661" s="22" t="s">
        <v>1136</v>
      </c>
      <c r="B661" s="30"/>
      <c r="C661" s="30"/>
      <c r="D661" s="30" t="s">
        <v>1080</v>
      </c>
      <c r="E661" s="30" t="s">
        <v>112</v>
      </c>
      <c r="F661" s="30" t="s">
        <v>179</v>
      </c>
      <c r="G661" s="30" t="s">
        <v>571</v>
      </c>
      <c r="H661" s="30" t="s">
        <v>241</v>
      </c>
      <c r="I661" s="30" t="s">
        <v>572</v>
      </c>
    </row>
    <row r="662" spans="1:9">
      <c r="A662" s="22" t="s">
        <v>1136</v>
      </c>
      <c r="B662" s="30"/>
      <c r="C662" s="30"/>
      <c r="D662" s="30" t="s">
        <v>1177</v>
      </c>
      <c r="E662" s="30" t="s">
        <v>115</v>
      </c>
      <c r="F662" s="30" t="s">
        <v>169</v>
      </c>
      <c r="G662" s="30" t="s">
        <v>1195</v>
      </c>
      <c r="H662" s="30" t="s">
        <v>241</v>
      </c>
      <c r="I662" s="30" t="s">
        <v>114</v>
      </c>
    </row>
    <row r="663" spans="1:9">
      <c r="A663" s="22" t="s">
        <v>1136</v>
      </c>
      <c r="B663" s="30"/>
      <c r="C663" s="30"/>
      <c r="D663" s="30" t="s">
        <v>1081</v>
      </c>
      <c r="E663" s="30" t="s">
        <v>115</v>
      </c>
      <c r="F663" s="30" t="s">
        <v>169</v>
      </c>
      <c r="G663" s="30" t="s">
        <v>1196</v>
      </c>
      <c r="H663" s="30" t="s">
        <v>241</v>
      </c>
      <c r="I663" s="30" t="s">
        <v>114</v>
      </c>
    </row>
    <row r="664" spans="1:9">
      <c r="A664" s="22" t="s">
        <v>1136</v>
      </c>
      <c r="B664" s="30"/>
      <c r="C664" s="30"/>
      <c r="D664" s="30" t="s">
        <v>1082</v>
      </c>
      <c r="E664" s="30" t="s">
        <v>112</v>
      </c>
      <c r="F664" s="30" t="s">
        <v>169</v>
      </c>
      <c r="G664" s="30" t="s">
        <v>571</v>
      </c>
      <c r="H664" s="30" t="s">
        <v>241</v>
      </c>
      <c r="I664" s="30" t="s">
        <v>572</v>
      </c>
    </row>
    <row r="665" spans="1:9">
      <c r="A665" s="22" t="s">
        <v>1136</v>
      </c>
      <c r="B665" s="30"/>
      <c r="C665" s="30"/>
      <c r="D665" s="30" t="s">
        <v>711</v>
      </c>
      <c r="E665" s="30" t="s">
        <v>115</v>
      </c>
      <c r="F665" s="30" t="s">
        <v>180</v>
      </c>
      <c r="G665" s="30" t="s">
        <v>1202</v>
      </c>
      <c r="H665" s="30" t="s">
        <v>241</v>
      </c>
      <c r="I665" s="30" t="s">
        <v>114</v>
      </c>
    </row>
    <row r="666" spans="1:9">
      <c r="A666" s="22" t="s">
        <v>1136</v>
      </c>
      <c r="B666" s="30"/>
      <c r="C666" s="30"/>
      <c r="D666" s="30" t="s">
        <v>1083</v>
      </c>
      <c r="E666" s="30" t="s">
        <v>115</v>
      </c>
      <c r="F666" s="30" t="s">
        <v>180</v>
      </c>
      <c r="G666" s="30" t="s">
        <v>1203</v>
      </c>
      <c r="H666" s="30" t="s">
        <v>241</v>
      </c>
      <c r="I666" s="30" t="s">
        <v>114</v>
      </c>
    </row>
    <row r="667" spans="1:9">
      <c r="A667" s="22" t="s">
        <v>1136</v>
      </c>
      <c r="B667" s="30"/>
      <c r="C667" s="30"/>
      <c r="D667" s="30" t="s">
        <v>1084</v>
      </c>
      <c r="E667" s="30" t="s">
        <v>112</v>
      </c>
      <c r="F667" s="30" t="s">
        <v>180</v>
      </c>
      <c r="G667" s="30" t="s">
        <v>571</v>
      </c>
      <c r="H667" s="30" t="s">
        <v>241</v>
      </c>
      <c r="I667" s="30" t="s">
        <v>572</v>
      </c>
    </row>
    <row r="668" spans="1:9">
      <c r="A668" s="22" t="s">
        <v>1136</v>
      </c>
      <c r="B668" s="30"/>
      <c r="C668" s="30"/>
      <c r="D668" s="30" t="s">
        <v>712</v>
      </c>
      <c r="E668" s="30" t="s">
        <v>115</v>
      </c>
      <c r="F668" s="30" t="s">
        <v>181</v>
      </c>
      <c r="G668" s="30" t="s">
        <v>1197</v>
      </c>
      <c r="H668" s="30" t="s">
        <v>241</v>
      </c>
      <c r="I668" s="30" t="s">
        <v>114</v>
      </c>
    </row>
    <row r="669" spans="1:9">
      <c r="A669" s="22" t="s">
        <v>1136</v>
      </c>
      <c r="B669" s="30"/>
      <c r="C669" s="30"/>
      <c r="D669" s="30" t="s">
        <v>1085</v>
      </c>
      <c r="E669" s="30" t="s">
        <v>115</v>
      </c>
      <c r="F669" s="30" t="s">
        <v>181</v>
      </c>
      <c r="G669" s="30" t="s">
        <v>1198</v>
      </c>
      <c r="H669" s="30" t="s">
        <v>241</v>
      </c>
      <c r="I669" s="30" t="s">
        <v>114</v>
      </c>
    </row>
    <row r="670" spans="1:9">
      <c r="A670" s="22" t="s">
        <v>1136</v>
      </c>
      <c r="B670" s="30"/>
      <c r="C670" s="30"/>
      <c r="D670" s="30" t="s">
        <v>1086</v>
      </c>
      <c r="E670" s="30" t="s">
        <v>112</v>
      </c>
      <c r="F670" s="30" t="s">
        <v>181</v>
      </c>
      <c r="G670" s="30" t="s">
        <v>571</v>
      </c>
      <c r="H670" s="30" t="s">
        <v>241</v>
      </c>
      <c r="I670" s="30" t="s">
        <v>572</v>
      </c>
    </row>
    <row r="671" spans="1:9">
      <c r="A671" s="22" t="s">
        <v>1136</v>
      </c>
      <c r="B671" s="30"/>
      <c r="C671" s="30"/>
      <c r="D671" s="30" t="s">
        <v>713</v>
      </c>
      <c r="E671" s="30" t="s">
        <v>115</v>
      </c>
      <c r="F671" s="30" t="s">
        <v>182</v>
      </c>
      <c r="G671" s="30" t="s">
        <v>1199</v>
      </c>
      <c r="H671" s="30" t="s">
        <v>241</v>
      </c>
      <c r="I671" s="30" t="s">
        <v>114</v>
      </c>
    </row>
    <row r="672" spans="1:9">
      <c r="A672" s="22" t="s">
        <v>1136</v>
      </c>
      <c r="B672" s="30"/>
      <c r="C672" s="30"/>
      <c r="D672" s="30" t="s">
        <v>1087</v>
      </c>
      <c r="E672" s="30" t="s">
        <v>115</v>
      </c>
      <c r="F672" s="30" t="s">
        <v>182</v>
      </c>
      <c r="G672" s="30" t="s">
        <v>1200</v>
      </c>
      <c r="H672" s="30" t="s">
        <v>241</v>
      </c>
      <c r="I672" s="30" t="s">
        <v>114</v>
      </c>
    </row>
    <row r="673" spans="1:9">
      <c r="A673" s="22" t="s">
        <v>1136</v>
      </c>
      <c r="B673" s="30"/>
      <c r="C673" s="30"/>
      <c r="D673" s="30" t="s">
        <v>1088</v>
      </c>
      <c r="E673" s="30" t="s">
        <v>112</v>
      </c>
      <c r="F673" s="30" t="s">
        <v>182</v>
      </c>
      <c r="G673" s="30" t="s">
        <v>571</v>
      </c>
      <c r="H673" s="30" t="s">
        <v>241</v>
      </c>
      <c r="I673" s="30" t="s">
        <v>572</v>
      </c>
    </row>
    <row r="674" spans="1:9">
      <c r="A674" s="22" t="s">
        <v>1136</v>
      </c>
      <c r="B674" s="30"/>
      <c r="C674" s="30"/>
      <c r="D674" s="30" t="s">
        <v>714</v>
      </c>
      <c r="E674" s="30" t="s">
        <v>115</v>
      </c>
      <c r="F674" s="30" t="s">
        <v>183</v>
      </c>
      <c r="G674" s="30" t="s">
        <v>1204</v>
      </c>
      <c r="H674" s="30" t="s">
        <v>241</v>
      </c>
      <c r="I674" s="30" t="s">
        <v>114</v>
      </c>
    </row>
    <row r="675" spans="1:9">
      <c r="A675" s="22" t="s">
        <v>1136</v>
      </c>
      <c r="B675" s="30"/>
      <c r="C675" s="30"/>
      <c r="D675" s="30" t="s">
        <v>1089</v>
      </c>
      <c r="E675" s="30" t="s">
        <v>115</v>
      </c>
      <c r="F675" s="30" t="s">
        <v>183</v>
      </c>
      <c r="G675" s="30" t="s">
        <v>1205</v>
      </c>
      <c r="H675" s="30" t="s">
        <v>241</v>
      </c>
      <c r="I675" s="30" t="s">
        <v>114</v>
      </c>
    </row>
    <row r="676" spans="1:9">
      <c r="A676" s="22" t="s">
        <v>1136</v>
      </c>
      <c r="B676" s="30"/>
      <c r="C676" s="30"/>
      <c r="D676" s="30" t="s">
        <v>1090</v>
      </c>
      <c r="E676" s="30" t="s">
        <v>112</v>
      </c>
      <c r="F676" s="30" t="s">
        <v>183</v>
      </c>
      <c r="G676" s="30" t="s">
        <v>571</v>
      </c>
      <c r="H676" s="30" t="s">
        <v>241</v>
      </c>
      <c r="I676" s="30" t="s">
        <v>572</v>
      </c>
    </row>
    <row r="677" spans="1:9">
      <c r="A677" s="22" t="s">
        <v>1136</v>
      </c>
      <c r="B677" s="30"/>
      <c r="C677" s="30"/>
      <c r="D677" s="30" t="s">
        <v>715</v>
      </c>
      <c r="E677" s="30" t="s">
        <v>115</v>
      </c>
      <c r="F677" s="30" t="s">
        <v>184</v>
      </c>
      <c r="G677" s="30" t="s">
        <v>1189</v>
      </c>
      <c r="H677" s="30" t="s">
        <v>241</v>
      </c>
      <c r="I677" s="30" t="s">
        <v>114</v>
      </c>
    </row>
    <row r="678" spans="1:9">
      <c r="A678" s="22" t="s">
        <v>1136</v>
      </c>
      <c r="B678" s="30"/>
      <c r="C678" s="30"/>
      <c r="D678" s="30" t="s">
        <v>1091</v>
      </c>
      <c r="E678" s="30" t="s">
        <v>115</v>
      </c>
      <c r="F678" s="30" t="s">
        <v>184</v>
      </c>
      <c r="G678" s="30" t="s">
        <v>1190</v>
      </c>
      <c r="H678" s="30" t="s">
        <v>241</v>
      </c>
      <c r="I678" s="30" t="s">
        <v>114</v>
      </c>
    </row>
    <row r="679" spans="1:9">
      <c r="A679" s="22" t="s">
        <v>1136</v>
      </c>
      <c r="B679" s="30"/>
      <c r="C679" s="30"/>
      <c r="D679" s="30" t="s">
        <v>1178</v>
      </c>
      <c r="E679" s="30" t="s">
        <v>112</v>
      </c>
      <c r="F679" s="30" t="s">
        <v>184</v>
      </c>
      <c r="G679" s="30" t="s">
        <v>571</v>
      </c>
      <c r="H679" s="30" t="s">
        <v>241</v>
      </c>
      <c r="I679" s="30" t="s">
        <v>572</v>
      </c>
    </row>
    <row r="680" spans="1:9">
      <c r="A680" s="22" t="s">
        <v>1137</v>
      </c>
      <c r="B680" s="30"/>
      <c r="C680" s="30"/>
      <c r="D680" s="30" t="s">
        <v>836</v>
      </c>
      <c r="E680" s="30" t="s">
        <v>822</v>
      </c>
      <c r="F680" s="30" t="s">
        <v>111</v>
      </c>
      <c r="G680" s="30" t="s">
        <v>865</v>
      </c>
      <c r="H680" s="30" t="s">
        <v>241</v>
      </c>
      <c r="I680" s="30" t="s">
        <v>823</v>
      </c>
    </row>
    <row r="681" spans="1:9">
      <c r="A681" s="22" t="s">
        <v>1137</v>
      </c>
      <c r="B681" s="30"/>
      <c r="C681" s="30"/>
      <c r="D681" s="30" t="s">
        <v>837</v>
      </c>
      <c r="E681" s="30" t="s">
        <v>822</v>
      </c>
      <c r="F681" s="30" t="s">
        <v>111</v>
      </c>
      <c r="G681" s="30" t="s">
        <v>865</v>
      </c>
      <c r="H681" s="30" t="s">
        <v>241</v>
      </c>
      <c r="I681" s="30" t="s">
        <v>232</v>
      </c>
    </row>
    <row r="682" spans="1:9">
      <c r="A682" s="28"/>
      <c r="B682" s="28"/>
      <c r="C682" s="28"/>
      <c r="D682" s="28"/>
      <c r="E682" s="29" t="s">
        <v>760</v>
      </c>
      <c r="F682" s="28"/>
      <c r="G682" s="28"/>
      <c r="H682" s="28"/>
      <c r="I682" s="28"/>
    </row>
    <row r="683" spans="1:9">
      <c r="A683" s="22" t="s">
        <v>1136</v>
      </c>
      <c r="B683" s="30"/>
      <c r="C683" s="30"/>
      <c r="D683" s="22" t="s">
        <v>716</v>
      </c>
      <c r="E683" s="30" t="s">
        <v>115</v>
      </c>
      <c r="F683" s="30" t="s">
        <v>111</v>
      </c>
      <c r="G683" s="30" t="s">
        <v>863</v>
      </c>
      <c r="H683" s="30" t="s">
        <v>241</v>
      </c>
      <c r="I683" s="30" t="s">
        <v>114</v>
      </c>
    </row>
    <row r="684" spans="1:9">
      <c r="A684" s="22" t="s">
        <v>1136</v>
      </c>
      <c r="B684" s="30"/>
      <c r="C684" s="30"/>
      <c r="D684" s="22" t="s">
        <v>717</v>
      </c>
      <c r="E684" s="30" t="s">
        <v>120</v>
      </c>
      <c r="F684" s="30" t="s">
        <v>111</v>
      </c>
      <c r="G684" s="30" t="s">
        <v>863</v>
      </c>
      <c r="H684" s="30" t="s">
        <v>241</v>
      </c>
      <c r="I684" s="30" t="s">
        <v>114</v>
      </c>
    </row>
    <row r="685" spans="1:9">
      <c r="A685" s="22" t="s">
        <v>1136</v>
      </c>
      <c r="B685" s="30"/>
      <c r="C685" s="30"/>
      <c r="D685" s="30" t="s">
        <v>718</v>
      </c>
      <c r="E685" s="30" t="s">
        <v>112</v>
      </c>
      <c r="F685" s="30" t="s">
        <v>111</v>
      </c>
      <c r="G685" s="30" t="s">
        <v>113</v>
      </c>
      <c r="H685" s="30" t="s">
        <v>241</v>
      </c>
      <c r="I685" s="30" t="s">
        <v>114</v>
      </c>
    </row>
    <row r="686" spans="1:9">
      <c r="A686" s="22" t="s">
        <v>1136</v>
      </c>
      <c r="C686" s="30"/>
      <c r="D686" s="30" t="s">
        <v>719</v>
      </c>
      <c r="E686" s="30" t="s">
        <v>115</v>
      </c>
      <c r="F686" s="30" t="s">
        <v>111</v>
      </c>
      <c r="G686" s="30" t="s">
        <v>863</v>
      </c>
      <c r="H686" s="30" t="s">
        <v>241</v>
      </c>
      <c r="I686" s="30" t="s">
        <v>204</v>
      </c>
    </row>
    <row r="687" spans="1:9">
      <c r="A687" s="22" t="s">
        <v>1136</v>
      </c>
      <c r="C687" s="30"/>
      <c r="D687" s="30" t="s">
        <v>720</v>
      </c>
      <c r="E687" s="30" t="s">
        <v>115</v>
      </c>
      <c r="F687" s="30" t="s">
        <v>111</v>
      </c>
      <c r="G687" s="30" t="s">
        <v>863</v>
      </c>
      <c r="H687" s="30" t="s">
        <v>241</v>
      </c>
      <c r="I687" s="30" t="s">
        <v>232</v>
      </c>
    </row>
    <row r="688" spans="1:9">
      <c r="A688" s="22" t="s">
        <v>1136</v>
      </c>
      <c r="B688" s="30"/>
      <c r="C688" s="30"/>
      <c r="D688" s="30" t="s">
        <v>721</v>
      </c>
      <c r="E688" s="30" t="s">
        <v>115</v>
      </c>
      <c r="F688" s="30" t="s">
        <v>111</v>
      </c>
      <c r="G688" s="30" t="s">
        <v>863</v>
      </c>
      <c r="H688" s="30" t="s">
        <v>241</v>
      </c>
      <c r="I688" s="30" t="s">
        <v>118</v>
      </c>
    </row>
    <row r="689" spans="1:9">
      <c r="A689" s="22" t="s">
        <v>1136</v>
      </c>
      <c r="B689" s="30"/>
      <c r="C689" s="30"/>
      <c r="D689" s="30" t="s">
        <v>722</v>
      </c>
      <c r="E689" s="30" t="s">
        <v>115</v>
      </c>
      <c r="F689" s="30" t="s">
        <v>111</v>
      </c>
      <c r="G689" s="30" t="s">
        <v>864</v>
      </c>
      <c r="H689" s="30" t="s">
        <v>241</v>
      </c>
      <c r="I689" s="30" t="s">
        <v>118</v>
      </c>
    </row>
    <row r="690" spans="1:9">
      <c r="A690" s="22" t="s">
        <v>1136</v>
      </c>
      <c r="C690" s="30"/>
      <c r="D690" s="30" t="s">
        <v>1092</v>
      </c>
      <c r="E690" s="30" t="s">
        <v>112</v>
      </c>
      <c r="F690" s="30" t="s">
        <v>247</v>
      </c>
      <c r="G690" s="30"/>
      <c r="H690" s="30" t="s">
        <v>241</v>
      </c>
      <c r="I690" s="30" t="s">
        <v>118</v>
      </c>
    </row>
    <row r="691" spans="1:9">
      <c r="A691" s="22" t="s">
        <v>1136</v>
      </c>
      <c r="C691" s="30"/>
      <c r="D691" s="30" t="s">
        <v>1093</v>
      </c>
      <c r="E691" s="30" t="s">
        <v>127</v>
      </c>
      <c r="F691" s="30" t="s">
        <v>247</v>
      </c>
      <c r="G691" s="30"/>
      <c r="H691" s="30" t="s">
        <v>241</v>
      </c>
      <c r="I691" s="30" t="s">
        <v>118</v>
      </c>
    </row>
    <row r="692" spans="1:9">
      <c r="A692" s="22" t="s">
        <v>1136</v>
      </c>
      <c r="B692" s="30"/>
      <c r="C692" s="30"/>
      <c r="D692" s="30" t="s">
        <v>1094</v>
      </c>
      <c r="E692" s="30" t="s">
        <v>112</v>
      </c>
      <c r="F692" s="30" t="s">
        <v>123</v>
      </c>
      <c r="G692" s="30"/>
      <c r="H692" s="30" t="s">
        <v>241</v>
      </c>
      <c r="I692" s="30" t="s">
        <v>240</v>
      </c>
    </row>
    <row r="693" spans="1:9">
      <c r="A693" s="22" t="s">
        <v>1136</v>
      </c>
      <c r="B693" s="30"/>
      <c r="C693" s="30"/>
      <c r="D693" s="30" t="s">
        <v>1095</v>
      </c>
      <c r="E693" s="30" t="s">
        <v>127</v>
      </c>
      <c r="F693" s="30" t="s">
        <v>123</v>
      </c>
      <c r="G693" s="30"/>
      <c r="H693" s="30" t="s">
        <v>241</v>
      </c>
      <c r="I693" s="30" t="s">
        <v>240</v>
      </c>
    </row>
    <row r="694" spans="1:9">
      <c r="A694" s="22" t="s">
        <v>1136</v>
      </c>
      <c r="B694" s="30"/>
      <c r="C694" s="30"/>
      <c r="D694" s="30" t="s">
        <v>723</v>
      </c>
      <c r="E694" s="30" t="s">
        <v>112</v>
      </c>
      <c r="F694" s="30" t="s">
        <v>866</v>
      </c>
      <c r="G694" s="30"/>
      <c r="H694" s="30" t="s">
        <v>241</v>
      </c>
      <c r="I694" s="30" t="s">
        <v>126</v>
      </c>
    </row>
    <row r="695" spans="1:9">
      <c r="A695" s="22" t="s">
        <v>1136</v>
      </c>
      <c r="B695" s="30"/>
      <c r="C695" s="30"/>
      <c r="D695" s="30" t="s">
        <v>724</v>
      </c>
      <c r="E695" s="30" t="s">
        <v>127</v>
      </c>
      <c r="F695" s="30" t="s">
        <v>866</v>
      </c>
      <c r="G695" s="30"/>
      <c r="H695" s="30" t="s">
        <v>241</v>
      </c>
      <c r="I695" s="30" t="s">
        <v>126</v>
      </c>
    </row>
    <row r="696" spans="1:9">
      <c r="A696" s="22" t="s">
        <v>1136</v>
      </c>
      <c r="B696" s="30"/>
      <c r="C696" s="30"/>
      <c r="D696" s="30" t="s">
        <v>1096</v>
      </c>
      <c r="E696" s="30" t="s">
        <v>112</v>
      </c>
      <c r="F696" s="30" t="s">
        <v>866</v>
      </c>
      <c r="G696" s="30"/>
      <c r="H696" s="30" t="s">
        <v>241</v>
      </c>
      <c r="I696" s="30" t="s">
        <v>128</v>
      </c>
    </row>
    <row r="697" spans="1:9">
      <c r="A697" s="22" t="s">
        <v>1136</v>
      </c>
      <c r="B697" s="30"/>
      <c r="C697" s="30"/>
      <c r="D697" s="30" t="s">
        <v>1097</v>
      </c>
      <c r="E697" s="30" t="s">
        <v>127</v>
      </c>
      <c r="F697" s="30" t="s">
        <v>866</v>
      </c>
      <c r="G697" s="30"/>
      <c r="H697" s="30" t="s">
        <v>241</v>
      </c>
      <c r="I697" s="30" t="s">
        <v>128</v>
      </c>
    </row>
    <row r="698" spans="1:9">
      <c r="A698" s="22" t="s">
        <v>1136</v>
      </c>
      <c r="B698" s="30"/>
      <c r="C698" s="30"/>
      <c r="D698" s="22" t="s">
        <v>1098</v>
      </c>
      <c r="E698" s="30" t="s">
        <v>120</v>
      </c>
      <c r="F698" s="30" t="s">
        <v>111</v>
      </c>
      <c r="G698" s="30"/>
      <c r="H698" s="30" t="s">
        <v>241</v>
      </c>
      <c r="I698" s="30" t="s">
        <v>213</v>
      </c>
    </row>
    <row r="699" spans="1:9">
      <c r="A699" s="22" t="s">
        <v>1136</v>
      </c>
      <c r="B699" s="30"/>
      <c r="C699" s="30"/>
      <c r="D699" s="30" t="s">
        <v>725</v>
      </c>
      <c r="E699" s="30" t="s">
        <v>115</v>
      </c>
      <c r="F699" s="30" t="s">
        <v>178</v>
      </c>
      <c r="G699" s="30" t="s">
        <v>1191</v>
      </c>
      <c r="H699" s="30" t="s">
        <v>241</v>
      </c>
      <c r="I699" s="30" t="s">
        <v>114</v>
      </c>
    </row>
    <row r="700" spans="1:9">
      <c r="A700" s="22" t="s">
        <v>1136</v>
      </c>
      <c r="B700" s="30"/>
      <c r="C700" s="30"/>
      <c r="D700" s="30" t="s">
        <v>1099</v>
      </c>
      <c r="E700" s="30" t="s">
        <v>115</v>
      </c>
      <c r="F700" s="30" t="s">
        <v>178</v>
      </c>
      <c r="G700" s="30" t="s">
        <v>1192</v>
      </c>
      <c r="H700" s="30" t="s">
        <v>241</v>
      </c>
      <c r="I700" s="30" t="s">
        <v>114</v>
      </c>
    </row>
    <row r="701" spans="1:9">
      <c r="A701" s="22" t="s">
        <v>1136</v>
      </c>
      <c r="B701" s="30"/>
      <c r="C701" s="30"/>
      <c r="D701" s="30" t="s">
        <v>1179</v>
      </c>
      <c r="E701" s="30" t="s">
        <v>112</v>
      </c>
      <c r="F701" s="30" t="s">
        <v>178</v>
      </c>
      <c r="G701" s="30" t="s">
        <v>571</v>
      </c>
      <c r="H701" s="30" t="s">
        <v>241</v>
      </c>
      <c r="I701" s="30" t="s">
        <v>572</v>
      </c>
    </row>
    <row r="702" spans="1:9">
      <c r="A702" s="22" t="s">
        <v>1136</v>
      </c>
      <c r="B702" s="30"/>
      <c r="C702" s="30"/>
      <c r="D702" s="30" t="s">
        <v>726</v>
      </c>
      <c r="E702" s="30" t="s">
        <v>115</v>
      </c>
      <c r="F702" s="30" t="s">
        <v>179</v>
      </c>
      <c r="G702" s="30" t="s">
        <v>1193</v>
      </c>
      <c r="H702" s="30" t="s">
        <v>241</v>
      </c>
      <c r="I702" s="30" t="s">
        <v>114</v>
      </c>
    </row>
    <row r="703" spans="1:9">
      <c r="A703" s="22" t="s">
        <v>1136</v>
      </c>
      <c r="B703" s="30"/>
      <c r="C703" s="30"/>
      <c r="D703" s="30" t="s">
        <v>1100</v>
      </c>
      <c r="E703" s="30" t="s">
        <v>115</v>
      </c>
      <c r="F703" s="30" t="s">
        <v>179</v>
      </c>
      <c r="G703" s="30" t="s">
        <v>1194</v>
      </c>
      <c r="H703" s="30" t="s">
        <v>241</v>
      </c>
      <c r="I703" s="30" t="s">
        <v>114</v>
      </c>
    </row>
    <row r="704" spans="1:9">
      <c r="A704" s="22" t="s">
        <v>1136</v>
      </c>
      <c r="B704" s="30"/>
      <c r="C704" s="30"/>
      <c r="D704" s="30" t="s">
        <v>1101</v>
      </c>
      <c r="E704" s="30" t="s">
        <v>112</v>
      </c>
      <c r="F704" s="30" t="s">
        <v>179</v>
      </c>
      <c r="G704" s="30" t="s">
        <v>571</v>
      </c>
      <c r="H704" s="30" t="s">
        <v>241</v>
      </c>
      <c r="I704" s="30" t="s">
        <v>572</v>
      </c>
    </row>
    <row r="705" spans="1:9">
      <c r="A705" s="22" t="s">
        <v>1136</v>
      </c>
      <c r="B705" s="30"/>
      <c r="C705" s="30"/>
      <c r="D705" s="30" t="s">
        <v>1180</v>
      </c>
      <c r="E705" s="30" t="s">
        <v>115</v>
      </c>
      <c r="F705" s="30" t="s">
        <v>169</v>
      </c>
      <c r="G705" s="30" t="s">
        <v>1195</v>
      </c>
      <c r="H705" s="30" t="s">
        <v>241</v>
      </c>
      <c r="I705" s="30" t="s">
        <v>114</v>
      </c>
    </row>
    <row r="706" spans="1:9">
      <c r="A706" s="22" t="s">
        <v>1136</v>
      </c>
      <c r="B706" s="30"/>
      <c r="C706" s="30"/>
      <c r="D706" s="30" t="s">
        <v>1102</v>
      </c>
      <c r="E706" s="30" t="s">
        <v>115</v>
      </c>
      <c r="F706" s="30" t="s">
        <v>169</v>
      </c>
      <c r="G706" s="30" t="s">
        <v>1196</v>
      </c>
      <c r="H706" s="30" t="s">
        <v>241</v>
      </c>
      <c r="I706" s="30" t="s">
        <v>114</v>
      </c>
    </row>
    <row r="707" spans="1:9">
      <c r="A707" s="22" t="s">
        <v>1136</v>
      </c>
      <c r="B707" s="30"/>
      <c r="C707" s="30"/>
      <c r="D707" s="30" t="s">
        <v>1103</v>
      </c>
      <c r="E707" s="30" t="s">
        <v>112</v>
      </c>
      <c r="F707" s="30" t="s">
        <v>169</v>
      </c>
      <c r="G707" s="30" t="s">
        <v>571</v>
      </c>
      <c r="H707" s="30" t="s">
        <v>241</v>
      </c>
      <c r="I707" s="30" t="s">
        <v>572</v>
      </c>
    </row>
    <row r="708" spans="1:9">
      <c r="A708" s="22" t="s">
        <v>1136</v>
      </c>
      <c r="B708" s="30"/>
      <c r="C708" s="30"/>
      <c r="D708" s="30" t="s">
        <v>727</v>
      </c>
      <c r="E708" s="30" t="s">
        <v>115</v>
      </c>
      <c r="F708" s="30" t="s">
        <v>180</v>
      </c>
      <c r="G708" s="30" t="s">
        <v>1202</v>
      </c>
      <c r="H708" s="30" t="s">
        <v>241</v>
      </c>
      <c r="I708" s="30" t="s">
        <v>114</v>
      </c>
    </row>
    <row r="709" spans="1:9">
      <c r="A709" s="22" t="s">
        <v>1136</v>
      </c>
      <c r="B709" s="30"/>
      <c r="C709" s="30"/>
      <c r="D709" s="30" t="s">
        <v>1104</v>
      </c>
      <c r="E709" s="30" t="s">
        <v>115</v>
      </c>
      <c r="F709" s="30" t="s">
        <v>180</v>
      </c>
      <c r="G709" s="30" t="s">
        <v>1203</v>
      </c>
      <c r="H709" s="30" t="s">
        <v>241</v>
      </c>
      <c r="I709" s="30" t="s">
        <v>114</v>
      </c>
    </row>
    <row r="710" spans="1:9">
      <c r="A710" s="22" t="s">
        <v>1136</v>
      </c>
      <c r="B710" s="30"/>
      <c r="C710" s="30"/>
      <c r="D710" s="30" t="s">
        <v>1105</v>
      </c>
      <c r="E710" s="30" t="s">
        <v>112</v>
      </c>
      <c r="F710" s="30" t="s">
        <v>180</v>
      </c>
      <c r="G710" s="30" t="s">
        <v>571</v>
      </c>
      <c r="H710" s="30" t="s">
        <v>241</v>
      </c>
      <c r="I710" s="30" t="s">
        <v>572</v>
      </c>
    </row>
    <row r="711" spans="1:9">
      <c r="A711" s="22" t="s">
        <v>1136</v>
      </c>
      <c r="B711" s="30"/>
      <c r="C711" s="30"/>
      <c r="D711" s="30" t="s">
        <v>728</v>
      </c>
      <c r="E711" s="30" t="s">
        <v>115</v>
      </c>
      <c r="F711" s="30" t="s">
        <v>181</v>
      </c>
      <c r="G711" s="30" t="s">
        <v>1197</v>
      </c>
      <c r="H711" s="30" t="s">
        <v>241</v>
      </c>
      <c r="I711" s="30" t="s">
        <v>114</v>
      </c>
    </row>
    <row r="712" spans="1:9">
      <c r="A712" s="22" t="s">
        <v>1136</v>
      </c>
      <c r="B712" s="30"/>
      <c r="C712" s="30"/>
      <c r="D712" s="30" t="s">
        <v>1106</v>
      </c>
      <c r="E712" s="30" t="s">
        <v>115</v>
      </c>
      <c r="F712" s="30" t="s">
        <v>181</v>
      </c>
      <c r="G712" s="30" t="s">
        <v>1198</v>
      </c>
      <c r="H712" s="30" t="s">
        <v>241</v>
      </c>
      <c r="I712" s="30" t="s">
        <v>114</v>
      </c>
    </row>
    <row r="713" spans="1:9">
      <c r="A713" s="22" t="s">
        <v>1136</v>
      </c>
      <c r="B713" s="30"/>
      <c r="C713" s="30"/>
      <c r="D713" s="30" t="s">
        <v>1107</v>
      </c>
      <c r="E713" s="30" t="s">
        <v>112</v>
      </c>
      <c r="F713" s="30" t="s">
        <v>181</v>
      </c>
      <c r="G713" s="30" t="s">
        <v>571</v>
      </c>
      <c r="H713" s="30" t="s">
        <v>241</v>
      </c>
      <c r="I713" s="30" t="s">
        <v>572</v>
      </c>
    </row>
    <row r="714" spans="1:9">
      <c r="A714" s="22" t="s">
        <v>1136</v>
      </c>
      <c r="B714" s="30"/>
      <c r="C714" s="30"/>
      <c r="D714" s="30" t="s">
        <v>729</v>
      </c>
      <c r="E714" s="30" t="s">
        <v>115</v>
      </c>
      <c r="F714" s="30" t="s">
        <v>182</v>
      </c>
      <c r="G714" s="30" t="s">
        <v>1199</v>
      </c>
      <c r="H714" s="30" t="s">
        <v>241</v>
      </c>
      <c r="I714" s="30" t="s">
        <v>114</v>
      </c>
    </row>
    <row r="715" spans="1:9">
      <c r="A715" s="22" t="s">
        <v>1136</v>
      </c>
      <c r="B715" s="30"/>
      <c r="C715" s="30"/>
      <c r="D715" s="30" t="s">
        <v>1108</v>
      </c>
      <c r="E715" s="30" t="s">
        <v>115</v>
      </c>
      <c r="F715" s="30" t="s">
        <v>182</v>
      </c>
      <c r="G715" s="30" t="s">
        <v>1200</v>
      </c>
      <c r="H715" s="30" t="s">
        <v>241</v>
      </c>
      <c r="I715" s="30" t="s">
        <v>114</v>
      </c>
    </row>
    <row r="716" spans="1:9">
      <c r="A716" s="22" t="s">
        <v>1136</v>
      </c>
      <c r="B716" s="30"/>
      <c r="C716" s="30"/>
      <c r="D716" s="30" t="s">
        <v>1109</v>
      </c>
      <c r="E716" s="30" t="s">
        <v>112</v>
      </c>
      <c r="F716" s="30" t="s">
        <v>182</v>
      </c>
      <c r="G716" s="30" t="s">
        <v>571</v>
      </c>
      <c r="H716" s="30" t="s">
        <v>241</v>
      </c>
      <c r="I716" s="30" t="s">
        <v>572</v>
      </c>
    </row>
    <row r="717" spans="1:9">
      <c r="A717" s="22" t="s">
        <v>1136</v>
      </c>
      <c r="B717" s="30"/>
      <c r="C717" s="30"/>
      <c r="D717" s="30" t="s">
        <v>730</v>
      </c>
      <c r="E717" s="30" t="s">
        <v>115</v>
      </c>
      <c r="F717" s="30" t="s">
        <v>183</v>
      </c>
      <c r="G717" s="30" t="s">
        <v>1204</v>
      </c>
      <c r="H717" s="30" t="s">
        <v>241</v>
      </c>
      <c r="I717" s="30" t="s">
        <v>114</v>
      </c>
    </row>
    <row r="718" spans="1:9">
      <c r="A718" s="22" t="s">
        <v>1136</v>
      </c>
      <c r="B718" s="30"/>
      <c r="C718" s="30"/>
      <c r="D718" s="30" t="s">
        <v>1110</v>
      </c>
      <c r="E718" s="30" t="s">
        <v>115</v>
      </c>
      <c r="F718" s="30" t="s">
        <v>183</v>
      </c>
      <c r="G718" s="30" t="s">
        <v>1205</v>
      </c>
      <c r="H718" s="30" t="s">
        <v>241</v>
      </c>
      <c r="I718" s="30" t="s">
        <v>114</v>
      </c>
    </row>
    <row r="719" spans="1:9">
      <c r="A719" s="22" t="s">
        <v>1136</v>
      </c>
      <c r="B719" s="30"/>
      <c r="C719" s="30"/>
      <c r="D719" s="30" t="s">
        <v>1111</v>
      </c>
      <c r="E719" s="30" t="s">
        <v>112</v>
      </c>
      <c r="F719" s="30" t="s">
        <v>183</v>
      </c>
      <c r="G719" s="30" t="s">
        <v>571</v>
      </c>
      <c r="H719" s="30" t="s">
        <v>241</v>
      </c>
      <c r="I719" s="30" t="s">
        <v>572</v>
      </c>
    </row>
    <row r="720" spans="1:9">
      <c r="A720" s="22" t="s">
        <v>1136</v>
      </c>
      <c r="B720" s="30"/>
      <c r="C720" s="30"/>
      <c r="D720" s="30" t="s">
        <v>731</v>
      </c>
      <c r="E720" s="30" t="s">
        <v>115</v>
      </c>
      <c r="F720" s="30" t="s">
        <v>184</v>
      </c>
      <c r="G720" s="30" t="s">
        <v>1189</v>
      </c>
      <c r="H720" s="30" t="s">
        <v>241</v>
      </c>
      <c r="I720" s="30" t="s">
        <v>114</v>
      </c>
    </row>
    <row r="721" spans="1:9">
      <c r="A721" s="22" t="s">
        <v>1136</v>
      </c>
      <c r="B721" s="30"/>
      <c r="C721" s="30"/>
      <c r="D721" s="30" t="s">
        <v>1112</v>
      </c>
      <c r="E721" s="30" t="s">
        <v>115</v>
      </c>
      <c r="F721" s="30" t="s">
        <v>184</v>
      </c>
      <c r="G721" s="30" t="s">
        <v>1190</v>
      </c>
      <c r="H721" s="30" t="s">
        <v>241</v>
      </c>
      <c r="I721" s="30" t="s">
        <v>114</v>
      </c>
    </row>
    <row r="722" spans="1:9">
      <c r="A722" s="22" t="s">
        <v>1136</v>
      </c>
      <c r="B722" s="30"/>
      <c r="C722" s="30"/>
      <c r="D722" s="30" t="s">
        <v>1181</v>
      </c>
      <c r="E722" s="30" t="s">
        <v>112</v>
      </c>
      <c r="F722" s="30" t="s">
        <v>184</v>
      </c>
      <c r="G722" s="30" t="s">
        <v>571</v>
      </c>
      <c r="H722" s="30" t="s">
        <v>241</v>
      </c>
      <c r="I722" s="30" t="s">
        <v>572</v>
      </c>
    </row>
    <row r="723" spans="1:9">
      <c r="A723" s="22" t="s">
        <v>1137</v>
      </c>
      <c r="B723" s="30"/>
      <c r="C723" s="30"/>
      <c r="D723" s="30" t="s">
        <v>838</v>
      </c>
      <c r="E723" s="30" t="s">
        <v>822</v>
      </c>
      <c r="F723" s="30" t="s">
        <v>111</v>
      </c>
      <c r="G723" s="30" t="s">
        <v>865</v>
      </c>
      <c r="H723" s="30" t="s">
        <v>241</v>
      </c>
      <c r="I723" s="30" t="s">
        <v>823</v>
      </c>
    </row>
    <row r="724" spans="1:9">
      <c r="A724" s="22" t="s">
        <v>1137</v>
      </c>
      <c r="B724" s="30"/>
      <c r="C724" s="30"/>
      <c r="D724" s="30" t="s">
        <v>839</v>
      </c>
      <c r="E724" s="30" t="s">
        <v>822</v>
      </c>
      <c r="F724" s="30" t="s">
        <v>111</v>
      </c>
      <c r="G724" s="30" t="s">
        <v>865</v>
      </c>
      <c r="H724" s="30" t="s">
        <v>241</v>
      </c>
      <c r="I724" s="30" t="s">
        <v>232</v>
      </c>
    </row>
    <row r="725" spans="1:9">
      <c r="A725" s="28"/>
      <c r="B725" s="28"/>
      <c r="C725" s="28"/>
      <c r="D725" s="28"/>
      <c r="E725" s="29" t="s">
        <v>761</v>
      </c>
      <c r="F725" s="28"/>
      <c r="G725" s="28"/>
      <c r="H725" s="28"/>
      <c r="I725" s="28"/>
    </row>
    <row r="726" spans="1:9">
      <c r="A726" s="22" t="s">
        <v>1136</v>
      </c>
      <c r="B726" s="30"/>
      <c r="C726" s="30"/>
      <c r="D726" s="22" t="s">
        <v>732</v>
      </c>
      <c r="E726" s="30" t="s">
        <v>115</v>
      </c>
      <c r="F726" s="30" t="s">
        <v>111</v>
      </c>
      <c r="G726" s="30" t="s">
        <v>863</v>
      </c>
      <c r="H726" s="30" t="s">
        <v>241</v>
      </c>
      <c r="I726" s="30" t="s">
        <v>114</v>
      </c>
    </row>
    <row r="727" spans="1:9">
      <c r="A727" s="22" t="s">
        <v>1136</v>
      </c>
      <c r="B727" s="30"/>
      <c r="C727" s="30"/>
      <c r="D727" s="22" t="s">
        <v>733</v>
      </c>
      <c r="E727" s="30" t="s">
        <v>120</v>
      </c>
      <c r="F727" s="30" t="s">
        <v>111</v>
      </c>
      <c r="G727" s="30" t="s">
        <v>863</v>
      </c>
      <c r="H727" s="30" t="s">
        <v>241</v>
      </c>
      <c r="I727" s="30" t="s">
        <v>114</v>
      </c>
    </row>
    <row r="728" spans="1:9">
      <c r="A728" s="22" t="s">
        <v>1136</v>
      </c>
      <c r="B728" s="30"/>
      <c r="C728" s="30"/>
      <c r="D728" s="30" t="s">
        <v>734</v>
      </c>
      <c r="E728" s="30" t="s">
        <v>112</v>
      </c>
      <c r="F728" s="30" t="s">
        <v>111</v>
      </c>
      <c r="G728" s="30" t="s">
        <v>113</v>
      </c>
      <c r="H728" s="30" t="s">
        <v>241</v>
      </c>
      <c r="I728" s="30" t="s">
        <v>114</v>
      </c>
    </row>
    <row r="729" spans="1:9">
      <c r="A729" s="22" t="s">
        <v>1136</v>
      </c>
      <c r="C729" s="30"/>
      <c r="D729" s="30" t="s">
        <v>735</v>
      </c>
      <c r="E729" s="30" t="s">
        <v>115</v>
      </c>
      <c r="F729" s="30" t="s">
        <v>111</v>
      </c>
      <c r="G729" s="30" t="s">
        <v>863</v>
      </c>
      <c r="H729" s="30" t="s">
        <v>241</v>
      </c>
      <c r="I729" s="30" t="s">
        <v>204</v>
      </c>
    </row>
    <row r="730" spans="1:9">
      <c r="A730" s="22" t="s">
        <v>1136</v>
      </c>
      <c r="C730" s="30"/>
      <c r="D730" s="30" t="s">
        <v>736</v>
      </c>
      <c r="E730" s="30" t="s">
        <v>115</v>
      </c>
      <c r="F730" s="30" t="s">
        <v>111</v>
      </c>
      <c r="G730" s="30" t="s">
        <v>863</v>
      </c>
      <c r="H730" s="30" t="s">
        <v>241</v>
      </c>
      <c r="I730" s="30" t="s">
        <v>232</v>
      </c>
    </row>
    <row r="731" spans="1:9">
      <c r="A731" s="22" t="s">
        <v>1136</v>
      </c>
      <c r="B731" s="30"/>
      <c r="C731" s="30"/>
      <c r="D731" s="30" t="s">
        <v>737</v>
      </c>
      <c r="E731" s="30" t="s">
        <v>115</v>
      </c>
      <c r="F731" s="30" t="s">
        <v>111</v>
      </c>
      <c r="G731" s="30" t="s">
        <v>863</v>
      </c>
      <c r="H731" s="30" t="s">
        <v>241</v>
      </c>
      <c r="I731" s="30" t="s">
        <v>118</v>
      </c>
    </row>
    <row r="732" spans="1:9">
      <c r="A732" s="22" t="s">
        <v>1136</v>
      </c>
      <c r="B732" s="30"/>
      <c r="C732" s="30"/>
      <c r="D732" s="30" t="s">
        <v>738</v>
      </c>
      <c r="E732" s="30" t="s">
        <v>115</v>
      </c>
      <c r="F732" s="30" t="s">
        <v>111</v>
      </c>
      <c r="G732" s="30" t="s">
        <v>864</v>
      </c>
      <c r="H732" s="30" t="s">
        <v>241</v>
      </c>
      <c r="I732" s="30" t="s">
        <v>118</v>
      </c>
    </row>
    <row r="733" spans="1:9">
      <c r="A733" s="22" t="s">
        <v>1136</v>
      </c>
      <c r="C733" s="30"/>
      <c r="D733" s="30" t="s">
        <v>1113</v>
      </c>
      <c r="E733" s="30" t="s">
        <v>112</v>
      </c>
      <c r="F733" s="30" t="s">
        <v>247</v>
      </c>
      <c r="G733" s="30"/>
      <c r="H733" s="30" t="s">
        <v>241</v>
      </c>
      <c r="I733" s="30" t="s">
        <v>118</v>
      </c>
    </row>
    <row r="734" spans="1:9">
      <c r="A734" s="22" t="s">
        <v>1136</v>
      </c>
      <c r="C734" s="30"/>
      <c r="D734" s="30" t="s">
        <v>1114</v>
      </c>
      <c r="E734" s="30" t="s">
        <v>127</v>
      </c>
      <c r="F734" s="30" t="s">
        <v>247</v>
      </c>
      <c r="G734" s="30"/>
      <c r="H734" s="30" t="s">
        <v>241</v>
      </c>
      <c r="I734" s="30" t="s">
        <v>118</v>
      </c>
    </row>
    <row r="735" spans="1:9">
      <c r="A735" s="22" t="s">
        <v>1136</v>
      </c>
      <c r="B735" s="30"/>
      <c r="C735" s="30"/>
      <c r="D735" s="30" t="s">
        <v>1115</v>
      </c>
      <c r="E735" s="30" t="s">
        <v>112</v>
      </c>
      <c r="F735" s="30" t="s">
        <v>123</v>
      </c>
      <c r="G735" s="30"/>
      <c r="H735" s="30" t="s">
        <v>241</v>
      </c>
      <c r="I735" s="30" t="s">
        <v>240</v>
      </c>
    </row>
    <row r="736" spans="1:9">
      <c r="A736" s="22" t="s">
        <v>1136</v>
      </c>
      <c r="B736" s="30"/>
      <c r="C736" s="30"/>
      <c r="D736" s="30" t="s">
        <v>1116</v>
      </c>
      <c r="E736" s="30" t="s">
        <v>127</v>
      </c>
      <c r="F736" s="30" t="s">
        <v>123</v>
      </c>
      <c r="G736" s="30"/>
      <c r="H736" s="30" t="s">
        <v>241</v>
      </c>
      <c r="I736" s="30" t="s">
        <v>240</v>
      </c>
    </row>
    <row r="737" spans="1:9">
      <c r="A737" s="22" t="s">
        <v>1136</v>
      </c>
      <c r="B737" s="30"/>
      <c r="C737" s="30"/>
      <c r="D737" s="30" t="s">
        <v>739</v>
      </c>
      <c r="E737" s="30" t="s">
        <v>112</v>
      </c>
      <c r="F737" s="30" t="s">
        <v>866</v>
      </c>
      <c r="G737" s="30"/>
      <c r="H737" s="30" t="s">
        <v>241</v>
      </c>
      <c r="I737" s="30" t="s">
        <v>126</v>
      </c>
    </row>
    <row r="738" spans="1:9">
      <c r="A738" s="22" t="s">
        <v>1136</v>
      </c>
      <c r="B738" s="30"/>
      <c r="C738" s="30"/>
      <c r="D738" s="30" t="s">
        <v>740</v>
      </c>
      <c r="E738" s="30" t="s">
        <v>127</v>
      </c>
      <c r="F738" s="30" t="s">
        <v>866</v>
      </c>
      <c r="G738" s="30"/>
      <c r="H738" s="30" t="s">
        <v>241</v>
      </c>
      <c r="I738" s="30" t="s">
        <v>126</v>
      </c>
    </row>
    <row r="739" spans="1:9">
      <c r="A739" s="22" t="s">
        <v>1136</v>
      </c>
      <c r="B739" s="30"/>
      <c r="C739" s="30"/>
      <c r="D739" s="30" t="s">
        <v>1117</v>
      </c>
      <c r="E739" s="30" t="s">
        <v>112</v>
      </c>
      <c r="F739" s="30" t="s">
        <v>866</v>
      </c>
      <c r="G739" s="30"/>
      <c r="H739" s="30" t="s">
        <v>241</v>
      </c>
      <c r="I739" s="30" t="s">
        <v>128</v>
      </c>
    </row>
    <row r="740" spans="1:9">
      <c r="A740" s="22" t="s">
        <v>1136</v>
      </c>
      <c r="B740" s="30"/>
      <c r="C740" s="30"/>
      <c r="D740" s="30" t="s">
        <v>1118</v>
      </c>
      <c r="E740" s="30" t="s">
        <v>127</v>
      </c>
      <c r="F740" s="30" t="s">
        <v>866</v>
      </c>
      <c r="G740" s="30"/>
      <c r="H740" s="30" t="s">
        <v>241</v>
      </c>
      <c r="I740" s="30" t="s">
        <v>128</v>
      </c>
    </row>
    <row r="741" spans="1:9">
      <c r="A741" s="22" t="s">
        <v>1136</v>
      </c>
      <c r="B741" s="30"/>
      <c r="C741" s="30"/>
      <c r="D741" s="22" t="s">
        <v>1119</v>
      </c>
      <c r="E741" s="30" t="s">
        <v>120</v>
      </c>
      <c r="F741" s="30" t="s">
        <v>111</v>
      </c>
      <c r="G741" s="30"/>
      <c r="H741" s="30" t="s">
        <v>241</v>
      </c>
      <c r="I741" s="30" t="s">
        <v>213</v>
      </c>
    </row>
    <row r="742" spans="1:9">
      <c r="A742" s="22" t="s">
        <v>1136</v>
      </c>
      <c r="B742" s="30"/>
      <c r="C742" s="30"/>
      <c r="D742" s="30" t="s">
        <v>742</v>
      </c>
      <c r="E742" s="30" t="s">
        <v>115</v>
      </c>
      <c r="F742" s="30" t="s">
        <v>178</v>
      </c>
      <c r="G742" s="30" t="s">
        <v>1191</v>
      </c>
      <c r="H742" s="30" t="s">
        <v>241</v>
      </c>
      <c r="I742" s="30" t="s">
        <v>114</v>
      </c>
    </row>
    <row r="743" spans="1:9">
      <c r="A743" s="22" t="s">
        <v>1136</v>
      </c>
      <c r="B743" s="30"/>
      <c r="C743" s="30"/>
      <c r="D743" s="30" t="s">
        <v>1120</v>
      </c>
      <c r="E743" s="30" t="s">
        <v>115</v>
      </c>
      <c r="F743" s="30" t="s">
        <v>178</v>
      </c>
      <c r="G743" s="30" t="s">
        <v>1192</v>
      </c>
      <c r="H743" s="30" t="s">
        <v>241</v>
      </c>
      <c r="I743" s="30" t="s">
        <v>114</v>
      </c>
    </row>
    <row r="744" spans="1:9">
      <c r="A744" s="22" t="s">
        <v>1136</v>
      </c>
      <c r="B744" s="30"/>
      <c r="C744" s="30"/>
      <c r="D744" s="30" t="s">
        <v>1182</v>
      </c>
      <c r="E744" s="30" t="s">
        <v>112</v>
      </c>
      <c r="F744" s="30" t="s">
        <v>178</v>
      </c>
      <c r="G744" s="30" t="s">
        <v>571</v>
      </c>
      <c r="H744" s="30" t="s">
        <v>241</v>
      </c>
      <c r="I744" s="30" t="s">
        <v>572</v>
      </c>
    </row>
    <row r="745" spans="1:9">
      <c r="A745" s="22" t="s">
        <v>1136</v>
      </c>
      <c r="B745" s="30"/>
      <c r="C745" s="30"/>
      <c r="D745" s="30" t="s">
        <v>743</v>
      </c>
      <c r="E745" s="30" t="s">
        <v>115</v>
      </c>
      <c r="F745" s="30" t="s">
        <v>179</v>
      </c>
      <c r="G745" s="30" t="s">
        <v>1193</v>
      </c>
      <c r="H745" s="30" t="s">
        <v>241</v>
      </c>
      <c r="I745" s="30" t="s">
        <v>114</v>
      </c>
    </row>
    <row r="746" spans="1:9">
      <c r="A746" s="22" t="s">
        <v>1136</v>
      </c>
      <c r="B746" s="30"/>
      <c r="C746" s="30"/>
      <c r="D746" s="30" t="s">
        <v>1121</v>
      </c>
      <c r="E746" s="30" t="s">
        <v>115</v>
      </c>
      <c r="F746" s="30" t="s">
        <v>179</v>
      </c>
      <c r="G746" s="30" t="s">
        <v>1194</v>
      </c>
      <c r="H746" s="30" t="s">
        <v>241</v>
      </c>
      <c r="I746" s="30" t="s">
        <v>114</v>
      </c>
    </row>
    <row r="747" spans="1:9">
      <c r="A747" s="22" t="s">
        <v>1136</v>
      </c>
      <c r="B747" s="30"/>
      <c r="C747" s="30"/>
      <c r="D747" s="30" t="s">
        <v>1122</v>
      </c>
      <c r="E747" s="30" t="s">
        <v>112</v>
      </c>
      <c r="F747" s="30" t="s">
        <v>179</v>
      </c>
      <c r="G747" s="30" t="s">
        <v>571</v>
      </c>
      <c r="H747" s="30" t="s">
        <v>241</v>
      </c>
      <c r="I747" s="30" t="s">
        <v>572</v>
      </c>
    </row>
    <row r="748" spans="1:9">
      <c r="A748" s="22" t="s">
        <v>1136</v>
      </c>
      <c r="B748" s="30"/>
      <c r="C748" s="30"/>
      <c r="D748" s="30" t="s">
        <v>1183</v>
      </c>
      <c r="E748" s="30" t="s">
        <v>115</v>
      </c>
      <c r="F748" s="30" t="s">
        <v>169</v>
      </c>
      <c r="G748" s="30" t="s">
        <v>1195</v>
      </c>
      <c r="H748" s="30" t="s">
        <v>241</v>
      </c>
      <c r="I748" s="30" t="s">
        <v>114</v>
      </c>
    </row>
    <row r="749" spans="1:9">
      <c r="A749" s="22" t="s">
        <v>1136</v>
      </c>
      <c r="B749" s="30"/>
      <c r="C749" s="30"/>
      <c r="D749" s="30" t="s">
        <v>1123</v>
      </c>
      <c r="E749" s="30" t="s">
        <v>115</v>
      </c>
      <c r="F749" s="30" t="s">
        <v>169</v>
      </c>
      <c r="G749" s="30" t="s">
        <v>1196</v>
      </c>
      <c r="H749" s="30" t="s">
        <v>241</v>
      </c>
      <c r="I749" s="30" t="s">
        <v>114</v>
      </c>
    </row>
    <row r="750" spans="1:9">
      <c r="A750" s="22" t="s">
        <v>1136</v>
      </c>
      <c r="B750" s="30"/>
      <c r="C750" s="30"/>
      <c r="D750" s="30" t="s">
        <v>1124</v>
      </c>
      <c r="E750" s="30" t="s">
        <v>112</v>
      </c>
      <c r="F750" s="30" t="s">
        <v>169</v>
      </c>
      <c r="G750" s="30" t="s">
        <v>571</v>
      </c>
      <c r="H750" s="30" t="s">
        <v>241</v>
      </c>
      <c r="I750" s="30" t="s">
        <v>572</v>
      </c>
    </row>
    <row r="751" spans="1:9">
      <c r="A751" s="22" t="s">
        <v>1136</v>
      </c>
      <c r="B751" s="30"/>
      <c r="C751" s="30"/>
      <c r="D751" s="30" t="s">
        <v>744</v>
      </c>
      <c r="E751" s="30" t="s">
        <v>115</v>
      </c>
      <c r="F751" s="30" t="s">
        <v>180</v>
      </c>
      <c r="G751" s="30" t="s">
        <v>1202</v>
      </c>
      <c r="H751" s="30" t="s">
        <v>241</v>
      </c>
      <c r="I751" s="30" t="s">
        <v>114</v>
      </c>
    </row>
    <row r="752" spans="1:9">
      <c r="A752" s="22" t="s">
        <v>1136</v>
      </c>
      <c r="B752" s="30"/>
      <c r="C752" s="30"/>
      <c r="D752" s="30" t="s">
        <v>1125</v>
      </c>
      <c r="E752" s="30" t="s">
        <v>115</v>
      </c>
      <c r="F752" s="30" t="s">
        <v>180</v>
      </c>
      <c r="G752" s="30" t="s">
        <v>1203</v>
      </c>
      <c r="H752" s="30" t="s">
        <v>241</v>
      </c>
      <c r="I752" s="30" t="s">
        <v>114</v>
      </c>
    </row>
    <row r="753" spans="1:9">
      <c r="A753" s="22" t="s">
        <v>1136</v>
      </c>
      <c r="B753" s="30"/>
      <c r="C753" s="30"/>
      <c r="D753" s="30" t="s">
        <v>1126</v>
      </c>
      <c r="E753" s="30" t="s">
        <v>112</v>
      </c>
      <c r="F753" s="30" t="s">
        <v>180</v>
      </c>
      <c r="G753" s="30" t="s">
        <v>571</v>
      </c>
      <c r="H753" s="30" t="s">
        <v>241</v>
      </c>
      <c r="I753" s="30" t="s">
        <v>572</v>
      </c>
    </row>
    <row r="754" spans="1:9">
      <c r="A754" s="22" t="s">
        <v>1136</v>
      </c>
      <c r="B754" s="30"/>
      <c r="C754" s="30"/>
      <c r="D754" s="30" t="s">
        <v>745</v>
      </c>
      <c r="E754" s="30" t="s">
        <v>115</v>
      </c>
      <c r="F754" s="30" t="s">
        <v>181</v>
      </c>
      <c r="G754" s="30" t="s">
        <v>1197</v>
      </c>
      <c r="H754" s="30" t="s">
        <v>241</v>
      </c>
      <c r="I754" s="30" t="s">
        <v>114</v>
      </c>
    </row>
    <row r="755" spans="1:9">
      <c r="A755" s="22" t="s">
        <v>1136</v>
      </c>
      <c r="B755" s="30"/>
      <c r="C755" s="30"/>
      <c r="D755" s="30" t="s">
        <v>1127</v>
      </c>
      <c r="E755" s="30" t="s">
        <v>115</v>
      </c>
      <c r="F755" s="30" t="s">
        <v>181</v>
      </c>
      <c r="G755" s="30" t="s">
        <v>1198</v>
      </c>
      <c r="H755" s="30" t="s">
        <v>241</v>
      </c>
      <c r="I755" s="30" t="s">
        <v>114</v>
      </c>
    </row>
    <row r="756" spans="1:9">
      <c r="A756" s="22" t="s">
        <v>1136</v>
      </c>
      <c r="B756" s="30"/>
      <c r="C756" s="30"/>
      <c r="D756" s="30" t="s">
        <v>1128</v>
      </c>
      <c r="E756" s="30" t="s">
        <v>112</v>
      </c>
      <c r="F756" s="30" t="s">
        <v>181</v>
      </c>
      <c r="G756" s="30" t="s">
        <v>571</v>
      </c>
      <c r="H756" s="30" t="s">
        <v>241</v>
      </c>
      <c r="I756" s="30" t="s">
        <v>572</v>
      </c>
    </row>
    <row r="757" spans="1:9">
      <c r="A757" s="22" t="s">
        <v>1136</v>
      </c>
      <c r="B757" s="30"/>
      <c r="C757" s="30"/>
      <c r="D757" s="30" t="s">
        <v>746</v>
      </c>
      <c r="E757" s="30" t="s">
        <v>115</v>
      </c>
      <c r="F757" s="30" t="s">
        <v>182</v>
      </c>
      <c r="G757" s="30" t="s">
        <v>1199</v>
      </c>
      <c r="H757" s="30" t="s">
        <v>241</v>
      </c>
      <c r="I757" s="30" t="s">
        <v>114</v>
      </c>
    </row>
    <row r="758" spans="1:9">
      <c r="A758" s="22" t="s">
        <v>1136</v>
      </c>
      <c r="B758" s="30"/>
      <c r="C758" s="30"/>
      <c r="D758" s="30" t="s">
        <v>1129</v>
      </c>
      <c r="E758" s="30" t="s">
        <v>115</v>
      </c>
      <c r="F758" s="30" t="s">
        <v>182</v>
      </c>
      <c r="G758" s="30" t="s">
        <v>1200</v>
      </c>
      <c r="H758" s="30" t="s">
        <v>241</v>
      </c>
      <c r="I758" s="30" t="s">
        <v>114</v>
      </c>
    </row>
    <row r="759" spans="1:9">
      <c r="A759" s="22" t="s">
        <v>1136</v>
      </c>
      <c r="B759" s="30"/>
      <c r="C759" s="30"/>
      <c r="D759" s="30" t="s">
        <v>1130</v>
      </c>
      <c r="E759" s="30" t="s">
        <v>112</v>
      </c>
      <c r="F759" s="30" t="s">
        <v>182</v>
      </c>
      <c r="G759" s="30" t="s">
        <v>571</v>
      </c>
      <c r="H759" s="30" t="s">
        <v>241</v>
      </c>
      <c r="I759" s="30" t="s">
        <v>572</v>
      </c>
    </row>
    <row r="760" spans="1:9">
      <c r="A760" s="22" t="s">
        <v>1136</v>
      </c>
      <c r="B760" s="30"/>
      <c r="C760" s="30"/>
      <c r="D760" s="30" t="s">
        <v>747</v>
      </c>
      <c r="E760" s="30" t="s">
        <v>115</v>
      </c>
      <c r="F760" s="30" t="s">
        <v>183</v>
      </c>
      <c r="G760" s="30" t="s">
        <v>1204</v>
      </c>
      <c r="H760" s="30" t="s">
        <v>241</v>
      </c>
      <c r="I760" s="30" t="s">
        <v>114</v>
      </c>
    </row>
    <row r="761" spans="1:9">
      <c r="A761" s="22" t="s">
        <v>1136</v>
      </c>
      <c r="B761" s="30"/>
      <c r="C761" s="30"/>
      <c r="D761" s="30" t="s">
        <v>1131</v>
      </c>
      <c r="E761" s="30" t="s">
        <v>115</v>
      </c>
      <c r="F761" s="30" t="s">
        <v>183</v>
      </c>
      <c r="G761" s="30" t="s">
        <v>1205</v>
      </c>
      <c r="H761" s="30" t="s">
        <v>241</v>
      </c>
      <c r="I761" s="30" t="s">
        <v>114</v>
      </c>
    </row>
    <row r="762" spans="1:9">
      <c r="A762" s="22" t="s">
        <v>1136</v>
      </c>
      <c r="B762" s="30"/>
      <c r="C762" s="30"/>
      <c r="D762" s="30" t="s">
        <v>1132</v>
      </c>
      <c r="E762" s="30" t="s">
        <v>112</v>
      </c>
      <c r="F762" s="30" t="s">
        <v>183</v>
      </c>
      <c r="G762" s="30" t="s">
        <v>571</v>
      </c>
      <c r="H762" s="30" t="s">
        <v>241</v>
      </c>
      <c r="I762" s="30" t="s">
        <v>572</v>
      </c>
    </row>
    <row r="763" spans="1:9">
      <c r="A763" s="22" t="s">
        <v>1136</v>
      </c>
      <c r="B763" s="30"/>
      <c r="C763" s="30"/>
      <c r="D763" s="30" t="s">
        <v>748</v>
      </c>
      <c r="E763" s="30" t="s">
        <v>115</v>
      </c>
      <c r="F763" s="30" t="s">
        <v>184</v>
      </c>
      <c r="G763" s="30" t="s">
        <v>1189</v>
      </c>
      <c r="H763" s="30" t="s">
        <v>241</v>
      </c>
      <c r="I763" s="30" t="s">
        <v>114</v>
      </c>
    </row>
    <row r="764" spans="1:9">
      <c r="A764" s="22" t="s">
        <v>1136</v>
      </c>
      <c r="B764" s="30"/>
      <c r="C764" s="30"/>
      <c r="D764" s="30" t="s">
        <v>1133</v>
      </c>
      <c r="E764" s="30" t="s">
        <v>115</v>
      </c>
      <c r="F764" s="30" t="s">
        <v>184</v>
      </c>
      <c r="G764" s="30" t="s">
        <v>1190</v>
      </c>
      <c r="H764" s="30" t="s">
        <v>241</v>
      </c>
      <c r="I764" s="30" t="s">
        <v>114</v>
      </c>
    </row>
    <row r="765" spans="1:9">
      <c r="A765" s="22" t="s">
        <v>1136</v>
      </c>
      <c r="B765" s="30"/>
      <c r="C765" s="30"/>
      <c r="D765" s="30" t="s">
        <v>1184</v>
      </c>
      <c r="E765" s="30" t="s">
        <v>112</v>
      </c>
      <c r="F765" s="30" t="s">
        <v>184</v>
      </c>
      <c r="G765" s="30" t="s">
        <v>571</v>
      </c>
      <c r="H765" s="30" t="s">
        <v>241</v>
      </c>
      <c r="I765" s="30" t="s">
        <v>572</v>
      </c>
    </row>
    <row r="766" spans="1:9">
      <c r="A766" s="22" t="s">
        <v>1137</v>
      </c>
      <c r="B766" s="30"/>
      <c r="C766" s="30"/>
      <c r="D766" s="30" t="s">
        <v>840</v>
      </c>
      <c r="E766" s="30" t="s">
        <v>822</v>
      </c>
      <c r="F766" s="30" t="s">
        <v>111</v>
      </c>
      <c r="G766" s="30" t="s">
        <v>865</v>
      </c>
      <c r="H766" s="30" t="s">
        <v>241</v>
      </c>
      <c r="I766" s="30" t="s">
        <v>823</v>
      </c>
    </row>
    <row r="767" spans="1:9">
      <c r="A767" s="22" t="s">
        <v>1137</v>
      </c>
      <c r="B767" s="30"/>
      <c r="C767" s="30"/>
      <c r="D767" s="30" t="s">
        <v>841</v>
      </c>
      <c r="E767" s="30" t="s">
        <v>822</v>
      </c>
      <c r="F767" s="30" t="s">
        <v>111</v>
      </c>
      <c r="G767" s="30" t="s">
        <v>865</v>
      </c>
      <c r="H767" s="30" t="s">
        <v>241</v>
      </c>
      <c r="I767" s="30" t="s">
        <v>232</v>
      </c>
    </row>
    <row r="768" spans="1:9">
      <c r="A768" s="30"/>
      <c r="B768" s="30"/>
      <c r="C768" s="30"/>
      <c r="D768" s="30"/>
      <c r="E768" s="30"/>
      <c r="F768" s="30"/>
      <c r="G768" s="30" t="s">
        <v>435</v>
      </c>
      <c r="H768" s="30"/>
      <c r="I768" s="30"/>
    </row>
  </sheetData>
  <dataConsolidate/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9"/>
  <dimension ref="A2:K768"/>
  <sheetViews>
    <sheetView topLeftCell="B1" workbookViewId="0">
      <pane ySplit="4" topLeftCell="A98" activePane="bottomLeft" state="frozen"/>
      <selection activeCell="A748" sqref="A748"/>
      <selection pane="bottomLeft" activeCell="A748" sqref="A748"/>
    </sheetView>
  </sheetViews>
  <sheetFormatPr defaultRowHeight="12"/>
  <cols>
    <col min="1" max="1" width="23.85546875" style="22" customWidth="1"/>
    <col min="2" max="2" width="5.5703125" style="22" customWidth="1"/>
    <col min="3" max="3" width="53.28515625" style="22" customWidth="1"/>
    <col min="4" max="4" width="6.28515625" style="22" customWidth="1"/>
    <col min="5" max="5" width="23.140625" style="22" customWidth="1"/>
    <col min="6" max="6" width="15.7109375" style="22" customWidth="1"/>
    <col min="7" max="7" width="23.42578125" style="22" customWidth="1"/>
    <col min="8" max="8" width="14.7109375" style="22" customWidth="1"/>
    <col min="9" max="9" width="28.28515625" style="21" customWidth="1"/>
    <col min="10" max="16384" width="9.140625" style="21"/>
  </cols>
  <sheetData>
    <row r="2" spans="1:9" ht="12.75" thickBot="1">
      <c r="A2" s="21"/>
      <c r="B2" s="21"/>
      <c r="C2" s="21"/>
      <c r="D2" s="21"/>
      <c r="E2" s="21"/>
      <c r="F2" s="21"/>
      <c r="G2" s="21"/>
      <c r="H2" s="21"/>
    </row>
    <row r="3" spans="1:9">
      <c r="A3" s="26" t="s">
        <v>1</v>
      </c>
      <c r="B3" s="25" t="s">
        <v>8</v>
      </c>
      <c r="C3" s="26"/>
      <c r="D3" s="25" t="s">
        <v>0</v>
      </c>
      <c r="E3" s="27"/>
      <c r="F3" s="26" t="s">
        <v>4</v>
      </c>
      <c r="G3" s="26" t="s">
        <v>9</v>
      </c>
      <c r="H3" s="26" t="s">
        <v>3</v>
      </c>
      <c r="I3" s="25"/>
    </row>
    <row r="4" spans="1:9" ht="12.75" thickBot="1">
      <c r="A4" s="24" t="s">
        <v>5</v>
      </c>
      <c r="B4" s="23" t="s">
        <v>2</v>
      </c>
      <c r="C4" s="24" t="s">
        <v>8</v>
      </c>
      <c r="D4" s="23" t="s">
        <v>2</v>
      </c>
      <c r="E4" s="24" t="s">
        <v>7</v>
      </c>
      <c r="F4" s="24" t="s">
        <v>5</v>
      </c>
      <c r="G4" s="24" t="s">
        <v>16</v>
      </c>
      <c r="H4" s="24" t="s">
        <v>6</v>
      </c>
      <c r="I4" s="23" t="s">
        <v>17</v>
      </c>
    </row>
    <row r="5" spans="1:9">
      <c r="A5" s="22" t="s">
        <v>1134</v>
      </c>
      <c r="B5" s="22" t="s">
        <v>168</v>
      </c>
      <c r="C5" s="22" t="s">
        <v>310</v>
      </c>
    </row>
    <row r="6" spans="1:9">
      <c r="A6" s="22" t="s">
        <v>1134</v>
      </c>
      <c r="B6" s="22" t="s">
        <v>116</v>
      </c>
      <c r="C6" s="22" t="s">
        <v>243</v>
      </c>
    </row>
    <row r="7" spans="1:9">
      <c r="A7" s="22" t="s">
        <v>1134</v>
      </c>
      <c r="B7" s="22" t="s">
        <v>117</v>
      </c>
      <c r="C7" s="22" t="s">
        <v>259</v>
      </c>
    </row>
    <row r="8" spans="1:9">
      <c r="A8" s="22" t="s">
        <v>1134</v>
      </c>
      <c r="B8" s="22" t="s">
        <v>119</v>
      </c>
      <c r="C8" s="22" t="s">
        <v>244</v>
      </c>
    </row>
    <row r="9" spans="1:9">
      <c r="A9" s="22" t="s">
        <v>1134</v>
      </c>
      <c r="B9" s="21" t="s">
        <v>261</v>
      </c>
      <c r="C9" s="22" t="s">
        <v>524</v>
      </c>
    </row>
    <row r="10" spans="1:9">
      <c r="A10" s="22" t="s">
        <v>1134</v>
      </c>
      <c r="B10" s="22" t="s">
        <v>262</v>
      </c>
      <c r="C10" s="22" t="s">
        <v>311</v>
      </c>
    </row>
    <row r="11" spans="1:9">
      <c r="A11" s="22" t="s">
        <v>1134</v>
      </c>
      <c r="B11" s="22" t="s">
        <v>327</v>
      </c>
      <c r="C11" s="22" t="s">
        <v>245</v>
      </c>
    </row>
    <row r="12" spans="1:9">
      <c r="A12" s="22" t="s">
        <v>1134</v>
      </c>
      <c r="B12" s="22" t="s">
        <v>359</v>
      </c>
      <c r="C12" s="22" t="s">
        <v>260</v>
      </c>
    </row>
    <row r="13" spans="1:9">
      <c r="A13" s="22" t="s">
        <v>1134</v>
      </c>
      <c r="B13" s="22" t="s">
        <v>444</v>
      </c>
      <c r="C13" s="22" t="s">
        <v>246</v>
      </c>
    </row>
    <row r="14" spans="1:9">
      <c r="A14" s="22" t="s">
        <v>1134</v>
      </c>
      <c r="B14" s="22" t="s">
        <v>445</v>
      </c>
      <c r="C14" s="22" t="s">
        <v>525</v>
      </c>
    </row>
    <row r="15" spans="1:9">
      <c r="A15" s="22" t="s">
        <v>1134</v>
      </c>
      <c r="B15" s="22" t="s">
        <v>446</v>
      </c>
      <c r="C15" s="22" t="s">
        <v>440</v>
      </c>
    </row>
    <row r="16" spans="1:9">
      <c r="A16" s="22" t="s">
        <v>1134</v>
      </c>
      <c r="B16" s="22" t="s">
        <v>169</v>
      </c>
      <c r="C16" s="22" t="s">
        <v>441</v>
      </c>
    </row>
    <row r="17" spans="1:11">
      <c r="A17" s="22" t="s">
        <v>1134</v>
      </c>
      <c r="B17" s="21" t="s">
        <v>527</v>
      </c>
      <c r="C17" s="22" t="s">
        <v>442</v>
      </c>
    </row>
    <row r="18" spans="1:11">
      <c r="A18" s="22" t="s">
        <v>1134</v>
      </c>
      <c r="B18" s="21" t="s">
        <v>528</v>
      </c>
      <c r="C18" s="22" t="s">
        <v>443</v>
      </c>
    </row>
    <row r="19" spans="1:11">
      <c r="A19" s="22" t="s">
        <v>1134</v>
      </c>
      <c r="B19" s="22" t="s">
        <v>529</v>
      </c>
      <c r="C19" s="22" t="s">
        <v>526</v>
      </c>
    </row>
    <row r="20" spans="1:11">
      <c r="A20" s="22" t="s">
        <v>1134</v>
      </c>
      <c r="B20" s="22" t="s">
        <v>164</v>
      </c>
      <c r="C20" s="22" t="s">
        <v>323</v>
      </c>
    </row>
    <row r="21" spans="1:11">
      <c r="A21" s="22" t="s">
        <v>1134</v>
      </c>
      <c r="B21" s="22" t="s">
        <v>163</v>
      </c>
      <c r="C21" s="22" t="s">
        <v>324</v>
      </c>
    </row>
    <row r="22" spans="1:11">
      <c r="A22" s="22" t="s">
        <v>1134</v>
      </c>
      <c r="B22" s="22" t="s">
        <v>278</v>
      </c>
      <c r="C22" s="22" t="s">
        <v>326</v>
      </c>
    </row>
    <row r="23" spans="1:11">
      <c r="A23" s="22" t="s">
        <v>1134</v>
      </c>
      <c r="B23" s="22" t="s">
        <v>165</v>
      </c>
      <c r="C23" s="30" t="s">
        <v>850</v>
      </c>
    </row>
    <row r="24" spans="1:11">
      <c r="A24" s="22" t="s">
        <v>1134</v>
      </c>
      <c r="B24" s="22" t="s">
        <v>239</v>
      </c>
      <c r="C24" s="30" t="s">
        <v>851</v>
      </c>
    </row>
    <row r="25" spans="1:11">
      <c r="A25" s="22" t="s">
        <v>1134</v>
      </c>
      <c r="B25" s="22" t="s">
        <v>166</v>
      </c>
      <c r="C25" s="30" t="s">
        <v>852</v>
      </c>
    </row>
    <row r="26" spans="1:11">
      <c r="A26" s="22" t="s">
        <v>1134</v>
      </c>
      <c r="B26" s="22" t="s">
        <v>238</v>
      </c>
      <c r="C26" s="30" t="s">
        <v>853</v>
      </c>
    </row>
    <row r="27" spans="1:11">
      <c r="A27" s="22" t="s">
        <v>1134</v>
      </c>
      <c r="B27" s="22" t="s">
        <v>167</v>
      </c>
      <c r="C27" s="30" t="s">
        <v>188</v>
      </c>
    </row>
    <row r="28" spans="1:11">
      <c r="A28" s="22" t="s">
        <v>1134</v>
      </c>
      <c r="B28" s="22" t="s">
        <v>170</v>
      </c>
      <c r="C28" s="30" t="s">
        <v>854</v>
      </c>
    </row>
    <row r="29" spans="1:11" ht="12.75">
      <c r="A29" s="22" t="s">
        <v>1134</v>
      </c>
      <c r="B29" s="22" t="s">
        <v>328</v>
      </c>
      <c r="C29" s="49" t="s">
        <v>855</v>
      </c>
    </row>
    <row r="30" spans="1:11">
      <c r="A30" s="22" t="s">
        <v>1134</v>
      </c>
      <c r="B30" s="22" t="s">
        <v>171</v>
      </c>
      <c r="C30" s="30" t="s">
        <v>856</v>
      </c>
    </row>
    <row r="31" spans="1:11" s="22" customFormat="1" ht="12.75">
      <c r="A31" s="22" t="s">
        <v>1134</v>
      </c>
      <c r="B31" s="22" t="s">
        <v>172</v>
      </c>
      <c r="C31" s="49" t="s">
        <v>857</v>
      </c>
      <c r="I31" s="21"/>
      <c r="J31" s="21"/>
      <c r="K31" s="21"/>
    </row>
    <row r="32" spans="1:11" s="22" customFormat="1" ht="12.75">
      <c r="A32" s="22" t="s">
        <v>1134</v>
      </c>
      <c r="B32" s="22" t="s">
        <v>878</v>
      </c>
      <c r="C32" s="49" t="s">
        <v>861</v>
      </c>
      <c r="I32" s="21"/>
      <c r="J32" s="21"/>
      <c r="K32" s="21"/>
    </row>
    <row r="33" spans="1:11" s="22" customFormat="1" ht="12.75">
      <c r="A33" s="22" t="s">
        <v>1134</v>
      </c>
      <c r="B33" s="22" t="s">
        <v>234</v>
      </c>
      <c r="C33" s="49" t="s">
        <v>862</v>
      </c>
      <c r="I33" s="21"/>
      <c r="J33" s="21"/>
      <c r="K33" s="21"/>
    </row>
    <row r="34" spans="1:11" s="22" customFormat="1">
      <c r="A34" s="22" t="s">
        <v>1134</v>
      </c>
      <c r="B34" s="30" t="s">
        <v>279</v>
      </c>
      <c r="C34" s="30" t="s">
        <v>187</v>
      </c>
      <c r="I34" s="21"/>
      <c r="J34" s="21"/>
      <c r="K34" s="21"/>
    </row>
    <row r="35" spans="1:11" s="22" customFormat="1">
      <c r="A35" s="22" t="s">
        <v>1134</v>
      </c>
      <c r="B35" s="30" t="s">
        <v>185</v>
      </c>
      <c r="C35" s="30" t="s">
        <v>858</v>
      </c>
      <c r="I35" s="21"/>
      <c r="J35" s="21"/>
      <c r="K35" s="21"/>
    </row>
    <row r="36" spans="1:11" s="22" customFormat="1">
      <c r="A36" s="22" t="s">
        <v>1134</v>
      </c>
      <c r="B36" s="30" t="s">
        <v>329</v>
      </c>
      <c r="C36" s="30" t="s">
        <v>859</v>
      </c>
      <c r="I36" s="21"/>
      <c r="J36" s="21"/>
      <c r="K36" s="21"/>
    </row>
    <row r="37" spans="1:11" s="22" customFormat="1">
      <c r="A37" s="22" t="s">
        <v>1134</v>
      </c>
      <c r="B37" s="30" t="s">
        <v>867</v>
      </c>
      <c r="C37" s="30" t="s">
        <v>860</v>
      </c>
      <c r="I37" s="21"/>
      <c r="J37" s="21"/>
      <c r="K37" s="21"/>
    </row>
    <row r="38" spans="1:11" s="22" customFormat="1">
      <c r="A38" s="22" t="s">
        <v>1134</v>
      </c>
      <c r="B38" s="30" t="s">
        <v>186</v>
      </c>
      <c r="C38" s="30" t="s">
        <v>434</v>
      </c>
      <c r="I38" s="21"/>
      <c r="J38" s="21"/>
      <c r="K38" s="21"/>
    </row>
    <row r="39" spans="1:11" s="22" customFormat="1">
      <c r="A39" s="22" t="s">
        <v>1134</v>
      </c>
      <c r="B39" s="30" t="s">
        <v>280</v>
      </c>
      <c r="C39" s="30" t="s">
        <v>305</v>
      </c>
      <c r="I39" s="21"/>
      <c r="J39" s="21"/>
      <c r="K39" s="21"/>
    </row>
    <row r="40" spans="1:11" s="22" customFormat="1">
      <c r="A40" s="22" t="s">
        <v>1134</v>
      </c>
      <c r="B40" s="30" t="s">
        <v>174</v>
      </c>
      <c r="C40" s="30" t="s">
        <v>306</v>
      </c>
      <c r="I40" s="21"/>
      <c r="J40" s="21"/>
      <c r="K40" s="21"/>
    </row>
    <row r="41" spans="1:11" s="22" customFormat="1">
      <c r="A41" s="22" t="s">
        <v>1134</v>
      </c>
      <c r="B41" s="30" t="s">
        <v>868</v>
      </c>
      <c r="C41" s="30" t="s">
        <v>277</v>
      </c>
      <c r="I41" s="21"/>
      <c r="J41" s="21"/>
      <c r="K41" s="21"/>
    </row>
    <row r="42" spans="1:11" s="22" customFormat="1">
      <c r="A42" s="22" t="s">
        <v>1134</v>
      </c>
      <c r="B42" s="30" t="s">
        <v>175</v>
      </c>
      <c r="C42" s="30" t="s">
        <v>321</v>
      </c>
      <c r="I42" s="21"/>
      <c r="J42" s="21"/>
      <c r="K42" s="21"/>
    </row>
    <row r="43" spans="1:11" s="22" customFormat="1">
      <c r="A43" s="22" t="s">
        <v>1134</v>
      </c>
      <c r="B43" s="30" t="s">
        <v>250</v>
      </c>
      <c r="C43" s="30" t="s">
        <v>173</v>
      </c>
      <c r="I43" s="21"/>
      <c r="J43" s="21"/>
      <c r="K43" s="21"/>
    </row>
    <row r="44" spans="1:11" s="22" customFormat="1">
      <c r="A44" s="22" t="s">
        <v>1134</v>
      </c>
      <c r="B44" s="30" t="s">
        <v>330</v>
      </c>
      <c r="C44" s="30" t="s">
        <v>189</v>
      </c>
      <c r="I44" s="21"/>
      <c r="J44" s="21"/>
      <c r="K44" s="21"/>
    </row>
    <row r="45" spans="1:11" s="22" customFormat="1">
      <c r="A45" s="22" t="s">
        <v>1134</v>
      </c>
      <c r="B45" s="30" t="s">
        <v>211</v>
      </c>
      <c r="C45" s="30" t="s">
        <v>190</v>
      </c>
      <c r="I45" s="21"/>
      <c r="J45" s="21"/>
      <c r="K45" s="21"/>
    </row>
    <row r="46" spans="1:11" s="22" customFormat="1">
      <c r="A46" s="22" t="s">
        <v>1134</v>
      </c>
      <c r="B46" s="30" t="s">
        <v>281</v>
      </c>
      <c r="C46" s="30" t="s">
        <v>191</v>
      </c>
      <c r="I46" s="21"/>
      <c r="J46" s="21"/>
      <c r="K46" s="21"/>
    </row>
    <row r="47" spans="1:11" s="22" customFormat="1">
      <c r="A47" s="22" t="s">
        <v>1134</v>
      </c>
      <c r="B47" s="30" t="s">
        <v>447</v>
      </c>
      <c r="C47" s="30" t="s">
        <v>212</v>
      </c>
      <c r="I47" s="21"/>
      <c r="J47" s="21"/>
      <c r="K47" s="21"/>
    </row>
    <row r="48" spans="1:11" s="22" customFormat="1">
      <c r="A48" s="22" t="s">
        <v>1134</v>
      </c>
      <c r="B48" s="30" t="s">
        <v>331</v>
      </c>
      <c r="C48" s="30" t="s">
        <v>322</v>
      </c>
      <c r="I48" s="21"/>
      <c r="J48" s="21"/>
      <c r="K48" s="21"/>
    </row>
    <row r="49" spans="1:11" s="22" customFormat="1">
      <c r="A49" s="22" t="s">
        <v>1134</v>
      </c>
      <c r="B49" s="22" t="s">
        <v>251</v>
      </c>
      <c r="C49" s="22" t="s">
        <v>431</v>
      </c>
      <c r="I49" s="21"/>
      <c r="J49" s="21"/>
      <c r="K49" s="21"/>
    </row>
    <row r="50" spans="1:11" s="22" customFormat="1">
      <c r="A50" s="22" t="s">
        <v>1134</v>
      </c>
      <c r="B50" s="30" t="s">
        <v>282</v>
      </c>
      <c r="C50" s="22" t="s">
        <v>554</v>
      </c>
      <c r="I50" s="21"/>
      <c r="J50" s="21"/>
      <c r="K50" s="21"/>
    </row>
    <row r="51" spans="1:11" s="22" customFormat="1">
      <c r="A51" s="22" t="s">
        <v>1134</v>
      </c>
      <c r="B51" s="30" t="s">
        <v>532</v>
      </c>
      <c r="C51" s="22" t="s">
        <v>530</v>
      </c>
      <c r="I51" s="21"/>
      <c r="J51" s="21"/>
      <c r="K51" s="21"/>
    </row>
    <row r="52" spans="1:11" s="22" customFormat="1">
      <c r="A52" s="22" t="s">
        <v>1134</v>
      </c>
      <c r="B52" s="30" t="s">
        <v>332</v>
      </c>
      <c r="C52" s="22" t="s">
        <v>555</v>
      </c>
      <c r="I52" s="21"/>
      <c r="J52" s="21"/>
      <c r="K52" s="21"/>
    </row>
    <row r="53" spans="1:11" s="22" customFormat="1">
      <c r="A53" s="22" t="s">
        <v>1134</v>
      </c>
      <c r="B53" s="30" t="s">
        <v>214</v>
      </c>
      <c r="C53" s="22" t="s">
        <v>531</v>
      </c>
      <c r="I53" s="21"/>
      <c r="J53" s="21"/>
      <c r="K53" s="21"/>
    </row>
    <row r="54" spans="1:11" s="22" customFormat="1">
      <c r="A54" s="22" t="s">
        <v>1134</v>
      </c>
      <c r="B54" s="30" t="s">
        <v>307</v>
      </c>
      <c r="C54" s="22" t="s">
        <v>574</v>
      </c>
      <c r="I54" s="21"/>
      <c r="J54" s="21"/>
      <c r="K54" s="21"/>
    </row>
    <row r="55" spans="1:11" s="22" customFormat="1">
      <c r="A55" s="22" t="s">
        <v>1134</v>
      </c>
      <c r="B55" s="30" t="s">
        <v>869</v>
      </c>
      <c r="C55" s="22" t="s">
        <v>579</v>
      </c>
      <c r="I55" s="21"/>
      <c r="J55" s="21"/>
      <c r="K55" s="21"/>
    </row>
    <row r="56" spans="1:11" s="22" customFormat="1">
      <c r="A56" s="22" t="s">
        <v>1134</v>
      </c>
      <c r="B56" s="30" t="s">
        <v>333</v>
      </c>
      <c r="C56" s="22" t="s">
        <v>573</v>
      </c>
      <c r="I56" s="21"/>
      <c r="J56" s="21"/>
      <c r="K56" s="21"/>
    </row>
    <row r="57" spans="1:11" s="22" customFormat="1">
      <c r="A57" s="22" t="s">
        <v>1134</v>
      </c>
      <c r="B57" s="30" t="s">
        <v>283</v>
      </c>
      <c r="C57" s="22" t="s">
        <v>556</v>
      </c>
      <c r="I57" s="21"/>
      <c r="J57" s="21"/>
      <c r="K57" s="21"/>
    </row>
    <row r="58" spans="1:11" s="22" customFormat="1">
      <c r="A58" s="22" t="s">
        <v>1134</v>
      </c>
      <c r="B58" s="30" t="s">
        <v>537</v>
      </c>
      <c r="C58" s="22" t="s">
        <v>533</v>
      </c>
      <c r="I58" s="21"/>
      <c r="J58" s="21"/>
      <c r="K58" s="21"/>
    </row>
    <row r="59" spans="1:11" s="22" customFormat="1">
      <c r="A59" s="22" t="s">
        <v>1134</v>
      </c>
      <c r="B59" s="30" t="s">
        <v>334</v>
      </c>
      <c r="C59" s="22" t="s">
        <v>557</v>
      </c>
      <c r="I59" s="21"/>
      <c r="J59" s="21"/>
      <c r="K59" s="21"/>
    </row>
    <row r="60" spans="1:11" s="22" customFormat="1">
      <c r="A60" s="22" t="s">
        <v>1134</v>
      </c>
      <c r="B60" s="30" t="s">
        <v>252</v>
      </c>
      <c r="C60" s="22" t="s">
        <v>534</v>
      </c>
      <c r="I60" s="21"/>
      <c r="J60" s="21"/>
      <c r="K60" s="21"/>
    </row>
    <row r="61" spans="1:11" s="22" customFormat="1">
      <c r="A61" s="22" t="s">
        <v>1134</v>
      </c>
      <c r="B61" s="30" t="s">
        <v>284</v>
      </c>
      <c r="C61" s="22" t="s">
        <v>575</v>
      </c>
      <c r="I61" s="21"/>
      <c r="J61" s="21"/>
      <c r="K61" s="21"/>
    </row>
    <row r="62" spans="1:11" s="22" customFormat="1">
      <c r="A62" s="22" t="s">
        <v>1134</v>
      </c>
      <c r="B62" s="30" t="s">
        <v>870</v>
      </c>
      <c r="C62" s="22" t="s">
        <v>580</v>
      </c>
      <c r="I62" s="21"/>
      <c r="J62" s="21"/>
      <c r="K62" s="21"/>
    </row>
    <row r="63" spans="1:11" s="22" customFormat="1">
      <c r="A63" s="22" t="s">
        <v>1134</v>
      </c>
      <c r="B63" s="30" t="s">
        <v>335</v>
      </c>
      <c r="C63" s="22" t="s">
        <v>576</v>
      </c>
      <c r="I63" s="21"/>
      <c r="J63" s="21"/>
      <c r="K63" s="21"/>
    </row>
    <row r="64" spans="1:11" s="22" customFormat="1">
      <c r="A64" s="22" t="s">
        <v>1134</v>
      </c>
      <c r="B64" s="30" t="s">
        <v>285</v>
      </c>
      <c r="C64" s="22" t="s">
        <v>558</v>
      </c>
      <c r="I64" s="21"/>
      <c r="J64" s="21"/>
      <c r="K64" s="21"/>
    </row>
    <row r="65" spans="1:11" s="22" customFormat="1">
      <c r="A65" s="22" t="s">
        <v>1134</v>
      </c>
      <c r="B65" s="30" t="s">
        <v>597</v>
      </c>
      <c r="C65" s="22" t="s">
        <v>535</v>
      </c>
      <c r="I65" s="21"/>
      <c r="J65" s="21"/>
      <c r="K65" s="21"/>
    </row>
    <row r="66" spans="1:11" s="22" customFormat="1">
      <c r="A66" s="22" t="s">
        <v>1134</v>
      </c>
      <c r="B66" s="30" t="s">
        <v>336</v>
      </c>
      <c r="C66" s="22" t="s">
        <v>559</v>
      </c>
      <c r="I66" s="21"/>
      <c r="J66" s="21"/>
      <c r="K66" s="21"/>
    </row>
    <row r="67" spans="1:11" s="22" customFormat="1">
      <c r="A67" s="22" t="s">
        <v>1134</v>
      </c>
      <c r="B67" s="30" t="s">
        <v>253</v>
      </c>
      <c r="C67" s="22" t="s">
        <v>536</v>
      </c>
      <c r="I67" s="21"/>
      <c r="J67" s="21"/>
      <c r="K67" s="21"/>
    </row>
    <row r="68" spans="1:11" s="22" customFormat="1">
      <c r="A68" s="22" t="s">
        <v>1134</v>
      </c>
      <c r="B68" s="30" t="s">
        <v>286</v>
      </c>
      <c r="C68" s="22" t="s">
        <v>577</v>
      </c>
      <c r="I68" s="21"/>
      <c r="J68" s="21"/>
      <c r="K68" s="21"/>
    </row>
    <row r="69" spans="1:11" s="22" customFormat="1">
      <c r="A69" s="22" t="s">
        <v>1134</v>
      </c>
      <c r="B69" s="30" t="s">
        <v>871</v>
      </c>
      <c r="C69" s="22" t="s">
        <v>581</v>
      </c>
      <c r="I69" s="21"/>
      <c r="J69" s="21"/>
      <c r="K69" s="21"/>
    </row>
    <row r="70" spans="1:11" s="22" customFormat="1">
      <c r="A70" s="22" t="s">
        <v>1134</v>
      </c>
      <c r="B70" s="30" t="s">
        <v>308</v>
      </c>
      <c r="C70" s="22" t="s">
        <v>578</v>
      </c>
      <c r="I70" s="21"/>
      <c r="J70" s="21"/>
      <c r="K70" s="21"/>
    </row>
    <row r="71" spans="1:11" s="22" customFormat="1">
      <c r="A71" s="22" t="s">
        <v>1134</v>
      </c>
      <c r="B71" s="30" t="s">
        <v>337</v>
      </c>
      <c r="C71" s="22" t="s">
        <v>560</v>
      </c>
      <c r="I71" s="21"/>
      <c r="J71" s="21"/>
      <c r="K71" s="21"/>
    </row>
    <row r="72" spans="1:11" s="22" customFormat="1">
      <c r="A72" s="22" t="s">
        <v>1134</v>
      </c>
      <c r="B72" s="30" t="s">
        <v>548</v>
      </c>
      <c r="C72" s="22" t="s">
        <v>538</v>
      </c>
      <c r="I72" s="21"/>
      <c r="J72" s="21"/>
      <c r="K72" s="21"/>
    </row>
    <row r="73" spans="1:11" s="22" customFormat="1">
      <c r="A73" s="22" t="s">
        <v>1134</v>
      </c>
      <c r="B73" s="30" t="s">
        <v>338</v>
      </c>
      <c r="C73" s="22" t="s">
        <v>561</v>
      </c>
      <c r="I73" s="21"/>
      <c r="J73" s="21"/>
      <c r="K73" s="21"/>
    </row>
    <row r="74" spans="1:11" s="22" customFormat="1">
      <c r="A74" s="22" t="s">
        <v>1134</v>
      </c>
      <c r="B74" s="30" t="s">
        <v>339</v>
      </c>
      <c r="C74" s="22" t="s">
        <v>539</v>
      </c>
      <c r="I74" s="21"/>
      <c r="J74" s="21"/>
      <c r="K74" s="21"/>
    </row>
    <row r="75" spans="1:11" s="22" customFormat="1">
      <c r="A75" s="22" t="s">
        <v>1134</v>
      </c>
      <c r="B75" s="30" t="s">
        <v>340</v>
      </c>
      <c r="C75" s="22" t="s">
        <v>582</v>
      </c>
      <c r="I75" s="21"/>
      <c r="J75" s="21"/>
      <c r="K75" s="21"/>
    </row>
    <row r="76" spans="1:11" s="22" customFormat="1">
      <c r="A76" s="22" t="s">
        <v>1134</v>
      </c>
      <c r="B76" s="30" t="s">
        <v>872</v>
      </c>
      <c r="C76" s="22" t="s">
        <v>583</v>
      </c>
      <c r="I76" s="21"/>
      <c r="J76" s="21"/>
      <c r="K76" s="21"/>
    </row>
    <row r="77" spans="1:11" s="22" customFormat="1">
      <c r="A77" s="22" t="s">
        <v>1134</v>
      </c>
      <c r="B77" s="30" t="s">
        <v>549</v>
      </c>
      <c r="C77" s="22" t="s">
        <v>584</v>
      </c>
      <c r="I77" s="21"/>
      <c r="J77" s="21"/>
      <c r="K77" s="21"/>
    </row>
    <row r="78" spans="1:11" s="22" customFormat="1">
      <c r="A78" s="22" t="s">
        <v>1134</v>
      </c>
      <c r="B78" s="30" t="s">
        <v>598</v>
      </c>
      <c r="C78" s="22" t="s">
        <v>562</v>
      </c>
      <c r="I78" s="21"/>
      <c r="J78" s="21"/>
      <c r="K78" s="21"/>
    </row>
    <row r="79" spans="1:11" s="22" customFormat="1">
      <c r="A79" s="22" t="s">
        <v>1134</v>
      </c>
      <c r="B79" s="30" t="s">
        <v>550</v>
      </c>
      <c r="C79" s="22" t="s">
        <v>540</v>
      </c>
      <c r="I79" s="21"/>
      <c r="J79" s="21"/>
      <c r="K79" s="21"/>
    </row>
    <row r="80" spans="1:11" s="22" customFormat="1">
      <c r="A80" s="22" t="s">
        <v>1134</v>
      </c>
      <c r="B80" s="30" t="s">
        <v>551</v>
      </c>
      <c r="C80" s="22" t="s">
        <v>563</v>
      </c>
      <c r="I80" s="21"/>
      <c r="J80" s="21"/>
      <c r="K80" s="21"/>
    </row>
    <row r="81" spans="1:11" s="22" customFormat="1">
      <c r="A81" s="22" t="s">
        <v>1134</v>
      </c>
      <c r="B81" s="30" t="s">
        <v>552</v>
      </c>
      <c r="C81" s="22" t="s">
        <v>541</v>
      </c>
      <c r="I81" s="21"/>
      <c r="J81" s="21"/>
      <c r="K81" s="21"/>
    </row>
    <row r="82" spans="1:11" s="22" customFormat="1">
      <c r="A82" s="22" t="s">
        <v>1134</v>
      </c>
      <c r="B82" s="30" t="s">
        <v>553</v>
      </c>
      <c r="C82" s="22" t="s">
        <v>585</v>
      </c>
      <c r="I82" s="21"/>
      <c r="J82" s="21"/>
      <c r="K82" s="21"/>
    </row>
    <row r="83" spans="1:11" s="22" customFormat="1">
      <c r="A83" s="22" t="s">
        <v>1134</v>
      </c>
      <c r="B83" s="30" t="s">
        <v>873</v>
      </c>
      <c r="C83" s="22" t="s">
        <v>586</v>
      </c>
      <c r="I83" s="21"/>
      <c r="J83" s="21"/>
      <c r="K83" s="21"/>
    </row>
    <row r="84" spans="1:11" s="22" customFormat="1">
      <c r="A84" s="22" t="s">
        <v>1134</v>
      </c>
      <c r="B84" s="30" t="s">
        <v>599</v>
      </c>
      <c r="C84" s="22" t="s">
        <v>587</v>
      </c>
      <c r="I84" s="21"/>
      <c r="J84" s="21"/>
      <c r="K84" s="21"/>
    </row>
    <row r="85" spans="1:11" s="22" customFormat="1">
      <c r="A85" s="22" t="s">
        <v>1134</v>
      </c>
      <c r="B85" s="30" t="s">
        <v>600</v>
      </c>
      <c r="C85" s="22" t="s">
        <v>564</v>
      </c>
      <c r="I85" s="21"/>
      <c r="J85" s="21"/>
      <c r="K85" s="21"/>
    </row>
    <row r="86" spans="1:11" s="22" customFormat="1">
      <c r="A86" s="22" t="s">
        <v>1134</v>
      </c>
      <c r="B86" s="30" t="s">
        <v>601</v>
      </c>
      <c r="C86" s="22" t="s">
        <v>542</v>
      </c>
      <c r="I86" s="21"/>
      <c r="J86" s="21"/>
      <c r="K86" s="21"/>
    </row>
    <row r="87" spans="1:11" s="22" customFormat="1">
      <c r="A87" s="22" t="s">
        <v>1134</v>
      </c>
      <c r="B87" s="30" t="s">
        <v>602</v>
      </c>
      <c r="C87" s="22" t="s">
        <v>565</v>
      </c>
      <c r="I87" s="21"/>
      <c r="J87" s="21"/>
      <c r="K87" s="21"/>
    </row>
    <row r="88" spans="1:11" s="22" customFormat="1">
      <c r="A88" s="22" t="s">
        <v>1134</v>
      </c>
      <c r="B88" s="30" t="s">
        <v>603</v>
      </c>
      <c r="C88" s="22" t="s">
        <v>543</v>
      </c>
      <c r="I88" s="21"/>
      <c r="J88" s="21"/>
      <c r="K88" s="21"/>
    </row>
    <row r="89" spans="1:11" s="22" customFormat="1">
      <c r="A89" s="22" t="s">
        <v>1134</v>
      </c>
      <c r="B89" s="30" t="s">
        <v>604</v>
      </c>
      <c r="C89" s="22" t="s">
        <v>588</v>
      </c>
      <c r="I89" s="21"/>
      <c r="J89" s="21"/>
      <c r="K89" s="21"/>
    </row>
    <row r="90" spans="1:11" s="22" customFormat="1">
      <c r="A90" s="22" t="s">
        <v>1134</v>
      </c>
      <c r="B90" s="30" t="s">
        <v>874</v>
      </c>
      <c r="C90" s="22" t="s">
        <v>589</v>
      </c>
      <c r="I90" s="21"/>
      <c r="J90" s="21"/>
      <c r="K90" s="21"/>
    </row>
    <row r="91" spans="1:11" s="22" customFormat="1">
      <c r="A91" s="22" t="s">
        <v>1134</v>
      </c>
      <c r="B91" s="30" t="s">
        <v>605</v>
      </c>
      <c r="C91" s="22" t="s">
        <v>590</v>
      </c>
      <c r="I91" s="21"/>
      <c r="J91" s="21"/>
      <c r="K91" s="21"/>
    </row>
    <row r="92" spans="1:11" s="22" customFormat="1">
      <c r="A92" s="22" t="s">
        <v>1134</v>
      </c>
      <c r="B92" s="30" t="s">
        <v>606</v>
      </c>
      <c r="C92" s="22" t="s">
        <v>566</v>
      </c>
      <c r="I92" s="21"/>
      <c r="J92" s="21"/>
      <c r="K92" s="21"/>
    </row>
    <row r="93" spans="1:11" s="22" customFormat="1">
      <c r="A93" s="22" t="s">
        <v>1134</v>
      </c>
      <c r="B93" s="30" t="s">
        <v>607</v>
      </c>
      <c r="C93" s="22" t="s">
        <v>544</v>
      </c>
      <c r="I93" s="21"/>
      <c r="J93" s="21"/>
      <c r="K93" s="21"/>
    </row>
    <row r="94" spans="1:11" s="22" customFormat="1">
      <c r="A94" s="22" t="s">
        <v>1134</v>
      </c>
      <c r="B94" s="30" t="s">
        <v>608</v>
      </c>
      <c r="C94" s="22" t="s">
        <v>567</v>
      </c>
      <c r="I94" s="21"/>
      <c r="J94" s="21"/>
      <c r="K94" s="21"/>
    </row>
    <row r="95" spans="1:11" s="22" customFormat="1">
      <c r="A95" s="22" t="s">
        <v>1134</v>
      </c>
      <c r="B95" s="30" t="s">
        <v>609</v>
      </c>
      <c r="C95" s="22" t="s">
        <v>545</v>
      </c>
      <c r="I95" s="21"/>
      <c r="J95" s="21"/>
      <c r="K95" s="21"/>
    </row>
    <row r="96" spans="1:11" s="22" customFormat="1">
      <c r="A96" s="22" t="s">
        <v>1134</v>
      </c>
      <c r="B96" s="30" t="s">
        <v>610</v>
      </c>
      <c r="C96" s="22" t="s">
        <v>591</v>
      </c>
      <c r="I96" s="21"/>
      <c r="J96" s="21"/>
      <c r="K96" s="21"/>
    </row>
    <row r="97" spans="1:11" s="22" customFormat="1">
      <c r="A97" s="22" t="s">
        <v>1134</v>
      </c>
      <c r="B97" s="30" t="s">
        <v>875</v>
      </c>
      <c r="C97" s="22" t="s">
        <v>592</v>
      </c>
      <c r="I97" s="21"/>
      <c r="J97" s="21"/>
      <c r="K97" s="21"/>
    </row>
    <row r="98" spans="1:11" s="22" customFormat="1">
      <c r="A98" s="22" t="s">
        <v>1134</v>
      </c>
      <c r="B98" s="30" t="s">
        <v>611</v>
      </c>
      <c r="C98" s="22" t="s">
        <v>593</v>
      </c>
      <c r="I98" s="21"/>
      <c r="J98" s="21"/>
      <c r="K98" s="21"/>
    </row>
    <row r="99" spans="1:11" s="22" customFormat="1">
      <c r="A99" s="22" t="s">
        <v>1134</v>
      </c>
      <c r="B99" s="30" t="s">
        <v>612</v>
      </c>
      <c r="C99" s="22" t="s">
        <v>568</v>
      </c>
      <c r="I99" s="21"/>
      <c r="J99" s="21"/>
      <c r="K99" s="21"/>
    </row>
    <row r="100" spans="1:11" s="22" customFormat="1">
      <c r="A100" s="22" t="s">
        <v>1134</v>
      </c>
      <c r="B100" s="30" t="s">
        <v>613</v>
      </c>
      <c r="C100" s="22" t="s">
        <v>546</v>
      </c>
      <c r="I100" s="21"/>
      <c r="J100" s="21"/>
      <c r="K100" s="21"/>
    </row>
    <row r="101" spans="1:11" s="22" customFormat="1">
      <c r="A101" s="22" t="s">
        <v>1134</v>
      </c>
      <c r="B101" s="30" t="s">
        <v>614</v>
      </c>
      <c r="C101" s="22" t="s">
        <v>569</v>
      </c>
      <c r="I101" s="21"/>
      <c r="J101" s="21"/>
      <c r="K101" s="21"/>
    </row>
    <row r="102" spans="1:11" s="22" customFormat="1">
      <c r="A102" s="22" t="s">
        <v>1134</v>
      </c>
      <c r="B102" s="30" t="s">
        <v>615</v>
      </c>
      <c r="C102" s="22" t="s">
        <v>547</v>
      </c>
      <c r="I102" s="21"/>
      <c r="J102" s="21"/>
      <c r="K102" s="21"/>
    </row>
    <row r="103" spans="1:11" s="22" customFormat="1">
      <c r="A103" s="22" t="s">
        <v>1134</v>
      </c>
      <c r="B103" s="30" t="s">
        <v>616</v>
      </c>
      <c r="C103" s="22" t="s">
        <v>594</v>
      </c>
      <c r="I103" s="21"/>
      <c r="J103" s="21"/>
      <c r="K103" s="21"/>
    </row>
    <row r="104" spans="1:11" s="22" customFormat="1">
      <c r="A104" s="22" t="s">
        <v>1134</v>
      </c>
      <c r="B104" s="30" t="s">
        <v>876</v>
      </c>
      <c r="C104" s="22" t="s">
        <v>595</v>
      </c>
      <c r="I104" s="21"/>
      <c r="J104" s="21"/>
      <c r="K104" s="21"/>
    </row>
    <row r="105" spans="1:11" s="22" customFormat="1">
      <c r="A105" s="22" t="s">
        <v>1134</v>
      </c>
      <c r="B105" s="30" t="s">
        <v>877</v>
      </c>
      <c r="C105" s="22" t="s">
        <v>596</v>
      </c>
      <c r="I105" s="21"/>
      <c r="J105" s="21"/>
      <c r="K105" s="21"/>
    </row>
    <row r="106" spans="1:11" s="22" customFormat="1">
      <c r="A106" s="22" t="s">
        <v>1135</v>
      </c>
      <c r="B106" s="30" t="s">
        <v>804</v>
      </c>
      <c r="C106" s="22" t="s">
        <v>310</v>
      </c>
      <c r="I106" s="21"/>
      <c r="J106" s="21"/>
      <c r="K106" s="21"/>
    </row>
    <row r="107" spans="1:11" s="22" customFormat="1">
      <c r="A107" s="22" t="s">
        <v>1135</v>
      </c>
      <c r="B107" s="30" t="s">
        <v>805</v>
      </c>
      <c r="C107" s="22" t="s">
        <v>243</v>
      </c>
      <c r="I107" s="21"/>
      <c r="J107" s="21"/>
      <c r="K107" s="21"/>
    </row>
    <row r="108" spans="1:11" s="22" customFormat="1">
      <c r="A108" s="22" t="s">
        <v>1135</v>
      </c>
      <c r="B108" s="30" t="s">
        <v>806</v>
      </c>
      <c r="C108" s="22" t="s">
        <v>259</v>
      </c>
      <c r="I108" s="21"/>
      <c r="J108" s="21"/>
      <c r="K108" s="21"/>
    </row>
    <row r="109" spans="1:11" s="22" customFormat="1">
      <c r="A109" s="22" t="s">
        <v>1135</v>
      </c>
      <c r="B109" s="30" t="s">
        <v>807</v>
      </c>
      <c r="C109" s="22" t="s">
        <v>244</v>
      </c>
      <c r="I109" s="21"/>
      <c r="J109" s="21"/>
      <c r="K109" s="21"/>
    </row>
    <row r="110" spans="1:11" s="22" customFormat="1">
      <c r="A110" s="22" t="s">
        <v>1135</v>
      </c>
      <c r="B110" s="30" t="s">
        <v>179</v>
      </c>
      <c r="C110" s="22" t="s">
        <v>524</v>
      </c>
      <c r="I110" s="21"/>
      <c r="J110" s="21"/>
      <c r="K110" s="21"/>
    </row>
    <row r="111" spans="1:11" s="22" customFormat="1">
      <c r="A111" s="22" t="s">
        <v>1135</v>
      </c>
      <c r="B111" s="30" t="s">
        <v>808</v>
      </c>
      <c r="C111" s="22" t="s">
        <v>311</v>
      </c>
      <c r="I111" s="21"/>
      <c r="J111" s="21"/>
      <c r="K111" s="21"/>
    </row>
    <row r="112" spans="1:11" s="22" customFormat="1">
      <c r="A112" s="22" t="s">
        <v>1135</v>
      </c>
      <c r="B112" s="30" t="s">
        <v>809</v>
      </c>
      <c r="C112" s="22" t="s">
        <v>245</v>
      </c>
      <c r="I112" s="21"/>
      <c r="J112" s="21"/>
      <c r="K112" s="21"/>
    </row>
    <row r="113" spans="1:11" s="22" customFormat="1">
      <c r="A113" s="22" t="s">
        <v>1135</v>
      </c>
      <c r="B113" s="30" t="s">
        <v>810</v>
      </c>
      <c r="C113" s="22" t="s">
        <v>260</v>
      </c>
      <c r="I113" s="21"/>
      <c r="J113" s="21"/>
      <c r="K113" s="21"/>
    </row>
    <row r="114" spans="1:11" s="22" customFormat="1">
      <c r="A114" s="22" t="s">
        <v>1135</v>
      </c>
      <c r="B114" s="30" t="s">
        <v>811</v>
      </c>
      <c r="C114" s="22" t="s">
        <v>246</v>
      </c>
      <c r="I114" s="21"/>
      <c r="J114" s="21"/>
      <c r="K114" s="21"/>
    </row>
    <row r="115" spans="1:11">
      <c r="A115" s="22" t="s">
        <v>1135</v>
      </c>
      <c r="B115" s="30" t="s">
        <v>812</v>
      </c>
      <c r="C115" s="22" t="s">
        <v>525</v>
      </c>
    </row>
    <row r="116" spans="1:11">
      <c r="A116" s="22" t="s">
        <v>1135</v>
      </c>
      <c r="B116" s="30" t="s">
        <v>813</v>
      </c>
      <c r="C116" s="22" t="s">
        <v>440</v>
      </c>
    </row>
    <row r="117" spans="1:11">
      <c r="A117" s="22" t="s">
        <v>1135</v>
      </c>
      <c r="B117" s="30" t="s">
        <v>814</v>
      </c>
      <c r="C117" s="22" t="s">
        <v>441</v>
      </c>
    </row>
    <row r="118" spans="1:11">
      <c r="A118" s="22" t="s">
        <v>1135</v>
      </c>
      <c r="B118" s="30" t="s">
        <v>815</v>
      </c>
      <c r="C118" s="22" t="s">
        <v>442</v>
      </c>
    </row>
    <row r="119" spans="1:11">
      <c r="A119" s="22" t="s">
        <v>1135</v>
      </c>
      <c r="B119" s="30" t="s">
        <v>816</v>
      </c>
      <c r="C119" s="22" t="s">
        <v>443</v>
      </c>
    </row>
    <row r="120" spans="1:11">
      <c r="A120" s="22" t="s">
        <v>1135</v>
      </c>
      <c r="B120" s="30" t="s">
        <v>817</v>
      </c>
      <c r="C120" s="22" t="s">
        <v>526</v>
      </c>
    </row>
    <row r="121" spans="1:11">
      <c r="A121" s="22" t="s">
        <v>1135</v>
      </c>
      <c r="B121" s="30" t="s">
        <v>818</v>
      </c>
      <c r="C121" s="22" t="s">
        <v>819</v>
      </c>
    </row>
    <row r="122" spans="1:11">
      <c r="A122" s="22" t="s">
        <v>1135</v>
      </c>
      <c r="B122" s="30" t="s">
        <v>281</v>
      </c>
      <c r="C122" s="22" t="s">
        <v>820</v>
      </c>
    </row>
    <row r="123" spans="1:11">
      <c r="A123" s="28"/>
      <c r="B123" s="28"/>
      <c r="C123" s="28"/>
      <c r="D123" s="28"/>
      <c r="E123" s="29" t="s">
        <v>341</v>
      </c>
      <c r="F123" s="28"/>
      <c r="G123" s="28"/>
      <c r="H123" s="28"/>
      <c r="I123" s="28"/>
    </row>
    <row r="124" spans="1:11">
      <c r="A124" s="22" t="s">
        <v>1134</v>
      </c>
      <c r="B124" s="30"/>
      <c r="C124" s="30"/>
      <c r="D124" s="22" t="s">
        <v>369</v>
      </c>
      <c r="E124" s="30" t="s">
        <v>115</v>
      </c>
      <c r="F124" s="30" t="s">
        <v>111</v>
      </c>
      <c r="G124" s="30" t="s">
        <v>863</v>
      </c>
      <c r="H124" s="30" t="s">
        <v>241</v>
      </c>
      <c r="I124" s="30" t="s">
        <v>114</v>
      </c>
      <c r="J124" s="21">
        <v>1</v>
      </c>
    </row>
    <row r="125" spans="1:11">
      <c r="A125" s="22" t="s">
        <v>1134</v>
      </c>
      <c r="B125" s="30"/>
      <c r="C125" s="30"/>
      <c r="D125" s="22" t="s">
        <v>176</v>
      </c>
      <c r="E125" s="30" t="s">
        <v>120</v>
      </c>
      <c r="F125" s="30" t="s">
        <v>111</v>
      </c>
      <c r="G125" s="30" t="s">
        <v>863</v>
      </c>
      <c r="H125" s="30" t="s">
        <v>241</v>
      </c>
      <c r="I125" s="30" t="s">
        <v>114</v>
      </c>
      <c r="J125" s="21">
        <v>2</v>
      </c>
    </row>
    <row r="126" spans="1:11">
      <c r="A126" s="22" t="s">
        <v>1134</v>
      </c>
      <c r="B126" s="30"/>
      <c r="C126" s="30"/>
      <c r="D126" s="30" t="s">
        <v>177</v>
      </c>
      <c r="E126" s="30" t="s">
        <v>112</v>
      </c>
      <c r="F126" s="30" t="s">
        <v>111</v>
      </c>
      <c r="G126" s="30" t="s">
        <v>113</v>
      </c>
      <c r="H126" s="30" t="s">
        <v>241</v>
      </c>
      <c r="I126" s="30" t="s">
        <v>114</v>
      </c>
      <c r="J126" s="21">
        <v>3</v>
      </c>
    </row>
    <row r="127" spans="1:11">
      <c r="A127" s="22" t="s">
        <v>1134</v>
      </c>
      <c r="C127" s="30"/>
      <c r="D127" s="30" t="s">
        <v>233</v>
      </c>
      <c r="E127" s="30" t="s">
        <v>115</v>
      </c>
      <c r="F127" s="30" t="s">
        <v>111</v>
      </c>
      <c r="G127" s="30" t="s">
        <v>863</v>
      </c>
      <c r="H127" s="30" t="s">
        <v>241</v>
      </c>
      <c r="I127" s="30" t="s">
        <v>204</v>
      </c>
      <c r="J127" s="21">
        <v>4</v>
      </c>
    </row>
    <row r="128" spans="1:11">
      <c r="A128" s="22" t="s">
        <v>1134</v>
      </c>
      <c r="C128" s="30"/>
      <c r="D128" s="30" t="s">
        <v>287</v>
      </c>
      <c r="E128" s="30" t="s">
        <v>115</v>
      </c>
      <c r="F128" s="30" t="s">
        <v>111</v>
      </c>
      <c r="G128" s="30" t="s">
        <v>863</v>
      </c>
      <c r="H128" s="30" t="s">
        <v>241</v>
      </c>
      <c r="I128" s="30" t="s">
        <v>232</v>
      </c>
      <c r="J128" s="21">
        <v>5</v>
      </c>
    </row>
    <row r="129" spans="1:10">
      <c r="A129" s="22" t="s">
        <v>1134</v>
      </c>
      <c r="B129" s="30"/>
      <c r="C129" s="30"/>
      <c r="D129" s="30" t="s">
        <v>288</v>
      </c>
      <c r="E129" s="30" t="s">
        <v>115</v>
      </c>
      <c r="F129" s="30" t="s">
        <v>111</v>
      </c>
      <c r="G129" s="30" t="s">
        <v>863</v>
      </c>
      <c r="H129" s="30" t="s">
        <v>241</v>
      </c>
      <c r="I129" s="30" t="s">
        <v>118</v>
      </c>
      <c r="J129" s="21">
        <v>6</v>
      </c>
    </row>
    <row r="130" spans="1:10">
      <c r="A130" s="22" t="s">
        <v>1134</v>
      </c>
      <c r="B130" s="30"/>
      <c r="C130" s="30"/>
      <c r="D130" s="30" t="s">
        <v>370</v>
      </c>
      <c r="E130" s="30" t="s">
        <v>115</v>
      </c>
      <c r="F130" s="30" t="s">
        <v>111</v>
      </c>
      <c r="G130" s="30" t="s">
        <v>864</v>
      </c>
      <c r="H130" s="30" t="s">
        <v>241</v>
      </c>
      <c r="I130" s="30" t="s">
        <v>118</v>
      </c>
      <c r="J130" s="21">
        <v>7</v>
      </c>
    </row>
    <row r="131" spans="1:10">
      <c r="A131" s="22" t="s">
        <v>1134</v>
      </c>
      <c r="C131" s="30"/>
      <c r="D131" s="30" t="s">
        <v>879</v>
      </c>
      <c r="E131" s="30" t="s">
        <v>112</v>
      </c>
      <c r="F131" s="30" t="s">
        <v>247</v>
      </c>
      <c r="G131" s="30"/>
      <c r="H131" s="30" t="s">
        <v>241</v>
      </c>
      <c r="I131" s="30" t="s">
        <v>118</v>
      </c>
      <c r="J131" s="21">
        <v>8</v>
      </c>
    </row>
    <row r="132" spans="1:10">
      <c r="A132" s="22" t="s">
        <v>1134</v>
      </c>
      <c r="C132" s="30"/>
      <c r="D132" s="30" t="s">
        <v>880</v>
      </c>
      <c r="E132" s="30" t="s">
        <v>127</v>
      </c>
      <c r="F132" s="30" t="s">
        <v>247</v>
      </c>
      <c r="G132" s="30"/>
      <c r="H132" s="30" t="s">
        <v>241</v>
      </c>
      <c r="I132" s="30" t="s">
        <v>118</v>
      </c>
      <c r="J132" s="21">
        <v>9</v>
      </c>
    </row>
    <row r="133" spans="1:10">
      <c r="A133" s="22" t="s">
        <v>1134</v>
      </c>
      <c r="B133" s="30"/>
      <c r="C133" s="30"/>
      <c r="D133" s="30" t="s">
        <v>881</v>
      </c>
      <c r="E133" s="30" t="s">
        <v>112</v>
      </c>
      <c r="F133" s="30" t="s">
        <v>123</v>
      </c>
      <c r="G133" s="30"/>
      <c r="H133" s="30" t="s">
        <v>241</v>
      </c>
      <c r="I133" s="30" t="s">
        <v>240</v>
      </c>
      <c r="J133" s="21">
        <v>10</v>
      </c>
    </row>
    <row r="134" spans="1:10">
      <c r="A134" s="22" t="s">
        <v>1134</v>
      </c>
      <c r="B134" s="30"/>
      <c r="C134" s="30"/>
      <c r="D134" s="30" t="s">
        <v>882</v>
      </c>
      <c r="E134" s="30" t="s">
        <v>127</v>
      </c>
      <c r="F134" s="30" t="s">
        <v>123</v>
      </c>
      <c r="G134" s="30"/>
      <c r="H134" s="30" t="s">
        <v>241</v>
      </c>
      <c r="I134" s="30" t="s">
        <v>240</v>
      </c>
      <c r="J134" s="21">
        <v>11</v>
      </c>
    </row>
    <row r="135" spans="1:10">
      <c r="A135" s="22" t="s">
        <v>1134</v>
      </c>
      <c r="B135" s="30"/>
      <c r="C135" s="30"/>
      <c r="D135" s="30" t="s">
        <v>371</v>
      </c>
      <c r="E135" s="30" t="s">
        <v>112</v>
      </c>
      <c r="F135" s="30" t="s">
        <v>866</v>
      </c>
      <c r="G135" s="30"/>
      <c r="H135" s="30" t="s">
        <v>241</v>
      </c>
      <c r="I135" s="30" t="s">
        <v>126</v>
      </c>
      <c r="J135" s="21">
        <v>12</v>
      </c>
    </row>
    <row r="136" spans="1:10">
      <c r="A136" s="22" t="s">
        <v>1134</v>
      </c>
      <c r="B136" s="30"/>
      <c r="C136" s="30"/>
      <c r="D136" s="30" t="s">
        <v>372</v>
      </c>
      <c r="E136" s="30" t="s">
        <v>127</v>
      </c>
      <c r="F136" s="30" t="s">
        <v>866</v>
      </c>
      <c r="G136" s="30"/>
      <c r="H136" s="30" t="s">
        <v>241</v>
      </c>
      <c r="I136" s="30" t="s">
        <v>126</v>
      </c>
      <c r="J136" s="21">
        <v>13</v>
      </c>
    </row>
    <row r="137" spans="1:10">
      <c r="A137" s="22" t="s">
        <v>1134</v>
      </c>
      <c r="B137" s="30"/>
      <c r="C137" s="30"/>
      <c r="D137" s="30" t="s">
        <v>883</v>
      </c>
      <c r="E137" s="30" t="s">
        <v>112</v>
      </c>
      <c r="F137" s="30" t="s">
        <v>866</v>
      </c>
      <c r="G137" s="30"/>
      <c r="H137" s="30" t="s">
        <v>241</v>
      </c>
      <c r="I137" s="30" t="s">
        <v>128</v>
      </c>
      <c r="J137" s="21">
        <v>14</v>
      </c>
    </row>
    <row r="138" spans="1:10">
      <c r="A138" s="22" t="s">
        <v>1134</v>
      </c>
      <c r="B138" s="30"/>
      <c r="C138" s="30"/>
      <c r="D138" s="30" t="s">
        <v>884</v>
      </c>
      <c r="E138" s="30" t="s">
        <v>127</v>
      </c>
      <c r="F138" s="30" t="s">
        <v>866</v>
      </c>
      <c r="G138" s="30"/>
      <c r="H138" s="30" t="s">
        <v>241</v>
      </c>
      <c r="I138" s="30" t="s">
        <v>128</v>
      </c>
      <c r="J138" s="21">
        <v>15</v>
      </c>
    </row>
    <row r="139" spans="1:10">
      <c r="A139" s="22" t="s">
        <v>1134</v>
      </c>
      <c r="B139" s="30"/>
      <c r="C139" s="30"/>
      <c r="D139" s="22" t="s">
        <v>289</v>
      </c>
      <c r="E139" s="30" t="s">
        <v>120</v>
      </c>
      <c r="F139" s="30" t="s">
        <v>111</v>
      </c>
      <c r="G139" s="30"/>
      <c r="H139" s="30" t="s">
        <v>241</v>
      </c>
      <c r="I139" s="30" t="s">
        <v>213</v>
      </c>
      <c r="J139" s="21">
        <v>16</v>
      </c>
    </row>
    <row r="140" spans="1:10">
      <c r="A140" s="22" t="s">
        <v>1134</v>
      </c>
      <c r="B140" s="30"/>
      <c r="C140" s="30"/>
      <c r="D140" s="30" t="s">
        <v>623</v>
      </c>
      <c r="E140" s="30" t="s">
        <v>115</v>
      </c>
      <c r="F140" s="30" t="s">
        <v>178</v>
      </c>
      <c r="G140" s="30" t="s">
        <v>1191</v>
      </c>
      <c r="H140" s="30" t="s">
        <v>241</v>
      </c>
      <c r="I140" s="30" t="s">
        <v>114</v>
      </c>
      <c r="J140" s="21">
        <v>17</v>
      </c>
    </row>
    <row r="141" spans="1:10">
      <c r="A141" s="22" t="s">
        <v>1134</v>
      </c>
      <c r="B141" s="30"/>
      <c r="C141" s="30"/>
      <c r="D141" s="30" t="s">
        <v>373</v>
      </c>
      <c r="E141" s="30" t="s">
        <v>115</v>
      </c>
      <c r="F141" s="30" t="s">
        <v>178</v>
      </c>
      <c r="G141" s="30" t="s">
        <v>1192</v>
      </c>
      <c r="H141" s="30" t="s">
        <v>241</v>
      </c>
      <c r="I141" s="30" t="s">
        <v>114</v>
      </c>
      <c r="J141" s="21">
        <v>18</v>
      </c>
    </row>
    <row r="142" spans="1:10">
      <c r="A142" s="22" t="s">
        <v>1134</v>
      </c>
      <c r="B142" s="30"/>
      <c r="C142" s="30"/>
      <c r="D142" s="30" t="s">
        <v>1140</v>
      </c>
      <c r="E142" s="30" t="s">
        <v>112</v>
      </c>
      <c r="F142" s="30" t="s">
        <v>178</v>
      </c>
      <c r="G142" s="30" t="s">
        <v>571</v>
      </c>
      <c r="H142" s="30" t="s">
        <v>241</v>
      </c>
      <c r="I142" s="30" t="s">
        <v>572</v>
      </c>
      <c r="J142" s="21">
        <v>19</v>
      </c>
    </row>
    <row r="143" spans="1:10">
      <c r="A143" s="22" t="s">
        <v>1134</v>
      </c>
      <c r="B143" s="30"/>
      <c r="C143" s="30"/>
      <c r="D143" s="30" t="s">
        <v>624</v>
      </c>
      <c r="E143" s="30" t="s">
        <v>115</v>
      </c>
      <c r="F143" s="30" t="s">
        <v>179</v>
      </c>
      <c r="G143" s="30" t="s">
        <v>1193</v>
      </c>
      <c r="H143" s="30" t="s">
        <v>241</v>
      </c>
      <c r="I143" s="30" t="s">
        <v>114</v>
      </c>
      <c r="J143" s="21">
        <v>20</v>
      </c>
    </row>
    <row r="144" spans="1:10">
      <c r="A144" s="22" t="s">
        <v>1134</v>
      </c>
      <c r="B144" s="30"/>
      <c r="C144" s="30"/>
      <c r="D144" s="30" t="s">
        <v>374</v>
      </c>
      <c r="E144" s="30" t="s">
        <v>115</v>
      </c>
      <c r="F144" s="30" t="s">
        <v>179</v>
      </c>
      <c r="G144" s="30" t="s">
        <v>1194</v>
      </c>
      <c r="H144" s="30" t="s">
        <v>241</v>
      </c>
      <c r="I144" s="30" t="s">
        <v>114</v>
      </c>
      <c r="J144" s="21">
        <v>21</v>
      </c>
    </row>
    <row r="145" spans="1:10">
      <c r="A145" s="22" t="s">
        <v>1134</v>
      </c>
      <c r="B145" s="30"/>
      <c r="C145" s="30"/>
      <c r="D145" s="30" t="s">
        <v>885</v>
      </c>
      <c r="E145" s="30" t="s">
        <v>112</v>
      </c>
      <c r="F145" s="30" t="s">
        <v>179</v>
      </c>
      <c r="G145" s="30" t="s">
        <v>571</v>
      </c>
      <c r="H145" s="30" t="s">
        <v>241</v>
      </c>
      <c r="I145" s="30" t="s">
        <v>572</v>
      </c>
      <c r="J145" s="21">
        <v>22</v>
      </c>
    </row>
    <row r="146" spans="1:10">
      <c r="A146" s="22" t="s">
        <v>1134</v>
      </c>
      <c r="B146" s="30"/>
      <c r="C146" s="30"/>
      <c r="D146" s="30" t="s">
        <v>1141</v>
      </c>
      <c r="E146" s="30" t="s">
        <v>115</v>
      </c>
      <c r="F146" s="30" t="s">
        <v>169</v>
      </c>
      <c r="G146" s="30" t="s">
        <v>1195</v>
      </c>
      <c r="H146" s="30" t="s">
        <v>241</v>
      </c>
      <c r="I146" s="30" t="s">
        <v>114</v>
      </c>
      <c r="J146" s="21">
        <v>23</v>
      </c>
    </row>
    <row r="147" spans="1:10">
      <c r="A147" s="22" t="s">
        <v>1134</v>
      </c>
      <c r="B147" s="30"/>
      <c r="C147" s="30"/>
      <c r="D147" s="30" t="s">
        <v>375</v>
      </c>
      <c r="E147" s="30" t="s">
        <v>115</v>
      </c>
      <c r="F147" s="30" t="s">
        <v>169</v>
      </c>
      <c r="G147" s="30" t="s">
        <v>1196</v>
      </c>
      <c r="H147" s="30" t="s">
        <v>241</v>
      </c>
      <c r="I147" s="30" t="s">
        <v>114</v>
      </c>
      <c r="J147" s="21">
        <v>24</v>
      </c>
    </row>
    <row r="148" spans="1:10">
      <c r="A148" s="22" t="s">
        <v>1134</v>
      </c>
      <c r="B148" s="30"/>
      <c r="C148" s="30"/>
      <c r="D148" s="30" t="s">
        <v>886</v>
      </c>
      <c r="E148" s="30" t="s">
        <v>112</v>
      </c>
      <c r="F148" s="30" t="s">
        <v>169</v>
      </c>
      <c r="G148" s="30" t="s">
        <v>571</v>
      </c>
      <c r="H148" s="30" t="s">
        <v>241</v>
      </c>
      <c r="I148" s="30" t="s">
        <v>572</v>
      </c>
      <c r="J148" s="21">
        <v>25</v>
      </c>
    </row>
    <row r="149" spans="1:10">
      <c r="A149" s="22" t="s">
        <v>1134</v>
      </c>
      <c r="B149" s="30"/>
      <c r="C149" s="30"/>
      <c r="D149" s="30" t="s">
        <v>625</v>
      </c>
      <c r="E149" s="30" t="s">
        <v>115</v>
      </c>
      <c r="F149" s="30" t="s">
        <v>180</v>
      </c>
      <c r="G149" s="30" t="s">
        <v>1202</v>
      </c>
      <c r="H149" s="30" t="s">
        <v>241</v>
      </c>
      <c r="I149" s="30" t="s">
        <v>114</v>
      </c>
      <c r="J149" s="21">
        <v>26</v>
      </c>
    </row>
    <row r="150" spans="1:10">
      <c r="A150" s="22" t="s">
        <v>1134</v>
      </c>
      <c r="B150" s="30"/>
      <c r="C150" s="30"/>
      <c r="D150" s="30" t="s">
        <v>376</v>
      </c>
      <c r="E150" s="30" t="s">
        <v>115</v>
      </c>
      <c r="F150" s="30" t="s">
        <v>180</v>
      </c>
      <c r="G150" s="30" t="s">
        <v>1203</v>
      </c>
      <c r="H150" s="30" t="s">
        <v>241</v>
      </c>
      <c r="I150" s="30" t="s">
        <v>114</v>
      </c>
      <c r="J150" s="21">
        <v>27</v>
      </c>
    </row>
    <row r="151" spans="1:10">
      <c r="A151" s="22" t="s">
        <v>1134</v>
      </c>
      <c r="B151" s="30"/>
      <c r="C151" s="30"/>
      <c r="D151" s="30" t="s">
        <v>887</v>
      </c>
      <c r="E151" s="30" t="s">
        <v>112</v>
      </c>
      <c r="F151" s="30" t="s">
        <v>180</v>
      </c>
      <c r="G151" s="30" t="s">
        <v>571</v>
      </c>
      <c r="H151" s="30" t="s">
        <v>241</v>
      </c>
      <c r="I151" s="30" t="s">
        <v>572</v>
      </c>
      <c r="J151" s="21">
        <v>28</v>
      </c>
    </row>
    <row r="152" spans="1:10">
      <c r="A152" s="22" t="s">
        <v>1134</v>
      </c>
      <c r="B152" s="30"/>
      <c r="C152" s="30"/>
      <c r="D152" s="30" t="s">
        <v>626</v>
      </c>
      <c r="E152" s="30" t="s">
        <v>115</v>
      </c>
      <c r="F152" s="30" t="s">
        <v>181</v>
      </c>
      <c r="G152" s="30" t="s">
        <v>1197</v>
      </c>
      <c r="H152" s="30" t="s">
        <v>241</v>
      </c>
      <c r="I152" s="30" t="s">
        <v>114</v>
      </c>
      <c r="J152" s="21">
        <v>29</v>
      </c>
    </row>
    <row r="153" spans="1:10">
      <c r="A153" s="22" t="s">
        <v>1134</v>
      </c>
      <c r="B153" s="30"/>
      <c r="C153" s="30"/>
      <c r="D153" s="30" t="s">
        <v>888</v>
      </c>
      <c r="E153" s="30" t="s">
        <v>115</v>
      </c>
      <c r="F153" s="30" t="s">
        <v>181</v>
      </c>
      <c r="G153" s="30" t="s">
        <v>1198</v>
      </c>
      <c r="H153" s="30" t="s">
        <v>241</v>
      </c>
      <c r="I153" s="30" t="s">
        <v>114</v>
      </c>
      <c r="J153" s="21">
        <v>30</v>
      </c>
    </row>
    <row r="154" spans="1:10">
      <c r="A154" s="22" t="s">
        <v>1134</v>
      </c>
      <c r="B154" s="30"/>
      <c r="C154" s="30"/>
      <c r="D154" s="30" t="s">
        <v>889</v>
      </c>
      <c r="E154" s="30" t="s">
        <v>112</v>
      </c>
      <c r="F154" s="30" t="s">
        <v>181</v>
      </c>
      <c r="G154" s="30" t="s">
        <v>571</v>
      </c>
      <c r="H154" s="30" t="s">
        <v>241</v>
      </c>
      <c r="I154" s="30" t="s">
        <v>572</v>
      </c>
      <c r="J154" s="21">
        <v>31</v>
      </c>
    </row>
    <row r="155" spans="1:10">
      <c r="A155" s="22" t="s">
        <v>1134</v>
      </c>
      <c r="B155" s="30"/>
      <c r="C155" s="30"/>
      <c r="D155" s="30" t="s">
        <v>627</v>
      </c>
      <c r="E155" s="30" t="s">
        <v>115</v>
      </c>
      <c r="F155" s="30" t="s">
        <v>182</v>
      </c>
      <c r="G155" s="30" t="s">
        <v>1199</v>
      </c>
      <c r="H155" s="30" t="s">
        <v>241</v>
      </c>
      <c r="I155" s="30" t="s">
        <v>114</v>
      </c>
      <c r="J155" s="21">
        <v>32</v>
      </c>
    </row>
    <row r="156" spans="1:10">
      <c r="A156" s="22" t="s">
        <v>1134</v>
      </c>
      <c r="B156" s="30"/>
      <c r="C156" s="30"/>
      <c r="D156" s="30" t="s">
        <v>890</v>
      </c>
      <c r="E156" s="30" t="s">
        <v>115</v>
      </c>
      <c r="F156" s="30" t="s">
        <v>182</v>
      </c>
      <c r="G156" s="30" t="s">
        <v>1200</v>
      </c>
      <c r="H156" s="30" t="s">
        <v>241</v>
      </c>
      <c r="I156" s="30" t="s">
        <v>114</v>
      </c>
      <c r="J156" s="21">
        <v>33</v>
      </c>
    </row>
    <row r="157" spans="1:10">
      <c r="A157" s="22" t="s">
        <v>1134</v>
      </c>
      <c r="B157" s="30"/>
      <c r="C157" s="30"/>
      <c r="D157" s="30" t="s">
        <v>891</v>
      </c>
      <c r="E157" s="30" t="s">
        <v>112</v>
      </c>
      <c r="F157" s="30" t="s">
        <v>182</v>
      </c>
      <c r="G157" s="30" t="s">
        <v>571</v>
      </c>
      <c r="H157" s="30" t="s">
        <v>241</v>
      </c>
      <c r="I157" s="30" t="s">
        <v>572</v>
      </c>
      <c r="J157" s="21">
        <v>34</v>
      </c>
    </row>
    <row r="158" spans="1:10">
      <c r="A158" s="22" t="s">
        <v>1134</v>
      </c>
      <c r="B158" s="30"/>
      <c r="C158" s="30"/>
      <c r="D158" s="30" t="s">
        <v>628</v>
      </c>
      <c r="E158" s="30" t="s">
        <v>115</v>
      </c>
      <c r="F158" s="30" t="s">
        <v>183</v>
      </c>
      <c r="G158" s="30" t="s">
        <v>1204</v>
      </c>
      <c r="H158" s="30" t="s">
        <v>241</v>
      </c>
      <c r="I158" s="30" t="s">
        <v>114</v>
      </c>
      <c r="J158" s="21">
        <v>35</v>
      </c>
    </row>
    <row r="159" spans="1:10">
      <c r="A159" s="22" t="s">
        <v>1134</v>
      </c>
      <c r="B159" s="30"/>
      <c r="C159" s="30"/>
      <c r="D159" s="30" t="s">
        <v>892</v>
      </c>
      <c r="E159" s="30" t="s">
        <v>115</v>
      </c>
      <c r="F159" s="30" t="s">
        <v>183</v>
      </c>
      <c r="G159" s="30" t="s">
        <v>1205</v>
      </c>
      <c r="H159" s="30" t="s">
        <v>241</v>
      </c>
      <c r="I159" s="30" t="s">
        <v>114</v>
      </c>
      <c r="J159" s="21">
        <v>36</v>
      </c>
    </row>
    <row r="160" spans="1:10">
      <c r="A160" s="22" t="s">
        <v>1134</v>
      </c>
      <c r="B160" s="30"/>
      <c r="C160" s="30"/>
      <c r="D160" s="30" t="s">
        <v>893</v>
      </c>
      <c r="E160" s="30" t="s">
        <v>112</v>
      </c>
      <c r="F160" s="30" t="s">
        <v>183</v>
      </c>
      <c r="G160" s="30" t="s">
        <v>571</v>
      </c>
      <c r="H160" s="30" t="s">
        <v>241</v>
      </c>
      <c r="I160" s="30" t="s">
        <v>572</v>
      </c>
      <c r="J160" s="21">
        <v>37</v>
      </c>
    </row>
    <row r="161" spans="1:10">
      <c r="A161" s="22" t="s">
        <v>1134</v>
      </c>
      <c r="B161" s="30"/>
      <c r="C161" s="30"/>
      <c r="D161" s="30" t="s">
        <v>629</v>
      </c>
      <c r="E161" s="30" t="s">
        <v>115</v>
      </c>
      <c r="F161" s="30" t="s">
        <v>184</v>
      </c>
      <c r="G161" s="30" t="s">
        <v>1189</v>
      </c>
      <c r="H161" s="30" t="s">
        <v>241</v>
      </c>
      <c r="I161" s="30" t="s">
        <v>114</v>
      </c>
      <c r="J161" s="21">
        <v>38</v>
      </c>
    </row>
    <row r="162" spans="1:10">
      <c r="A162" s="22" t="s">
        <v>1134</v>
      </c>
      <c r="B162" s="30"/>
      <c r="C162" s="30"/>
      <c r="D162" s="30" t="s">
        <v>894</v>
      </c>
      <c r="E162" s="30" t="s">
        <v>115</v>
      </c>
      <c r="F162" s="30" t="s">
        <v>184</v>
      </c>
      <c r="G162" s="30" t="s">
        <v>1190</v>
      </c>
      <c r="H162" s="30" t="s">
        <v>241</v>
      </c>
      <c r="I162" s="30" t="s">
        <v>114</v>
      </c>
      <c r="J162" s="21">
        <v>39</v>
      </c>
    </row>
    <row r="163" spans="1:10">
      <c r="A163" s="22" t="s">
        <v>1134</v>
      </c>
      <c r="B163" s="30"/>
      <c r="C163" s="30"/>
      <c r="D163" s="30" t="s">
        <v>1142</v>
      </c>
      <c r="E163" s="30" t="s">
        <v>112</v>
      </c>
      <c r="F163" s="30" t="s">
        <v>184</v>
      </c>
      <c r="G163" s="30" t="s">
        <v>571</v>
      </c>
      <c r="H163" s="30" t="s">
        <v>241</v>
      </c>
      <c r="I163" s="30" t="s">
        <v>572</v>
      </c>
      <c r="J163" s="21">
        <v>40</v>
      </c>
    </row>
    <row r="164" spans="1:10">
      <c r="A164" s="22" t="s">
        <v>1135</v>
      </c>
      <c r="B164" s="30"/>
      <c r="C164" s="30"/>
      <c r="D164" s="30" t="s">
        <v>821</v>
      </c>
      <c r="E164" s="30" t="s">
        <v>822</v>
      </c>
      <c r="F164" s="30" t="s">
        <v>111</v>
      </c>
      <c r="G164" s="30" t="s">
        <v>865</v>
      </c>
      <c r="H164" s="30" t="s">
        <v>241</v>
      </c>
      <c r="I164" s="30" t="s">
        <v>232</v>
      </c>
      <c r="J164" s="21">
        <v>41</v>
      </c>
    </row>
    <row r="165" spans="1:10">
      <c r="A165" s="22" t="s">
        <v>1135</v>
      </c>
      <c r="B165" s="30"/>
      <c r="C165" s="30"/>
      <c r="D165" s="30" t="s">
        <v>331</v>
      </c>
      <c r="E165" s="30" t="s">
        <v>822</v>
      </c>
      <c r="F165" s="30" t="s">
        <v>111</v>
      </c>
      <c r="G165" s="30" t="s">
        <v>865</v>
      </c>
      <c r="H165" s="30" t="s">
        <v>241</v>
      </c>
      <c r="I165" s="30" t="s">
        <v>823</v>
      </c>
      <c r="J165" s="21">
        <v>42</v>
      </c>
    </row>
    <row r="166" spans="1:10">
      <c r="A166" s="28"/>
      <c r="B166" s="28"/>
      <c r="C166" s="28"/>
      <c r="D166" s="28"/>
      <c r="E166" s="29" t="s">
        <v>368</v>
      </c>
      <c r="F166" s="28"/>
      <c r="G166" s="28"/>
      <c r="H166" s="28"/>
      <c r="I166" s="28"/>
    </row>
    <row r="167" spans="1:10">
      <c r="A167" s="22" t="s">
        <v>1134</v>
      </c>
      <c r="B167" s="30"/>
      <c r="C167" s="30"/>
      <c r="D167" s="22" t="s">
        <v>350</v>
      </c>
      <c r="E167" s="30" t="s">
        <v>115</v>
      </c>
      <c r="F167" s="30" t="s">
        <v>111</v>
      </c>
      <c r="G167" s="30" t="s">
        <v>863</v>
      </c>
      <c r="H167" s="30" t="s">
        <v>241</v>
      </c>
      <c r="I167" s="30" t="s">
        <v>114</v>
      </c>
    </row>
    <row r="168" spans="1:10">
      <c r="A168" s="22" t="s">
        <v>1134</v>
      </c>
      <c r="B168" s="30"/>
      <c r="C168" s="30"/>
      <c r="D168" s="22" t="s">
        <v>266</v>
      </c>
      <c r="E168" s="30" t="s">
        <v>120</v>
      </c>
      <c r="F168" s="30" t="s">
        <v>111</v>
      </c>
      <c r="G168" s="30" t="s">
        <v>863</v>
      </c>
      <c r="H168" s="30" t="s">
        <v>241</v>
      </c>
      <c r="I168" s="30" t="s">
        <v>114</v>
      </c>
    </row>
    <row r="169" spans="1:10">
      <c r="A169" s="22" t="s">
        <v>1134</v>
      </c>
      <c r="B169" s="30"/>
      <c r="C169" s="30"/>
      <c r="D169" s="30" t="s">
        <v>267</v>
      </c>
      <c r="E169" s="30" t="s">
        <v>112</v>
      </c>
      <c r="F169" s="30" t="s">
        <v>111</v>
      </c>
      <c r="G169" s="30" t="s">
        <v>113</v>
      </c>
      <c r="H169" s="30" t="s">
        <v>241</v>
      </c>
      <c r="I169" s="30" t="s">
        <v>114</v>
      </c>
    </row>
    <row r="170" spans="1:10">
      <c r="A170" s="22" t="s">
        <v>1134</v>
      </c>
      <c r="C170" s="30"/>
      <c r="D170" s="30" t="s">
        <v>268</v>
      </c>
      <c r="E170" s="30" t="s">
        <v>115</v>
      </c>
      <c r="F170" s="30" t="s">
        <v>111</v>
      </c>
      <c r="G170" s="30" t="s">
        <v>863</v>
      </c>
      <c r="H170" s="30" t="s">
        <v>241</v>
      </c>
      <c r="I170" s="30" t="s">
        <v>204</v>
      </c>
    </row>
    <row r="171" spans="1:10">
      <c r="A171" s="22" t="s">
        <v>1134</v>
      </c>
      <c r="C171" s="30"/>
      <c r="D171" s="30" t="s">
        <v>302</v>
      </c>
      <c r="E171" s="30" t="s">
        <v>115</v>
      </c>
      <c r="F171" s="30" t="s">
        <v>111</v>
      </c>
      <c r="G171" s="30" t="s">
        <v>863</v>
      </c>
      <c r="H171" s="30" t="s">
        <v>241</v>
      </c>
      <c r="I171" s="30" t="s">
        <v>232</v>
      </c>
    </row>
    <row r="172" spans="1:10">
      <c r="A172" s="22" t="s">
        <v>1134</v>
      </c>
      <c r="B172" s="30"/>
      <c r="C172" s="30"/>
      <c r="D172" s="30" t="s">
        <v>303</v>
      </c>
      <c r="E172" s="30" t="s">
        <v>115</v>
      </c>
      <c r="F172" s="30" t="s">
        <v>111</v>
      </c>
      <c r="G172" s="30" t="s">
        <v>863</v>
      </c>
      <c r="H172" s="30" t="s">
        <v>241</v>
      </c>
      <c r="I172" s="30" t="s">
        <v>118</v>
      </c>
    </row>
    <row r="173" spans="1:10">
      <c r="A173" s="22" t="s">
        <v>1134</v>
      </c>
      <c r="B173" s="30"/>
      <c r="C173" s="30"/>
      <c r="D173" s="30" t="s">
        <v>351</v>
      </c>
      <c r="E173" s="30" t="s">
        <v>115</v>
      </c>
      <c r="F173" s="30" t="s">
        <v>111</v>
      </c>
      <c r="G173" s="30" t="s">
        <v>864</v>
      </c>
      <c r="H173" s="30" t="s">
        <v>241</v>
      </c>
      <c r="I173" s="30" t="s">
        <v>118</v>
      </c>
    </row>
    <row r="174" spans="1:10">
      <c r="A174" s="22" t="s">
        <v>1134</v>
      </c>
      <c r="C174" s="30"/>
      <c r="D174" s="30" t="s">
        <v>911</v>
      </c>
      <c r="E174" s="30" t="s">
        <v>112</v>
      </c>
      <c r="F174" s="30" t="s">
        <v>247</v>
      </c>
      <c r="G174" s="30"/>
      <c r="H174" s="30" t="s">
        <v>241</v>
      </c>
      <c r="I174" s="30" t="s">
        <v>118</v>
      </c>
    </row>
    <row r="175" spans="1:10">
      <c r="A175" s="22" t="s">
        <v>1134</v>
      </c>
      <c r="C175" s="30"/>
      <c r="D175" s="30" t="s">
        <v>912</v>
      </c>
      <c r="E175" s="30" t="s">
        <v>127</v>
      </c>
      <c r="F175" s="30" t="s">
        <v>247</v>
      </c>
      <c r="G175" s="30"/>
      <c r="H175" s="30" t="s">
        <v>241</v>
      </c>
      <c r="I175" s="30" t="s">
        <v>118</v>
      </c>
    </row>
    <row r="176" spans="1:10">
      <c r="A176" s="22" t="s">
        <v>1134</v>
      </c>
      <c r="B176" s="30"/>
      <c r="C176" s="30"/>
      <c r="D176" s="30" t="s">
        <v>913</v>
      </c>
      <c r="E176" s="30" t="s">
        <v>112</v>
      </c>
      <c r="F176" s="30" t="s">
        <v>123</v>
      </c>
      <c r="G176" s="30"/>
      <c r="H176" s="30" t="s">
        <v>241</v>
      </c>
      <c r="I176" s="30" t="s">
        <v>240</v>
      </c>
    </row>
    <row r="177" spans="1:9">
      <c r="A177" s="22" t="s">
        <v>1134</v>
      </c>
      <c r="B177" s="30"/>
      <c r="C177" s="30"/>
      <c r="D177" s="30" t="s">
        <v>914</v>
      </c>
      <c r="E177" s="30" t="s">
        <v>127</v>
      </c>
      <c r="F177" s="30" t="s">
        <v>123</v>
      </c>
      <c r="G177" s="30"/>
      <c r="H177" s="30" t="s">
        <v>241</v>
      </c>
      <c r="I177" s="30" t="s">
        <v>240</v>
      </c>
    </row>
    <row r="178" spans="1:9">
      <c r="A178" s="22" t="s">
        <v>1134</v>
      </c>
      <c r="B178" s="30"/>
      <c r="C178" s="30"/>
      <c r="D178" s="30" t="s">
        <v>352</v>
      </c>
      <c r="E178" s="30" t="s">
        <v>112</v>
      </c>
      <c r="F178" s="30" t="s">
        <v>866</v>
      </c>
      <c r="G178" s="30"/>
      <c r="H178" s="30" t="s">
        <v>241</v>
      </c>
      <c r="I178" s="30" t="s">
        <v>126</v>
      </c>
    </row>
    <row r="179" spans="1:9">
      <c r="A179" s="22" t="s">
        <v>1134</v>
      </c>
      <c r="B179" s="30"/>
      <c r="C179" s="30"/>
      <c r="D179" s="30" t="s">
        <v>353</v>
      </c>
      <c r="E179" s="30" t="s">
        <v>127</v>
      </c>
      <c r="F179" s="30" t="s">
        <v>866</v>
      </c>
      <c r="G179" s="30"/>
      <c r="H179" s="30" t="s">
        <v>241</v>
      </c>
      <c r="I179" s="30" t="s">
        <v>126</v>
      </c>
    </row>
    <row r="180" spans="1:9">
      <c r="A180" s="22" t="s">
        <v>1134</v>
      </c>
      <c r="B180" s="30"/>
      <c r="C180" s="30"/>
      <c r="D180" s="30" t="s">
        <v>915</v>
      </c>
      <c r="E180" s="30" t="s">
        <v>112</v>
      </c>
      <c r="F180" s="30" t="s">
        <v>866</v>
      </c>
      <c r="G180" s="30"/>
      <c r="H180" s="30" t="s">
        <v>241</v>
      </c>
      <c r="I180" s="30" t="s">
        <v>128</v>
      </c>
    </row>
    <row r="181" spans="1:9">
      <c r="A181" s="22" t="s">
        <v>1134</v>
      </c>
      <c r="B181" s="30"/>
      <c r="C181" s="30"/>
      <c r="D181" s="30" t="s">
        <v>916</v>
      </c>
      <c r="E181" s="30" t="s">
        <v>127</v>
      </c>
      <c r="F181" s="30" t="s">
        <v>866</v>
      </c>
      <c r="G181" s="30"/>
      <c r="H181" s="30" t="s">
        <v>241</v>
      </c>
      <c r="I181" s="30" t="s">
        <v>128</v>
      </c>
    </row>
    <row r="182" spans="1:9">
      <c r="A182" s="22" t="s">
        <v>1134</v>
      </c>
      <c r="B182" s="30"/>
      <c r="C182" s="30"/>
      <c r="D182" s="22" t="s">
        <v>304</v>
      </c>
      <c r="E182" s="30" t="s">
        <v>120</v>
      </c>
      <c r="F182" s="30" t="s">
        <v>111</v>
      </c>
      <c r="G182" s="30"/>
      <c r="H182" s="30" t="s">
        <v>241</v>
      </c>
      <c r="I182" s="30" t="s">
        <v>213</v>
      </c>
    </row>
    <row r="183" spans="1:9">
      <c r="A183" s="22" t="s">
        <v>1134</v>
      </c>
      <c r="B183" s="30"/>
      <c r="C183" s="30"/>
      <c r="D183" s="30" t="s">
        <v>655</v>
      </c>
      <c r="E183" s="30" t="s">
        <v>115</v>
      </c>
      <c r="F183" s="30" t="s">
        <v>178</v>
      </c>
      <c r="G183" s="30" t="s">
        <v>1191</v>
      </c>
      <c r="H183" s="30" t="s">
        <v>241</v>
      </c>
      <c r="I183" s="30" t="s">
        <v>114</v>
      </c>
    </row>
    <row r="184" spans="1:9">
      <c r="A184" s="22" t="s">
        <v>1134</v>
      </c>
      <c r="B184" s="30"/>
      <c r="C184" s="30"/>
      <c r="D184" s="30" t="s">
        <v>355</v>
      </c>
      <c r="E184" s="30" t="s">
        <v>115</v>
      </c>
      <c r="F184" s="30" t="s">
        <v>178</v>
      </c>
      <c r="G184" s="30" t="s">
        <v>1192</v>
      </c>
      <c r="H184" s="30" t="s">
        <v>241</v>
      </c>
      <c r="I184" s="30" t="s">
        <v>114</v>
      </c>
    </row>
    <row r="185" spans="1:9">
      <c r="A185" s="22" t="s">
        <v>1134</v>
      </c>
      <c r="B185" s="30"/>
      <c r="C185" s="30"/>
      <c r="D185" s="30" t="s">
        <v>1143</v>
      </c>
      <c r="E185" s="30" t="s">
        <v>112</v>
      </c>
      <c r="F185" s="30" t="s">
        <v>178</v>
      </c>
      <c r="G185" s="30" t="s">
        <v>571</v>
      </c>
      <c r="H185" s="30" t="s">
        <v>241</v>
      </c>
      <c r="I185" s="30" t="s">
        <v>572</v>
      </c>
    </row>
    <row r="186" spans="1:9">
      <c r="A186" s="22" t="s">
        <v>1134</v>
      </c>
      <c r="B186" s="30"/>
      <c r="C186" s="30"/>
      <c r="D186" s="30" t="s">
        <v>656</v>
      </c>
      <c r="E186" s="30" t="s">
        <v>115</v>
      </c>
      <c r="F186" s="30" t="s">
        <v>179</v>
      </c>
      <c r="G186" s="30" t="s">
        <v>1193</v>
      </c>
      <c r="H186" s="30" t="s">
        <v>241</v>
      </c>
      <c r="I186" s="30" t="s">
        <v>114</v>
      </c>
    </row>
    <row r="187" spans="1:9">
      <c r="A187" s="22" t="s">
        <v>1134</v>
      </c>
      <c r="B187" s="30"/>
      <c r="C187" s="30"/>
      <c r="D187" s="30" t="s">
        <v>356</v>
      </c>
      <c r="E187" s="30" t="s">
        <v>115</v>
      </c>
      <c r="F187" s="30" t="s">
        <v>179</v>
      </c>
      <c r="G187" s="30" t="s">
        <v>1194</v>
      </c>
      <c r="H187" s="30" t="s">
        <v>241</v>
      </c>
      <c r="I187" s="30" t="s">
        <v>114</v>
      </c>
    </row>
    <row r="188" spans="1:9">
      <c r="A188" s="22" t="s">
        <v>1134</v>
      </c>
      <c r="B188" s="30"/>
      <c r="C188" s="30"/>
      <c r="D188" s="30" t="s">
        <v>917</v>
      </c>
      <c r="E188" s="30" t="s">
        <v>112</v>
      </c>
      <c r="F188" s="30" t="s">
        <v>179</v>
      </c>
      <c r="G188" s="30" t="s">
        <v>571</v>
      </c>
      <c r="H188" s="30" t="s">
        <v>241</v>
      </c>
      <c r="I188" s="30" t="s">
        <v>572</v>
      </c>
    </row>
    <row r="189" spans="1:9">
      <c r="A189" s="22" t="s">
        <v>1134</v>
      </c>
      <c r="B189" s="30"/>
      <c r="C189" s="30"/>
      <c r="D189" s="30" t="s">
        <v>1144</v>
      </c>
      <c r="E189" s="30" t="s">
        <v>115</v>
      </c>
      <c r="F189" s="30" t="s">
        <v>169</v>
      </c>
      <c r="G189" s="30" t="s">
        <v>1195</v>
      </c>
      <c r="H189" s="30" t="s">
        <v>241</v>
      </c>
      <c r="I189" s="30" t="s">
        <v>114</v>
      </c>
    </row>
    <row r="190" spans="1:9">
      <c r="A190" s="22" t="s">
        <v>1134</v>
      </c>
      <c r="B190" s="30"/>
      <c r="C190" s="30"/>
      <c r="D190" s="30" t="s">
        <v>357</v>
      </c>
      <c r="E190" s="30" t="s">
        <v>115</v>
      </c>
      <c r="F190" s="30" t="s">
        <v>169</v>
      </c>
      <c r="G190" s="30" t="s">
        <v>1196</v>
      </c>
      <c r="H190" s="30" t="s">
        <v>241</v>
      </c>
      <c r="I190" s="30" t="s">
        <v>114</v>
      </c>
    </row>
    <row r="191" spans="1:9">
      <c r="A191" s="22" t="s">
        <v>1134</v>
      </c>
      <c r="B191" s="30"/>
      <c r="C191" s="30"/>
      <c r="D191" s="30" t="s">
        <v>918</v>
      </c>
      <c r="E191" s="30" t="s">
        <v>112</v>
      </c>
      <c r="F191" s="30" t="s">
        <v>169</v>
      </c>
      <c r="G191" s="30" t="s">
        <v>571</v>
      </c>
      <c r="H191" s="30" t="s">
        <v>241</v>
      </c>
      <c r="I191" s="30" t="s">
        <v>572</v>
      </c>
    </row>
    <row r="192" spans="1:9">
      <c r="A192" s="22" t="s">
        <v>1134</v>
      </c>
      <c r="B192" s="30"/>
      <c r="C192" s="30"/>
      <c r="D192" s="30" t="s">
        <v>657</v>
      </c>
      <c r="E192" s="30" t="s">
        <v>115</v>
      </c>
      <c r="F192" s="30" t="s">
        <v>180</v>
      </c>
      <c r="G192" s="30" t="s">
        <v>1202</v>
      </c>
      <c r="H192" s="30" t="s">
        <v>241</v>
      </c>
      <c r="I192" s="30" t="s">
        <v>114</v>
      </c>
    </row>
    <row r="193" spans="1:9">
      <c r="A193" s="22" t="s">
        <v>1134</v>
      </c>
      <c r="B193" s="30"/>
      <c r="C193" s="30"/>
      <c r="D193" s="30" t="s">
        <v>358</v>
      </c>
      <c r="E193" s="30" t="s">
        <v>115</v>
      </c>
      <c r="F193" s="30" t="s">
        <v>180</v>
      </c>
      <c r="G193" s="30" t="s">
        <v>1203</v>
      </c>
      <c r="H193" s="30" t="s">
        <v>241</v>
      </c>
      <c r="I193" s="30" t="s">
        <v>114</v>
      </c>
    </row>
    <row r="194" spans="1:9">
      <c r="A194" s="22" t="s">
        <v>1134</v>
      </c>
      <c r="B194" s="30"/>
      <c r="C194" s="30"/>
      <c r="D194" s="30" t="s">
        <v>919</v>
      </c>
      <c r="E194" s="30" t="s">
        <v>112</v>
      </c>
      <c r="F194" s="30" t="s">
        <v>180</v>
      </c>
      <c r="G194" s="30" t="s">
        <v>571</v>
      </c>
      <c r="H194" s="30" t="s">
        <v>241</v>
      </c>
      <c r="I194" s="30" t="s">
        <v>572</v>
      </c>
    </row>
    <row r="195" spans="1:9">
      <c r="A195" s="22" t="s">
        <v>1134</v>
      </c>
      <c r="B195" s="30"/>
      <c r="C195" s="30"/>
      <c r="D195" s="30" t="s">
        <v>630</v>
      </c>
      <c r="E195" s="30" t="s">
        <v>115</v>
      </c>
      <c r="F195" s="30" t="s">
        <v>181</v>
      </c>
      <c r="G195" s="30" t="s">
        <v>1197</v>
      </c>
      <c r="H195" s="30" t="s">
        <v>241</v>
      </c>
      <c r="I195" s="30" t="s">
        <v>114</v>
      </c>
    </row>
    <row r="196" spans="1:9">
      <c r="A196" s="22" t="s">
        <v>1134</v>
      </c>
      <c r="B196" s="30"/>
      <c r="C196" s="30"/>
      <c r="D196" s="30" t="s">
        <v>920</v>
      </c>
      <c r="E196" s="30" t="s">
        <v>115</v>
      </c>
      <c r="F196" s="30" t="s">
        <v>181</v>
      </c>
      <c r="G196" s="30" t="s">
        <v>1198</v>
      </c>
      <c r="H196" s="30" t="s">
        <v>241</v>
      </c>
      <c r="I196" s="30" t="s">
        <v>114</v>
      </c>
    </row>
    <row r="197" spans="1:9">
      <c r="A197" s="22" t="s">
        <v>1134</v>
      </c>
      <c r="B197" s="30"/>
      <c r="C197" s="30"/>
      <c r="D197" s="30" t="s">
        <v>921</v>
      </c>
      <c r="E197" s="30" t="s">
        <v>112</v>
      </c>
      <c r="F197" s="30" t="s">
        <v>181</v>
      </c>
      <c r="G197" s="30" t="s">
        <v>571</v>
      </c>
      <c r="H197" s="30" t="s">
        <v>241</v>
      </c>
      <c r="I197" s="30" t="s">
        <v>572</v>
      </c>
    </row>
    <row r="198" spans="1:9">
      <c r="A198" s="22" t="s">
        <v>1134</v>
      </c>
      <c r="B198" s="30"/>
      <c r="C198" s="30"/>
      <c r="D198" s="30" t="s">
        <v>631</v>
      </c>
      <c r="E198" s="30" t="s">
        <v>115</v>
      </c>
      <c r="F198" s="30" t="s">
        <v>182</v>
      </c>
      <c r="G198" s="30" t="s">
        <v>1199</v>
      </c>
      <c r="H198" s="30" t="s">
        <v>241</v>
      </c>
      <c r="I198" s="30" t="s">
        <v>114</v>
      </c>
    </row>
    <row r="199" spans="1:9">
      <c r="A199" s="22" t="s">
        <v>1134</v>
      </c>
      <c r="B199" s="30"/>
      <c r="C199" s="30"/>
      <c r="D199" s="30" t="s">
        <v>922</v>
      </c>
      <c r="E199" s="30" t="s">
        <v>115</v>
      </c>
      <c r="F199" s="30" t="s">
        <v>182</v>
      </c>
      <c r="G199" s="30" t="s">
        <v>1200</v>
      </c>
      <c r="H199" s="30" t="s">
        <v>241</v>
      </c>
      <c r="I199" s="30" t="s">
        <v>114</v>
      </c>
    </row>
    <row r="200" spans="1:9">
      <c r="A200" s="22" t="s">
        <v>1134</v>
      </c>
      <c r="B200" s="30"/>
      <c r="C200" s="30"/>
      <c r="D200" s="30" t="s">
        <v>923</v>
      </c>
      <c r="E200" s="30" t="s">
        <v>112</v>
      </c>
      <c r="F200" s="30" t="s">
        <v>182</v>
      </c>
      <c r="G200" s="30" t="s">
        <v>571</v>
      </c>
      <c r="H200" s="30" t="s">
        <v>241</v>
      </c>
      <c r="I200" s="30" t="s">
        <v>572</v>
      </c>
    </row>
    <row r="201" spans="1:9">
      <c r="A201" s="22" t="s">
        <v>1134</v>
      </c>
      <c r="B201" s="30"/>
      <c r="C201" s="30"/>
      <c r="D201" s="30" t="s">
        <v>632</v>
      </c>
      <c r="E201" s="30" t="s">
        <v>115</v>
      </c>
      <c r="F201" s="30" t="s">
        <v>183</v>
      </c>
      <c r="G201" s="30" t="s">
        <v>1204</v>
      </c>
      <c r="H201" s="30" t="s">
        <v>241</v>
      </c>
      <c r="I201" s="30" t="s">
        <v>114</v>
      </c>
    </row>
    <row r="202" spans="1:9">
      <c r="A202" s="22" t="s">
        <v>1134</v>
      </c>
      <c r="B202" s="30"/>
      <c r="C202" s="30"/>
      <c r="D202" s="30" t="s">
        <v>924</v>
      </c>
      <c r="E202" s="30" t="s">
        <v>115</v>
      </c>
      <c r="F202" s="30" t="s">
        <v>183</v>
      </c>
      <c r="G202" s="30" t="s">
        <v>1205</v>
      </c>
      <c r="H202" s="30" t="s">
        <v>241</v>
      </c>
      <c r="I202" s="30" t="s">
        <v>114</v>
      </c>
    </row>
    <row r="203" spans="1:9">
      <c r="A203" s="22" t="s">
        <v>1134</v>
      </c>
      <c r="B203" s="30"/>
      <c r="C203" s="30"/>
      <c r="D203" s="30" t="s">
        <v>925</v>
      </c>
      <c r="E203" s="30" t="s">
        <v>112</v>
      </c>
      <c r="F203" s="30" t="s">
        <v>183</v>
      </c>
      <c r="G203" s="30" t="s">
        <v>571</v>
      </c>
      <c r="H203" s="30" t="s">
        <v>241</v>
      </c>
      <c r="I203" s="30" t="s">
        <v>572</v>
      </c>
    </row>
    <row r="204" spans="1:9">
      <c r="A204" s="22" t="s">
        <v>1134</v>
      </c>
      <c r="B204" s="30"/>
      <c r="C204" s="30"/>
      <c r="D204" s="30" t="s">
        <v>633</v>
      </c>
      <c r="E204" s="30" t="s">
        <v>115</v>
      </c>
      <c r="F204" s="30" t="s">
        <v>184</v>
      </c>
      <c r="G204" s="30" t="s">
        <v>1189</v>
      </c>
      <c r="H204" s="30" t="s">
        <v>241</v>
      </c>
      <c r="I204" s="30" t="s">
        <v>114</v>
      </c>
    </row>
    <row r="205" spans="1:9">
      <c r="A205" s="22" t="s">
        <v>1134</v>
      </c>
      <c r="B205" s="30"/>
      <c r="C205" s="30"/>
      <c r="D205" s="30" t="s">
        <v>926</v>
      </c>
      <c r="E205" s="30" t="s">
        <v>115</v>
      </c>
      <c r="F205" s="30" t="s">
        <v>184</v>
      </c>
      <c r="G205" s="30" t="s">
        <v>1190</v>
      </c>
      <c r="H205" s="30" t="s">
        <v>241</v>
      </c>
      <c r="I205" s="30" t="s">
        <v>114</v>
      </c>
    </row>
    <row r="206" spans="1:9">
      <c r="A206" s="22" t="s">
        <v>1134</v>
      </c>
      <c r="B206" s="30"/>
      <c r="C206" s="30"/>
      <c r="D206" s="30" t="s">
        <v>1145</v>
      </c>
      <c r="E206" s="30" t="s">
        <v>112</v>
      </c>
      <c r="F206" s="30" t="s">
        <v>184</v>
      </c>
      <c r="G206" s="30" t="s">
        <v>571</v>
      </c>
      <c r="H206" s="30" t="s">
        <v>241</v>
      </c>
      <c r="I206" s="30" t="s">
        <v>572</v>
      </c>
    </row>
    <row r="207" spans="1:9">
      <c r="A207" s="22" t="s">
        <v>1135</v>
      </c>
      <c r="B207" s="30"/>
      <c r="C207" s="30"/>
      <c r="D207" s="30" t="s">
        <v>529</v>
      </c>
      <c r="E207" s="30" t="s">
        <v>822</v>
      </c>
      <c r="F207" s="30" t="s">
        <v>111</v>
      </c>
      <c r="G207" s="30" t="s">
        <v>865</v>
      </c>
      <c r="H207" s="30" t="s">
        <v>241</v>
      </c>
      <c r="I207" s="30" t="s">
        <v>823</v>
      </c>
    </row>
    <row r="208" spans="1:9">
      <c r="A208" s="22" t="s">
        <v>1135</v>
      </c>
      <c r="B208" s="30"/>
      <c r="C208" s="30"/>
      <c r="D208" s="30" t="s">
        <v>741</v>
      </c>
      <c r="E208" s="30" t="s">
        <v>822</v>
      </c>
      <c r="F208" s="30" t="s">
        <v>111</v>
      </c>
      <c r="G208" s="30" t="s">
        <v>865</v>
      </c>
      <c r="H208" s="30" t="s">
        <v>241</v>
      </c>
      <c r="I208" s="30" t="s">
        <v>232</v>
      </c>
    </row>
    <row r="209" spans="1:9">
      <c r="A209" s="28"/>
      <c r="B209" s="28"/>
      <c r="C209" s="28"/>
      <c r="D209" s="28"/>
      <c r="E209" s="29" t="s">
        <v>505</v>
      </c>
      <c r="F209" s="28"/>
      <c r="G209" s="28"/>
      <c r="H209" s="28"/>
      <c r="I209" s="28"/>
    </row>
    <row r="210" spans="1:9">
      <c r="A210" s="22" t="s">
        <v>1134</v>
      </c>
      <c r="B210" s="30"/>
      <c r="C210" s="30"/>
      <c r="D210" s="22" t="s">
        <v>477</v>
      </c>
      <c r="E210" s="30" t="s">
        <v>115</v>
      </c>
      <c r="F210" s="30" t="s">
        <v>111</v>
      </c>
      <c r="G210" s="30" t="s">
        <v>863</v>
      </c>
      <c r="H210" s="30" t="s">
        <v>241</v>
      </c>
      <c r="I210" s="30" t="s">
        <v>114</v>
      </c>
    </row>
    <row r="211" spans="1:9">
      <c r="A211" s="22" t="s">
        <v>1134</v>
      </c>
      <c r="B211" s="30"/>
      <c r="C211" s="30"/>
      <c r="D211" s="22" t="s">
        <v>478</v>
      </c>
      <c r="E211" s="30" t="s">
        <v>120</v>
      </c>
      <c r="F211" s="30" t="s">
        <v>111</v>
      </c>
      <c r="G211" s="30" t="s">
        <v>863</v>
      </c>
      <c r="H211" s="30" t="s">
        <v>241</v>
      </c>
      <c r="I211" s="30" t="s">
        <v>114</v>
      </c>
    </row>
    <row r="212" spans="1:9">
      <c r="A212" s="22" t="s">
        <v>1134</v>
      </c>
      <c r="B212" s="30"/>
      <c r="C212" s="30"/>
      <c r="D212" s="30" t="s">
        <v>479</v>
      </c>
      <c r="E212" s="30" t="s">
        <v>112</v>
      </c>
      <c r="F212" s="30" t="s">
        <v>111</v>
      </c>
      <c r="G212" s="30" t="s">
        <v>113</v>
      </c>
      <c r="H212" s="30" t="s">
        <v>241</v>
      </c>
      <c r="I212" s="30" t="s">
        <v>114</v>
      </c>
    </row>
    <row r="213" spans="1:9">
      <c r="A213" s="22" t="s">
        <v>1134</v>
      </c>
      <c r="C213" s="30"/>
      <c r="D213" s="30" t="s">
        <v>480</v>
      </c>
      <c r="E213" s="30" t="s">
        <v>115</v>
      </c>
      <c r="F213" s="30" t="s">
        <v>111</v>
      </c>
      <c r="G213" s="30" t="s">
        <v>863</v>
      </c>
      <c r="H213" s="30" t="s">
        <v>241</v>
      </c>
      <c r="I213" s="30" t="s">
        <v>204</v>
      </c>
    </row>
    <row r="214" spans="1:9">
      <c r="A214" s="22" t="s">
        <v>1134</v>
      </c>
      <c r="C214" s="30"/>
      <c r="D214" s="30" t="s">
        <v>481</v>
      </c>
      <c r="E214" s="30" t="s">
        <v>115</v>
      </c>
      <c r="F214" s="30" t="s">
        <v>111</v>
      </c>
      <c r="G214" s="30" t="s">
        <v>863</v>
      </c>
      <c r="H214" s="30" t="s">
        <v>241</v>
      </c>
      <c r="I214" s="30" t="s">
        <v>232</v>
      </c>
    </row>
    <row r="215" spans="1:9">
      <c r="A215" s="22" t="s">
        <v>1134</v>
      </c>
      <c r="B215" s="30"/>
      <c r="C215" s="30"/>
      <c r="D215" s="30" t="s">
        <v>482</v>
      </c>
      <c r="E215" s="30" t="s">
        <v>115</v>
      </c>
      <c r="F215" s="30" t="s">
        <v>111</v>
      </c>
      <c r="G215" s="30" t="s">
        <v>863</v>
      </c>
      <c r="H215" s="30" t="s">
        <v>241</v>
      </c>
      <c r="I215" s="30" t="s">
        <v>118</v>
      </c>
    </row>
    <row r="216" spans="1:9">
      <c r="A216" s="22" t="s">
        <v>1134</v>
      </c>
      <c r="B216" s="30"/>
      <c r="C216" s="30"/>
      <c r="D216" s="30" t="s">
        <v>483</v>
      </c>
      <c r="E216" s="30" t="s">
        <v>115</v>
      </c>
      <c r="F216" s="30" t="s">
        <v>111</v>
      </c>
      <c r="G216" s="30" t="s">
        <v>864</v>
      </c>
      <c r="H216" s="30" t="s">
        <v>241</v>
      </c>
      <c r="I216" s="30" t="s">
        <v>118</v>
      </c>
    </row>
    <row r="217" spans="1:9">
      <c r="A217" s="22" t="s">
        <v>1134</v>
      </c>
      <c r="C217" s="30"/>
      <c r="D217" s="30" t="s">
        <v>895</v>
      </c>
      <c r="E217" s="30" t="s">
        <v>112</v>
      </c>
      <c r="F217" s="30" t="s">
        <v>247</v>
      </c>
      <c r="G217" s="30"/>
      <c r="H217" s="30" t="s">
        <v>241</v>
      </c>
      <c r="I217" s="30" t="s">
        <v>118</v>
      </c>
    </row>
    <row r="218" spans="1:9">
      <c r="A218" s="22" t="s">
        <v>1134</v>
      </c>
      <c r="C218" s="30"/>
      <c r="D218" s="30" t="s">
        <v>896</v>
      </c>
      <c r="E218" s="30" t="s">
        <v>127</v>
      </c>
      <c r="F218" s="30" t="s">
        <v>247</v>
      </c>
      <c r="G218" s="30"/>
      <c r="H218" s="30" t="s">
        <v>241</v>
      </c>
      <c r="I218" s="30" t="s">
        <v>118</v>
      </c>
    </row>
    <row r="219" spans="1:9">
      <c r="A219" s="22" t="s">
        <v>1134</v>
      </c>
      <c r="B219" s="30"/>
      <c r="C219" s="30"/>
      <c r="D219" s="30" t="s">
        <v>897</v>
      </c>
      <c r="E219" s="30" t="s">
        <v>112</v>
      </c>
      <c r="F219" s="30" t="s">
        <v>123</v>
      </c>
      <c r="G219" s="30"/>
      <c r="H219" s="30" t="s">
        <v>241</v>
      </c>
      <c r="I219" s="30" t="s">
        <v>240</v>
      </c>
    </row>
    <row r="220" spans="1:9">
      <c r="A220" s="22" t="s">
        <v>1134</v>
      </c>
      <c r="B220" s="30"/>
      <c r="C220" s="30"/>
      <c r="D220" s="30" t="s">
        <v>898</v>
      </c>
      <c r="E220" s="30" t="s">
        <v>127</v>
      </c>
      <c r="F220" s="30" t="s">
        <v>123</v>
      </c>
      <c r="G220" s="30"/>
      <c r="H220" s="30" t="s">
        <v>241</v>
      </c>
      <c r="I220" s="30" t="s">
        <v>240</v>
      </c>
    </row>
    <row r="221" spans="1:9">
      <c r="A221" s="22" t="s">
        <v>1134</v>
      </c>
      <c r="B221" s="30"/>
      <c r="C221" s="30"/>
      <c r="D221" s="30" t="s">
        <v>484</v>
      </c>
      <c r="E221" s="30" t="s">
        <v>112</v>
      </c>
      <c r="F221" s="30" t="s">
        <v>866</v>
      </c>
      <c r="G221" s="30"/>
      <c r="H221" s="30" t="s">
        <v>241</v>
      </c>
      <c r="I221" s="30" t="s">
        <v>126</v>
      </c>
    </row>
    <row r="222" spans="1:9">
      <c r="A222" s="22" t="s">
        <v>1134</v>
      </c>
      <c r="B222" s="30"/>
      <c r="C222" s="30"/>
      <c r="D222" s="30" t="s">
        <v>485</v>
      </c>
      <c r="E222" s="30" t="s">
        <v>127</v>
      </c>
      <c r="F222" s="30" t="s">
        <v>866</v>
      </c>
      <c r="G222" s="30"/>
      <c r="H222" s="30" t="s">
        <v>241</v>
      </c>
      <c r="I222" s="30" t="s">
        <v>126</v>
      </c>
    </row>
    <row r="223" spans="1:9">
      <c r="A223" s="22" t="s">
        <v>1134</v>
      </c>
      <c r="B223" s="30"/>
      <c r="C223" s="30"/>
      <c r="D223" s="30" t="s">
        <v>899</v>
      </c>
      <c r="E223" s="30" t="s">
        <v>112</v>
      </c>
      <c r="F223" s="30" t="s">
        <v>866</v>
      </c>
      <c r="G223" s="30"/>
      <c r="H223" s="30" t="s">
        <v>241</v>
      </c>
      <c r="I223" s="30" t="s">
        <v>128</v>
      </c>
    </row>
    <row r="224" spans="1:9">
      <c r="A224" s="22" t="s">
        <v>1134</v>
      </c>
      <c r="B224" s="30"/>
      <c r="C224" s="30"/>
      <c r="D224" s="30" t="s">
        <v>900</v>
      </c>
      <c r="E224" s="30" t="s">
        <v>127</v>
      </c>
      <c r="F224" s="30" t="s">
        <v>866</v>
      </c>
      <c r="G224" s="30"/>
      <c r="H224" s="30" t="s">
        <v>241</v>
      </c>
      <c r="I224" s="30" t="s">
        <v>128</v>
      </c>
    </row>
    <row r="225" spans="1:9">
      <c r="A225" s="22" t="s">
        <v>1134</v>
      </c>
      <c r="B225" s="30"/>
      <c r="C225" s="30"/>
      <c r="D225" s="22" t="s">
        <v>486</v>
      </c>
      <c r="E225" s="30" t="s">
        <v>120</v>
      </c>
      <c r="F225" s="30" t="s">
        <v>111</v>
      </c>
      <c r="G225" s="30"/>
      <c r="H225" s="30" t="s">
        <v>241</v>
      </c>
      <c r="I225" s="30" t="s">
        <v>213</v>
      </c>
    </row>
    <row r="226" spans="1:9">
      <c r="A226" s="22" t="s">
        <v>1134</v>
      </c>
      <c r="B226" s="30"/>
      <c r="C226" s="30"/>
      <c r="D226" s="30" t="s">
        <v>686</v>
      </c>
      <c r="E226" s="30" t="s">
        <v>115</v>
      </c>
      <c r="F226" s="30" t="s">
        <v>178</v>
      </c>
      <c r="G226" s="30" t="s">
        <v>1191</v>
      </c>
      <c r="H226" s="30" t="s">
        <v>241</v>
      </c>
      <c r="I226" s="30" t="s">
        <v>114</v>
      </c>
    </row>
    <row r="227" spans="1:9">
      <c r="A227" s="22" t="s">
        <v>1134</v>
      </c>
      <c r="B227" s="30"/>
      <c r="C227" s="30"/>
      <c r="D227" s="30" t="s">
        <v>487</v>
      </c>
      <c r="E227" s="30" t="s">
        <v>115</v>
      </c>
      <c r="F227" s="30" t="s">
        <v>178</v>
      </c>
      <c r="G227" s="30" t="s">
        <v>1192</v>
      </c>
      <c r="H227" s="30" t="s">
        <v>241</v>
      </c>
      <c r="I227" s="30" t="s">
        <v>114</v>
      </c>
    </row>
    <row r="228" spans="1:9">
      <c r="A228" s="22" t="s">
        <v>1134</v>
      </c>
      <c r="B228" s="30"/>
      <c r="C228" s="30"/>
      <c r="D228" s="30" t="s">
        <v>1146</v>
      </c>
      <c r="E228" s="30" t="s">
        <v>112</v>
      </c>
      <c r="F228" s="30" t="s">
        <v>178</v>
      </c>
      <c r="G228" s="30" t="s">
        <v>571</v>
      </c>
      <c r="H228" s="30" t="s">
        <v>241</v>
      </c>
      <c r="I228" s="30" t="s">
        <v>572</v>
      </c>
    </row>
    <row r="229" spans="1:9">
      <c r="A229" s="22" t="s">
        <v>1134</v>
      </c>
      <c r="B229" s="30"/>
      <c r="C229" s="30"/>
      <c r="D229" s="30" t="s">
        <v>687</v>
      </c>
      <c r="E229" s="30" t="s">
        <v>115</v>
      </c>
      <c r="F229" s="30" t="s">
        <v>179</v>
      </c>
      <c r="G229" s="30" t="s">
        <v>1193</v>
      </c>
      <c r="H229" s="30" t="s">
        <v>241</v>
      </c>
      <c r="I229" s="30" t="s">
        <v>114</v>
      </c>
    </row>
    <row r="230" spans="1:9">
      <c r="A230" s="22" t="s">
        <v>1134</v>
      </c>
      <c r="B230" s="30"/>
      <c r="C230" s="30"/>
      <c r="D230" s="30" t="s">
        <v>488</v>
      </c>
      <c r="E230" s="30" t="s">
        <v>115</v>
      </c>
      <c r="F230" s="30" t="s">
        <v>179</v>
      </c>
      <c r="G230" s="30" t="s">
        <v>1194</v>
      </c>
      <c r="H230" s="30" t="s">
        <v>241</v>
      </c>
      <c r="I230" s="30" t="s">
        <v>114</v>
      </c>
    </row>
    <row r="231" spans="1:9">
      <c r="A231" s="22" t="s">
        <v>1134</v>
      </c>
      <c r="B231" s="30"/>
      <c r="C231" s="30"/>
      <c r="D231" s="30" t="s">
        <v>901</v>
      </c>
      <c r="E231" s="30" t="s">
        <v>112</v>
      </c>
      <c r="F231" s="30" t="s">
        <v>179</v>
      </c>
      <c r="G231" s="30" t="s">
        <v>571</v>
      </c>
      <c r="H231" s="30" t="s">
        <v>241</v>
      </c>
      <c r="I231" s="30" t="s">
        <v>572</v>
      </c>
    </row>
    <row r="232" spans="1:9">
      <c r="A232" s="22" t="s">
        <v>1134</v>
      </c>
      <c r="B232" s="30"/>
      <c r="C232" s="30"/>
      <c r="D232" s="30" t="s">
        <v>1147</v>
      </c>
      <c r="E232" s="30" t="s">
        <v>115</v>
      </c>
      <c r="F232" s="30" t="s">
        <v>169</v>
      </c>
      <c r="G232" s="30" t="s">
        <v>1195</v>
      </c>
      <c r="H232" s="30" t="s">
        <v>241</v>
      </c>
      <c r="I232" s="30" t="s">
        <v>114</v>
      </c>
    </row>
    <row r="233" spans="1:9">
      <c r="A233" s="22" t="s">
        <v>1134</v>
      </c>
      <c r="B233" s="30"/>
      <c r="C233" s="30"/>
      <c r="D233" s="30" t="s">
        <v>489</v>
      </c>
      <c r="E233" s="30" t="s">
        <v>115</v>
      </c>
      <c r="F233" s="30" t="s">
        <v>169</v>
      </c>
      <c r="G233" s="30" t="s">
        <v>1196</v>
      </c>
      <c r="H233" s="30" t="s">
        <v>241</v>
      </c>
      <c r="I233" s="30" t="s">
        <v>114</v>
      </c>
    </row>
    <row r="234" spans="1:9">
      <c r="A234" s="22" t="s">
        <v>1134</v>
      </c>
      <c r="B234" s="30"/>
      <c r="C234" s="30"/>
      <c r="D234" s="30" t="s">
        <v>902</v>
      </c>
      <c r="E234" s="30" t="s">
        <v>112</v>
      </c>
      <c r="F234" s="30" t="s">
        <v>169</v>
      </c>
      <c r="G234" s="30" t="s">
        <v>571</v>
      </c>
      <c r="H234" s="30" t="s">
        <v>241</v>
      </c>
      <c r="I234" s="30" t="s">
        <v>572</v>
      </c>
    </row>
    <row r="235" spans="1:9">
      <c r="A235" s="22" t="s">
        <v>1134</v>
      </c>
      <c r="B235" s="30"/>
      <c r="C235" s="30"/>
      <c r="D235" s="30" t="s">
        <v>688</v>
      </c>
      <c r="E235" s="30" t="s">
        <v>115</v>
      </c>
      <c r="F235" s="30" t="s">
        <v>180</v>
      </c>
      <c r="G235" s="30" t="s">
        <v>1202</v>
      </c>
      <c r="H235" s="30" t="s">
        <v>241</v>
      </c>
      <c r="I235" s="30" t="s">
        <v>114</v>
      </c>
    </row>
    <row r="236" spans="1:9">
      <c r="A236" s="22" t="s">
        <v>1134</v>
      </c>
      <c r="B236" s="30"/>
      <c r="C236" s="30"/>
      <c r="D236" s="30" t="s">
        <v>490</v>
      </c>
      <c r="E236" s="30" t="s">
        <v>115</v>
      </c>
      <c r="F236" s="30" t="s">
        <v>180</v>
      </c>
      <c r="G236" s="30" t="s">
        <v>1203</v>
      </c>
      <c r="H236" s="30" t="s">
        <v>241</v>
      </c>
      <c r="I236" s="30" t="s">
        <v>114</v>
      </c>
    </row>
    <row r="237" spans="1:9">
      <c r="A237" s="22" t="s">
        <v>1134</v>
      </c>
      <c r="B237" s="30"/>
      <c r="C237" s="30"/>
      <c r="D237" s="30" t="s">
        <v>903</v>
      </c>
      <c r="E237" s="30" t="s">
        <v>112</v>
      </c>
      <c r="F237" s="30" t="s">
        <v>180</v>
      </c>
      <c r="G237" s="30" t="s">
        <v>571</v>
      </c>
      <c r="H237" s="30" t="s">
        <v>241</v>
      </c>
      <c r="I237" s="30" t="s">
        <v>572</v>
      </c>
    </row>
    <row r="238" spans="1:9">
      <c r="A238" s="22" t="s">
        <v>1134</v>
      </c>
      <c r="B238" s="30"/>
      <c r="C238" s="30"/>
      <c r="D238" s="30" t="s">
        <v>689</v>
      </c>
      <c r="E238" s="30" t="s">
        <v>115</v>
      </c>
      <c r="F238" s="30" t="s">
        <v>181</v>
      </c>
      <c r="G238" s="30" t="s">
        <v>1197</v>
      </c>
      <c r="H238" s="30" t="s">
        <v>241</v>
      </c>
      <c r="I238" s="30" t="s">
        <v>114</v>
      </c>
    </row>
    <row r="239" spans="1:9">
      <c r="A239" s="22" t="s">
        <v>1134</v>
      </c>
      <c r="B239" s="30"/>
      <c r="C239" s="30"/>
      <c r="D239" s="30" t="s">
        <v>904</v>
      </c>
      <c r="E239" s="30" t="s">
        <v>115</v>
      </c>
      <c r="F239" s="30" t="s">
        <v>181</v>
      </c>
      <c r="G239" s="30" t="s">
        <v>1198</v>
      </c>
      <c r="H239" s="30" t="s">
        <v>241</v>
      </c>
      <c r="I239" s="30" t="s">
        <v>114</v>
      </c>
    </row>
    <row r="240" spans="1:9">
      <c r="A240" s="22" t="s">
        <v>1134</v>
      </c>
      <c r="B240" s="30"/>
      <c r="C240" s="30"/>
      <c r="D240" s="30" t="s">
        <v>905</v>
      </c>
      <c r="E240" s="30" t="s">
        <v>112</v>
      </c>
      <c r="F240" s="30" t="s">
        <v>181</v>
      </c>
      <c r="G240" s="30" t="s">
        <v>571</v>
      </c>
      <c r="H240" s="30" t="s">
        <v>241</v>
      </c>
      <c r="I240" s="30" t="s">
        <v>572</v>
      </c>
    </row>
    <row r="241" spans="1:9">
      <c r="A241" s="22" t="s">
        <v>1134</v>
      </c>
      <c r="B241" s="30"/>
      <c r="C241" s="30"/>
      <c r="D241" s="30" t="s">
        <v>690</v>
      </c>
      <c r="E241" s="30" t="s">
        <v>115</v>
      </c>
      <c r="F241" s="30" t="s">
        <v>182</v>
      </c>
      <c r="G241" s="30" t="s">
        <v>1199</v>
      </c>
      <c r="H241" s="30" t="s">
        <v>241</v>
      </c>
      <c r="I241" s="30" t="s">
        <v>114</v>
      </c>
    </row>
    <row r="242" spans="1:9">
      <c r="A242" s="22" t="s">
        <v>1134</v>
      </c>
      <c r="B242" s="30"/>
      <c r="C242" s="30"/>
      <c r="D242" s="30" t="s">
        <v>906</v>
      </c>
      <c r="E242" s="30" t="s">
        <v>115</v>
      </c>
      <c r="F242" s="30" t="s">
        <v>182</v>
      </c>
      <c r="G242" s="30" t="s">
        <v>1200</v>
      </c>
      <c r="H242" s="30" t="s">
        <v>241</v>
      </c>
      <c r="I242" s="30" t="s">
        <v>114</v>
      </c>
    </row>
    <row r="243" spans="1:9">
      <c r="A243" s="22" t="s">
        <v>1134</v>
      </c>
      <c r="B243" s="30"/>
      <c r="C243" s="30"/>
      <c r="D243" s="30" t="s">
        <v>907</v>
      </c>
      <c r="E243" s="30" t="s">
        <v>112</v>
      </c>
      <c r="F243" s="30" t="s">
        <v>182</v>
      </c>
      <c r="G243" s="30" t="s">
        <v>571</v>
      </c>
      <c r="H243" s="30" t="s">
        <v>241</v>
      </c>
      <c r="I243" s="30" t="s">
        <v>572</v>
      </c>
    </row>
    <row r="244" spans="1:9">
      <c r="A244" s="22" t="s">
        <v>1134</v>
      </c>
      <c r="B244" s="30"/>
      <c r="C244" s="30"/>
      <c r="D244" s="30" t="s">
        <v>691</v>
      </c>
      <c r="E244" s="30" t="s">
        <v>115</v>
      </c>
      <c r="F244" s="30" t="s">
        <v>183</v>
      </c>
      <c r="G244" s="30" t="s">
        <v>1204</v>
      </c>
      <c r="H244" s="30" t="s">
        <v>241</v>
      </c>
      <c r="I244" s="30" t="s">
        <v>114</v>
      </c>
    </row>
    <row r="245" spans="1:9">
      <c r="A245" s="22" t="s">
        <v>1134</v>
      </c>
      <c r="B245" s="30"/>
      <c r="C245" s="30"/>
      <c r="D245" s="30" t="s">
        <v>908</v>
      </c>
      <c r="E245" s="30" t="s">
        <v>115</v>
      </c>
      <c r="F245" s="30" t="s">
        <v>183</v>
      </c>
      <c r="G245" s="30" t="s">
        <v>1205</v>
      </c>
      <c r="H245" s="30" t="s">
        <v>241</v>
      </c>
      <c r="I245" s="30" t="s">
        <v>114</v>
      </c>
    </row>
    <row r="246" spans="1:9">
      <c r="A246" s="22" t="s">
        <v>1134</v>
      </c>
      <c r="B246" s="30"/>
      <c r="C246" s="30"/>
      <c r="D246" s="30" t="s">
        <v>909</v>
      </c>
      <c r="E246" s="30" t="s">
        <v>112</v>
      </c>
      <c r="F246" s="30" t="s">
        <v>183</v>
      </c>
      <c r="G246" s="30" t="s">
        <v>571</v>
      </c>
      <c r="H246" s="30" t="s">
        <v>241</v>
      </c>
      <c r="I246" s="30" t="s">
        <v>572</v>
      </c>
    </row>
    <row r="247" spans="1:9">
      <c r="A247" s="22" t="s">
        <v>1134</v>
      </c>
      <c r="B247" s="30"/>
      <c r="C247" s="30"/>
      <c r="D247" s="30" t="s">
        <v>692</v>
      </c>
      <c r="E247" s="30" t="s">
        <v>115</v>
      </c>
      <c r="F247" s="30" t="s">
        <v>184</v>
      </c>
      <c r="G247" s="30" t="s">
        <v>1189</v>
      </c>
      <c r="H247" s="30" t="s">
        <v>241</v>
      </c>
      <c r="I247" s="30" t="s">
        <v>114</v>
      </c>
    </row>
    <row r="248" spans="1:9">
      <c r="A248" s="22" t="s">
        <v>1134</v>
      </c>
      <c r="B248" s="30"/>
      <c r="C248" s="30"/>
      <c r="D248" s="30" t="s">
        <v>910</v>
      </c>
      <c r="E248" s="30" t="s">
        <v>115</v>
      </c>
      <c r="F248" s="30" t="s">
        <v>184</v>
      </c>
      <c r="G248" s="30" t="s">
        <v>1190</v>
      </c>
      <c r="H248" s="30" t="s">
        <v>241</v>
      </c>
      <c r="I248" s="30" t="s">
        <v>114</v>
      </c>
    </row>
    <row r="249" spans="1:9">
      <c r="A249" s="22" t="s">
        <v>1134</v>
      </c>
      <c r="B249" s="30"/>
      <c r="C249" s="30"/>
      <c r="D249" s="30" t="s">
        <v>1148</v>
      </c>
      <c r="E249" s="30" t="s">
        <v>112</v>
      </c>
      <c r="F249" s="30" t="s">
        <v>184</v>
      </c>
      <c r="G249" s="30" t="s">
        <v>571</v>
      </c>
      <c r="H249" s="30" t="s">
        <v>241</v>
      </c>
      <c r="I249" s="30" t="s">
        <v>572</v>
      </c>
    </row>
    <row r="250" spans="1:9">
      <c r="A250" s="22" t="s">
        <v>1135</v>
      </c>
      <c r="B250" s="30"/>
      <c r="C250" s="30"/>
      <c r="D250" s="30" t="s">
        <v>824</v>
      </c>
      <c r="E250" s="30" t="s">
        <v>822</v>
      </c>
      <c r="F250" s="30" t="s">
        <v>111</v>
      </c>
      <c r="G250" s="30" t="s">
        <v>865</v>
      </c>
      <c r="H250" s="30" t="s">
        <v>241</v>
      </c>
      <c r="I250" s="30" t="s">
        <v>823</v>
      </c>
    </row>
    <row r="251" spans="1:9">
      <c r="A251" s="22" t="s">
        <v>1135</v>
      </c>
      <c r="B251" s="30"/>
      <c r="C251" s="30"/>
      <c r="D251" s="30" t="s">
        <v>825</v>
      </c>
      <c r="E251" s="30" t="s">
        <v>822</v>
      </c>
      <c r="F251" s="30" t="s">
        <v>111</v>
      </c>
      <c r="G251" s="30" t="s">
        <v>865</v>
      </c>
      <c r="H251" s="30" t="s">
        <v>241</v>
      </c>
      <c r="I251" s="30" t="s">
        <v>232</v>
      </c>
    </row>
    <row r="252" spans="1:9">
      <c r="A252" s="28"/>
      <c r="B252" s="28"/>
      <c r="C252" s="28"/>
      <c r="D252" s="28"/>
      <c r="E252" s="29" t="s">
        <v>789</v>
      </c>
      <c r="F252" s="28"/>
      <c r="G252" s="28"/>
      <c r="H252" s="28"/>
      <c r="I252" s="28"/>
    </row>
    <row r="253" spans="1:9">
      <c r="A253" s="22" t="s">
        <v>1134</v>
      </c>
      <c r="B253" s="30"/>
      <c r="C253" s="30"/>
      <c r="D253" s="22" t="s">
        <v>342</v>
      </c>
      <c r="E253" s="30" t="s">
        <v>115</v>
      </c>
      <c r="F253" s="30" t="s">
        <v>111</v>
      </c>
      <c r="G253" s="30" t="s">
        <v>863</v>
      </c>
      <c r="H253" s="30" t="s">
        <v>241</v>
      </c>
      <c r="I253" s="30" t="s">
        <v>114</v>
      </c>
    </row>
    <row r="254" spans="1:9">
      <c r="A254" s="22" t="s">
        <v>1134</v>
      </c>
      <c r="B254" s="30"/>
      <c r="C254" s="30"/>
      <c r="D254" s="22" t="s">
        <v>121</v>
      </c>
      <c r="E254" s="30" t="s">
        <v>120</v>
      </c>
      <c r="F254" s="30" t="s">
        <v>111</v>
      </c>
      <c r="G254" s="30" t="s">
        <v>863</v>
      </c>
      <c r="H254" s="30" t="s">
        <v>241</v>
      </c>
      <c r="I254" s="30" t="s">
        <v>114</v>
      </c>
    </row>
    <row r="255" spans="1:9">
      <c r="A255" s="22" t="s">
        <v>1134</v>
      </c>
      <c r="B255" s="30"/>
      <c r="C255" s="30"/>
      <c r="D255" s="30" t="s">
        <v>124</v>
      </c>
      <c r="E255" s="30" t="s">
        <v>112</v>
      </c>
      <c r="F255" s="30" t="s">
        <v>111</v>
      </c>
      <c r="G255" s="30" t="s">
        <v>113</v>
      </c>
      <c r="H255" s="30" t="s">
        <v>241</v>
      </c>
      <c r="I255" s="30" t="s">
        <v>114</v>
      </c>
    </row>
    <row r="256" spans="1:9">
      <c r="A256" s="22" t="s">
        <v>1134</v>
      </c>
      <c r="C256" s="30"/>
      <c r="D256" s="30" t="s">
        <v>235</v>
      </c>
      <c r="E256" s="30" t="s">
        <v>115</v>
      </c>
      <c r="F256" s="30" t="s">
        <v>111</v>
      </c>
      <c r="G256" s="30" t="s">
        <v>863</v>
      </c>
      <c r="H256" s="30" t="s">
        <v>241</v>
      </c>
      <c r="I256" s="30" t="s">
        <v>204</v>
      </c>
    </row>
    <row r="257" spans="1:9">
      <c r="A257" s="22" t="s">
        <v>1134</v>
      </c>
      <c r="C257" s="30"/>
      <c r="D257" s="30" t="s">
        <v>290</v>
      </c>
      <c r="E257" s="30" t="s">
        <v>115</v>
      </c>
      <c r="F257" s="30" t="s">
        <v>111</v>
      </c>
      <c r="G257" s="30" t="s">
        <v>863</v>
      </c>
      <c r="H257" s="30" t="s">
        <v>241</v>
      </c>
      <c r="I257" s="30" t="s">
        <v>232</v>
      </c>
    </row>
    <row r="258" spans="1:9">
      <c r="A258" s="22" t="s">
        <v>1134</v>
      </c>
      <c r="B258" s="30"/>
      <c r="C258" s="30"/>
      <c r="D258" s="30" t="s">
        <v>291</v>
      </c>
      <c r="E258" s="30" t="s">
        <v>115</v>
      </c>
      <c r="F258" s="30" t="s">
        <v>111</v>
      </c>
      <c r="G258" s="30" t="s">
        <v>863</v>
      </c>
      <c r="H258" s="30" t="s">
        <v>241</v>
      </c>
      <c r="I258" s="30" t="s">
        <v>118</v>
      </c>
    </row>
    <row r="259" spans="1:9">
      <c r="A259" s="22" t="s">
        <v>1134</v>
      </c>
      <c r="B259" s="30"/>
      <c r="C259" s="30"/>
      <c r="D259" s="30" t="s">
        <v>343</v>
      </c>
      <c r="E259" s="30" t="s">
        <v>115</v>
      </c>
      <c r="F259" s="30" t="s">
        <v>111</v>
      </c>
      <c r="G259" s="30" t="s">
        <v>864</v>
      </c>
      <c r="H259" s="30" t="s">
        <v>241</v>
      </c>
      <c r="I259" s="30" t="s">
        <v>118</v>
      </c>
    </row>
    <row r="260" spans="1:9">
      <c r="A260" s="22" t="s">
        <v>1134</v>
      </c>
      <c r="C260" s="30"/>
      <c r="D260" s="30" t="s">
        <v>927</v>
      </c>
      <c r="E260" s="30" t="s">
        <v>112</v>
      </c>
      <c r="F260" s="30" t="s">
        <v>247</v>
      </c>
      <c r="G260" s="30"/>
      <c r="H260" s="30" t="s">
        <v>241</v>
      </c>
      <c r="I260" s="30" t="s">
        <v>118</v>
      </c>
    </row>
    <row r="261" spans="1:9">
      <c r="A261" s="22" t="s">
        <v>1134</v>
      </c>
      <c r="C261" s="30"/>
      <c r="D261" s="30" t="s">
        <v>928</v>
      </c>
      <c r="E261" s="30" t="s">
        <v>127</v>
      </c>
      <c r="F261" s="30" t="s">
        <v>247</v>
      </c>
      <c r="G261" s="30"/>
      <c r="H261" s="30" t="s">
        <v>241</v>
      </c>
      <c r="I261" s="30" t="s">
        <v>118</v>
      </c>
    </row>
    <row r="262" spans="1:9">
      <c r="A262" s="22" t="s">
        <v>1134</v>
      </c>
      <c r="B262" s="30"/>
      <c r="C262" s="30"/>
      <c r="D262" s="30" t="s">
        <v>929</v>
      </c>
      <c r="E262" s="30" t="s">
        <v>112</v>
      </c>
      <c r="F262" s="30" t="s">
        <v>123</v>
      </c>
      <c r="G262" s="30"/>
      <c r="H262" s="30" t="s">
        <v>241</v>
      </c>
      <c r="I262" s="30" t="s">
        <v>240</v>
      </c>
    </row>
    <row r="263" spans="1:9">
      <c r="A263" s="22" t="s">
        <v>1134</v>
      </c>
      <c r="B263" s="30"/>
      <c r="C263" s="30"/>
      <c r="D263" s="30" t="s">
        <v>930</v>
      </c>
      <c r="E263" s="30" t="s">
        <v>127</v>
      </c>
      <c r="F263" s="30" t="s">
        <v>123</v>
      </c>
      <c r="G263" s="30"/>
      <c r="H263" s="30" t="s">
        <v>241</v>
      </c>
      <c r="I263" s="30" t="s">
        <v>240</v>
      </c>
    </row>
    <row r="264" spans="1:9">
      <c r="A264" s="22" t="s">
        <v>1134</v>
      </c>
      <c r="B264" s="30"/>
      <c r="C264" s="30"/>
      <c r="D264" s="30" t="s">
        <v>344</v>
      </c>
      <c r="E264" s="30" t="s">
        <v>112</v>
      </c>
      <c r="F264" s="30" t="s">
        <v>866</v>
      </c>
      <c r="G264" s="30"/>
      <c r="H264" s="30" t="s">
        <v>241</v>
      </c>
      <c r="I264" s="30" t="s">
        <v>126</v>
      </c>
    </row>
    <row r="265" spans="1:9">
      <c r="A265" s="22" t="s">
        <v>1134</v>
      </c>
      <c r="B265" s="30"/>
      <c r="C265" s="30"/>
      <c r="D265" s="30" t="s">
        <v>345</v>
      </c>
      <c r="E265" s="30" t="s">
        <v>127</v>
      </c>
      <c r="F265" s="30" t="s">
        <v>866</v>
      </c>
      <c r="G265" s="30"/>
      <c r="H265" s="30" t="s">
        <v>241</v>
      </c>
      <c r="I265" s="30" t="s">
        <v>126</v>
      </c>
    </row>
    <row r="266" spans="1:9">
      <c r="A266" s="22" t="s">
        <v>1134</v>
      </c>
      <c r="B266" s="30"/>
      <c r="C266" s="30"/>
      <c r="D266" s="30" t="s">
        <v>931</v>
      </c>
      <c r="E266" s="30" t="s">
        <v>112</v>
      </c>
      <c r="F266" s="30" t="s">
        <v>866</v>
      </c>
      <c r="G266" s="30"/>
      <c r="H266" s="30" t="s">
        <v>241</v>
      </c>
      <c r="I266" s="30" t="s">
        <v>128</v>
      </c>
    </row>
    <row r="267" spans="1:9">
      <c r="A267" s="22" t="s">
        <v>1134</v>
      </c>
      <c r="B267" s="30"/>
      <c r="C267" s="30"/>
      <c r="D267" s="30" t="s">
        <v>932</v>
      </c>
      <c r="E267" s="30" t="s">
        <v>127</v>
      </c>
      <c r="F267" s="30" t="s">
        <v>866</v>
      </c>
      <c r="G267" s="30"/>
      <c r="H267" s="30" t="s">
        <v>241</v>
      </c>
      <c r="I267" s="30" t="s">
        <v>128</v>
      </c>
    </row>
    <row r="268" spans="1:9">
      <c r="A268" s="22" t="s">
        <v>1134</v>
      </c>
      <c r="B268" s="30"/>
      <c r="C268" s="30"/>
      <c r="D268" s="22" t="s">
        <v>292</v>
      </c>
      <c r="E268" s="30" t="s">
        <v>120</v>
      </c>
      <c r="F268" s="30" t="s">
        <v>111</v>
      </c>
      <c r="G268" s="30"/>
      <c r="H268" s="30" t="s">
        <v>241</v>
      </c>
      <c r="I268" s="30" t="s">
        <v>213</v>
      </c>
    </row>
    <row r="269" spans="1:9">
      <c r="A269" s="22" t="s">
        <v>1134</v>
      </c>
      <c r="B269" s="30"/>
      <c r="C269" s="30"/>
      <c r="D269" s="30" t="s">
        <v>570</v>
      </c>
      <c r="E269" s="30" t="s">
        <v>115</v>
      </c>
      <c r="F269" s="30" t="s">
        <v>178</v>
      </c>
      <c r="G269" s="30" t="s">
        <v>1191</v>
      </c>
      <c r="H269" s="30" t="s">
        <v>241</v>
      </c>
      <c r="I269" s="30" t="s">
        <v>114</v>
      </c>
    </row>
    <row r="270" spans="1:9">
      <c r="A270" s="22" t="s">
        <v>1134</v>
      </c>
      <c r="B270" s="30"/>
      <c r="C270" s="30"/>
      <c r="D270" s="30" t="s">
        <v>346</v>
      </c>
      <c r="E270" s="30" t="s">
        <v>115</v>
      </c>
      <c r="F270" s="30" t="s">
        <v>178</v>
      </c>
      <c r="G270" s="30" t="s">
        <v>1192</v>
      </c>
      <c r="H270" s="30" t="s">
        <v>241</v>
      </c>
      <c r="I270" s="30" t="s">
        <v>114</v>
      </c>
    </row>
    <row r="271" spans="1:9">
      <c r="A271" s="22" t="s">
        <v>1134</v>
      </c>
      <c r="B271" s="30"/>
      <c r="C271" s="30"/>
      <c r="D271" s="30" t="s">
        <v>1149</v>
      </c>
      <c r="E271" s="30" t="s">
        <v>112</v>
      </c>
      <c r="F271" s="30" t="s">
        <v>178</v>
      </c>
      <c r="G271" s="30" t="s">
        <v>571</v>
      </c>
      <c r="H271" s="30" t="s">
        <v>241</v>
      </c>
      <c r="I271" s="30" t="s">
        <v>572</v>
      </c>
    </row>
    <row r="272" spans="1:9">
      <c r="A272" s="22" t="s">
        <v>1134</v>
      </c>
      <c r="B272" s="30"/>
      <c r="C272" s="30"/>
      <c r="D272" s="30" t="s">
        <v>617</v>
      </c>
      <c r="E272" s="30" t="s">
        <v>115</v>
      </c>
      <c r="F272" s="30" t="s">
        <v>179</v>
      </c>
      <c r="G272" s="30" t="s">
        <v>1193</v>
      </c>
      <c r="H272" s="30" t="s">
        <v>241</v>
      </c>
      <c r="I272" s="30" t="s">
        <v>114</v>
      </c>
    </row>
    <row r="273" spans="1:9">
      <c r="A273" s="22" t="s">
        <v>1134</v>
      </c>
      <c r="B273" s="30"/>
      <c r="C273" s="30"/>
      <c r="D273" s="30" t="s">
        <v>347</v>
      </c>
      <c r="E273" s="30" t="s">
        <v>115</v>
      </c>
      <c r="F273" s="30" t="s">
        <v>179</v>
      </c>
      <c r="G273" s="30" t="s">
        <v>1194</v>
      </c>
      <c r="H273" s="30" t="s">
        <v>241</v>
      </c>
      <c r="I273" s="30" t="s">
        <v>114</v>
      </c>
    </row>
    <row r="274" spans="1:9">
      <c r="A274" s="22" t="s">
        <v>1134</v>
      </c>
      <c r="B274" s="30"/>
      <c r="C274" s="30"/>
      <c r="D274" s="30" t="s">
        <v>933</v>
      </c>
      <c r="E274" s="30" t="s">
        <v>112</v>
      </c>
      <c r="F274" s="30" t="s">
        <v>179</v>
      </c>
      <c r="G274" s="30" t="s">
        <v>571</v>
      </c>
      <c r="H274" s="30" t="s">
        <v>241</v>
      </c>
      <c r="I274" s="30" t="s">
        <v>572</v>
      </c>
    </row>
    <row r="275" spans="1:9">
      <c r="A275" s="22" t="s">
        <v>1134</v>
      </c>
      <c r="B275" s="30"/>
      <c r="C275" s="30"/>
      <c r="D275" s="30" t="s">
        <v>1150</v>
      </c>
      <c r="E275" s="30" t="s">
        <v>115</v>
      </c>
      <c r="F275" s="30" t="s">
        <v>169</v>
      </c>
      <c r="G275" s="30" t="s">
        <v>1195</v>
      </c>
      <c r="H275" s="30" t="s">
        <v>241</v>
      </c>
      <c r="I275" s="30" t="s">
        <v>114</v>
      </c>
    </row>
    <row r="276" spans="1:9">
      <c r="A276" s="22" t="s">
        <v>1134</v>
      </c>
      <c r="B276" s="30"/>
      <c r="C276" s="30"/>
      <c r="D276" s="30" t="s">
        <v>348</v>
      </c>
      <c r="E276" s="30" t="s">
        <v>115</v>
      </c>
      <c r="F276" s="30" t="s">
        <v>169</v>
      </c>
      <c r="G276" s="30" t="s">
        <v>1196</v>
      </c>
      <c r="H276" s="30" t="s">
        <v>241</v>
      </c>
      <c r="I276" s="30" t="s">
        <v>114</v>
      </c>
    </row>
    <row r="277" spans="1:9">
      <c r="A277" s="22" t="s">
        <v>1134</v>
      </c>
      <c r="B277" s="30"/>
      <c r="C277" s="30"/>
      <c r="D277" s="30" t="s">
        <v>934</v>
      </c>
      <c r="E277" s="30" t="s">
        <v>112</v>
      </c>
      <c r="F277" s="30" t="s">
        <v>169</v>
      </c>
      <c r="G277" s="30" t="s">
        <v>571</v>
      </c>
      <c r="H277" s="30" t="s">
        <v>241</v>
      </c>
      <c r="I277" s="30" t="s">
        <v>572</v>
      </c>
    </row>
    <row r="278" spans="1:9">
      <c r="A278" s="22" t="s">
        <v>1134</v>
      </c>
      <c r="B278" s="30"/>
      <c r="C278" s="30"/>
      <c r="D278" s="30" t="s">
        <v>618</v>
      </c>
      <c r="E278" s="30" t="s">
        <v>115</v>
      </c>
      <c r="F278" s="30" t="s">
        <v>180</v>
      </c>
      <c r="G278" s="30" t="s">
        <v>1202</v>
      </c>
      <c r="H278" s="30" t="s">
        <v>241</v>
      </c>
      <c r="I278" s="30" t="s">
        <v>114</v>
      </c>
    </row>
    <row r="279" spans="1:9">
      <c r="A279" s="22" t="s">
        <v>1134</v>
      </c>
      <c r="B279" s="30"/>
      <c r="C279" s="30"/>
      <c r="D279" s="30" t="s">
        <v>349</v>
      </c>
      <c r="E279" s="30" t="s">
        <v>115</v>
      </c>
      <c r="F279" s="30" t="s">
        <v>180</v>
      </c>
      <c r="G279" s="30" t="s">
        <v>1203</v>
      </c>
      <c r="H279" s="30" t="s">
        <v>241</v>
      </c>
      <c r="I279" s="30" t="s">
        <v>114</v>
      </c>
    </row>
    <row r="280" spans="1:9">
      <c r="A280" s="22" t="s">
        <v>1134</v>
      </c>
      <c r="B280" s="30"/>
      <c r="C280" s="30"/>
      <c r="D280" s="30" t="s">
        <v>935</v>
      </c>
      <c r="E280" s="30" t="s">
        <v>112</v>
      </c>
      <c r="F280" s="30" t="s">
        <v>180</v>
      </c>
      <c r="G280" s="30" t="s">
        <v>571</v>
      </c>
      <c r="H280" s="30" t="s">
        <v>241</v>
      </c>
      <c r="I280" s="30" t="s">
        <v>572</v>
      </c>
    </row>
    <row r="281" spans="1:9">
      <c r="A281" s="22" t="s">
        <v>1134</v>
      </c>
      <c r="B281" s="30"/>
      <c r="C281" s="30"/>
      <c r="D281" s="30" t="s">
        <v>619</v>
      </c>
      <c r="E281" s="30" t="s">
        <v>115</v>
      </c>
      <c r="F281" s="30" t="s">
        <v>181</v>
      </c>
      <c r="G281" s="30" t="s">
        <v>1197</v>
      </c>
      <c r="H281" s="30" t="s">
        <v>241</v>
      </c>
      <c r="I281" s="30" t="s">
        <v>114</v>
      </c>
    </row>
    <row r="282" spans="1:9">
      <c r="A282" s="22" t="s">
        <v>1134</v>
      </c>
      <c r="B282" s="30"/>
      <c r="C282" s="30"/>
      <c r="D282" s="30" t="s">
        <v>936</v>
      </c>
      <c r="E282" s="30" t="s">
        <v>115</v>
      </c>
      <c r="F282" s="30" t="s">
        <v>181</v>
      </c>
      <c r="G282" s="30" t="s">
        <v>1198</v>
      </c>
      <c r="H282" s="30" t="s">
        <v>241</v>
      </c>
      <c r="I282" s="30" t="s">
        <v>114</v>
      </c>
    </row>
    <row r="283" spans="1:9">
      <c r="A283" s="22" t="s">
        <v>1134</v>
      </c>
      <c r="B283" s="30"/>
      <c r="C283" s="30"/>
      <c r="D283" s="30" t="s">
        <v>937</v>
      </c>
      <c r="E283" s="30" t="s">
        <v>112</v>
      </c>
      <c r="F283" s="30" t="s">
        <v>181</v>
      </c>
      <c r="G283" s="30" t="s">
        <v>571</v>
      </c>
      <c r="H283" s="30" t="s">
        <v>241</v>
      </c>
      <c r="I283" s="30" t="s">
        <v>572</v>
      </c>
    </row>
    <row r="284" spans="1:9">
      <c r="A284" s="22" t="s">
        <v>1134</v>
      </c>
      <c r="B284" s="30"/>
      <c r="C284" s="30"/>
      <c r="D284" s="30" t="s">
        <v>620</v>
      </c>
      <c r="E284" s="30" t="s">
        <v>115</v>
      </c>
      <c r="F284" s="30" t="s">
        <v>182</v>
      </c>
      <c r="G284" s="30" t="s">
        <v>1199</v>
      </c>
      <c r="H284" s="30" t="s">
        <v>241</v>
      </c>
      <c r="I284" s="30" t="s">
        <v>114</v>
      </c>
    </row>
    <row r="285" spans="1:9">
      <c r="A285" s="22" t="s">
        <v>1134</v>
      </c>
      <c r="B285" s="30"/>
      <c r="C285" s="30"/>
      <c r="D285" s="30" t="s">
        <v>938</v>
      </c>
      <c r="E285" s="30" t="s">
        <v>115</v>
      </c>
      <c r="F285" s="30" t="s">
        <v>182</v>
      </c>
      <c r="G285" s="30" t="s">
        <v>1200</v>
      </c>
      <c r="H285" s="30" t="s">
        <v>241</v>
      </c>
      <c r="I285" s="30" t="s">
        <v>114</v>
      </c>
    </row>
    <row r="286" spans="1:9">
      <c r="A286" s="22" t="s">
        <v>1134</v>
      </c>
      <c r="B286" s="30"/>
      <c r="C286" s="30"/>
      <c r="D286" s="30" t="s">
        <v>939</v>
      </c>
      <c r="E286" s="30" t="s">
        <v>112</v>
      </c>
      <c r="F286" s="30" t="s">
        <v>182</v>
      </c>
      <c r="G286" s="30" t="s">
        <v>571</v>
      </c>
      <c r="H286" s="30" t="s">
        <v>241</v>
      </c>
      <c r="I286" s="30" t="s">
        <v>572</v>
      </c>
    </row>
    <row r="287" spans="1:9">
      <c r="A287" s="22" t="s">
        <v>1134</v>
      </c>
      <c r="B287" s="30"/>
      <c r="C287" s="30"/>
      <c r="D287" s="30" t="s">
        <v>621</v>
      </c>
      <c r="E287" s="30" t="s">
        <v>115</v>
      </c>
      <c r="F287" s="30" t="s">
        <v>183</v>
      </c>
      <c r="G287" s="30" t="s">
        <v>1204</v>
      </c>
      <c r="H287" s="30" t="s">
        <v>241</v>
      </c>
      <c r="I287" s="30" t="s">
        <v>114</v>
      </c>
    </row>
    <row r="288" spans="1:9">
      <c r="A288" s="22" t="s">
        <v>1134</v>
      </c>
      <c r="B288" s="30"/>
      <c r="C288" s="30"/>
      <c r="D288" s="30" t="s">
        <v>940</v>
      </c>
      <c r="E288" s="30" t="s">
        <v>115</v>
      </c>
      <c r="F288" s="30" t="s">
        <v>183</v>
      </c>
      <c r="G288" s="30" t="s">
        <v>1205</v>
      </c>
      <c r="H288" s="30" t="s">
        <v>241</v>
      </c>
      <c r="I288" s="30" t="s">
        <v>114</v>
      </c>
    </row>
    <row r="289" spans="1:9">
      <c r="A289" s="22" t="s">
        <v>1134</v>
      </c>
      <c r="B289" s="30"/>
      <c r="C289" s="30"/>
      <c r="D289" s="30" t="s">
        <v>941</v>
      </c>
      <c r="E289" s="30" t="s">
        <v>112</v>
      </c>
      <c r="F289" s="30" t="s">
        <v>183</v>
      </c>
      <c r="G289" s="30" t="s">
        <v>571</v>
      </c>
      <c r="H289" s="30" t="s">
        <v>241</v>
      </c>
      <c r="I289" s="30" t="s">
        <v>572</v>
      </c>
    </row>
    <row r="290" spans="1:9">
      <c r="A290" s="22" t="s">
        <v>1134</v>
      </c>
      <c r="B290" s="30"/>
      <c r="C290" s="30"/>
      <c r="D290" s="30" t="s">
        <v>622</v>
      </c>
      <c r="E290" s="30" t="s">
        <v>115</v>
      </c>
      <c r="F290" s="30" t="s">
        <v>184</v>
      </c>
      <c r="G290" s="30" t="s">
        <v>1189</v>
      </c>
      <c r="H290" s="30" t="s">
        <v>241</v>
      </c>
      <c r="I290" s="30" t="s">
        <v>114</v>
      </c>
    </row>
    <row r="291" spans="1:9">
      <c r="A291" s="22" t="s">
        <v>1134</v>
      </c>
      <c r="B291" s="30"/>
      <c r="C291" s="30"/>
      <c r="D291" s="30" t="s">
        <v>942</v>
      </c>
      <c r="E291" s="30" t="s">
        <v>115</v>
      </c>
      <c r="F291" s="30" t="s">
        <v>184</v>
      </c>
      <c r="G291" s="30" t="s">
        <v>1190</v>
      </c>
      <c r="H291" s="30" t="s">
        <v>241</v>
      </c>
      <c r="I291" s="30" t="s">
        <v>114</v>
      </c>
    </row>
    <row r="292" spans="1:9">
      <c r="A292" s="22" t="s">
        <v>1134</v>
      </c>
      <c r="B292" s="30"/>
      <c r="C292" s="30"/>
      <c r="D292" s="30" t="s">
        <v>1151</v>
      </c>
      <c r="E292" s="30" t="s">
        <v>112</v>
      </c>
      <c r="F292" s="30" t="s">
        <v>184</v>
      </c>
      <c r="G292" s="30" t="s">
        <v>571</v>
      </c>
      <c r="H292" s="30" t="s">
        <v>241</v>
      </c>
      <c r="I292" s="30" t="s">
        <v>572</v>
      </c>
    </row>
    <row r="293" spans="1:9">
      <c r="A293" s="22" t="s">
        <v>1135</v>
      </c>
      <c r="B293" s="30"/>
      <c r="C293" s="30"/>
      <c r="D293" s="30" t="s">
        <v>117</v>
      </c>
      <c r="E293" s="30" t="s">
        <v>822</v>
      </c>
      <c r="F293" s="30" t="s">
        <v>111</v>
      </c>
      <c r="G293" s="30" t="s">
        <v>865</v>
      </c>
      <c r="H293" s="30" t="s">
        <v>241</v>
      </c>
      <c r="I293" s="30" t="s">
        <v>823</v>
      </c>
    </row>
    <row r="294" spans="1:9">
      <c r="A294" s="22" t="s">
        <v>1135</v>
      </c>
      <c r="B294" s="30"/>
      <c r="C294" s="30"/>
      <c r="D294" s="30" t="s">
        <v>381</v>
      </c>
      <c r="E294" s="30" t="s">
        <v>822</v>
      </c>
      <c r="F294" s="30" t="s">
        <v>111</v>
      </c>
      <c r="G294" s="30" t="s">
        <v>865</v>
      </c>
      <c r="H294" s="30" t="s">
        <v>241</v>
      </c>
      <c r="I294" s="30" t="s">
        <v>232</v>
      </c>
    </row>
    <row r="295" spans="1:9">
      <c r="A295" s="28"/>
      <c r="B295" s="28"/>
      <c r="C295" s="28"/>
      <c r="D295" s="28"/>
      <c r="E295" s="29" t="s">
        <v>788</v>
      </c>
      <c r="F295" s="28"/>
      <c r="G295" s="28"/>
      <c r="H295" s="28"/>
      <c r="I295" s="28"/>
    </row>
    <row r="296" spans="1:9">
      <c r="A296" s="22" t="s">
        <v>1134</v>
      </c>
      <c r="B296" s="30"/>
      <c r="C296" s="30"/>
      <c r="D296" s="22" t="s">
        <v>377</v>
      </c>
      <c r="E296" s="30" t="s">
        <v>115</v>
      </c>
      <c r="F296" s="30" t="s">
        <v>111</v>
      </c>
      <c r="G296" s="30" t="s">
        <v>863</v>
      </c>
      <c r="H296" s="30" t="s">
        <v>241</v>
      </c>
      <c r="I296" s="30" t="s">
        <v>114</v>
      </c>
    </row>
    <row r="297" spans="1:9">
      <c r="A297" s="22" t="s">
        <v>1134</v>
      </c>
      <c r="B297" s="30"/>
      <c r="C297" s="30"/>
      <c r="D297" s="22" t="s">
        <v>122</v>
      </c>
      <c r="E297" s="30" t="s">
        <v>120</v>
      </c>
      <c r="F297" s="30" t="s">
        <v>111</v>
      </c>
      <c r="G297" s="30" t="s">
        <v>863</v>
      </c>
      <c r="H297" s="30" t="s">
        <v>241</v>
      </c>
      <c r="I297" s="30" t="s">
        <v>114</v>
      </c>
    </row>
    <row r="298" spans="1:9">
      <c r="A298" s="22" t="s">
        <v>1134</v>
      </c>
      <c r="B298" s="30"/>
      <c r="C298" s="30"/>
      <c r="D298" s="30" t="s">
        <v>125</v>
      </c>
      <c r="E298" s="30" t="s">
        <v>112</v>
      </c>
      <c r="F298" s="30" t="s">
        <v>111</v>
      </c>
      <c r="G298" s="30" t="s">
        <v>113</v>
      </c>
      <c r="H298" s="30" t="s">
        <v>241</v>
      </c>
      <c r="I298" s="30" t="s">
        <v>114</v>
      </c>
    </row>
    <row r="299" spans="1:9">
      <c r="A299" s="22" t="s">
        <v>1134</v>
      </c>
      <c r="C299" s="30"/>
      <c r="D299" s="30" t="s">
        <v>236</v>
      </c>
      <c r="E299" s="30" t="s">
        <v>115</v>
      </c>
      <c r="F299" s="30" t="s">
        <v>111</v>
      </c>
      <c r="G299" s="30" t="s">
        <v>863</v>
      </c>
      <c r="H299" s="30" t="s">
        <v>241</v>
      </c>
      <c r="I299" s="30" t="s">
        <v>204</v>
      </c>
    </row>
    <row r="300" spans="1:9">
      <c r="A300" s="22" t="s">
        <v>1134</v>
      </c>
      <c r="C300" s="30"/>
      <c r="D300" s="30" t="s">
        <v>293</v>
      </c>
      <c r="E300" s="30" t="s">
        <v>115</v>
      </c>
      <c r="F300" s="30" t="s">
        <v>111</v>
      </c>
      <c r="G300" s="30" t="s">
        <v>863</v>
      </c>
      <c r="H300" s="30" t="s">
        <v>241</v>
      </c>
      <c r="I300" s="30" t="s">
        <v>232</v>
      </c>
    </row>
    <row r="301" spans="1:9">
      <c r="A301" s="22" t="s">
        <v>1134</v>
      </c>
      <c r="B301" s="30"/>
      <c r="C301" s="30"/>
      <c r="D301" s="30" t="s">
        <v>294</v>
      </c>
      <c r="E301" s="30" t="s">
        <v>115</v>
      </c>
      <c r="F301" s="30" t="s">
        <v>111</v>
      </c>
      <c r="G301" s="30" t="s">
        <v>863</v>
      </c>
      <c r="H301" s="30" t="s">
        <v>241</v>
      </c>
      <c r="I301" s="30" t="s">
        <v>118</v>
      </c>
    </row>
    <row r="302" spans="1:9">
      <c r="A302" s="22" t="s">
        <v>1134</v>
      </c>
      <c r="B302" s="30"/>
      <c r="C302" s="30"/>
      <c r="D302" s="30" t="s">
        <v>378</v>
      </c>
      <c r="E302" s="30" t="s">
        <v>115</v>
      </c>
      <c r="F302" s="30" t="s">
        <v>111</v>
      </c>
      <c r="G302" s="30" t="s">
        <v>864</v>
      </c>
      <c r="H302" s="30" t="s">
        <v>241</v>
      </c>
      <c r="I302" s="30" t="s">
        <v>118</v>
      </c>
    </row>
    <row r="303" spans="1:9">
      <c r="A303" s="22" t="s">
        <v>1134</v>
      </c>
      <c r="C303" s="30"/>
      <c r="D303" s="30" t="s">
        <v>943</v>
      </c>
      <c r="E303" s="30" t="s">
        <v>112</v>
      </c>
      <c r="F303" s="30" t="s">
        <v>247</v>
      </c>
      <c r="G303" s="30"/>
      <c r="H303" s="30" t="s">
        <v>241</v>
      </c>
      <c r="I303" s="30" t="s">
        <v>118</v>
      </c>
    </row>
    <row r="304" spans="1:9">
      <c r="A304" s="22" t="s">
        <v>1134</v>
      </c>
      <c r="C304" s="30"/>
      <c r="D304" s="30" t="s">
        <v>944</v>
      </c>
      <c r="E304" s="30" t="s">
        <v>127</v>
      </c>
      <c r="F304" s="30" t="s">
        <v>247</v>
      </c>
      <c r="G304" s="30"/>
      <c r="H304" s="30" t="s">
        <v>241</v>
      </c>
      <c r="I304" s="30" t="s">
        <v>118</v>
      </c>
    </row>
    <row r="305" spans="1:9">
      <c r="A305" s="22" t="s">
        <v>1134</v>
      </c>
      <c r="B305" s="30"/>
      <c r="C305" s="30"/>
      <c r="D305" s="30" t="s">
        <v>945</v>
      </c>
      <c r="E305" s="30" t="s">
        <v>112</v>
      </c>
      <c r="F305" s="30" t="s">
        <v>123</v>
      </c>
      <c r="G305" s="30"/>
      <c r="H305" s="30" t="s">
        <v>241</v>
      </c>
      <c r="I305" s="30" t="s">
        <v>240</v>
      </c>
    </row>
    <row r="306" spans="1:9">
      <c r="A306" s="22" t="s">
        <v>1134</v>
      </c>
      <c r="B306" s="30"/>
      <c r="C306" s="30"/>
      <c r="D306" s="30" t="s">
        <v>946</v>
      </c>
      <c r="E306" s="30" t="s">
        <v>127</v>
      </c>
      <c r="F306" s="30" t="s">
        <v>123</v>
      </c>
      <c r="G306" s="30"/>
      <c r="H306" s="30" t="s">
        <v>241</v>
      </c>
      <c r="I306" s="30" t="s">
        <v>240</v>
      </c>
    </row>
    <row r="307" spans="1:9">
      <c r="A307" s="22" t="s">
        <v>1134</v>
      </c>
      <c r="B307" s="30"/>
      <c r="C307" s="30"/>
      <c r="D307" s="30" t="s">
        <v>379</v>
      </c>
      <c r="E307" s="30" t="s">
        <v>112</v>
      </c>
      <c r="F307" s="30" t="s">
        <v>866</v>
      </c>
      <c r="G307" s="30"/>
      <c r="H307" s="30" t="s">
        <v>241</v>
      </c>
      <c r="I307" s="30" t="s">
        <v>126</v>
      </c>
    </row>
    <row r="308" spans="1:9">
      <c r="A308" s="22" t="s">
        <v>1134</v>
      </c>
      <c r="B308" s="30"/>
      <c r="C308" s="30"/>
      <c r="D308" s="30" t="s">
        <v>380</v>
      </c>
      <c r="E308" s="30" t="s">
        <v>127</v>
      </c>
      <c r="F308" s="30" t="s">
        <v>866</v>
      </c>
      <c r="G308" s="30"/>
      <c r="H308" s="30" t="s">
        <v>241</v>
      </c>
      <c r="I308" s="30" t="s">
        <v>126</v>
      </c>
    </row>
    <row r="309" spans="1:9">
      <c r="A309" s="22" t="s">
        <v>1134</v>
      </c>
      <c r="B309" s="30"/>
      <c r="C309" s="30"/>
      <c r="D309" s="30" t="s">
        <v>947</v>
      </c>
      <c r="E309" s="30" t="s">
        <v>112</v>
      </c>
      <c r="F309" s="30" t="s">
        <v>866</v>
      </c>
      <c r="G309" s="30"/>
      <c r="H309" s="30" t="s">
        <v>241</v>
      </c>
      <c r="I309" s="30" t="s">
        <v>128</v>
      </c>
    </row>
    <row r="310" spans="1:9">
      <c r="A310" s="22" t="s">
        <v>1134</v>
      </c>
      <c r="B310" s="30"/>
      <c r="C310" s="30"/>
      <c r="D310" s="30" t="s">
        <v>948</v>
      </c>
      <c r="E310" s="30" t="s">
        <v>127</v>
      </c>
      <c r="F310" s="30" t="s">
        <v>866</v>
      </c>
      <c r="G310" s="30"/>
      <c r="H310" s="30" t="s">
        <v>241</v>
      </c>
      <c r="I310" s="30" t="s">
        <v>128</v>
      </c>
    </row>
    <row r="311" spans="1:9">
      <c r="A311" s="22" t="s">
        <v>1134</v>
      </c>
      <c r="B311" s="30"/>
      <c r="C311" s="30"/>
      <c r="D311" s="22" t="s">
        <v>295</v>
      </c>
      <c r="E311" s="30" t="s">
        <v>120</v>
      </c>
      <c r="F311" s="30" t="s">
        <v>111</v>
      </c>
      <c r="G311" s="30"/>
      <c r="H311" s="30" t="s">
        <v>241</v>
      </c>
      <c r="I311" s="30" t="s">
        <v>213</v>
      </c>
    </row>
    <row r="312" spans="1:9">
      <c r="A312" s="22" t="s">
        <v>1134</v>
      </c>
      <c r="B312" s="30"/>
      <c r="C312" s="30"/>
      <c r="D312" s="30" t="s">
        <v>634</v>
      </c>
      <c r="E312" s="30" t="s">
        <v>115</v>
      </c>
      <c r="F312" s="30" t="s">
        <v>178</v>
      </c>
      <c r="G312" s="30" t="s">
        <v>1191</v>
      </c>
      <c r="H312" s="30" t="s">
        <v>241</v>
      </c>
      <c r="I312" s="30" t="s">
        <v>114</v>
      </c>
    </row>
    <row r="313" spans="1:9">
      <c r="A313" s="22" t="s">
        <v>1134</v>
      </c>
      <c r="B313" s="30"/>
      <c r="C313" s="30"/>
      <c r="D313" s="30" t="s">
        <v>382</v>
      </c>
      <c r="E313" s="30" t="s">
        <v>115</v>
      </c>
      <c r="F313" s="30" t="s">
        <v>178</v>
      </c>
      <c r="G313" s="30" t="s">
        <v>1192</v>
      </c>
      <c r="H313" s="30" t="s">
        <v>241</v>
      </c>
      <c r="I313" s="30" t="s">
        <v>114</v>
      </c>
    </row>
    <row r="314" spans="1:9">
      <c r="A314" s="22" t="s">
        <v>1134</v>
      </c>
      <c r="B314" s="30"/>
      <c r="C314" s="30"/>
      <c r="D314" s="30" t="s">
        <v>1152</v>
      </c>
      <c r="E314" s="30" t="s">
        <v>112</v>
      </c>
      <c r="F314" s="30" t="s">
        <v>178</v>
      </c>
      <c r="G314" s="30" t="s">
        <v>571</v>
      </c>
      <c r="H314" s="30" t="s">
        <v>241</v>
      </c>
      <c r="I314" s="30" t="s">
        <v>572</v>
      </c>
    </row>
    <row r="315" spans="1:9">
      <c r="A315" s="22" t="s">
        <v>1134</v>
      </c>
      <c r="B315" s="30"/>
      <c r="C315" s="30"/>
      <c r="D315" s="30" t="s">
        <v>635</v>
      </c>
      <c r="E315" s="30" t="s">
        <v>115</v>
      </c>
      <c r="F315" s="30" t="s">
        <v>179</v>
      </c>
      <c r="G315" s="30" t="s">
        <v>1193</v>
      </c>
      <c r="H315" s="30" t="s">
        <v>241</v>
      </c>
      <c r="I315" s="30" t="s">
        <v>114</v>
      </c>
    </row>
    <row r="316" spans="1:9">
      <c r="A316" s="22" t="s">
        <v>1134</v>
      </c>
      <c r="B316" s="30"/>
      <c r="C316" s="30"/>
      <c r="D316" s="30" t="s">
        <v>383</v>
      </c>
      <c r="E316" s="30" t="s">
        <v>115</v>
      </c>
      <c r="F316" s="30" t="s">
        <v>179</v>
      </c>
      <c r="G316" s="30" t="s">
        <v>1194</v>
      </c>
      <c r="H316" s="30" t="s">
        <v>241</v>
      </c>
      <c r="I316" s="30" t="s">
        <v>114</v>
      </c>
    </row>
    <row r="317" spans="1:9">
      <c r="A317" s="22" t="s">
        <v>1134</v>
      </c>
      <c r="B317" s="30"/>
      <c r="C317" s="30"/>
      <c r="D317" s="30" t="s">
        <v>949</v>
      </c>
      <c r="E317" s="30" t="s">
        <v>112</v>
      </c>
      <c r="F317" s="30" t="s">
        <v>179</v>
      </c>
      <c r="G317" s="30" t="s">
        <v>571</v>
      </c>
      <c r="H317" s="30" t="s">
        <v>241</v>
      </c>
      <c r="I317" s="30" t="s">
        <v>572</v>
      </c>
    </row>
    <row r="318" spans="1:9">
      <c r="A318" s="22" t="s">
        <v>1134</v>
      </c>
      <c r="B318" s="30"/>
      <c r="C318" s="30"/>
      <c r="D318" s="30" t="s">
        <v>1153</v>
      </c>
      <c r="E318" s="30" t="s">
        <v>115</v>
      </c>
      <c r="F318" s="30" t="s">
        <v>169</v>
      </c>
      <c r="G318" s="30" t="s">
        <v>1195</v>
      </c>
      <c r="H318" s="30" t="s">
        <v>241</v>
      </c>
      <c r="I318" s="30" t="s">
        <v>114</v>
      </c>
    </row>
    <row r="319" spans="1:9">
      <c r="A319" s="22" t="s">
        <v>1134</v>
      </c>
      <c r="B319" s="30"/>
      <c r="C319" s="30"/>
      <c r="D319" s="30" t="s">
        <v>384</v>
      </c>
      <c r="E319" s="30" t="s">
        <v>115</v>
      </c>
      <c r="F319" s="30" t="s">
        <v>169</v>
      </c>
      <c r="G319" s="30" t="s">
        <v>1196</v>
      </c>
      <c r="H319" s="30" t="s">
        <v>241</v>
      </c>
      <c r="I319" s="30" t="s">
        <v>114</v>
      </c>
    </row>
    <row r="320" spans="1:9">
      <c r="A320" s="22" t="s">
        <v>1134</v>
      </c>
      <c r="B320" s="30"/>
      <c r="C320" s="30"/>
      <c r="D320" s="30" t="s">
        <v>950</v>
      </c>
      <c r="E320" s="30" t="s">
        <v>112</v>
      </c>
      <c r="F320" s="30" t="s">
        <v>169</v>
      </c>
      <c r="G320" s="30" t="s">
        <v>571</v>
      </c>
      <c r="H320" s="30" t="s">
        <v>241</v>
      </c>
      <c r="I320" s="30" t="s">
        <v>572</v>
      </c>
    </row>
    <row r="321" spans="1:9">
      <c r="A321" s="22" t="s">
        <v>1134</v>
      </c>
      <c r="B321" s="30"/>
      <c r="C321" s="30"/>
      <c r="D321" s="30" t="s">
        <v>636</v>
      </c>
      <c r="E321" s="30" t="s">
        <v>115</v>
      </c>
      <c r="F321" s="30" t="s">
        <v>180</v>
      </c>
      <c r="G321" s="30" t="s">
        <v>1202</v>
      </c>
      <c r="H321" s="30" t="s">
        <v>241</v>
      </c>
      <c r="I321" s="30" t="s">
        <v>114</v>
      </c>
    </row>
    <row r="322" spans="1:9">
      <c r="A322" s="22" t="s">
        <v>1134</v>
      </c>
      <c r="B322" s="30"/>
      <c r="C322" s="30"/>
      <c r="D322" s="30" t="s">
        <v>385</v>
      </c>
      <c r="E322" s="30" t="s">
        <v>115</v>
      </c>
      <c r="F322" s="30" t="s">
        <v>180</v>
      </c>
      <c r="G322" s="30" t="s">
        <v>1203</v>
      </c>
      <c r="H322" s="30" t="s">
        <v>241</v>
      </c>
      <c r="I322" s="30" t="s">
        <v>114</v>
      </c>
    </row>
    <row r="323" spans="1:9">
      <c r="A323" s="22" t="s">
        <v>1134</v>
      </c>
      <c r="B323" s="30"/>
      <c r="C323" s="30"/>
      <c r="D323" s="30" t="s">
        <v>951</v>
      </c>
      <c r="E323" s="30" t="s">
        <v>112</v>
      </c>
      <c r="F323" s="30" t="s">
        <v>180</v>
      </c>
      <c r="G323" s="30" t="s">
        <v>571</v>
      </c>
      <c r="H323" s="30" t="s">
        <v>241</v>
      </c>
      <c r="I323" s="30" t="s">
        <v>572</v>
      </c>
    </row>
    <row r="324" spans="1:9">
      <c r="A324" s="22" t="s">
        <v>1134</v>
      </c>
      <c r="B324" s="30"/>
      <c r="C324" s="30"/>
      <c r="D324" s="30" t="s">
        <v>637</v>
      </c>
      <c r="E324" s="30" t="s">
        <v>115</v>
      </c>
      <c r="F324" s="30" t="s">
        <v>181</v>
      </c>
      <c r="G324" s="30" t="s">
        <v>1197</v>
      </c>
      <c r="H324" s="30" t="s">
        <v>241</v>
      </c>
      <c r="I324" s="30" t="s">
        <v>114</v>
      </c>
    </row>
    <row r="325" spans="1:9">
      <c r="A325" s="22" t="s">
        <v>1134</v>
      </c>
      <c r="B325" s="30"/>
      <c r="C325" s="30"/>
      <c r="D325" s="30" t="s">
        <v>952</v>
      </c>
      <c r="E325" s="30" t="s">
        <v>115</v>
      </c>
      <c r="F325" s="30" t="s">
        <v>181</v>
      </c>
      <c r="G325" s="30" t="s">
        <v>1198</v>
      </c>
      <c r="H325" s="30" t="s">
        <v>241</v>
      </c>
      <c r="I325" s="30" t="s">
        <v>114</v>
      </c>
    </row>
    <row r="326" spans="1:9">
      <c r="A326" s="22" t="s">
        <v>1134</v>
      </c>
      <c r="B326" s="30"/>
      <c r="C326" s="30"/>
      <c r="D326" s="30" t="s">
        <v>953</v>
      </c>
      <c r="E326" s="30" t="s">
        <v>112</v>
      </c>
      <c r="F326" s="30" t="s">
        <v>181</v>
      </c>
      <c r="G326" s="30" t="s">
        <v>571</v>
      </c>
      <c r="H326" s="30" t="s">
        <v>241</v>
      </c>
      <c r="I326" s="30" t="s">
        <v>572</v>
      </c>
    </row>
    <row r="327" spans="1:9">
      <c r="A327" s="22" t="s">
        <v>1134</v>
      </c>
      <c r="B327" s="30"/>
      <c r="C327" s="30"/>
      <c r="D327" s="30" t="s">
        <v>638</v>
      </c>
      <c r="E327" s="30" t="s">
        <v>115</v>
      </c>
      <c r="F327" s="30" t="s">
        <v>182</v>
      </c>
      <c r="G327" s="30" t="s">
        <v>1199</v>
      </c>
      <c r="H327" s="30" t="s">
        <v>241</v>
      </c>
      <c r="I327" s="30" t="s">
        <v>114</v>
      </c>
    </row>
    <row r="328" spans="1:9">
      <c r="A328" s="22" t="s">
        <v>1134</v>
      </c>
      <c r="B328" s="30"/>
      <c r="C328" s="30"/>
      <c r="D328" s="30" t="s">
        <v>954</v>
      </c>
      <c r="E328" s="30" t="s">
        <v>115</v>
      </c>
      <c r="F328" s="30" t="s">
        <v>182</v>
      </c>
      <c r="G328" s="30" t="s">
        <v>1200</v>
      </c>
      <c r="H328" s="30" t="s">
        <v>241</v>
      </c>
      <c r="I328" s="30" t="s">
        <v>114</v>
      </c>
    </row>
    <row r="329" spans="1:9">
      <c r="A329" s="22" t="s">
        <v>1134</v>
      </c>
      <c r="B329" s="30"/>
      <c r="C329" s="30"/>
      <c r="D329" s="30" t="s">
        <v>955</v>
      </c>
      <c r="E329" s="30" t="s">
        <v>112</v>
      </c>
      <c r="F329" s="30" t="s">
        <v>182</v>
      </c>
      <c r="G329" s="30" t="s">
        <v>571</v>
      </c>
      <c r="H329" s="30" t="s">
        <v>241</v>
      </c>
      <c r="I329" s="30" t="s">
        <v>572</v>
      </c>
    </row>
    <row r="330" spans="1:9">
      <c r="A330" s="22" t="s">
        <v>1134</v>
      </c>
      <c r="B330" s="30"/>
      <c r="C330" s="30"/>
      <c r="D330" s="30" t="s">
        <v>639</v>
      </c>
      <c r="E330" s="30" t="s">
        <v>115</v>
      </c>
      <c r="F330" s="30" t="s">
        <v>183</v>
      </c>
      <c r="G330" s="30" t="s">
        <v>1204</v>
      </c>
      <c r="H330" s="30" t="s">
        <v>241</v>
      </c>
      <c r="I330" s="30" t="s">
        <v>114</v>
      </c>
    </row>
    <row r="331" spans="1:9">
      <c r="A331" s="22" t="s">
        <v>1134</v>
      </c>
      <c r="B331" s="30"/>
      <c r="C331" s="30"/>
      <c r="D331" s="30" t="s">
        <v>956</v>
      </c>
      <c r="E331" s="30" t="s">
        <v>115</v>
      </c>
      <c r="F331" s="30" t="s">
        <v>183</v>
      </c>
      <c r="G331" s="30" t="s">
        <v>1205</v>
      </c>
      <c r="H331" s="30" t="s">
        <v>241</v>
      </c>
      <c r="I331" s="30" t="s">
        <v>114</v>
      </c>
    </row>
    <row r="332" spans="1:9">
      <c r="A332" s="22" t="s">
        <v>1134</v>
      </c>
      <c r="B332" s="30"/>
      <c r="C332" s="30"/>
      <c r="D332" s="30" t="s">
        <v>957</v>
      </c>
      <c r="E332" s="30" t="s">
        <v>112</v>
      </c>
      <c r="F332" s="30" t="s">
        <v>183</v>
      </c>
      <c r="G332" s="30" t="s">
        <v>571</v>
      </c>
      <c r="H332" s="30" t="s">
        <v>241</v>
      </c>
      <c r="I332" s="30" t="s">
        <v>572</v>
      </c>
    </row>
    <row r="333" spans="1:9">
      <c r="A333" s="22" t="s">
        <v>1134</v>
      </c>
      <c r="B333" s="30"/>
      <c r="C333" s="30"/>
      <c r="D333" s="30" t="s">
        <v>640</v>
      </c>
      <c r="E333" s="30" t="s">
        <v>115</v>
      </c>
      <c r="F333" s="30" t="s">
        <v>184</v>
      </c>
      <c r="G333" s="30" t="s">
        <v>1189</v>
      </c>
      <c r="H333" s="30" t="s">
        <v>241</v>
      </c>
      <c r="I333" s="30" t="s">
        <v>114</v>
      </c>
    </row>
    <row r="334" spans="1:9">
      <c r="A334" s="22" t="s">
        <v>1134</v>
      </c>
      <c r="B334" s="30"/>
      <c r="C334" s="30"/>
      <c r="D334" s="30" t="s">
        <v>958</v>
      </c>
      <c r="E334" s="30" t="s">
        <v>115</v>
      </c>
      <c r="F334" s="30" t="s">
        <v>184</v>
      </c>
      <c r="G334" s="30" t="s">
        <v>1190</v>
      </c>
      <c r="H334" s="30" t="s">
        <v>241</v>
      </c>
      <c r="I334" s="30" t="s">
        <v>114</v>
      </c>
    </row>
    <row r="335" spans="1:9">
      <c r="A335" s="22" t="s">
        <v>1134</v>
      </c>
      <c r="B335" s="30"/>
      <c r="C335" s="30"/>
      <c r="D335" s="30" t="s">
        <v>1154</v>
      </c>
      <c r="E335" s="30" t="s">
        <v>112</v>
      </c>
      <c r="F335" s="30" t="s">
        <v>184</v>
      </c>
      <c r="G335" s="30" t="s">
        <v>571</v>
      </c>
      <c r="H335" s="30" t="s">
        <v>241</v>
      </c>
      <c r="I335" s="30" t="s">
        <v>572</v>
      </c>
    </row>
    <row r="336" spans="1:9">
      <c r="A336" s="22" t="s">
        <v>1135</v>
      </c>
      <c r="B336" s="30"/>
      <c r="C336" s="30"/>
      <c r="D336" s="30" t="s">
        <v>262</v>
      </c>
      <c r="E336" s="30" t="s">
        <v>822</v>
      </c>
      <c r="F336" s="30" t="s">
        <v>111</v>
      </c>
      <c r="G336" s="30" t="s">
        <v>865</v>
      </c>
      <c r="H336" s="30" t="s">
        <v>241</v>
      </c>
      <c r="I336" s="30" t="s">
        <v>823</v>
      </c>
    </row>
    <row r="337" spans="1:9">
      <c r="A337" s="22" t="s">
        <v>1135</v>
      </c>
      <c r="B337" s="30"/>
      <c r="C337" s="30"/>
      <c r="D337" s="30" t="s">
        <v>354</v>
      </c>
      <c r="E337" s="30" t="s">
        <v>822</v>
      </c>
      <c r="F337" s="30" t="s">
        <v>111</v>
      </c>
      <c r="G337" s="30" t="s">
        <v>865</v>
      </c>
      <c r="H337" s="30" t="s">
        <v>241</v>
      </c>
      <c r="I337" s="30" t="s">
        <v>232</v>
      </c>
    </row>
    <row r="338" spans="1:9">
      <c r="A338" s="28"/>
      <c r="B338" s="28"/>
      <c r="C338" s="28"/>
      <c r="D338" s="28"/>
      <c r="E338" s="29" t="s">
        <v>787</v>
      </c>
      <c r="F338" s="28"/>
      <c r="G338" s="28"/>
      <c r="H338" s="28"/>
      <c r="I338" s="28"/>
    </row>
    <row r="339" spans="1:9">
      <c r="A339" s="22" t="s">
        <v>1134</v>
      </c>
      <c r="B339" s="30"/>
      <c r="C339" s="30"/>
      <c r="D339" s="22" t="s">
        <v>386</v>
      </c>
      <c r="E339" s="30" t="s">
        <v>115</v>
      </c>
      <c r="F339" s="30" t="s">
        <v>111</v>
      </c>
      <c r="G339" s="30" t="s">
        <v>863</v>
      </c>
      <c r="H339" s="30" t="s">
        <v>241</v>
      </c>
      <c r="I339" s="30" t="s">
        <v>114</v>
      </c>
    </row>
    <row r="340" spans="1:9">
      <c r="A340" s="22" t="s">
        <v>1134</v>
      </c>
      <c r="B340" s="30"/>
      <c r="C340" s="30"/>
      <c r="D340" s="22" t="s">
        <v>129</v>
      </c>
      <c r="E340" s="30" t="s">
        <v>120</v>
      </c>
      <c r="F340" s="30" t="s">
        <v>111</v>
      </c>
      <c r="G340" s="30" t="s">
        <v>863</v>
      </c>
      <c r="H340" s="30" t="s">
        <v>241</v>
      </c>
      <c r="I340" s="30" t="s">
        <v>114</v>
      </c>
    </row>
    <row r="341" spans="1:9">
      <c r="A341" s="22" t="s">
        <v>1134</v>
      </c>
      <c r="B341" s="30"/>
      <c r="C341" s="30"/>
      <c r="D341" s="30" t="s">
        <v>130</v>
      </c>
      <c r="E341" s="30" t="s">
        <v>112</v>
      </c>
      <c r="F341" s="30" t="s">
        <v>111</v>
      </c>
      <c r="G341" s="30" t="s">
        <v>113</v>
      </c>
      <c r="H341" s="30" t="s">
        <v>241</v>
      </c>
      <c r="I341" s="30" t="s">
        <v>114</v>
      </c>
    </row>
    <row r="342" spans="1:9">
      <c r="A342" s="22" t="s">
        <v>1134</v>
      </c>
      <c r="C342" s="30"/>
      <c r="D342" s="30" t="s">
        <v>237</v>
      </c>
      <c r="E342" s="30" t="s">
        <v>115</v>
      </c>
      <c r="F342" s="30" t="s">
        <v>111</v>
      </c>
      <c r="G342" s="30" t="s">
        <v>863</v>
      </c>
      <c r="H342" s="30" t="s">
        <v>241</v>
      </c>
      <c r="I342" s="30" t="s">
        <v>204</v>
      </c>
    </row>
    <row r="343" spans="1:9">
      <c r="A343" s="22" t="s">
        <v>1134</v>
      </c>
      <c r="C343" s="30"/>
      <c r="D343" s="30" t="s">
        <v>296</v>
      </c>
      <c r="E343" s="30" t="s">
        <v>115</v>
      </c>
      <c r="F343" s="30" t="s">
        <v>111</v>
      </c>
      <c r="G343" s="30" t="s">
        <v>863</v>
      </c>
      <c r="H343" s="30" t="s">
        <v>241</v>
      </c>
      <c r="I343" s="30" t="s">
        <v>232</v>
      </c>
    </row>
    <row r="344" spans="1:9">
      <c r="A344" s="22" t="s">
        <v>1134</v>
      </c>
      <c r="B344" s="30"/>
      <c r="C344" s="30"/>
      <c r="D344" s="30" t="s">
        <v>297</v>
      </c>
      <c r="E344" s="30" t="s">
        <v>115</v>
      </c>
      <c r="F344" s="30" t="s">
        <v>111</v>
      </c>
      <c r="G344" s="30" t="s">
        <v>863</v>
      </c>
      <c r="H344" s="30" t="s">
        <v>241</v>
      </c>
      <c r="I344" s="30" t="s">
        <v>118</v>
      </c>
    </row>
    <row r="345" spans="1:9">
      <c r="A345" s="22" t="s">
        <v>1134</v>
      </c>
      <c r="B345" s="30"/>
      <c r="C345" s="30"/>
      <c r="D345" s="30" t="s">
        <v>387</v>
      </c>
      <c r="E345" s="30" t="s">
        <v>115</v>
      </c>
      <c r="F345" s="30" t="s">
        <v>111</v>
      </c>
      <c r="G345" s="30" t="s">
        <v>864</v>
      </c>
      <c r="H345" s="30" t="s">
        <v>241</v>
      </c>
      <c r="I345" s="30" t="s">
        <v>118</v>
      </c>
    </row>
    <row r="346" spans="1:9">
      <c r="A346" s="22" t="s">
        <v>1134</v>
      </c>
      <c r="C346" s="30"/>
      <c r="D346" s="30" t="s">
        <v>959</v>
      </c>
      <c r="E346" s="30" t="s">
        <v>112</v>
      </c>
      <c r="F346" s="30" t="s">
        <v>247</v>
      </c>
      <c r="G346" s="30"/>
      <c r="H346" s="30" t="s">
        <v>241</v>
      </c>
      <c r="I346" s="30" t="s">
        <v>118</v>
      </c>
    </row>
    <row r="347" spans="1:9">
      <c r="A347" s="22" t="s">
        <v>1134</v>
      </c>
      <c r="C347" s="30"/>
      <c r="D347" s="30" t="s">
        <v>960</v>
      </c>
      <c r="E347" s="30" t="s">
        <v>127</v>
      </c>
      <c r="F347" s="30" t="s">
        <v>247</v>
      </c>
      <c r="G347" s="30"/>
      <c r="H347" s="30" t="s">
        <v>241</v>
      </c>
      <c r="I347" s="30" t="s">
        <v>118</v>
      </c>
    </row>
    <row r="348" spans="1:9">
      <c r="A348" s="22" t="s">
        <v>1134</v>
      </c>
      <c r="B348" s="30"/>
      <c r="C348" s="30"/>
      <c r="D348" s="30" t="s">
        <v>961</v>
      </c>
      <c r="E348" s="30" t="s">
        <v>112</v>
      </c>
      <c r="F348" s="30" t="s">
        <v>123</v>
      </c>
      <c r="G348" s="30"/>
      <c r="H348" s="30" t="s">
        <v>241</v>
      </c>
      <c r="I348" s="30" t="s">
        <v>240</v>
      </c>
    </row>
    <row r="349" spans="1:9">
      <c r="A349" s="22" t="s">
        <v>1134</v>
      </c>
      <c r="B349" s="30"/>
      <c r="C349" s="30"/>
      <c r="D349" s="30" t="s">
        <v>962</v>
      </c>
      <c r="E349" s="30" t="s">
        <v>127</v>
      </c>
      <c r="F349" s="30" t="s">
        <v>123</v>
      </c>
      <c r="G349" s="30"/>
      <c r="H349" s="30" t="s">
        <v>241</v>
      </c>
      <c r="I349" s="30" t="s">
        <v>240</v>
      </c>
    </row>
    <row r="350" spans="1:9">
      <c r="A350" s="22" t="s">
        <v>1134</v>
      </c>
      <c r="B350" s="30"/>
      <c r="C350" s="30"/>
      <c r="D350" s="30" t="s">
        <v>388</v>
      </c>
      <c r="E350" s="30" t="s">
        <v>112</v>
      </c>
      <c r="F350" s="30" t="s">
        <v>866</v>
      </c>
      <c r="G350" s="30"/>
      <c r="H350" s="30" t="s">
        <v>241</v>
      </c>
      <c r="I350" s="30" t="s">
        <v>126</v>
      </c>
    </row>
    <row r="351" spans="1:9">
      <c r="A351" s="22" t="s">
        <v>1134</v>
      </c>
      <c r="B351" s="30"/>
      <c r="C351" s="30"/>
      <c r="D351" s="30" t="s">
        <v>389</v>
      </c>
      <c r="E351" s="30" t="s">
        <v>127</v>
      </c>
      <c r="F351" s="30" t="s">
        <v>866</v>
      </c>
      <c r="G351" s="30"/>
      <c r="H351" s="30" t="s">
        <v>241</v>
      </c>
      <c r="I351" s="30" t="s">
        <v>126</v>
      </c>
    </row>
    <row r="352" spans="1:9">
      <c r="A352" s="22" t="s">
        <v>1134</v>
      </c>
      <c r="B352" s="30"/>
      <c r="C352" s="30"/>
      <c r="D352" s="30" t="s">
        <v>963</v>
      </c>
      <c r="E352" s="30" t="s">
        <v>112</v>
      </c>
      <c r="F352" s="30" t="s">
        <v>866</v>
      </c>
      <c r="G352" s="30"/>
      <c r="H352" s="30" t="s">
        <v>241</v>
      </c>
      <c r="I352" s="30" t="s">
        <v>128</v>
      </c>
    </row>
    <row r="353" spans="1:9">
      <c r="A353" s="22" t="s">
        <v>1134</v>
      </c>
      <c r="B353" s="30"/>
      <c r="C353" s="30"/>
      <c r="D353" s="30" t="s">
        <v>964</v>
      </c>
      <c r="E353" s="30" t="s">
        <v>127</v>
      </c>
      <c r="F353" s="30" t="s">
        <v>866</v>
      </c>
      <c r="G353" s="30"/>
      <c r="H353" s="30" t="s">
        <v>241</v>
      </c>
      <c r="I353" s="30" t="s">
        <v>128</v>
      </c>
    </row>
    <row r="354" spans="1:9">
      <c r="A354" s="22" t="s">
        <v>1134</v>
      </c>
      <c r="B354" s="30"/>
      <c r="C354" s="30"/>
      <c r="D354" s="22" t="s">
        <v>298</v>
      </c>
      <c r="E354" s="30" t="s">
        <v>120</v>
      </c>
      <c r="F354" s="30" t="s">
        <v>111</v>
      </c>
      <c r="G354" s="30"/>
      <c r="H354" s="30" t="s">
        <v>241</v>
      </c>
      <c r="I354" s="30" t="s">
        <v>213</v>
      </c>
    </row>
    <row r="355" spans="1:9">
      <c r="A355" s="22" t="s">
        <v>1134</v>
      </c>
      <c r="B355" s="30"/>
      <c r="C355" s="30"/>
      <c r="D355" s="30" t="s">
        <v>641</v>
      </c>
      <c r="E355" s="30" t="s">
        <v>115</v>
      </c>
      <c r="F355" s="30" t="s">
        <v>178</v>
      </c>
      <c r="G355" s="30" t="s">
        <v>1191</v>
      </c>
      <c r="H355" s="30" t="s">
        <v>241</v>
      </c>
      <c r="I355" s="30" t="s">
        <v>114</v>
      </c>
    </row>
    <row r="356" spans="1:9">
      <c r="A356" s="22" t="s">
        <v>1134</v>
      </c>
      <c r="B356" s="30"/>
      <c r="C356" s="30"/>
      <c r="D356" s="30" t="s">
        <v>390</v>
      </c>
      <c r="E356" s="30" t="s">
        <v>115</v>
      </c>
      <c r="F356" s="30" t="s">
        <v>178</v>
      </c>
      <c r="G356" s="30" t="s">
        <v>1192</v>
      </c>
      <c r="H356" s="30" t="s">
        <v>241</v>
      </c>
      <c r="I356" s="30" t="s">
        <v>114</v>
      </c>
    </row>
    <row r="357" spans="1:9">
      <c r="A357" s="22" t="s">
        <v>1134</v>
      </c>
      <c r="B357" s="30"/>
      <c r="C357" s="30"/>
      <c r="D357" s="30" t="s">
        <v>1155</v>
      </c>
      <c r="E357" s="30" t="s">
        <v>112</v>
      </c>
      <c r="F357" s="30" t="s">
        <v>178</v>
      </c>
      <c r="G357" s="30" t="s">
        <v>571</v>
      </c>
      <c r="H357" s="30" t="s">
        <v>241</v>
      </c>
      <c r="I357" s="30" t="s">
        <v>572</v>
      </c>
    </row>
    <row r="358" spans="1:9">
      <c r="A358" s="22" t="s">
        <v>1134</v>
      </c>
      <c r="B358" s="30"/>
      <c r="C358" s="30"/>
      <c r="D358" s="30" t="s">
        <v>642</v>
      </c>
      <c r="E358" s="30" t="s">
        <v>115</v>
      </c>
      <c r="F358" s="30" t="s">
        <v>179</v>
      </c>
      <c r="G358" s="30" t="s">
        <v>1193</v>
      </c>
      <c r="H358" s="30" t="s">
        <v>241</v>
      </c>
      <c r="I358" s="30" t="s">
        <v>114</v>
      </c>
    </row>
    <row r="359" spans="1:9">
      <c r="A359" s="22" t="s">
        <v>1134</v>
      </c>
      <c r="B359" s="30"/>
      <c r="C359" s="30"/>
      <c r="D359" s="30" t="s">
        <v>391</v>
      </c>
      <c r="E359" s="30" t="s">
        <v>115</v>
      </c>
      <c r="F359" s="30" t="s">
        <v>179</v>
      </c>
      <c r="G359" s="30" t="s">
        <v>1194</v>
      </c>
      <c r="H359" s="30" t="s">
        <v>241</v>
      </c>
      <c r="I359" s="30" t="s">
        <v>114</v>
      </c>
    </row>
    <row r="360" spans="1:9">
      <c r="A360" s="22" t="s">
        <v>1134</v>
      </c>
      <c r="B360" s="30"/>
      <c r="C360" s="30"/>
      <c r="D360" s="30" t="s">
        <v>965</v>
      </c>
      <c r="E360" s="30" t="s">
        <v>112</v>
      </c>
      <c r="F360" s="30" t="s">
        <v>179</v>
      </c>
      <c r="G360" s="30" t="s">
        <v>571</v>
      </c>
      <c r="H360" s="30" t="s">
        <v>241</v>
      </c>
      <c r="I360" s="30" t="s">
        <v>572</v>
      </c>
    </row>
    <row r="361" spans="1:9">
      <c r="A361" s="22" t="s">
        <v>1134</v>
      </c>
      <c r="B361" s="30"/>
      <c r="C361" s="30"/>
      <c r="D361" s="30" t="s">
        <v>1156</v>
      </c>
      <c r="E361" s="30" t="s">
        <v>115</v>
      </c>
      <c r="F361" s="30" t="s">
        <v>169</v>
      </c>
      <c r="G361" s="30" t="s">
        <v>1195</v>
      </c>
      <c r="H361" s="30" t="s">
        <v>241</v>
      </c>
      <c r="I361" s="30" t="s">
        <v>114</v>
      </c>
    </row>
    <row r="362" spans="1:9">
      <c r="A362" s="22" t="s">
        <v>1134</v>
      </c>
      <c r="B362" s="30"/>
      <c r="C362" s="30"/>
      <c r="D362" s="30" t="s">
        <v>392</v>
      </c>
      <c r="E362" s="30" t="s">
        <v>115</v>
      </c>
      <c r="F362" s="30" t="s">
        <v>169</v>
      </c>
      <c r="G362" s="30" t="s">
        <v>1196</v>
      </c>
      <c r="H362" s="30" t="s">
        <v>241</v>
      </c>
      <c r="I362" s="30" t="s">
        <v>114</v>
      </c>
    </row>
    <row r="363" spans="1:9">
      <c r="A363" s="22" t="s">
        <v>1134</v>
      </c>
      <c r="B363" s="30"/>
      <c r="C363" s="30"/>
      <c r="D363" s="30" t="s">
        <v>966</v>
      </c>
      <c r="E363" s="30" t="s">
        <v>112</v>
      </c>
      <c r="F363" s="30" t="s">
        <v>169</v>
      </c>
      <c r="G363" s="30" t="s">
        <v>571</v>
      </c>
      <c r="H363" s="30" t="s">
        <v>241</v>
      </c>
      <c r="I363" s="30" t="s">
        <v>572</v>
      </c>
    </row>
    <row r="364" spans="1:9">
      <c r="A364" s="22" t="s">
        <v>1134</v>
      </c>
      <c r="B364" s="30"/>
      <c r="C364" s="30"/>
      <c r="D364" s="30" t="s">
        <v>643</v>
      </c>
      <c r="E364" s="30" t="s">
        <v>115</v>
      </c>
      <c r="F364" s="30" t="s">
        <v>180</v>
      </c>
      <c r="G364" s="30" t="s">
        <v>1202</v>
      </c>
      <c r="H364" s="30" t="s">
        <v>241</v>
      </c>
      <c r="I364" s="30" t="s">
        <v>114</v>
      </c>
    </row>
    <row r="365" spans="1:9">
      <c r="A365" s="22" t="s">
        <v>1134</v>
      </c>
      <c r="B365" s="30"/>
      <c r="C365" s="30"/>
      <c r="D365" s="30" t="s">
        <v>393</v>
      </c>
      <c r="E365" s="30" t="s">
        <v>115</v>
      </c>
      <c r="F365" s="30" t="s">
        <v>180</v>
      </c>
      <c r="G365" s="30" t="s">
        <v>1203</v>
      </c>
      <c r="H365" s="30" t="s">
        <v>241</v>
      </c>
      <c r="I365" s="30" t="s">
        <v>114</v>
      </c>
    </row>
    <row r="366" spans="1:9">
      <c r="A366" s="22" t="s">
        <v>1134</v>
      </c>
      <c r="B366" s="30"/>
      <c r="C366" s="30"/>
      <c r="D366" s="30" t="s">
        <v>967</v>
      </c>
      <c r="E366" s="30" t="s">
        <v>112</v>
      </c>
      <c r="F366" s="30" t="s">
        <v>180</v>
      </c>
      <c r="G366" s="30" t="s">
        <v>571</v>
      </c>
      <c r="H366" s="30" t="s">
        <v>241</v>
      </c>
      <c r="I366" s="30" t="s">
        <v>572</v>
      </c>
    </row>
    <row r="367" spans="1:9">
      <c r="A367" s="22" t="s">
        <v>1134</v>
      </c>
      <c r="B367" s="30"/>
      <c r="C367" s="30"/>
      <c r="D367" s="30" t="s">
        <v>644</v>
      </c>
      <c r="E367" s="30" t="s">
        <v>115</v>
      </c>
      <c r="F367" s="30" t="s">
        <v>181</v>
      </c>
      <c r="G367" s="30" t="s">
        <v>1197</v>
      </c>
      <c r="H367" s="30" t="s">
        <v>241</v>
      </c>
      <c r="I367" s="30" t="s">
        <v>114</v>
      </c>
    </row>
    <row r="368" spans="1:9">
      <c r="A368" s="22" t="s">
        <v>1134</v>
      </c>
      <c r="B368" s="30"/>
      <c r="C368" s="30"/>
      <c r="D368" s="30" t="s">
        <v>968</v>
      </c>
      <c r="E368" s="30" t="s">
        <v>115</v>
      </c>
      <c r="F368" s="30" t="s">
        <v>181</v>
      </c>
      <c r="G368" s="30" t="s">
        <v>1198</v>
      </c>
      <c r="H368" s="30" t="s">
        <v>241</v>
      </c>
      <c r="I368" s="30" t="s">
        <v>114</v>
      </c>
    </row>
    <row r="369" spans="1:9">
      <c r="A369" s="22" t="s">
        <v>1134</v>
      </c>
      <c r="B369" s="30"/>
      <c r="C369" s="30"/>
      <c r="D369" s="30" t="s">
        <v>969</v>
      </c>
      <c r="E369" s="30" t="s">
        <v>112</v>
      </c>
      <c r="F369" s="30" t="s">
        <v>181</v>
      </c>
      <c r="G369" s="30" t="s">
        <v>571</v>
      </c>
      <c r="H369" s="30" t="s">
        <v>241</v>
      </c>
      <c r="I369" s="30" t="s">
        <v>572</v>
      </c>
    </row>
    <row r="370" spans="1:9">
      <c r="A370" s="22" t="s">
        <v>1134</v>
      </c>
      <c r="B370" s="30"/>
      <c r="C370" s="30"/>
      <c r="D370" s="30" t="s">
        <v>645</v>
      </c>
      <c r="E370" s="30" t="s">
        <v>115</v>
      </c>
      <c r="F370" s="30" t="s">
        <v>182</v>
      </c>
      <c r="G370" s="30" t="s">
        <v>1199</v>
      </c>
      <c r="H370" s="30" t="s">
        <v>241</v>
      </c>
      <c r="I370" s="30" t="s">
        <v>114</v>
      </c>
    </row>
    <row r="371" spans="1:9">
      <c r="A371" s="22" t="s">
        <v>1134</v>
      </c>
      <c r="B371" s="30"/>
      <c r="C371" s="30"/>
      <c r="D371" s="30" t="s">
        <v>970</v>
      </c>
      <c r="E371" s="30" t="s">
        <v>115</v>
      </c>
      <c r="F371" s="30" t="s">
        <v>182</v>
      </c>
      <c r="G371" s="30" t="s">
        <v>1200</v>
      </c>
      <c r="H371" s="30" t="s">
        <v>241</v>
      </c>
      <c r="I371" s="30" t="s">
        <v>114</v>
      </c>
    </row>
    <row r="372" spans="1:9">
      <c r="A372" s="22" t="s">
        <v>1134</v>
      </c>
      <c r="B372" s="30"/>
      <c r="C372" s="30"/>
      <c r="D372" s="30" t="s">
        <v>971</v>
      </c>
      <c r="E372" s="30" t="s">
        <v>112</v>
      </c>
      <c r="F372" s="30" t="s">
        <v>182</v>
      </c>
      <c r="G372" s="30" t="s">
        <v>571</v>
      </c>
      <c r="H372" s="30" t="s">
        <v>241</v>
      </c>
      <c r="I372" s="30" t="s">
        <v>572</v>
      </c>
    </row>
    <row r="373" spans="1:9">
      <c r="A373" s="22" t="s">
        <v>1134</v>
      </c>
      <c r="B373" s="30"/>
      <c r="C373" s="30"/>
      <c r="D373" s="30" t="s">
        <v>646</v>
      </c>
      <c r="E373" s="30" t="s">
        <v>115</v>
      </c>
      <c r="F373" s="30" t="s">
        <v>183</v>
      </c>
      <c r="G373" s="30" t="s">
        <v>1204</v>
      </c>
      <c r="H373" s="30" t="s">
        <v>241</v>
      </c>
      <c r="I373" s="30" t="s">
        <v>114</v>
      </c>
    </row>
    <row r="374" spans="1:9">
      <c r="A374" s="22" t="s">
        <v>1134</v>
      </c>
      <c r="B374" s="30"/>
      <c r="C374" s="30"/>
      <c r="D374" s="30" t="s">
        <v>972</v>
      </c>
      <c r="E374" s="30" t="s">
        <v>115</v>
      </c>
      <c r="F374" s="30" t="s">
        <v>183</v>
      </c>
      <c r="G374" s="30" t="s">
        <v>1205</v>
      </c>
      <c r="H374" s="30" t="s">
        <v>241</v>
      </c>
      <c r="I374" s="30" t="s">
        <v>114</v>
      </c>
    </row>
    <row r="375" spans="1:9">
      <c r="A375" s="22" t="s">
        <v>1134</v>
      </c>
      <c r="B375" s="30"/>
      <c r="C375" s="30"/>
      <c r="D375" s="30" t="s">
        <v>973</v>
      </c>
      <c r="E375" s="30" t="s">
        <v>112</v>
      </c>
      <c r="F375" s="30" t="s">
        <v>183</v>
      </c>
      <c r="G375" s="30" t="s">
        <v>571</v>
      </c>
      <c r="H375" s="30" t="s">
        <v>241</v>
      </c>
      <c r="I375" s="30" t="s">
        <v>572</v>
      </c>
    </row>
    <row r="376" spans="1:9">
      <c r="A376" s="22" t="s">
        <v>1134</v>
      </c>
      <c r="B376" s="30"/>
      <c r="C376" s="30"/>
      <c r="D376" s="30" t="s">
        <v>647</v>
      </c>
      <c r="E376" s="30" t="s">
        <v>115</v>
      </c>
      <c r="F376" s="30" t="s">
        <v>184</v>
      </c>
      <c r="G376" s="30" t="s">
        <v>1189</v>
      </c>
      <c r="H376" s="30" t="s">
        <v>241</v>
      </c>
      <c r="I376" s="30" t="s">
        <v>114</v>
      </c>
    </row>
    <row r="377" spans="1:9">
      <c r="A377" s="22" t="s">
        <v>1134</v>
      </c>
      <c r="B377" s="30"/>
      <c r="C377" s="30"/>
      <c r="D377" s="30" t="s">
        <v>974</v>
      </c>
      <c r="E377" s="30" t="s">
        <v>115</v>
      </c>
      <c r="F377" s="30" t="s">
        <v>184</v>
      </c>
      <c r="G377" s="30" t="s">
        <v>1190</v>
      </c>
      <c r="H377" s="30" t="s">
        <v>241</v>
      </c>
      <c r="I377" s="30" t="s">
        <v>114</v>
      </c>
    </row>
    <row r="378" spans="1:9">
      <c r="A378" s="22" t="s">
        <v>1134</v>
      </c>
      <c r="B378" s="30"/>
      <c r="C378" s="30"/>
      <c r="D378" s="30" t="s">
        <v>1157</v>
      </c>
      <c r="E378" s="30" t="s">
        <v>112</v>
      </c>
      <c r="F378" s="30" t="s">
        <v>184</v>
      </c>
      <c r="G378" s="30" t="s">
        <v>571</v>
      </c>
      <c r="H378" s="30" t="s">
        <v>241</v>
      </c>
      <c r="I378" s="30" t="s">
        <v>572</v>
      </c>
    </row>
    <row r="379" spans="1:9">
      <c r="A379" s="22" t="s">
        <v>1135</v>
      </c>
      <c r="B379" s="30"/>
      <c r="C379" s="30"/>
      <c r="D379" s="30" t="s">
        <v>444</v>
      </c>
      <c r="E379" s="30" t="s">
        <v>822</v>
      </c>
      <c r="F379" s="30" t="s">
        <v>111</v>
      </c>
      <c r="G379" s="30" t="s">
        <v>865</v>
      </c>
      <c r="H379" s="30" t="s">
        <v>241</v>
      </c>
      <c r="I379" s="30" t="s">
        <v>823</v>
      </c>
    </row>
    <row r="380" spans="1:9">
      <c r="A380" s="22" t="s">
        <v>1135</v>
      </c>
      <c r="B380" s="30"/>
      <c r="C380" s="30"/>
      <c r="D380" s="30" t="s">
        <v>457</v>
      </c>
      <c r="E380" s="30" t="s">
        <v>822</v>
      </c>
      <c r="F380" s="30" t="s">
        <v>111</v>
      </c>
      <c r="G380" s="30" t="s">
        <v>865</v>
      </c>
      <c r="H380" s="30" t="s">
        <v>241</v>
      </c>
      <c r="I380" s="30" t="s">
        <v>232</v>
      </c>
    </row>
    <row r="381" spans="1:9">
      <c r="A381" s="28"/>
      <c r="B381" s="28"/>
      <c r="C381" s="28"/>
      <c r="D381" s="28"/>
      <c r="E381" s="29" t="s">
        <v>786</v>
      </c>
      <c r="F381" s="28"/>
      <c r="G381" s="28"/>
      <c r="H381" s="28"/>
      <c r="I381" s="28"/>
    </row>
    <row r="382" spans="1:9">
      <c r="A382" s="22" t="s">
        <v>1134</v>
      </c>
      <c r="B382" s="30"/>
      <c r="C382" s="30"/>
      <c r="D382" s="22" t="s">
        <v>360</v>
      </c>
      <c r="E382" s="30" t="s">
        <v>115</v>
      </c>
      <c r="F382" s="30" t="s">
        <v>111</v>
      </c>
      <c r="G382" s="30" t="s">
        <v>863</v>
      </c>
      <c r="H382" s="30" t="s">
        <v>241</v>
      </c>
      <c r="I382" s="30" t="s">
        <v>114</v>
      </c>
    </row>
    <row r="383" spans="1:9">
      <c r="A383" s="22" t="s">
        <v>1134</v>
      </c>
      <c r="B383" s="30"/>
      <c r="C383" s="30"/>
      <c r="D383" s="22" t="s">
        <v>263</v>
      </c>
      <c r="E383" s="30" t="s">
        <v>120</v>
      </c>
      <c r="F383" s="30" t="s">
        <v>111</v>
      </c>
      <c r="G383" s="30" t="s">
        <v>863</v>
      </c>
      <c r="H383" s="30" t="s">
        <v>241</v>
      </c>
      <c r="I383" s="30" t="s">
        <v>114</v>
      </c>
    </row>
    <row r="384" spans="1:9">
      <c r="A384" s="22" t="s">
        <v>1134</v>
      </c>
      <c r="B384" s="30"/>
      <c r="C384" s="30"/>
      <c r="D384" s="30" t="s">
        <v>264</v>
      </c>
      <c r="E384" s="30" t="s">
        <v>112</v>
      </c>
      <c r="F384" s="30" t="s">
        <v>111</v>
      </c>
      <c r="G384" s="30" t="s">
        <v>113</v>
      </c>
      <c r="H384" s="30" t="s">
        <v>241</v>
      </c>
      <c r="I384" s="30" t="s">
        <v>114</v>
      </c>
    </row>
    <row r="385" spans="1:9">
      <c r="A385" s="22" t="s">
        <v>1134</v>
      </c>
      <c r="C385" s="30"/>
      <c r="D385" s="30" t="s">
        <v>265</v>
      </c>
      <c r="E385" s="30" t="s">
        <v>115</v>
      </c>
      <c r="F385" s="30" t="s">
        <v>111</v>
      </c>
      <c r="G385" s="30" t="s">
        <v>863</v>
      </c>
      <c r="H385" s="30" t="s">
        <v>241</v>
      </c>
      <c r="I385" s="30" t="s">
        <v>204</v>
      </c>
    </row>
    <row r="386" spans="1:9">
      <c r="A386" s="22" t="s">
        <v>1134</v>
      </c>
      <c r="C386" s="30"/>
      <c r="D386" s="30" t="s">
        <v>299</v>
      </c>
      <c r="E386" s="30" t="s">
        <v>115</v>
      </c>
      <c r="F386" s="30" t="s">
        <v>111</v>
      </c>
      <c r="G386" s="30" t="s">
        <v>863</v>
      </c>
      <c r="H386" s="30" t="s">
        <v>241</v>
      </c>
      <c r="I386" s="30" t="s">
        <v>232</v>
      </c>
    </row>
    <row r="387" spans="1:9">
      <c r="A387" s="22" t="s">
        <v>1134</v>
      </c>
      <c r="B387" s="30"/>
      <c r="C387" s="30"/>
      <c r="D387" s="30" t="s">
        <v>300</v>
      </c>
      <c r="E387" s="30" t="s">
        <v>115</v>
      </c>
      <c r="F387" s="30" t="s">
        <v>111</v>
      </c>
      <c r="G387" s="30" t="s">
        <v>863</v>
      </c>
      <c r="H387" s="30" t="s">
        <v>241</v>
      </c>
      <c r="I387" s="30" t="s">
        <v>118</v>
      </c>
    </row>
    <row r="388" spans="1:9">
      <c r="A388" s="22" t="s">
        <v>1134</v>
      </c>
      <c r="B388" s="30"/>
      <c r="C388" s="30"/>
      <c r="D388" s="30" t="s">
        <v>361</v>
      </c>
      <c r="E388" s="30" t="s">
        <v>115</v>
      </c>
      <c r="F388" s="30" t="s">
        <v>111</v>
      </c>
      <c r="G388" s="30" t="s">
        <v>864</v>
      </c>
      <c r="H388" s="30" t="s">
        <v>241</v>
      </c>
      <c r="I388" s="30" t="s">
        <v>118</v>
      </c>
    </row>
    <row r="389" spans="1:9">
      <c r="A389" s="22" t="s">
        <v>1134</v>
      </c>
      <c r="C389" s="30"/>
      <c r="D389" s="30" t="s">
        <v>975</v>
      </c>
      <c r="E389" s="30" t="s">
        <v>112</v>
      </c>
      <c r="F389" s="30" t="s">
        <v>247</v>
      </c>
      <c r="G389" s="30"/>
      <c r="H389" s="30" t="s">
        <v>241</v>
      </c>
      <c r="I389" s="30" t="s">
        <v>118</v>
      </c>
    </row>
    <row r="390" spans="1:9">
      <c r="A390" s="22" t="s">
        <v>1134</v>
      </c>
      <c r="C390" s="30"/>
      <c r="D390" s="30" t="s">
        <v>976</v>
      </c>
      <c r="E390" s="30" t="s">
        <v>127</v>
      </c>
      <c r="F390" s="30" t="s">
        <v>247</v>
      </c>
      <c r="G390" s="30"/>
      <c r="H390" s="30" t="s">
        <v>241</v>
      </c>
      <c r="I390" s="30" t="s">
        <v>118</v>
      </c>
    </row>
    <row r="391" spans="1:9">
      <c r="A391" s="22" t="s">
        <v>1134</v>
      </c>
      <c r="B391" s="30"/>
      <c r="C391" s="30"/>
      <c r="D391" s="30" t="s">
        <v>977</v>
      </c>
      <c r="E391" s="30" t="s">
        <v>112</v>
      </c>
      <c r="F391" s="30" t="s">
        <v>123</v>
      </c>
      <c r="G391" s="30"/>
      <c r="H391" s="30" t="s">
        <v>241</v>
      </c>
      <c r="I391" s="30" t="s">
        <v>240</v>
      </c>
    </row>
    <row r="392" spans="1:9">
      <c r="A392" s="22" t="s">
        <v>1134</v>
      </c>
      <c r="B392" s="30"/>
      <c r="C392" s="30"/>
      <c r="D392" s="30" t="s">
        <v>978</v>
      </c>
      <c r="E392" s="30" t="s">
        <v>127</v>
      </c>
      <c r="F392" s="30" t="s">
        <v>123</v>
      </c>
      <c r="G392" s="30"/>
      <c r="H392" s="30" t="s">
        <v>241</v>
      </c>
      <c r="I392" s="30" t="s">
        <v>240</v>
      </c>
    </row>
    <row r="393" spans="1:9">
      <c r="A393" s="22" t="s">
        <v>1134</v>
      </c>
      <c r="B393" s="30"/>
      <c r="C393" s="30"/>
      <c r="D393" s="30" t="s">
        <v>362</v>
      </c>
      <c r="E393" s="30" t="s">
        <v>112</v>
      </c>
      <c r="F393" s="30" t="s">
        <v>866</v>
      </c>
      <c r="G393" s="30"/>
      <c r="H393" s="30" t="s">
        <v>241</v>
      </c>
      <c r="I393" s="30" t="s">
        <v>126</v>
      </c>
    </row>
    <row r="394" spans="1:9">
      <c r="A394" s="22" t="s">
        <v>1134</v>
      </c>
      <c r="B394" s="30"/>
      <c r="C394" s="30"/>
      <c r="D394" s="30" t="s">
        <v>363</v>
      </c>
      <c r="E394" s="30" t="s">
        <v>127</v>
      </c>
      <c r="F394" s="30" t="s">
        <v>866</v>
      </c>
      <c r="G394" s="30"/>
      <c r="H394" s="30" t="s">
        <v>241</v>
      </c>
      <c r="I394" s="30" t="s">
        <v>126</v>
      </c>
    </row>
    <row r="395" spans="1:9">
      <c r="A395" s="22" t="s">
        <v>1134</v>
      </c>
      <c r="B395" s="30"/>
      <c r="C395" s="30"/>
      <c r="D395" s="30" t="s">
        <v>979</v>
      </c>
      <c r="E395" s="30" t="s">
        <v>112</v>
      </c>
      <c r="F395" s="30" t="s">
        <v>866</v>
      </c>
      <c r="G395" s="30"/>
      <c r="H395" s="30" t="s">
        <v>241</v>
      </c>
      <c r="I395" s="30" t="s">
        <v>128</v>
      </c>
    </row>
    <row r="396" spans="1:9">
      <c r="A396" s="22" t="s">
        <v>1134</v>
      </c>
      <c r="B396" s="30"/>
      <c r="C396" s="30"/>
      <c r="D396" s="30" t="s">
        <v>980</v>
      </c>
      <c r="E396" s="30" t="s">
        <v>127</v>
      </c>
      <c r="F396" s="30" t="s">
        <v>866</v>
      </c>
      <c r="G396" s="30"/>
      <c r="H396" s="30" t="s">
        <v>241</v>
      </c>
      <c r="I396" s="30" t="s">
        <v>128</v>
      </c>
    </row>
    <row r="397" spans="1:9">
      <c r="A397" s="22" t="s">
        <v>1134</v>
      </c>
      <c r="B397" s="30"/>
      <c r="C397" s="30"/>
      <c r="D397" s="22" t="s">
        <v>301</v>
      </c>
      <c r="E397" s="30" t="s">
        <v>120</v>
      </c>
      <c r="F397" s="30" t="s">
        <v>111</v>
      </c>
      <c r="G397" s="30"/>
      <c r="H397" s="30" t="s">
        <v>241</v>
      </c>
      <c r="I397" s="30" t="s">
        <v>213</v>
      </c>
    </row>
    <row r="398" spans="1:9">
      <c r="A398" s="22" t="s">
        <v>1134</v>
      </c>
      <c r="B398" s="30"/>
      <c r="C398" s="30"/>
      <c r="D398" s="30" t="s">
        <v>648</v>
      </c>
      <c r="E398" s="30" t="s">
        <v>115</v>
      </c>
      <c r="F398" s="30" t="s">
        <v>178</v>
      </c>
      <c r="G398" s="30" t="s">
        <v>1191</v>
      </c>
      <c r="H398" s="30" t="s">
        <v>241</v>
      </c>
      <c r="I398" s="30" t="s">
        <v>114</v>
      </c>
    </row>
    <row r="399" spans="1:9">
      <c r="A399" s="22" t="s">
        <v>1134</v>
      </c>
      <c r="B399" s="30"/>
      <c r="C399" s="30"/>
      <c r="D399" s="30" t="s">
        <v>364</v>
      </c>
      <c r="E399" s="30" t="s">
        <v>115</v>
      </c>
      <c r="F399" s="30" t="s">
        <v>178</v>
      </c>
      <c r="G399" s="30" t="s">
        <v>1192</v>
      </c>
      <c r="H399" s="30" t="s">
        <v>241</v>
      </c>
      <c r="I399" s="30" t="s">
        <v>114</v>
      </c>
    </row>
    <row r="400" spans="1:9">
      <c r="A400" s="22" t="s">
        <v>1134</v>
      </c>
      <c r="B400" s="30"/>
      <c r="C400" s="30"/>
      <c r="D400" s="30" t="s">
        <v>1158</v>
      </c>
      <c r="E400" s="30" t="s">
        <v>112</v>
      </c>
      <c r="F400" s="30" t="s">
        <v>178</v>
      </c>
      <c r="G400" s="30" t="s">
        <v>571</v>
      </c>
      <c r="H400" s="30" t="s">
        <v>241</v>
      </c>
      <c r="I400" s="30" t="s">
        <v>572</v>
      </c>
    </row>
    <row r="401" spans="1:9">
      <c r="A401" s="22" t="s">
        <v>1134</v>
      </c>
      <c r="B401" s="30"/>
      <c r="C401" s="30"/>
      <c r="D401" s="30" t="s">
        <v>649</v>
      </c>
      <c r="E401" s="30" t="s">
        <v>115</v>
      </c>
      <c r="F401" s="30" t="s">
        <v>179</v>
      </c>
      <c r="G401" s="30" t="s">
        <v>1193</v>
      </c>
      <c r="H401" s="30" t="s">
        <v>241</v>
      </c>
      <c r="I401" s="30" t="s">
        <v>114</v>
      </c>
    </row>
    <row r="402" spans="1:9">
      <c r="A402" s="22" t="s">
        <v>1134</v>
      </c>
      <c r="B402" s="30"/>
      <c r="C402" s="30"/>
      <c r="D402" s="30" t="s">
        <v>365</v>
      </c>
      <c r="E402" s="30" t="s">
        <v>115</v>
      </c>
      <c r="F402" s="30" t="s">
        <v>179</v>
      </c>
      <c r="G402" s="30" t="s">
        <v>1194</v>
      </c>
      <c r="H402" s="30" t="s">
        <v>241</v>
      </c>
      <c r="I402" s="30" t="s">
        <v>114</v>
      </c>
    </row>
    <row r="403" spans="1:9">
      <c r="A403" s="22" t="s">
        <v>1134</v>
      </c>
      <c r="B403" s="30"/>
      <c r="C403" s="30"/>
      <c r="D403" s="30" t="s">
        <v>981</v>
      </c>
      <c r="E403" s="30" t="s">
        <v>112</v>
      </c>
      <c r="F403" s="30" t="s">
        <v>179</v>
      </c>
      <c r="G403" s="30" t="s">
        <v>571</v>
      </c>
      <c r="H403" s="30" t="s">
        <v>241</v>
      </c>
      <c r="I403" s="30" t="s">
        <v>572</v>
      </c>
    </row>
    <row r="404" spans="1:9">
      <c r="A404" s="22" t="s">
        <v>1134</v>
      </c>
      <c r="B404" s="30"/>
      <c r="C404" s="30"/>
      <c r="D404" s="30" t="s">
        <v>1159</v>
      </c>
      <c r="E404" s="30" t="s">
        <v>115</v>
      </c>
      <c r="F404" s="30" t="s">
        <v>169</v>
      </c>
      <c r="G404" s="30" t="s">
        <v>1195</v>
      </c>
      <c r="H404" s="30" t="s">
        <v>241</v>
      </c>
      <c r="I404" s="30" t="s">
        <v>114</v>
      </c>
    </row>
    <row r="405" spans="1:9">
      <c r="A405" s="22" t="s">
        <v>1134</v>
      </c>
      <c r="B405" s="30"/>
      <c r="C405" s="30"/>
      <c r="D405" s="30" t="s">
        <v>366</v>
      </c>
      <c r="E405" s="30" t="s">
        <v>115</v>
      </c>
      <c r="F405" s="30" t="s">
        <v>169</v>
      </c>
      <c r="G405" s="30" t="s">
        <v>1196</v>
      </c>
      <c r="H405" s="30" t="s">
        <v>241</v>
      </c>
      <c r="I405" s="30" t="s">
        <v>114</v>
      </c>
    </row>
    <row r="406" spans="1:9">
      <c r="A406" s="22" t="s">
        <v>1134</v>
      </c>
      <c r="B406" s="30"/>
      <c r="C406" s="30"/>
      <c r="D406" s="30" t="s">
        <v>982</v>
      </c>
      <c r="E406" s="30" t="s">
        <v>112</v>
      </c>
      <c r="F406" s="30" t="s">
        <v>169</v>
      </c>
      <c r="G406" s="30" t="s">
        <v>571</v>
      </c>
      <c r="H406" s="30" t="s">
        <v>241</v>
      </c>
      <c r="I406" s="30" t="s">
        <v>572</v>
      </c>
    </row>
    <row r="407" spans="1:9">
      <c r="A407" s="22" t="s">
        <v>1134</v>
      </c>
      <c r="B407" s="30"/>
      <c r="C407" s="30"/>
      <c r="D407" s="30" t="s">
        <v>650</v>
      </c>
      <c r="E407" s="30" t="s">
        <v>115</v>
      </c>
      <c r="F407" s="30" t="s">
        <v>180</v>
      </c>
      <c r="G407" s="30" t="s">
        <v>1202</v>
      </c>
      <c r="H407" s="30" t="s">
        <v>241</v>
      </c>
      <c r="I407" s="30" t="s">
        <v>114</v>
      </c>
    </row>
    <row r="408" spans="1:9">
      <c r="A408" s="22" t="s">
        <v>1134</v>
      </c>
      <c r="B408" s="30"/>
      <c r="C408" s="30"/>
      <c r="D408" s="30" t="s">
        <v>367</v>
      </c>
      <c r="E408" s="30" t="s">
        <v>115</v>
      </c>
      <c r="F408" s="30" t="s">
        <v>180</v>
      </c>
      <c r="G408" s="30" t="s">
        <v>1203</v>
      </c>
      <c r="H408" s="30" t="s">
        <v>241</v>
      </c>
      <c r="I408" s="30" t="s">
        <v>114</v>
      </c>
    </row>
    <row r="409" spans="1:9">
      <c r="A409" s="22" t="s">
        <v>1134</v>
      </c>
      <c r="B409" s="30"/>
      <c r="C409" s="30"/>
      <c r="D409" s="30" t="s">
        <v>983</v>
      </c>
      <c r="E409" s="30" t="s">
        <v>112</v>
      </c>
      <c r="F409" s="30" t="s">
        <v>180</v>
      </c>
      <c r="G409" s="30" t="s">
        <v>571</v>
      </c>
      <c r="H409" s="30" t="s">
        <v>241</v>
      </c>
      <c r="I409" s="30" t="s">
        <v>572</v>
      </c>
    </row>
    <row r="410" spans="1:9">
      <c r="A410" s="22" t="s">
        <v>1134</v>
      </c>
      <c r="B410" s="30"/>
      <c r="C410" s="30"/>
      <c r="D410" s="30" t="s">
        <v>651</v>
      </c>
      <c r="E410" s="30" t="s">
        <v>115</v>
      </c>
      <c r="F410" s="30" t="s">
        <v>181</v>
      </c>
      <c r="G410" s="30" t="s">
        <v>1197</v>
      </c>
      <c r="H410" s="30" t="s">
        <v>241</v>
      </c>
      <c r="I410" s="30" t="s">
        <v>114</v>
      </c>
    </row>
    <row r="411" spans="1:9">
      <c r="A411" s="22" t="s">
        <v>1134</v>
      </c>
      <c r="B411" s="30"/>
      <c r="C411" s="30"/>
      <c r="D411" s="30" t="s">
        <v>984</v>
      </c>
      <c r="E411" s="30" t="s">
        <v>115</v>
      </c>
      <c r="F411" s="30" t="s">
        <v>181</v>
      </c>
      <c r="G411" s="30" t="s">
        <v>1198</v>
      </c>
      <c r="H411" s="30" t="s">
        <v>241</v>
      </c>
      <c r="I411" s="30" t="s">
        <v>114</v>
      </c>
    </row>
    <row r="412" spans="1:9">
      <c r="A412" s="22" t="s">
        <v>1134</v>
      </c>
      <c r="B412" s="30"/>
      <c r="C412" s="30"/>
      <c r="D412" s="30" t="s">
        <v>985</v>
      </c>
      <c r="E412" s="30" t="s">
        <v>112</v>
      </c>
      <c r="F412" s="30" t="s">
        <v>181</v>
      </c>
      <c r="G412" s="30" t="s">
        <v>571</v>
      </c>
      <c r="H412" s="30" t="s">
        <v>241</v>
      </c>
      <c r="I412" s="30" t="s">
        <v>572</v>
      </c>
    </row>
    <row r="413" spans="1:9">
      <c r="A413" s="22" t="s">
        <v>1134</v>
      </c>
      <c r="B413" s="30"/>
      <c r="C413" s="30"/>
      <c r="D413" s="30" t="s">
        <v>652</v>
      </c>
      <c r="E413" s="30" t="s">
        <v>115</v>
      </c>
      <c r="F413" s="30" t="s">
        <v>182</v>
      </c>
      <c r="G413" s="30" t="s">
        <v>1199</v>
      </c>
      <c r="H413" s="30" t="s">
        <v>241</v>
      </c>
      <c r="I413" s="30" t="s">
        <v>114</v>
      </c>
    </row>
    <row r="414" spans="1:9">
      <c r="A414" s="22" t="s">
        <v>1134</v>
      </c>
      <c r="B414" s="30"/>
      <c r="C414" s="30"/>
      <c r="D414" s="30" t="s">
        <v>986</v>
      </c>
      <c r="E414" s="30" t="s">
        <v>115</v>
      </c>
      <c r="F414" s="30" t="s">
        <v>182</v>
      </c>
      <c r="G414" s="30" t="s">
        <v>1200</v>
      </c>
      <c r="H414" s="30" t="s">
        <v>241</v>
      </c>
      <c r="I414" s="30" t="s">
        <v>114</v>
      </c>
    </row>
    <row r="415" spans="1:9">
      <c r="A415" s="22" t="s">
        <v>1134</v>
      </c>
      <c r="B415" s="30"/>
      <c r="C415" s="30"/>
      <c r="D415" s="30" t="s">
        <v>987</v>
      </c>
      <c r="E415" s="30" t="s">
        <v>112</v>
      </c>
      <c r="F415" s="30" t="s">
        <v>182</v>
      </c>
      <c r="G415" s="30" t="s">
        <v>571</v>
      </c>
      <c r="H415" s="30" t="s">
        <v>241</v>
      </c>
      <c r="I415" s="30" t="s">
        <v>572</v>
      </c>
    </row>
    <row r="416" spans="1:9">
      <c r="A416" s="22" t="s">
        <v>1134</v>
      </c>
      <c r="B416" s="30"/>
      <c r="C416" s="30"/>
      <c r="D416" s="30" t="s">
        <v>653</v>
      </c>
      <c r="E416" s="30" t="s">
        <v>115</v>
      </c>
      <c r="F416" s="30" t="s">
        <v>183</v>
      </c>
      <c r="G416" s="30" t="s">
        <v>1204</v>
      </c>
      <c r="H416" s="30" t="s">
        <v>241</v>
      </c>
      <c r="I416" s="30" t="s">
        <v>114</v>
      </c>
    </row>
    <row r="417" spans="1:9">
      <c r="A417" s="22" t="s">
        <v>1134</v>
      </c>
      <c r="B417" s="30"/>
      <c r="C417" s="30"/>
      <c r="D417" s="30" t="s">
        <v>988</v>
      </c>
      <c r="E417" s="30" t="s">
        <v>115</v>
      </c>
      <c r="F417" s="30" t="s">
        <v>183</v>
      </c>
      <c r="G417" s="30" t="s">
        <v>1205</v>
      </c>
      <c r="H417" s="30" t="s">
        <v>241</v>
      </c>
      <c r="I417" s="30" t="s">
        <v>114</v>
      </c>
    </row>
    <row r="418" spans="1:9">
      <c r="A418" s="22" t="s">
        <v>1134</v>
      </c>
      <c r="B418" s="30"/>
      <c r="C418" s="30"/>
      <c r="D418" s="30" t="s">
        <v>989</v>
      </c>
      <c r="E418" s="30" t="s">
        <v>112</v>
      </c>
      <c r="F418" s="30" t="s">
        <v>183</v>
      </c>
      <c r="G418" s="30" t="s">
        <v>571</v>
      </c>
      <c r="H418" s="30" t="s">
        <v>241</v>
      </c>
      <c r="I418" s="30" t="s">
        <v>572</v>
      </c>
    </row>
    <row r="419" spans="1:9">
      <c r="A419" s="22" t="s">
        <v>1134</v>
      </c>
      <c r="B419" s="30"/>
      <c r="C419" s="30"/>
      <c r="D419" s="30" t="s">
        <v>654</v>
      </c>
      <c r="E419" s="30" t="s">
        <v>115</v>
      </c>
      <c r="F419" s="30" t="s">
        <v>184</v>
      </c>
      <c r="G419" s="30" t="s">
        <v>1189</v>
      </c>
      <c r="H419" s="30" t="s">
        <v>241</v>
      </c>
      <c r="I419" s="30" t="s">
        <v>114</v>
      </c>
    </row>
    <row r="420" spans="1:9">
      <c r="A420" s="22" t="s">
        <v>1134</v>
      </c>
      <c r="B420" s="30"/>
      <c r="C420" s="30"/>
      <c r="D420" s="30" t="s">
        <v>990</v>
      </c>
      <c r="E420" s="30" t="s">
        <v>115</v>
      </c>
      <c r="F420" s="30" t="s">
        <v>184</v>
      </c>
      <c r="G420" s="30" t="s">
        <v>1190</v>
      </c>
      <c r="H420" s="30" t="s">
        <v>241</v>
      </c>
      <c r="I420" s="30" t="s">
        <v>114</v>
      </c>
    </row>
    <row r="421" spans="1:9">
      <c r="A421" s="22" t="s">
        <v>1134</v>
      </c>
      <c r="B421" s="30"/>
      <c r="C421" s="30"/>
      <c r="D421" s="30" t="s">
        <v>1160</v>
      </c>
      <c r="E421" s="30" t="s">
        <v>112</v>
      </c>
      <c r="F421" s="30" t="s">
        <v>184</v>
      </c>
      <c r="G421" s="30" t="s">
        <v>571</v>
      </c>
      <c r="H421" s="30" t="s">
        <v>241</v>
      </c>
      <c r="I421" s="30" t="s">
        <v>572</v>
      </c>
    </row>
    <row r="422" spans="1:9">
      <c r="A422" s="22" t="s">
        <v>1135</v>
      </c>
      <c r="B422" s="30"/>
      <c r="C422" s="30"/>
      <c r="D422" s="30" t="s">
        <v>169</v>
      </c>
      <c r="E422" s="30" t="s">
        <v>822</v>
      </c>
      <c r="F422" s="30" t="s">
        <v>111</v>
      </c>
      <c r="G422" s="30" t="s">
        <v>865</v>
      </c>
      <c r="H422" s="30" t="s">
        <v>241</v>
      </c>
      <c r="I422" s="30" t="s">
        <v>823</v>
      </c>
    </row>
    <row r="423" spans="1:9">
      <c r="A423" s="22" t="s">
        <v>1135</v>
      </c>
      <c r="B423" s="30"/>
      <c r="C423" s="30"/>
      <c r="D423" s="30" t="s">
        <v>499</v>
      </c>
      <c r="E423" s="30" t="s">
        <v>822</v>
      </c>
      <c r="F423" s="30" t="s">
        <v>111</v>
      </c>
      <c r="G423" s="30" t="s">
        <v>865</v>
      </c>
      <c r="H423" s="30" t="s">
        <v>241</v>
      </c>
      <c r="I423" s="30" t="s">
        <v>232</v>
      </c>
    </row>
    <row r="424" spans="1:9">
      <c r="A424" s="28"/>
      <c r="B424" s="28"/>
      <c r="C424" s="28"/>
      <c r="D424" s="28"/>
      <c r="E424" s="29" t="s">
        <v>785</v>
      </c>
      <c r="F424" s="28"/>
      <c r="G424" s="28"/>
      <c r="H424" s="28"/>
      <c r="I424" s="28"/>
    </row>
    <row r="425" spans="1:9">
      <c r="A425" s="22" t="s">
        <v>1134</v>
      </c>
      <c r="B425" s="30"/>
      <c r="C425" s="30"/>
      <c r="D425" s="22" t="s">
        <v>394</v>
      </c>
      <c r="E425" s="30" t="s">
        <v>115</v>
      </c>
      <c r="F425" s="30" t="s">
        <v>111</v>
      </c>
      <c r="G425" s="30" t="s">
        <v>863</v>
      </c>
      <c r="H425" s="30" t="s">
        <v>241</v>
      </c>
      <c r="I425" s="30" t="s">
        <v>114</v>
      </c>
    </row>
    <row r="426" spans="1:9">
      <c r="A426" s="22" t="s">
        <v>1134</v>
      </c>
      <c r="B426" s="30"/>
      <c r="C426" s="30"/>
      <c r="D426" s="22" t="s">
        <v>395</v>
      </c>
      <c r="E426" s="30" t="s">
        <v>120</v>
      </c>
      <c r="F426" s="30" t="s">
        <v>111</v>
      </c>
      <c r="G426" s="30" t="s">
        <v>863</v>
      </c>
      <c r="H426" s="30" t="s">
        <v>241</v>
      </c>
      <c r="I426" s="30" t="s">
        <v>114</v>
      </c>
    </row>
    <row r="427" spans="1:9">
      <c r="A427" s="22" t="s">
        <v>1134</v>
      </c>
      <c r="B427" s="30"/>
      <c r="C427" s="30"/>
      <c r="D427" s="30" t="s">
        <v>396</v>
      </c>
      <c r="E427" s="30" t="s">
        <v>112</v>
      </c>
      <c r="F427" s="30" t="s">
        <v>111</v>
      </c>
      <c r="G427" s="30" t="s">
        <v>113</v>
      </c>
      <c r="H427" s="30" t="s">
        <v>241</v>
      </c>
      <c r="I427" s="30" t="s">
        <v>114</v>
      </c>
    </row>
    <row r="428" spans="1:9">
      <c r="A428" s="22" t="s">
        <v>1134</v>
      </c>
      <c r="C428" s="30"/>
      <c r="D428" s="30" t="s">
        <v>397</v>
      </c>
      <c r="E428" s="30" t="s">
        <v>115</v>
      </c>
      <c r="F428" s="30" t="s">
        <v>111</v>
      </c>
      <c r="G428" s="30" t="s">
        <v>863</v>
      </c>
      <c r="H428" s="30" t="s">
        <v>241</v>
      </c>
      <c r="I428" s="30" t="s">
        <v>204</v>
      </c>
    </row>
    <row r="429" spans="1:9">
      <c r="A429" s="22" t="s">
        <v>1134</v>
      </c>
      <c r="C429" s="30"/>
      <c r="D429" s="30" t="s">
        <v>398</v>
      </c>
      <c r="E429" s="30" t="s">
        <v>115</v>
      </c>
      <c r="F429" s="30" t="s">
        <v>111</v>
      </c>
      <c r="G429" s="30" t="s">
        <v>863</v>
      </c>
      <c r="H429" s="30" t="s">
        <v>241</v>
      </c>
      <c r="I429" s="30" t="s">
        <v>232</v>
      </c>
    </row>
    <row r="430" spans="1:9">
      <c r="A430" s="22" t="s">
        <v>1134</v>
      </c>
      <c r="B430" s="30"/>
      <c r="C430" s="30"/>
      <c r="D430" s="30" t="s">
        <v>399</v>
      </c>
      <c r="E430" s="30" t="s">
        <v>115</v>
      </c>
      <c r="F430" s="30" t="s">
        <v>111</v>
      </c>
      <c r="G430" s="30" t="s">
        <v>863</v>
      </c>
      <c r="H430" s="30" t="s">
        <v>241</v>
      </c>
      <c r="I430" s="30" t="s">
        <v>118</v>
      </c>
    </row>
    <row r="431" spans="1:9">
      <c r="A431" s="22" t="s">
        <v>1134</v>
      </c>
      <c r="B431" s="30"/>
      <c r="C431" s="30"/>
      <c r="D431" s="30" t="s">
        <v>400</v>
      </c>
      <c r="E431" s="30" t="s">
        <v>115</v>
      </c>
      <c r="F431" s="30" t="s">
        <v>111</v>
      </c>
      <c r="G431" s="30" t="s">
        <v>864</v>
      </c>
      <c r="H431" s="30" t="s">
        <v>241</v>
      </c>
      <c r="I431" s="30" t="s">
        <v>118</v>
      </c>
    </row>
    <row r="432" spans="1:9">
      <c r="A432" s="22" t="s">
        <v>1134</v>
      </c>
      <c r="C432" s="30"/>
      <c r="D432" s="30" t="s">
        <v>991</v>
      </c>
      <c r="E432" s="30" t="s">
        <v>112</v>
      </c>
      <c r="F432" s="30" t="s">
        <v>247</v>
      </c>
      <c r="G432" s="30"/>
      <c r="H432" s="30" t="s">
        <v>241</v>
      </c>
      <c r="I432" s="30" t="s">
        <v>118</v>
      </c>
    </row>
    <row r="433" spans="1:9">
      <c r="A433" s="22" t="s">
        <v>1134</v>
      </c>
      <c r="C433" s="30"/>
      <c r="D433" s="30" t="s">
        <v>992</v>
      </c>
      <c r="E433" s="30" t="s">
        <v>127</v>
      </c>
      <c r="F433" s="30" t="s">
        <v>247</v>
      </c>
      <c r="G433" s="30"/>
      <c r="H433" s="30" t="s">
        <v>241</v>
      </c>
      <c r="I433" s="30" t="s">
        <v>118</v>
      </c>
    </row>
    <row r="434" spans="1:9">
      <c r="A434" s="22" t="s">
        <v>1134</v>
      </c>
      <c r="B434" s="30"/>
      <c r="C434" s="30"/>
      <c r="D434" s="30" t="s">
        <v>993</v>
      </c>
      <c r="E434" s="30" t="s">
        <v>112</v>
      </c>
      <c r="F434" s="30" t="s">
        <v>123</v>
      </c>
      <c r="G434" s="30"/>
      <c r="H434" s="30" t="s">
        <v>241</v>
      </c>
      <c r="I434" s="30" t="s">
        <v>240</v>
      </c>
    </row>
    <row r="435" spans="1:9">
      <c r="A435" s="22" t="s">
        <v>1134</v>
      </c>
      <c r="B435" s="30"/>
      <c r="C435" s="30"/>
      <c r="D435" s="30" t="s">
        <v>994</v>
      </c>
      <c r="E435" s="30" t="s">
        <v>127</v>
      </c>
      <c r="F435" s="30" t="s">
        <v>123</v>
      </c>
      <c r="G435" s="30"/>
      <c r="H435" s="30" t="s">
        <v>241</v>
      </c>
      <c r="I435" s="30" t="s">
        <v>240</v>
      </c>
    </row>
    <row r="436" spans="1:9">
      <c r="A436" s="22" t="s">
        <v>1134</v>
      </c>
      <c r="B436" s="30"/>
      <c r="C436" s="30"/>
      <c r="D436" s="30" t="s">
        <v>401</v>
      </c>
      <c r="E436" s="30" t="s">
        <v>112</v>
      </c>
      <c r="F436" s="30" t="s">
        <v>866</v>
      </c>
      <c r="G436" s="30"/>
      <c r="H436" s="30" t="s">
        <v>241</v>
      </c>
      <c r="I436" s="30" t="s">
        <v>126</v>
      </c>
    </row>
    <row r="437" spans="1:9">
      <c r="A437" s="22" t="s">
        <v>1134</v>
      </c>
      <c r="B437" s="30"/>
      <c r="C437" s="30"/>
      <c r="D437" s="30" t="s">
        <v>402</v>
      </c>
      <c r="E437" s="30" t="s">
        <v>127</v>
      </c>
      <c r="F437" s="30" t="s">
        <v>866</v>
      </c>
      <c r="G437" s="30"/>
      <c r="H437" s="30" t="s">
        <v>241</v>
      </c>
      <c r="I437" s="30" t="s">
        <v>126</v>
      </c>
    </row>
    <row r="438" spans="1:9">
      <c r="A438" s="22" t="s">
        <v>1134</v>
      </c>
      <c r="B438" s="30"/>
      <c r="C438" s="30"/>
      <c r="D438" s="30" t="s">
        <v>995</v>
      </c>
      <c r="E438" s="30" t="s">
        <v>112</v>
      </c>
      <c r="F438" s="30" t="s">
        <v>866</v>
      </c>
      <c r="G438" s="30"/>
      <c r="H438" s="30" t="s">
        <v>241</v>
      </c>
      <c r="I438" s="30" t="s">
        <v>128</v>
      </c>
    </row>
    <row r="439" spans="1:9">
      <c r="A439" s="22" t="s">
        <v>1134</v>
      </c>
      <c r="B439" s="30"/>
      <c r="C439" s="30"/>
      <c r="D439" s="30" t="s">
        <v>996</v>
      </c>
      <c r="E439" s="30" t="s">
        <v>127</v>
      </c>
      <c r="F439" s="30" t="s">
        <v>866</v>
      </c>
      <c r="G439" s="30"/>
      <c r="H439" s="30" t="s">
        <v>241</v>
      </c>
      <c r="I439" s="30" t="s">
        <v>128</v>
      </c>
    </row>
    <row r="440" spans="1:9">
      <c r="A440" s="22" t="s">
        <v>1134</v>
      </c>
      <c r="B440" s="30"/>
      <c r="C440" s="30"/>
      <c r="D440" s="22" t="s">
        <v>403</v>
      </c>
      <c r="E440" s="30" t="s">
        <v>120</v>
      </c>
      <c r="F440" s="30" t="s">
        <v>111</v>
      </c>
      <c r="G440" s="30"/>
      <c r="H440" s="30" t="s">
        <v>241</v>
      </c>
      <c r="I440" s="30" t="s">
        <v>213</v>
      </c>
    </row>
    <row r="441" spans="1:9">
      <c r="A441" s="22" t="s">
        <v>1134</v>
      </c>
      <c r="B441" s="30"/>
      <c r="C441" s="30"/>
      <c r="D441" s="30" t="s">
        <v>658</v>
      </c>
      <c r="E441" s="30" t="s">
        <v>115</v>
      </c>
      <c r="F441" s="30" t="s">
        <v>178</v>
      </c>
      <c r="G441" s="30" t="s">
        <v>1191</v>
      </c>
      <c r="H441" s="30" t="s">
        <v>241</v>
      </c>
      <c r="I441" s="30" t="s">
        <v>114</v>
      </c>
    </row>
    <row r="442" spans="1:9">
      <c r="A442" s="22" t="s">
        <v>1134</v>
      </c>
      <c r="B442" s="30"/>
      <c r="C442" s="30"/>
      <c r="D442" s="30" t="s">
        <v>404</v>
      </c>
      <c r="E442" s="30" t="s">
        <v>115</v>
      </c>
      <c r="F442" s="30" t="s">
        <v>178</v>
      </c>
      <c r="G442" s="30" t="s">
        <v>1192</v>
      </c>
      <c r="H442" s="30" t="s">
        <v>241</v>
      </c>
      <c r="I442" s="30" t="s">
        <v>114</v>
      </c>
    </row>
    <row r="443" spans="1:9">
      <c r="A443" s="22" t="s">
        <v>1134</v>
      </c>
      <c r="B443" s="30"/>
      <c r="C443" s="30"/>
      <c r="D443" s="30" t="s">
        <v>1161</v>
      </c>
      <c r="E443" s="30" t="s">
        <v>112</v>
      </c>
      <c r="F443" s="30" t="s">
        <v>178</v>
      </c>
      <c r="G443" s="30" t="s">
        <v>571</v>
      </c>
      <c r="H443" s="30" t="s">
        <v>241</v>
      </c>
      <c r="I443" s="30" t="s">
        <v>572</v>
      </c>
    </row>
    <row r="444" spans="1:9">
      <c r="A444" s="22" t="s">
        <v>1134</v>
      </c>
      <c r="B444" s="30"/>
      <c r="C444" s="30"/>
      <c r="D444" s="30" t="s">
        <v>659</v>
      </c>
      <c r="E444" s="30" t="s">
        <v>115</v>
      </c>
      <c r="F444" s="30" t="s">
        <v>179</v>
      </c>
      <c r="G444" s="30" t="s">
        <v>1193</v>
      </c>
      <c r="H444" s="30" t="s">
        <v>241</v>
      </c>
      <c r="I444" s="30" t="s">
        <v>114</v>
      </c>
    </row>
    <row r="445" spans="1:9">
      <c r="A445" s="22" t="s">
        <v>1134</v>
      </c>
      <c r="B445" s="30"/>
      <c r="C445" s="30"/>
      <c r="D445" s="30" t="s">
        <v>405</v>
      </c>
      <c r="E445" s="30" t="s">
        <v>115</v>
      </c>
      <c r="F445" s="30" t="s">
        <v>179</v>
      </c>
      <c r="G445" s="30" t="s">
        <v>1194</v>
      </c>
      <c r="H445" s="30" t="s">
        <v>241</v>
      </c>
      <c r="I445" s="30" t="s">
        <v>114</v>
      </c>
    </row>
    <row r="446" spans="1:9">
      <c r="A446" s="22" t="s">
        <v>1134</v>
      </c>
      <c r="B446" s="30"/>
      <c r="C446" s="30"/>
      <c r="D446" s="30" t="s">
        <v>997</v>
      </c>
      <c r="E446" s="30" t="s">
        <v>112</v>
      </c>
      <c r="F446" s="30" t="s">
        <v>179</v>
      </c>
      <c r="G446" s="30" t="s">
        <v>571</v>
      </c>
      <c r="H446" s="30" t="s">
        <v>241</v>
      </c>
      <c r="I446" s="30" t="s">
        <v>572</v>
      </c>
    </row>
    <row r="447" spans="1:9">
      <c r="A447" s="22" t="s">
        <v>1134</v>
      </c>
      <c r="B447" s="30"/>
      <c r="C447" s="30"/>
      <c r="D447" s="30" t="s">
        <v>1162</v>
      </c>
      <c r="E447" s="30" t="s">
        <v>115</v>
      </c>
      <c r="F447" s="30" t="s">
        <v>169</v>
      </c>
      <c r="G447" s="30" t="s">
        <v>1195</v>
      </c>
      <c r="H447" s="30" t="s">
        <v>241</v>
      </c>
      <c r="I447" s="30" t="s">
        <v>114</v>
      </c>
    </row>
    <row r="448" spans="1:9">
      <c r="A448" s="22" t="s">
        <v>1134</v>
      </c>
      <c r="B448" s="30"/>
      <c r="C448" s="30"/>
      <c r="D448" s="30" t="s">
        <v>406</v>
      </c>
      <c r="E448" s="30" t="s">
        <v>115</v>
      </c>
      <c r="F448" s="30" t="s">
        <v>169</v>
      </c>
      <c r="G448" s="30" t="s">
        <v>1196</v>
      </c>
      <c r="H448" s="30" t="s">
        <v>241</v>
      </c>
      <c r="I448" s="30" t="s">
        <v>114</v>
      </c>
    </row>
    <row r="449" spans="1:9">
      <c r="A449" s="22" t="s">
        <v>1134</v>
      </c>
      <c r="B449" s="30"/>
      <c r="C449" s="30"/>
      <c r="D449" s="30" t="s">
        <v>998</v>
      </c>
      <c r="E449" s="30" t="s">
        <v>112</v>
      </c>
      <c r="F449" s="30" t="s">
        <v>169</v>
      </c>
      <c r="G449" s="30" t="s">
        <v>571</v>
      </c>
      <c r="H449" s="30" t="s">
        <v>241</v>
      </c>
      <c r="I449" s="30" t="s">
        <v>572</v>
      </c>
    </row>
    <row r="450" spans="1:9">
      <c r="A450" s="22" t="s">
        <v>1134</v>
      </c>
      <c r="B450" s="30"/>
      <c r="C450" s="30"/>
      <c r="D450" s="30" t="s">
        <v>660</v>
      </c>
      <c r="E450" s="30" t="s">
        <v>115</v>
      </c>
      <c r="F450" s="30" t="s">
        <v>180</v>
      </c>
      <c r="G450" s="30" t="s">
        <v>1202</v>
      </c>
      <c r="H450" s="30" t="s">
        <v>241</v>
      </c>
      <c r="I450" s="30" t="s">
        <v>114</v>
      </c>
    </row>
    <row r="451" spans="1:9">
      <c r="A451" s="22" t="s">
        <v>1134</v>
      </c>
      <c r="B451" s="30"/>
      <c r="C451" s="30"/>
      <c r="D451" s="30" t="s">
        <v>407</v>
      </c>
      <c r="E451" s="30" t="s">
        <v>115</v>
      </c>
      <c r="F451" s="30" t="s">
        <v>180</v>
      </c>
      <c r="G451" s="30" t="s">
        <v>1203</v>
      </c>
      <c r="H451" s="30" t="s">
        <v>241</v>
      </c>
      <c r="I451" s="30" t="s">
        <v>114</v>
      </c>
    </row>
    <row r="452" spans="1:9">
      <c r="A452" s="22" t="s">
        <v>1134</v>
      </c>
      <c r="B452" s="30"/>
      <c r="C452" s="30"/>
      <c r="D452" s="30" t="s">
        <v>999</v>
      </c>
      <c r="E452" s="30" t="s">
        <v>112</v>
      </c>
      <c r="F452" s="30" t="s">
        <v>180</v>
      </c>
      <c r="G452" s="30" t="s">
        <v>571</v>
      </c>
      <c r="H452" s="30" t="s">
        <v>241</v>
      </c>
      <c r="I452" s="30" t="s">
        <v>572</v>
      </c>
    </row>
    <row r="453" spans="1:9">
      <c r="A453" s="22" t="s">
        <v>1134</v>
      </c>
      <c r="B453" s="30"/>
      <c r="C453" s="30"/>
      <c r="D453" s="30" t="s">
        <v>661</v>
      </c>
      <c r="E453" s="30" t="s">
        <v>115</v>
      </c>
      <c r="F453" s="30" t="s">
        <v>181</v>
      </c>
      <c r="G453" s="30" t="s">
        <v>1197</v>
      </c>
      <c r="H453" s="30" t="s">
        <v>241</v>
      </c>
      <c r="I453" s="30" t="s">
        <v>114</v>
      </c>
    </row>
    <row r="454" spans="1:9">
      <c r="A454" s="22" t="s">
        <v>1134</v>
      </c>
      <c r="B454" s="30"/>
      <c r="C454" s="30"/>
      <c r="D454" s="30" t="s">
        <v>1000</v>
      </c>
      <c r="E454" s="30" t="s">
        <v>115</v>
      </c>
      <c r="F454" s="30" t="s">
        <v>181</v>
      </c>
      <c r="G454" s="30" t="s">
        <v>1198</v>
      </c>
      <c r="H454" s="30" t="s">
        <v>241</v>
      </c>
      <c r="I454" s="30" t="s">
        <v>114</v>
      </c>
    </row>
    <row r="455" spans="1:9">
      <c r="A455" s="22" t="s">
        <v>1134</v>
      </c>
      <c r="B455" s="30"/>
      <c r="C455" s="30"/>
      <c r="D455" s="30" t="s">
        <v>1001</v>
      </c>
      <c r="E455" s="30" t="s">
        <v>112</v>
      </c>
      <c r="F455" s="30" t="s">
        <v>181</v>
      </c>
      <c r="G455" s="30" t="s">
        <v>571</v>
      </c>
      <c r="H455" s="30" t="s">
        <v>241</v>
      </c>
      <c r="I455" s="30" t="s">
        <v>572</v>
      </c>
    </row>
    <row r="456" spans="1:9">
      <c r="A456" s="22" t="s">
        <v>1134</v>
      </c>
      <c r="B456" s="30"/>
      <c r="C456" s="30"/>
      <c r="D456" s="30" t="s">
        <v>662</v>
      </c>
      <c r="E456" s="30" t="s">
        <v>115</v>
      </c>
      <c r="F456" s="30" t="s">
        <v>182</v>
      </c>
      <c r="G456" s="30" t="s">
        <v>1199</v>
      </c>
      <c r="H456" s="30" t="s">
        <v>241</v>
      </c>
      <c r="I456" s="30" t="s">
        <v>114</v>
      </c>
    </row>
    <row r="457" spans="1:9">
      <c r="A457" s="22" t="s">
        <v>1134</v>
      </c>
      <c r="B457" s="30"/>
      <c r="C457" s="30"/>
      <c r="D457" s="30" t="s">
        <v>1002</v>
      </c>
      <c r="E457" s="30" t="s">
        <v>115</v>
      </c>
      <c r="F457" s="30" t="s">
        <v>182</v>
      </c>
      <c r="G457" s="30" t="s">
        <v>1200</v>
      </c>
      <c r="H457" s="30" t="s">
        <v>241</v>
      </c>
      <c r="I457" s="30" t="s">
        <v>114</v>
      </c>
    </row>
    <row r="458" spans="1:9">
      <c r="A458" s="22" t="s">
        <v>1134</v>
      </c>
      <c r="B458" s="30"/>
      <c r="C458" s="30"/>
      <c r="D458" s="30" t="s">
        <v>1003</v>
      </c>
      <c r="E458" s="30" t="s">
        <v>112</v>
      </c>
      <c r="F458" s="30" t="s">
        <v>182</v>
      </c>
      <c r="G458" s="30" t="s">
        <v>571</v>
      </c>
      <c r="H458" s="30" t="s">
        <v>241</v>
      </c>
      <c r="I458" s="30" t="s">
        <v>572</v>
      </c>
    </row>
    <row r="459" spans="1:9">
      <c r="A459" s="22" t="s">
        <v>1134</v>
      </c>
      <c r="B459" s="30"/>
      <c r="C459" s="30"/>
      <c r="D459" s="30" t="s">
        <v>663</v>
      </c>
      <c r="E459" s="30" t="s">
        <v>115</v>
      </c>
      <c r="F459" s="30" t="s">
        <v>183</v>
      </c>
      <c r="G459" s="30" t="s">
        <v>1204</v>
      </c>
      <c r="H459" s="30" t="s">
        <v>241</v>
      </c>
      <c r="I459" s="30" t="s">
        <v>114</v>
      </c>
    </row>
    <row r="460" spans="1:9">
      <c r="A460" s="22" t="s">
        <v>1134</v>
      </c>
      <c r="B460" s="30"/>
      <c r="C460" s="30"/>
      <c r="D460" s="30" t="s">
        <v>1004</v>
      </c>
      <c r="E460" s="30" t="s">
        <v>115</v>
      </c>
      <c r="F460" s="30" t="s">
        <v>183</v>
      </c>
      <c r="G460" s="30" t="s">
        <v>1205</v>
      </c>
      <c r="H460" s="30" t="s">
        <v>241</v>
      </c>
      <c r="I460" s="30" t="s">
        <v>114</v>
      </c>
    </row>
    <row r="461" spans="1:9">
      <c r="A461" s="22" t="s">
        <v>1134</v>
      </c>
      <c r="B461" s="30"/>
      <c r="C461" s="30"/>
      <c r="D461" s="30" t="s">
        <v>1005</v>
      </c>
      <c r="E461" s="30" t="s">
        <v>112</v>
      </c>
      <c r="F461" s="30" t="s">
        <v>183</v>
      </c>
      <c r="G461" s="30" t="s">
        <v>571</v>
      </c>
      <c r="H461" s="30" t="s">
        <v>241</v>
      </c>
      <c r="I461" s="30" t="s">
        <v>572</v>
      </c>
    </row>
    <row r="462" spans="1:9">
      <c r="A462" s="22" t="s">
        <v>1134</v>
      </c>
      <c r="B462" s="30"/>
      <c r="C462" s="30"/>
      <c r="D462" s="30" t="s">
        <v>664</v>
      </c>
      <c r="E462" s="30" t="s">
        <v>115</v>
      </c>
      <c r="F462" s="30" t="s">
        <v>184</v>
      </c>
      <c r="G462" s="30" t="s">
        <v>1189</v>
      </c>
      <c r="H462" s="30" t="s">
        <v>241</v>
      </c>
      <c r="I462" s="30" t="s">
        <v>114</v>
      </c>
    </row>
    <row r="463" spans="1:9">
      <c r="A463" s="22" t="s">
        <v>1134</v>
      </c>
      <c r="B463" s="30"/>
      <c r="C463" s="30"/>
      <c r="D463" s="30" t="s">
        <v>1006</v>
      </c>
      <c r="E463" s="30" t="s">
        <v>115</v>
      </c>
      <c r="F463" s="30" t="s">
        <v>184</v>
      </c>
      <c r="G463" s="30" t="s">
        <v>1190</v>
      </c>
      <c r="H463" s="30" t="s">
        <v>241</v>
      </c>
      <c r="I463" s="30" t="s">
        <v>114</v>
      </c>
    </row>
    <row r="464" spans="1:9">
      <c r="A464" s="22" t="s">
        <v>1134</v>
      </c>
      <c r="B464" s="30"/>
      <c r="C464" s="30"/>
      <c r="D464" s="30" t="s">
        <v>1163</v>
      </c>
      <c r="E464" s="30" t="s">
        <v>112</v>
      </c>
      <c r="F464" s="30" t="s">
        <v>184</v>
      </c>
      <c r="G464" s="30" t="s">
        <v>571</v>
      </c>
      <c r="H464" s="30" t="s">
        <v>241</v>
      </c>
      <c r="I464" s="30" t="s">
        <v>572</v>
      </c>
    </row>
    <row r="465" spans="1:9">
      <c r="A465" s="22" t="s">
        <v>1135</v>
      </c>
      <c r="B465" s="30"/>
      <c r="C465" s="30"/>
      <c r="D465" s="30" t="s">
        <v>826</v>
      </c>
      <c r="E465" s="30" t="s">
        <v>822</v>
      </c>
      <c r="F465" s="30" t="s">
        <v>111</v>
      </c>
      <c r="G465" s="30" t="s">
        <v>865</v>
      </c>
      <c r="H465" s="30" t="s">
        <v>241</v>
      </c>
      <c r="I465" s="30" t="s">
        <v>823</v>
      </c>
    </row>
    <row r="466" spans="1:9">
      <c r="A466" s="22" t="s">
        <v>1135</v>
      </c>
      <c r="B466" s="30"/>
      <c r="C466" s="30"/>
      <c r="D466" s="30" t="s">
        <v>827</v>
      </c>
      <c r="E466" s="30" t="s">
        <v>822</v>
      </c>
      <c r="F466" s="30" t="s">
        <v>111</v>
      </c>
      <c r="G466" s="30" t="s">
        <v>865</v>
      </c>
      <c r="H466" s="30" t="s">
        <v>241</v>
      </c>
      <c r="I466" s="30" t="s">
        <v>232</v>
      </c>
    </row>
    <row r="467" spans="1:9">
      <c r="A467" s="28"/>
      <c r="B467" s="28"/>
      <c r="C467" s="28"/>
      <c r="D467" s="28"/>
      <c r="E467" s="29" t="s">
        <v>784</v>
      </c>
      <c r="F467" s="28"/>
      <c r="G467" s="28"/>
      <c r="H467" s="28"/>
      <c r="I467" s="28"/>
    </row>
    <row r="468" spans="1:9">
      <c r="A468" s="22" t="s">
        <v>1134</v>
      </c>
      <c r="B468" s="30"/>
      <c r="C468" s="30"/>
      <c r="D468" s="22" t="s">
        <v>408</v>
      </c>
      <c r="E468" s="30" t="s">
        <v>115</v>
      </c>
      <c r="F468" s="30" t="s">
        <v>111</v>
      </c>
      <c r="G468" s="30" t="s">
        <v>863</v>
      </c>
      <c r="H468" s="30" t="s">
        <v>241</v>
      </c>
      <c r="I468" s="30" t="s">
        <v>114</v>
      </c>
    </row>
    <row r="469" spans="1:9">
      <c r="A469" s="22" t="s">
        <v>1134</v>
      </c>
      <c r="B469" s="30"/>
      <c r="C469" s="30"/>
      <c r="D469" s="22" t="s">
        <v>409</v>
      </c>
      <c r="E469" s="30" t="s">
        <v>120</v>
      </c>
      <c r="F469" s="30" t="s">
        <v>111</v>
      </c>
      <c r="G469" s="30" t="s">
        <v>863</v>
      </c>
      <c r="H469" s="30" t="s">
        <v>241</v>
      </c>
      <c r="I469" s="30" t="s">
        <v>114</v>
      </c>
    </row>
    <row r="470" spans="1:9">
      <c r="A470" s="22" t="s">
        <v>1134</v>
      </c>
      <c r="B470" s="30"/>
      <c r="C470" s="30"/>
      <c r="D470" s="30" t="s">
        <v>410</v>
      </c>
      <c r="E470" s="30" t="s">
        <v>112</v>
      </c>
      <c r="F470" s="30" t="s">
        <v>111</v>
      </c>
      <c r="G470" s="30" t="s">
        <v>113</v>
      </c>
      <c r="H470" s="30" t="s">
        <v>241</v>
      </c>
      <c r="I470" s="30" t="s">
        <v>114</v>
      </c>
    </row>
    <row r="471" spans="1:9">
      <c r="A471" s="22" t="s">
        <v>1134</v>
      </c>
      <c r="C471" s="30"/>
      <c r="D471" s="30" t="s">
        <v>411</v>
      </c>
      <c r="E471" s="30" t="s">
        <v>115</v>
      </c>
      <c r="F471" s="30" t="s">
        <v>111</v>
      </c>
      <c r="G471" s="30" t="s">
        <v>863</v>
      </c>
      <c r="H471" s="30" t="s">
        <v>241</v>
      </c>
      <c r="I471" s="30" t="s">
        <v>204</v>
      </c>
    </row>
    <row r="472" spans="1:9">
      <c r="A472" s="22" t="s">
        <v>1134</v>
      </c>
      <c r="C472" s="30"/>
      <c r="D472" s="30" t="s">
        <v>412</v>
      </c>
      <c r="E472" s="30" t="s">
        <v>115</v>
      </c>
      <c r="F472" s="30" t="s">
        <v>111</v>
      </c>
      <c r="G472" s="30" t="s">
        <v>863</v>
      </c>
      <c r="H472" s="30" t="s">
        <v>241</v>
      </c>
      <c r="I472" s="30" t="s">
        <v>232</v>
      </c>
    </row>
    <row r="473" spans="1:9">
      <c r="A473" s="22" t="s">
        <v>1134</v>
      </c>
      <c r="B473" s="30"/>
      <c r="C473" s="30"/>
      <c r="D473" s="30" t="s">
        <v>413</v>
      </c>
      <c r="E473" s="30" t="s">
        <v>115</v>
      </c>
      <c r="F473" s="30" t="s">
        <v>111</v>
      </c>
      <c r="G473" s="30" t="s">
        <v>863</v>
      </c>
      <c r="H473" s="30" t="s">
        <v>241</v>
      </c>
      <c r="I473" s="30" t="s">
        <v>118</v>
      </c>
    </row>
    <row r="474" spans="1:9">
      <c r="A474" s="22" t="s">
        <v>1134</v>
      </c>
      <c r="B474" s="30"/>
      <c r="C474" s="30"/>
      <c r="D474" s="30" t="s">
        <v>414</v>
      </c>
      <c r="E474" s="30" t="s">
        <v>115</v>
      </c>
      <c r="F474" s="30" t="s">
        <v>111</v>
      </c>
      <c r="G474" s="30" t="s">
        <v>864</v>
      </c>
      <c r="H474" s="30" t="s">
        <v>241</v>
      </c>
      <c r="I474" s="30" t="s">
        <v>118</v>
      </c>
    </row>
    <row r="475" spans="1:9">
      <c r="A475" s="22" t="s">
        <v>1134</v>
      </c>
      <c r="C475" s="30"/>
      <c r="D475" s="30" t="s">
        <v>1007</v>
      </c>
      <c r="E475" s="30" t="s">
        <v>112</v>
      </c>
      <c r="F475" s="30" t="s">
        <v>247</v>
      </c>
      <c r="G475" s="30"/>
      <c r="H475" s="30" t="s">
        <v>241</v>
      </c>
      <c r="I475" s="30" t="s">
        <v>118</v>
      </c>
    </row>
    <row r="476" spans="1:9">
      <c r="A476" s="22" t="s">
        <v>1134</v>
      </c>
      <c r="C476" s="30"/>
      <c r="D476" s="30" t="s">
        <v>1008</v>
      </c>
      <c r="E476" s="30" t="s">
        <v>127</v>
      </c>
      <c r="F476" s="30" t="s">
        <v>247</v>
      </c>
      <c r="G476" s="30"/>
      <c r="H476" s="30" t="s">
        <v>241</v>
      </c>
      <c r="I476" s="30" t="s">
        <v>118</v>
      </c>
    </row>
    <row r="477" spans="1:9">
      <c r="A477" s="22" t="s">
        <v>1134</v>
      </c>
      <c r="B477" s="30"/>
      <c r="C477" s="30"/>
      <c r="D477" s="30" t="s">
        <v>1009</v>
      </c>
      <c r="E477" s="30" t="s">
        <v>112</v>
      </c>
      <c r="F477" s="30" t="s">
        <v>123</v>
      </c>
      <c r="G477" s="30"/>
      <c r="H477" s="30" t="s">
        <v>241</v>
      </c>
      <c r="I477" s="30" t="s">
        <v>240</v>
      </c>
    </row>
    <row r="478" spans="1:9">
      <c r="A478" s="22" t="s">
        <v>1134</v>
      </c>
      <c r="B478" s="30"/>
      <c r="C478" s="30"/>
      <c r="D478" s="30" t="s">
        <v>1010</v>
      </c>
      <c r="E478" s="30" t="s">
        <v>127</v>
      </c>
      <c r="F478" s="30" t="s">
        <v>123</v>
      </c>
      <c r="G478" s="30"/>
      <c r="H478" s="30" t="s">
        <v>241</v>
      </c>
      <c r="I478" s="30" t="s">
        <v>240</v>
      </c>
    </row>
    <row r="479" spans="1:9">
      <c r="A479" s="22" t="s">
        <v>1134</v>
      </c>
      <c r="B479" s="30"/>
      <c r="C479" s="30"/>
      <c r="D479" s="30" t="s">
        <v>415</v>
      </c>
      <c r="E479" s="30" t="s">
        <v>112</v>
      </c>
      <c r="F479" s="30" t="s">
        <v>866</v>
      </c>
      <c r="G479" s="30"/>
      <c r="H479" s="30" t="s">
        <v>241</v>
      </c>
      <c r="I479" s="30" t="s">
        <v>126</v>
      </c>
    </row>
    <row r="480" spans="1:9">
      <c r="A480" s="22" t="s">
        <v>1134</v>
      </c>
      <c r="B480" s="30"/>
      <c r="C480" s="30"/>
      <c r="D480" s="30" t="s">
        <v>416</v>
      </c>
      <c r="E480" s="30" t="s">
        <v>127</v>
      </c>
      <c r="F480" s="30" t="s">
        <v>866</v>
      </c>
      <c r="G480" s="30"/>
      <c r="H480" s="30" t="s">
        <v>241</v>
      </c>
      <c r="I480" s="30" t="s">
        <v>126</v>
      </c>
    </row>
    <row r="481" spans="1:9">
      <c r="A481" s="22" t="s">
        <v>1134</v>
      </c>
      <c r="B481" s="30"/>
      <c r="C481" s="30"/>
      <c r="D481" s="30" t="s">
        <v>1011</v>
      </c>
      <c r="E481" s="30" t="s">
        <v>112</v>
      </c>
      <c r="F481" s="30" t="s">
        <v>866</v>
      </c>
      <c r="G481" s="30"/>
      <c r="H481" s="30" t="s">
        <v>241</v>
      </c>
      <c r="I481" s="30" t="s">
        <v>128</v>
      </c>
    </row>
    <row r="482" spans="1:9">
      <c r="A482" s="22" t="s">
        <v>1134</v>
      </c>
      <c r="B482" s="30"/>
      <c r="C482" s="30"/>
      <c r="D482" s="30" t="s">
        <v>1012</v>
      </c>
      <c r="E482" s="30" t="s">
        <v>127</v>
      </c>
      <c r="F482" s="30" t="s">
        <v>866</v>
      </c>
      <c r="G482" s="30"/>
      <c r="H482" s="30" t="s">
        <v>241</v>
      </c>
      <c r="I482" s="30" t="s">
        <v>128</v>
      </c>
    </row>
    <row r="483" spans="1:9">
      <c r="A483" s="22" t="s">
        <v>1134</v>
      </c>
      <c r="B483" s="30"/>
      <c r="C483" s="30"/>
      <c r="D483" s="22" t="s">
        <v>417</v>
      </c>
      <c r="E483" s="30" t="s">
        <v>120</v>
      </c>
      <c r="F483" s="30" t="s">
        <v>111</v>
      </c>
      <c r="G483" s="30"/>
      <c r="H483" s="30" t="s">
        <v>241</v>
      </c>
      <c r="I483" s="30" t="s">
        <v>213</v>
      </c>
    </row>
    <row r="484" spans="1:9">
      <c r="A484" s="22" t="s">
        <v>1134</v>
      </c>
      <c r="B484" s="30"/>
      <c r="C484" s="30"/>
      <c r="D484" s="30" t="s">
        <v>665</v>
      </c>
      <c r="E484" s="30" t="s">
        <v>115</v>
      </c>
      <c r="F484" s="30" t="s">
        <v>178</v>
      </c>
      <c r="G484" s="30" t="s">
        <v>1191</v>
      </c>
      <c r="H484" s="30" t="s">
        <v>241</v>
      </c>
      <c r="I484" s="30" t="s">
        <v>114</v>
      </c>
    </row>
    <row r="485" spans="1:9">
      <c r="A485" s="22" t="s">
        <v>1134</v>
      </c>
      <c r="B485" s="30"/>
      <c r="C485" s="30"/>
      <c r="D485" s="30" t="s">
        <v>418</v>
      </c>
      <c r="E485" s="30" t="s">
        <v>115</v>
      </c>
      <c r="F485" s="30" t="s">
        <v>178</v>
      </c>
      <c r="G485" s="30" t="s">
        <v>1192</v>
      </c>
      <c r="H485" s="30" t="s">
        <v>241</v>
      </c>
      <c r="I485" s="30" t="s">
        <v>114</v>
      </c>
    </row>
    <row r="486" spans="1:9">
      <c r="A486" s="22" t="s">
        <v>1134</v>
      </c>
      <c r="B486" s="30"/>
      <c r="C486" s="30"/>
      <c r="D486" s="30" t="s">
        <v>1164</v>
      </c>
      <c r="E486" s="30" t="s">
        <v>112</v>
      </c>
      <c r="F486" s="30" t="s">
        <v>178</v>
      </c>
      <c r="G486" s="30" t="s">
        <v>571</v>
      </c>
      <c r="H486" s="30" t="s">
        <v>241</v>
      </c>
      <c r="I486" s="30" t="s">
        <v>572</v>
      </c>
    </row>
    <row r="487" spans="1:9">
      <c r="A487" s="22" t="s">
        <v>1134</v>
      </c>
      <c r="B487" s="30"/>
      <c r="C487" s="30"/>
      <c r="D487" s="30" t="s">
        <v>666</v>
      </c>
      <c r="E487" s="30" t="s">
        <v>115</v>
      </c>
      <c r="F487" s="30" t="s">
        <v>179</v>
      </c>
      <c r="G487" s="30" t="s">
        <v>1193</v>
      </c>
      <c r="H487" s="30" t="s">
        <v>241</v>
      </c>
      <c r="I487" s="30" t="s">
        <v>114</v>
      </c>
    </row>
    <row r="488" spans="1:9">
      <c r="A488" s="22" t="s">
        <v>1134</v>
      </c>
      <c r="B488" s="30"/>
      <c r="C488" s="30"/>
      <c r="D488" s="30" t="s">
        <v>419</v>
      </c>
      <c r="E488" s="30" t="s">
        <v>115</v>
      </c>
      <c r="F488" s="30" t="s">
        <v>179</v>
      </c>
      <c r="G488" s="30" t="s">
        <v>1194</v>
      </c>
      <c r="H488" s="30" t="s">
        <v>241</v>
      </c>
      <c r="I488" s="30" t="s">
        <v>114</v>
      </c>
    </row>
    <row r="489" spans="1:9">
      <c r="A489" s="22" t="s">
        <v>1134</v>
      </c>
      <c r="B489" s="30"/>
      <c r="C489" s="30"/>
      <c r="D489" s="30" t="s">
        <v>1013</v>
      </c>
      <c r="E489" s="30" t="s">
        <v>112</v>
      </c>
      <c r="F489" s="30" t="s">
        <v>179</v>
      </c>
      <c r="G489" s="30" t="s">
        <v>571</v>
      </c>
      <c r="H489" s="30" t="s">
        <v>241</v>
      </c>
      <c r="I489" s="30" t="s">
        <v>572</v>
      </c>
    </row>
    <row r="490" spans="1:9">
      <c r="A490" s="22" t="s">
        <v>1134</v>
      </c>
      <c r="B490" s="30"/>
      <c r="C490" s="30"/>
      <c r="D490" s="30" t="s">
        <v>1165</v>
      </c>
      <c r="E490" s="30" t="s">
        <v>115</v>
      </c>
      <c r="F490" s="30" t="s">
        <v>169</v>
      </c>
      <c r="G490" s="30" t="s">
        <v>1195</v>
      </c>
      <c r="H490" s="30" t="s">
        <v>241</v>
      </c>
      <c r="I490" s="30" t="s">
        <v>114</v>
      </c>
    </row>
    <row r="491" spans="1:9">
      <c r="A491" s="22" t="s">
        <v>1134</v>
      </c>
      <c r="B491" s="30"/>
      <c r="C491" s="30"/>
      <c r="D491" s="30" t="s">
        <v>420</v>
      </c>
      <c r="E491" s="30" t="s">
        <v>115</v>
      </c>
      <c r="F491" s="30" t="s">
        <v>169</v>
      </c>
      <c r="G491" s="30" t="s">
        <v>1196</v>
      </c>
      <c r="H491" s="30" t="s">
        <v>241</v>
      </c>
      <c r="I491" s="30" t="s">
        <v>114</v>
      </c>
    </row>
    <row r="492" spans="1:9">
      <c r="A492" s="22" t="s">
        <v>1134</v>
      </c>
      <c r="B492" s="30"/>
      <c r="C492" s="30"/>
      <c r="D492" s="30" t="s">
        <v>1014</v>
      </c>
      <c r="E492" s="30" t="s">
        <v>112</v>
      </c>
      <c r="F492" s="30" t="s">
        <v>169</v>
      </c>
      <c r="G492" s="30" t="s">
        <v>571</v>
      </c>
      <c r="H492" s="30" t="s">
        <v>241</v>
      </c>
      <c r="I492" s="30" t="s">
        <v>572</v>
      </c>
    </row>
    <row r="493" spans="1:9">
      <c r="A493" s="22" t="s">
        <v>1134</v>
      </c>
      <c r="B493" s="30"/>
      <c r="C493" s="30"/>
      <c r="D493" s="30" t="s">
        <v>667</v>
      </c>
      <c r="E493" s="30" t="s">
        <v>115</v>
      </c>
      <c r="F493" s="30" t="s">
        <v>180</v>
      </c>
      <c r="G493" s="30" t="s">
        <v>1202</v>
      </c>
      <c r="H493" s="30" t="s">
        <v>241</v>
      </c>
      <c r="I493" s="30" t="s">
        <v>114</v>
      </c>
    </row>
    <row r="494" spans="1:9">
      <c r="A494" s="22" t="s">
        <v>1134</v>
      </c>
      <c r="B494" s="30"/>
      <c r="C494" s="30"/>
      <c r="D494" s="30" t="s">
        <v>421</v>
      </c>
      <c r="E494" s="30" t="s">
        <v>115</v>
      </c>
      <c r="F494" s="30" t="s">
        <v>180</v>
      </c>
      <c r="G494" s="30" t="s">
        <v>1203</v>
      </c>
      <c r="H494" s="30" t="s">
        <v>241</v>
      </c>
      <c r="I494" s="30" t="s">
        <v>114</v>
      </c>
    </row>
    <row r="495" spans="1:9">
      <c r="A495" s="22" t="s">
        <v>1134</v>
      </c>
      <c r="B495" s="30"/>
      <c r="C495" s="30"/>
      <c r="D495" s="30" t="s">
        <v>1015</v>
      </c>
      <c r="E495" s="30" t="s">
        <v>112</v>
      </c>
      <c r="F495" s="30" t="s">
        <v>180</v>
      </c>
      <c r="G495" s="30" t="s">
        <v>571</v>
      </c>
      <c r="H495" s="30" t="s">
        <v>241</v>
      </c>
      <c r="I495" s="30" t="s">
        <v>572</v>
      </c>
    </row>
    <row r="496" spans="1:9">
      <c r="A496" s="22" t="s">
        <v>1134</v>
      </c>
      <c r="B496" s="30"/>
      <c r="C496" s="30"/>
      <c r="D496" s="30" t="s">
        <v>668</v>
      </c>
      <c r="E496" s="30" t="s">
        <v>115</v>
      </c>
      <c r="F496" s="30" t="s">
        <v>181</v>
      </c>
      <c r="G496" s="30" t="s">
        <v>1197</v>
      </c>
      <c r="H496" s="30" t="s">
        <v>241</v>
      </c>
      <c r="I496" s="30" t="s">
        <v>114</v>
      </c>
    </row>
    <row r="497" spans="1:9">
      <c r="A497" s="22" t="s">
        <v>1134</v>
      </c>
      <c r="B497" s="30"/>
      <c r="C497" s="30"/>
      <c r="D497" s="30" t="s">
        <v>1016</v>
      </c>
      <c r="E497" s="30" t="s">
        <v>115</v>
      </c>
      <c r="F497" s="30" t="s">
        <v>181</v>
      </c>
      <c r="G497" s="30" t="s">
        <v>1198</v>
      </c>
      <c r="H497" s="30" t="s">
        <v>241</v>
      </c>
      <c r="I497" s="30" t="s">
        <v>114</v>
      </c>
    </row>
    <row r="498" spans="1:9">
      <c r="A498" s="22" t="s">
        <v>1134</v>
      </c>
      <c r="B498" s="30"/>
      <c r="C498" s="30"/>
      <c r="D498" s="30" t="s">
        <v>1017</v>
      </c>
      <c r="E498" s="30" t="s">
        <v>112</v>
      </c>
      <c r="F498" s="30" t="s">
        <v>181</v>
      </c>
      <c r="G498" s="30" t="s">
        <v>571</v>
      </c>
      <c r="H498" s="30" t="s">
        <v>241</v>
      </c>
      <c r="I498" s="30" t="s">
        <v>572</v>
      </c>
    </row>
    <row r="499" spans="1:9">
      <c r="A499" s="22" t="s">
        <v>1134</v>
      </c>
      <c r="B499" s="30"/>
      <c r="C499" s="30"/>
      <c r="D499" s="30" t="s">
        <v>669</v>
      </c>
      <c r="E499" s="30" t="s">
        <v>115</v>
      </c>
      <c r="F499" s="30" t="s">
        <v>182</v>
      </c>
      <c r="G499" s="30" t="s">
        <v>1199</v>
      </c>
      <c r="H499" s="30" t="s">
        <v>241</v>
      </c>
      <c r="I499" s="30" t="s">
        <v>114</v>
      </c>
    </row>
    <row r="500" spans="1:9">
      <c r="A500" s="22" t="s">
        <v>1134</v>
      </c>
      <c r="B500" s="30"/>
      <c r="C500" s="30"/>
      <c r="D500" s="30" t="s">
        <v>1018</v>
      </c>
      <c r="E500" s="30" t="s">
        <v>115</v>
      </c>
      <c r="F500" s="30" t="s">
        <v>182</v>
      </c>
      <c r="G500" s="30" t="s">
        <v>1200</v>
      </c>
      <c r="H500" s="30" t="s">
        <v>241</v>
      </c>
      <c r="I500" s="30" t="s">
        <v>114</v>
      </c>
    </row>
    <row r="501" spans="1:9">
      <c r="A501" s="22" t="s">
        <v>1134</v>
      </c>
      <c r="B501" s="30"/>
      <c r="C501" s="30"/>
      <c r="D501" s="30" t="s">
        <v>1019</v>
      </c>
      <c r="E501" s="30" t="s">
        <v>112</v>
      </c>
      <c r="F501" s="30" t="s">
        <v>182</v>
      </c>
      <c r="G501" s="30" t="s">
        <v>571</v>
      </c>
      <c r="H501" s="30" t="s">
        <v>241</v>
      </c>
      <c r="I501" s="30" t="s">
        <v>572</v>
      </c>
    </row>
    <row r="502" spans="1:9">
      <c r="A502" s="22" t="s">
        <v>1134</v>
      </c>
      <c r="B502" s="30"/>
      <c r="C502" s="30"/>
      <c r="D502" s="30" t="s">
        <v>670</v>
      </c>
      <c r="E502" s="30" t="s">
        <v>115</v>
      </c>
      <c r="F502" s="30" t="s">
        <v>183</v>
      </c>
      <c r="G502" s="30" t="s">
        <v>1204</v>
      </c>
      <c r="H502" s="30" t="s">
        <v>241</v>
      </c>
      <c r="I502" s="30" t="s">
        <v>114</v>
      </c>
    </row>
    <row r="503" spans="1:9">
      <c r="A503" s="22" t="s">
        <v>1134</v>
      </c>
      <c r="B503" s="30"/>
      <c r="C503" s="30"/>
      <c r="D503" s="30" t="s">
        <v>1020</v>
      </c>
      <c r="E503" s="30" t="s">
        <v>115</v>
      </c>
      <c r="F503" s="30" t="s">
        <v>183</v>
      </c>
      <c r="G503" s="30" t="s">
        <v>1205</v>
      </c>
      <c r="H503" s="30" t="s">
        <v>241</v>
      </c>
      <c r="I503" s="30" t="s">
        <v>114</v>
      </c>
    </row>
    <row r="504" spans="1:9">
      <c r="A504" s="22" t="s">
        <v>1134</v>
      </c>
      <c r="B504" s="30"/>
      <c r="C504" s="30"/>
      <c r="D504" s="30" t="s">
        <v>1021</v>
      </c>
      <c r="E504" s="30" t="s">
        <v>112</v>
      </c>
      <c r="F504" s="30" t="s">
        <v>183</v>
      </c>
      <c r="G504" s="30" t="s">
        <v>571</v>
      </c>
      <c r="H504" s="30" t="s">
        <v>241</v>
      </c>
      <c r="I504" s="30" t="s">
        <v>572</v>
      </c>
    </row>
    <row r="505" spans="1:9">
      <c r="A505" s="22" t="s">
        <v>1134</v>
      </c>
      <c r="B505" s="30"/>
      <c r="C505" s="30"/>
      <c r="D505" s="30" t="s">
        <v>671</v>
      </c>
      <c r="E505" s="30" t="s">
        <v>115</v>
      </c>
      <c r="F505" s="30" t="s">
        <v>184</v>
      </c>
      <c r="G505" s="30" t="s">
        <v>1189</v>
      </c>
      <c r="H505" s="30" t="s">
        <v>241</v>
      </c>
      <c r="I505" s="30" t="s">
        <v>114</v>
      </c>
    </row>
    <row r="506" spans="1:9">
      <c r="A506" s="22" t="s">
        <v>1134</v>
      </c>
      <c r="B506" s="30"/>
      <c r="C506" s="30"/>
      <c r="D506" s="30" t="s">
        <v>1022</v>
      </c>
      <c r="E506" s="30" t="s">
        <v>115</v>
      </c>
      <c r="F506" s="30" t="s">
        <v>184</v>
      </c>
      <c r="G506" s="30" t="s">
        <v>1190</v>
      </c>
      <c r="H506" s="30" t="s">
        <v>241</v>
      </c>
      <c r="I506" s="30" t="s">
        <v>114</v>
      </c>
    </row>
    <row r="507" spans="1:9">
      <c r="A507" s="22" t="s">
        <v>1134</v>
      </c>
      <c r="B507" s="30"/>
      <c r="C507" s="30"/>
      <c r="D507" s="30" t="s">
        <v>1166</v>
      </c>
      <c r="E507" s="30" t="s">
        <v>112</v>
      </c>
      <c r="F507" s="30" t="s">
        <v>184</v>
      </c>
      <c r="G507" s="30" t="s">
        <v>571</v>
      </c>
      <c r="H507" s="30" t="s">
        <v>241</v>
      </c>
      <c r="I507" s="30" t="s">
        <v>572</v>
      </c>
    </row>
    <row r="508" spans="1:9">
      <c r="A508" s="22" t="s">
        <v>1135</v>
      </c>
      <c r="B508" s="30"/>
      <c r="C508" s="30"/>
      <c r="D508" s="30" t="s">
        <v>828</v>
      </c>
      <c r="E508" s="30" t="s">
        <v>822</v>
      </c>
      <c r="F508" s="30" t="s">
        <v>111</v>
      </c>
      <c r="G508" s="30" t="s">
        <v>865</v>
      </c>
      <c r="H508" s="30" t="s">
        <v>241</v>
      </c>
      <c r="I508" s="30" t="s">
        <v>823</v>
      </c>
    </row>
    <row r="509" spans="1:9">
      <c r="A509" s="22" t="s">
        <v>1135</v>
      </c>
      <c r="B509" s="30"/>
      <c r="C509" s="30"/>
      <c r="D509" s="30" t="s">
        <v>829</v>
      </c>
      <c r="E509" s="30" t="s">
        <v>822</v>
      </c>
      <c r="F509" s="30" t="s">
        <v>111</v>
      </c>
      <c r="G509" s="30" t="s">
        <v>865</v>
      </c>
      <c r="H509" s="30" t="s">
        <v>241</v>
      </c>
      <c r="I509" s="30" t="s">
        <v>232</v>
      </c>
    </row>
    <row r="510" spans="1:9">
      <c r="A510" s="28"/>
      <c r="B510" s="28"/>
      <c r="C510" s="28"/>
      <c r="D510" s="28"/>
      <c r="E510" s="29" t="s">
        <v>783</v>
      </c>
      <c r="F510" s="28"/>
      <c r="G510" s="28"/>
      <c r="H510" s="28"/>
      <c r="I510" s="28"/>
    </row>
    <row r="511" spans="1:9">
      <c r="A511" s="22" t="s">
        <v>1134</v>
      </c>
      <c r="B511" s="30"/>
      <c r="C511" s="30"/>
      <c r="D511" s="22" t="s">
        <v>448</v>
      </c>
      <c r="E511" s="30" t="s">
        <v>115</v>
      </c>
      <c r="F511" s="30" t="s">
        <v>111</v>
      </c>
      <c r="G511" s="30" t="s">
        <v>863</v>
      </c>
      <c r="H511" s="30" t="s">
        <v>241</v>
      </c>
      <c r="I511" s="30" t="s">
        <v>114</v>
      </c>
    </row>
    <row r="512" spans="1:9">
      <c r="A512" s="22" t="s">
        <v>1134</v>
      </c>
      <c r="B512" s="30"/>
      <c r="C512" s="30"/>
      <c r="D512" s="22" t="s">
        <v>449</v>
      </c>
      <c r="E512" s="30" t="s">
        <v>120</v>
      </c>
      <c r="F512" s="30" t="s">
        <v>111</v>
      </c>
      <c r="G512" s="30" t="s">
        <v>863</v>
      </c>
      <c r="H512" s="30" t="s">
        <v>241</v>
      </c>
      <c r="I512" s="30" t="s">
        <v>114</v>
      </c>
    </row>
    <row r="513" spans="1:9">
      <c r="A513" s="22" t="s">
        <v>1134</v>
      </c>
      <c r="B513" s="30"/>
      <c r="C513" s="30"/>
      <c r="D513" s="30" t="s">
        <v>450</v>
      </c>
      <c r="E513" s="30" t="s">
        <v>112</v>
      </c>
      <c r="F513" s="30" t="s">
        <v>111</v>
      </c>
      <c r="G513" s="30" t="s">
        <v>113</v>
      </c>
      <c r="H513" s="30" t="s">
        <v>241</v>
      </c>
      <c r="I513" s="30" t="s">
        <v>114</v>
      </c>
    </row>
    <row r="514" spans="1:9">
      <c r="A514" s="22" t="s">
        <v>1134</v>
      </c>
      <c r="C514" s="30"/>
      <c r="D514" s="30" t="s">
        <v>451</v>
      </c>
      <c r="E514" s="30" t="s">
        <v>115</v>
      </c>
      <c r="F514" s="30" t="s">
        <v>111</v>
      </c>
      <c r="G514" s="30" t="s">
        <v>863</v>
      </c>
      <c r="H514" s="30" t="s">
        <v>241</v>
      </c>
      <c r="I514" s="30" t="s">
        <v>204</v>
      </c>
    </row>
    <row r="515" spans="1:9">
      <c r="A515" s="22" t="s">
        <v>1134</v>
      </c>
      <c r="C515" s="30"/>
      <c r="D515" s="30" t="s">
        <v>452</v>
      </c>
      <c r="E515" s="30" t="s">
        <v>115</v>
      </c>
      <c r="F515" s="30" t="s">
        <v>111</v>
      </c>
      <c r="G515" s="30" t="s">
        <v>863</v>
      </c>
      <c r="H515" s="30" t="s">
        <v>241</v>
      </c>
      <c r="I515" s="30" t="s">
        <v>232</v>
      </c>
    </row>
    <row r="516" spans="1:9">
      <c r="A516" s="22" t="s">
        <v>1134</v>
      </c>
      <c r="B516" s="30"/>
      <c r="C516" s="30"/>
      <c r="D516" s="30" t="s">
        <v>453</v>
      </c>
      <c r="E516" s="30" t="s">
        <v>115</v>
      </c>
      <c r="F516" s="30" t="s">
        <v>111</v>
      </c>
      <c r="G516" s="30" t="s">
        <v>863</v>
      </c>
      <c r="H516" s="30" t="s">
        <v>241</v>
      </c>
      <c r="I516" s="30" t="s">
        <v>118</v>
      </c>
    </row>
    <row r="517" spans="1:9">
      <c r="A517" s="22" t="s">
        <v>1134</v>
      </c>
      <c r="B517" s="30"/>
      <c r="C517" s="30"/>
      <c r="D517" s="30" t="s">
        <v>454</v>
      </c>
      <c r="E517" s="30" t="s">
        <v>115</v>
      </c>
      <c r="F517" s="30" t="s">
        <v>111</v>
      </c>
      <c r="G517" s="30" t="s">
        <v>864</v>
      </c>
      <c r="H517" s="30" t="s">
        <v>241</v>
      </c>
      <c r="I517" s="30" t="s">
        <v>118</v>
      </c>
    </row>
    <row r="518" spans="1:9">
      <c r="A518" s="22" t="s">
        <v>1134</v>
      </c>
      <c r="C518" s="30"/>
      <c r="D518" s="30" t="s">
        <v>1023</v>
      </c>
      <c r="E518" s="30" t="s">
        <v>112</v>
      </c>
      <c r="F518" s="30" t="s">
        <v>247</v>
      </c>
      <c r="G518" s="30"/>
      <c r="H518" s="30" t="s">
        <v>241</v>
      </c>
      <c r="I518" s="30" t="s">
        <v>118</v>
      </c>
    </row>
    <row r="519" spans="1:9">
      <c r="A519" s="22" t="s">
        <v>1134</v>
      </c>
      <c r="C519" s="30"/>
      <c r="D519" s="30" t="s">
        <v>1024</v>
      </c>
      <c r="E519" s="30" t="s">
        <v>127</v>
      </c>
      <c r="F519" s="30" t="s">
        <v>247</v>
      </c>
      <c r="G519" s="30"/>
      <c r="H519" s="30" t="s">
        <v>241</v>
      </c>
      <c r="I519" s="30" t="s">
        <v>118</v>
      </c>
    </row>
    <row r="520" spans="1:9">
      <c r="A520" s="22" t="s">
        <v>1134</v>
      </c>
      <c r="B520" s="30"/>
      <c r="C520" s="30"/>
      <c r="D520" s="30" t="s">
        <v>1025</v>
      </c>
      <c r="E520" s="30" t="s">
        <v>112</v>
      </c>
      <c r="F520" s="30" t="s">
        <v>123</v>
      </c>
      <c r="G520" s="30"/>
      <c r="H520" s="30" t="s">
        <v>241</v>
      </c>
      <c r="I520" s="30" t="s">
        <v>240</v>
      </c>
    </row>
    <row r="521" spans="1:9">
      <c r="A521" s="22" t="s">
        <v>1134</v>
      </c>
      <c r="B521" s="30"/>
      <c r="C521" s="30"/>
      <c r="D521" s="30" t="s">
        <v>1026</v>
      </c>
      <c r="E521" s="30" t="s">
        <v>127</v>
      </c>
      <c r="F521" s="30" t="s">
        <v>123</v>
      </c>
      <c r="G521" s="30"/>
      <c r="H521" s="30" t="s">
        <v>241</v>
      </c>
      <c r="I521" s="30" t="s">
        <v>240</v>
      </c>
    </row>
    <row r="522" spans="1:9">
      <c r="A522" s="22" t="s">
        <v>1134</v>
      </c>
      <c r="B522" s="30"/>
      <c r="C522" s="30"/>
      <c r="D522" s="30" t="s">
        <v>455</v>
      </c>
      <c r="E522" s="30" t="s">
        <v>112</v>
      </c>
      <c r="F522" s="30" t="s">
        <v>866</v>
      </c>
      <c r="G522" s="30"/>
      <c r="H522" s="30" t="s">
        <v>241</v>
      </c>
      <c r="I522" s="30" t="s">
        <v>126</v>
      </c>
    </row>
    <row r="523" spans="1:9">
      <c r="A523" s="22" t="s">
        <v>1134</v>
      </c>
      <c r="B523" s="30"/>
      <c r="C523" s="30"/>
      <c r="D523" s="30" t="s">
        <v>456</v>
      </c>
      <c r="E523" s="30" t="s">
        <v>127</v>
      </c>
      <c r="F523" s="30" t="s">
        <v>866</v>
      </c>
      <c r="G523" s="30"/>
      <c r="H523" s="30" t="s">
        <v>241</v>
      </c>
      <c r="I523" s="30" t="s">
        <v>126</v>
      </c>
    </row>
    <row r="524" spans="1:9">
      <c r="A524" s="22" t="s">
        <v>1134</v>
      </c>
      <c r="B524" s="30"/>
      <c r="C524" s="30"/>
      <c r="D524" s="30" t="s">
        <v>1027</v>
      </c>
      <c r="E524" s="30" t="s">
        <v>112</v>
      </c>
      <c r="F524" s="30" t="s">
        <v>866</v>
      </c>
      <c r="G524" s="30"/>
      <c r="H524" s="30" t="s">
        <v>241</v>
      </c>
      <c r="I524" s="30" t="s">
        <v>128</v>
      </c>
    </row>
    <row r="525" spans="1:9">
      <c r="A525" s="22" t="s">
        <v>1134</v>
      </c>
      <c r="B525" s="30"/>
      <c r="C525" s="30"/>
      <c r="D525" s="30" t="s">
        <v>1028</v>
      </c>
      <c r="E525" s="30" t="s">
        <v>127</v>
      </c>
      <c r="F525" s="30" t="s">
        <v>866</v>
      </c>
      <c r="G525" s="30"/>
      <c r="H525" s="30" t="s">
        <v>241</v>
      </c>
      <c r="I525" s="30" t="s">
        <v>128</v>
      </c>
    </row>
    <row r="526" spans="1:9">
      <c r="A526" s="22" t="s">
        <v>1134</v>
      </c>
      <c r="B526" s="30"/>
      <c r="C526" s="30"/>
      <c r="D526" s="22" t="s">
        <v>458</v>
      </c>
      <c r="E526" s="30" t="s">
        <v>120</v>
      </c>
      <c r="F526" s="30" t="s">
        <v>111</v>
      </c>
      <c r="G526" s="30"/>
      <c r="H526" s="30" t="s">
        <v>241</v>
      </c>
      <c r="I526" s="30" t="s">
        <v>213</v>
      </c>
    </row>
    <row r="527" spans="1:9">
      <c r="A527" s="22" t="s">
        <v>1134</v>
      </c>
      <c r="B527" s="30"/>
      <c r="C527" s="30"/>
      <c r="D527" s="30" t="s">
        <v>672</v>
      </c>
      <c r="E527" s="30" t="s">
        <v>115</v>
      </c>
      <c r="F527" s="30" t="s">
        <v>178</v>
      </c>
      <c r="G527" s="30" t="s">
        <v>1191</v>
      </c>
      <c r="H527" s="30" t="s">
        <v>241</v>
      </c>
      <c r="I527" s="30" t="s">
        <v>114</v>
      </c>
    </row>
    <row r="528" spans="1:9">
      <c r="A528" s="22" t="s">
        <v>1134</v>
      </c>
      <c r="B528" s="30"/>
      <c r="C528" s="30"/>
      <c r="D528" s="30" t="s">
        <v>459</v>
      </c>
      <c r="E528" s="30" t="s">
        <v>115</v>
      </c>
      <c r="F528" s="30" t="s">
        <v>178</v>
      </c>
      <c r="G528" s="30" t="s">
        <v>1192</v>
      </c>
      <c r="H528" s="30" t="s">
        <v>241</v>
      </c>
      <c r="I528" s="30" t="s">
        <v>114</v>
      </c>
    </row>
    <row r="529" spans="1:9">
      <c r="A529" s="22" t="s">
        <v>1134</v>
      </c>
      <c r="B529" s="30"/>
      <c r="C529" s="30"/>
      <c r="D529" s="30" t="s">
        <v>1167</v>
      </c>
      <c r="E529" s="30" t="s">
        <v>112</v>
      </c>
      <c r="F529" s="30" t="s">
        <v>178</v>
      </c>
      <c r="G529" s="30" t="s">
        <v>571</v>
      </c>
      <c r="H529" s="30" t="s">
        <v>241</v>
      </c>
      <c r="I529" s="30" t="s">
        <v>572</v>
      </c>
    </row>
    <row r="530" spans="1:9">
      <c r="A530" s="22" t="s">
        <v>1134</v>
      </c>
      <c r="B530" s="30"/>
      <c r="C530" s="30"/>
      <c r="D530" s="30" t="s">
        <v>673</v>
      </c>
      <c r="E530" s="30" t="s">
        <v>115</v>
      </c>
      <c r="F530" s="30" t="s">
        <v>179</v>
      </c>
      <c r="G530" s="30" t="s">
        <v>1193</v>
      </c>
      <c r="H530" s="30" t="s">
        <v>241</v>
      </c>
      <c r="I530" s="30" t="s">
        <v>114</v>
      </c>
    </row>
    <row r="531" spans="1:9">
      <c r="A531" s="22" t="s">
        <v>1134</v>
      </c>
      <c r="B531" s="30"/>
      <c r="C531" s="30"/>
      <c r="D531" s="30" t="s">
        <v>460</v>
      </c>
      <c r="E531" s="30" t="s">
        <v>115</v>
      </c>
      <c r="F531" s="30" t="s">
        <v>179</v>
      </c>
      <c r="G531" s="30" t="s">
        <v>1194</v>
      </c>
      <c r="H531" s="30" t="s">
        <v>241</v>
      </c>
      <c r="I531" s="30" t="s">
        <v>114</v>
      </c>
    </row>
    <row r="532" spans="1:9">
      <c r="A532" s="22" t="s">
        <v>1134</v>
      </c>
      <c r="B532" s="30"/>
      <c r="C532" s="30"/>
      <c r="D532" s="30" t="s">
        <v>1029</v>
      </c>
      <c r="E532" s="30" t="s">
        <v>112</v>
      </c>
      <c r="F532" s="30" t="s">
        <v>179</v>
      </c>
      <c r="G532" s="30" t="s">
        <v>571</v>
      </c>
      <c r="H532" s="30" t="s">
        <v>241</v>
      </c>
      <c r="I532" s="30" t="s">
        <v>572</v>
      </c>
    </row>
    <row r="533" spans="1:9">
      <c r="A533" s="22" t="s">
        <v>1134</v>
      </c>
      <c r="B533" s="30"/>
      <c r="C533" s="30"/>
      <c r="D533" s="30" t="s">
        <v>1168</v>
      </c>
      <c r="E533" s="30" t="s">
        <v>115</v>
      </c>
      <c r="F533" s="30" t="s">
        <v>169</v>
      </c>
      <c r="G533" s="30" t="s">
        <v>1195</v>
      </c>
      <c r="H533" s="30" t="s">
        <v>241</v>
      </c>
      <c r="I533" s="30" t="s">
        <v>114</v>
      </c>
    </row>
    <row r="534" spans="1:9">
      <c r="A534" s="22" t="s">
        <v>1134</v>
      </c>
      <c r="B534" s="30"/>
      <c r="C534" s="30"/>
      <c r="D534" s="30" t="s">
        <v>461</v>
      </c>
      <c r="E534" s="30" t="s">
        <v>115</v>
      </c>
      <c r="F534" s="30" t="s">
        <v>169</v>
      </c>
      <c r="G534" s="30" t="s">
        <v>1196</v>
      </c>
      <c r="H534" s="30" t="s">
        <v>241</v>
      </c>
      <c r="I534" s="30" t="s">
        <v>114</v>
      </c>
    </row>
    <row r="535" spans="1:9">
      <c r="A535" s="22" t="s">
        <v>1134</v>
      </c>
      <c r="B535" s="30"/>
      <c r="C535" s="30"/>
      <c r="D535" s="30" t="s">
        <v>1030</v>
      </c>
      <c r="E535" s="30" t="s">
        <v>112</v>
      </c>
      <c r="F535" s="30" t="s">
        <v>169</v>
      </c>
      <c r="G535" s="30" t="s">
        <v>571</v>
      </c>
      <c r="H535" s="30" t="s">
        <v>241</v>
      </c>
      <c r="I535" s="30" t="s">
        <v>572</v>
      </c>
    </row>
    <row r="536" spans="1:9">
      <c r="A536" s="22" t="s">
        <v>1134</v>
      </c>
      <c r="B536" s="30"/>
      <c r="C536" s="30"/>
      <c r="D536" s="30" t="s">
        <v>674</v>
      </c>
      <c r="E536" s="30" t="s">
        <v>115</v>
      </c>
      <c r="F536" s="30" t="s">
        <v>180</v>
      </c>
      <c r="G536" s="30" t="s">
        <v>1202</v>
      </c>
      <c r="H536" s="30" t="s">
        <v>241</v>
      </c>
      <c r="I536" s="30" t="s">
        <v>114</v>
      </c>
    </row>
    <row r="537" spans="1:9">
      <c r="A537" s="22" t="s">
        <v>1134</v>
      </c>
      <c r="B537" s="30"/>
      <c r="C537" s="30"/>
      <c r="D537" s="30" t="s">
        <v>462</v>
      </c>
      <c r="E537" s="30" t="s">
        <v>115</v>
      </c>
      <c r="F537" s="30" t="s">
        <v>180</v>
      </c>
      <c r="G537" s="30" t="s">
        <v>1203</v>
      </c>
      <c r="H537" s="30" t="s">
        <v>241</v>
      </c>
      <c r="I537" s="30" t="s">
        <v>114</v>
      </c>
    </row>
    <row r="538" spans="1:9">
      <c r="A538" s="22" t="s">
        <v>1134</v>
      </c>
      <c r="B538" s="30"/>
      <c r="C538" s="30"/>
      <c r="D538" s="30" t="s">
        <v>1031</v>
      </c>
      <c r="E538" s="30" t="s">
        <v>112</v>
      </c>
      <c r="F538" s="30" t="s">
        <v>180</v>
      </c>
      <c r="G538" s="30" t="s">
        <v>571</v>
      </c>
      <c r="H538" s="30" t="s">
        <v>241</v>
      </c>
      <c r="I538" s="30" t="s">
        <v>572</v>
      </c>
    </row>
    <row r="539" spans="1:9">
      <c r="A539" s="22" t="s">
        <v>1134</v>
      </c>
      <c r="B539" s="30"/>
      <c r="C539" s="30"/>
      <c r="D539" s="30" t="s">
        <v>675</v>
      </c>
      <c r="E539" s="30" t="s">
        <v>115</v>
      </c>
      <c r="F539" s="30" t="s">
        <v>181</v>
      </c>
      <c r="G539" s="30" t="s">
        <v>1197</v>
      </c>
      <c r="H539" s="30" t="s">
        <v>241</v>
      </c>
      <c r="I539" s="30" t="s">
        <v>114</v>
      </c>
    </row>
    <row r="540" spans="1:9">
      <c r="A540" s="22" t="s">
        <v>1134</v>
      </c>
      <c r="B540" s="30"/>
      <c r="C540" s="30"/>
      <c r="D540" s="30" t="s">
        <v>1032</v>
      </c>
      <c r="E540" s="30" t="s">
        <v>115</v>
      </c>
      <c r="F540" s="30" t="s">
        <v>181</v>
      </c>
      <c r="G540" s="30" t="s">
        <v>1198</v>
      </c>
      <c r="H540" s="30" t="s">
        <v>241</v>
      </c>
      <c r="I540" s="30" t="s">
        <v>114</v>
      </c>
    </row>
    <row r="541" spans="1:9">
      <c r="A541" s="22" t="s">
        <v>1134</v>
      </c>
      <c r="B541" s="30"/>
      <c r="C541" s="30"/>
      <c r="D541" s="30" t="s">
        <v>1033</v>
      </c>
      <c r="E541" s="30" t="s">
        <v>112</v>
      </c>
      <c r="F541" s="30" t="s">
        <v>181</v>
      </c>
      <c r="G541" s="30" t="s">
        <v>571</v>
      </c>
      <c r="H541" s="30" t="s">
        <v>241</v>
      </c>
      <c r="I541" s="30" t="s">
        <v>572</v>
      </c>
    </row>
    <row r="542" spans="1:9">
      <c r="A542" s="22" t="s">
        <v>1134</v>
      </c>
      <c r="B542" s="30"/>
      <c r="C542" s="30"/>
      <c r="D542" s="30" t="s">
        <v>676</v>
      </c>
      <c r="E542" s="30" t="s">
        <v>115</v>
      </c>
      <c r="F542" s="30" t="s">
        <v>182</v>
      </c>
      <c r="G542" s="30" t="s">
        <v>1199</v>
      </c>
      <c r="H542" s="30" t="s">
        <v>241</v>
      </c>
      <c r="I542" s="30" t="s">
        <v>114</v>
      </c>
    </row>
    <row r="543" spans="1:9">
      <c r="A543" s="22" t="s">
        <v>1134</v>
      </c>
      <c r="B543" s="30"/>
      <c r="C543" s="30"/>
      <c r="D543" s="30" t="s">
        <v>1034</v>
      </c>
      <c r="E543" s="30" t="s">
        <v>115</v>
      </c>
      <c r="F543" s="30" t="s">
        <v>182</v>
      </c>
      <c r="G543" s="30" t="s">
        <v>1200</v>
      </c>
      <c r="H543" s="30" t="s">
        <v>241</v>
      </c>
      <c r="I543" s="30" t="s">
        <v>114</v>
      </c>
    </row>
    <row r="544" spans="1:9">
      <c r="A544" s="22" t="s">
        <v>1134</v>
      </c>
      <c r="B544" s="30"/>
      <c r="C544" s="30"/>
      <c r="D544" s="30" t="s">
        <v>1035</v>
      </c>
      <c r="E544" s="30" t="s">
        <v>112</v>
      </c>
      <c r="F544" s="30" t="s">
        <v>182</v>
      </c>
      <c r="G544" s="30" t="s">
        <v>571</v>
      </c>
      <c r="H544" s="30" t="s">
        <v>241</v>
      </c>
      <c r="I544" s="30" t="s">
        <v>572</v>
      </c>
    </row>
    <row r="545" spans="1:9">
      <c r="A545" s="22" t="s">
        <v>1134</v>
      </c>
      <c r="B545" s="30"/>
      <c r="C545" s="30"/>
      <c r="D545" s="30" t="s">
        <v>677</v>
      </c>
      <c r="E545" s="30" t="s">
        <v>115</v>
      </c>
      <c r="F545" s="30" t="s">
        <v>183</v>
      </c>
      <c r="G545" s="30" t="s">
        <v>1204</v>
      </c>
      <c r="H545" s="30" t="s">
        <v>241</v>
      </c>
      <c r="I545" s="30" t="s">
        <v>114</v>
      </c>
    </row>
    <row r="546" spans="1:9">
      <c r="A546" s="22" t="s">
        <v>1134</v>
      </c>
      <c r="B546" s="30"/>
      <c r="C546" s="30"/>
      <c r="D546" s="30" t="s">
        <v>1036</v>
      </c>
      <c r="E546" s="30" t="s">
        <v>115</v>
      </c>
      <c r="F546" s="30" t="s">
        <v>183</v>
      </c>
      <c r="G546" s="30" t="s">
        <v>1205</v>
      </c>
      <c r="H546" s="30" t="s">
        <v>241</v>
      </c>
      <c r="I546" s="30" t="s">
        <v>114</v>
      </c>
    </row>
    <row r="547" spans="1:9">
      <c r="A547" s="22" t="s">
        <v>1134</v>
      </c>
      <c r="B547" s="30"/>
      <c r="C547" s="30"/>
      <c r="D547" s="30" t="s">
        <v>1037</v>
      </c>
      <c r="E547" s="30" t="s">
        <v>112</v>
      </c>
      <c r="F547" s="30" t="s">
        <v>183</v>
      </c>
      <c r="G547" s="30" t="s">
        <v>571</v>
      </c>
      <c r="H547" s="30" t="s">
        <v>241</v>
      </c>
      <c r="I547" s="30" t="s">
        <v>572</v>
      </c>
    </row>
    <row r="548" spans="1:9">
      <c r="A548" s="22" t="s">
        <v>1134</v>
      </c>
      <c r="B548" s="30"/>
      <c r="C548" s="30"/>
      <c r="D548" s="30" t="s">
        <v>678</v>
      </c>
      <c r="E548" s="30" t="s">
        <v>115</v>
      </c>
      <c r="F548" s="30" t="s">
        <v>184</v>
      </c>
      <c r="G548" s="30" t="s">
        <v>1189</v>
      </c>
      <c r="H548" s="30" t="s">
        <v>241</v>
      </c>
      <c r="I548" s="30" t="s">
        <v>114</v>
      </c>
    </row>
    <row r="549" spans="1:9">
      <c r="A549" s="22" t="s">
        <v>1134</v>
      </c>
      <c r="B549" s="30"/>
      <c r="C549" s="30"/>
      <c r="D549" s="30" t="s">
        <v>1038</v>
      </c>
      <c r="E549" s="30" t="s">
        <v>115</v>
      </c>
      <c r="F549" s="30" t="s">
        <v>184</v>
      </c>
      <c r="G549" s="30" t="s">
        <v>1190</v>
      </c>
      <c r="H549" s="30" t="s">
        <v>241</v>
      </c>
      <c r="I549" s="30" t="s">
        <v>114</v>
      </c>
    </row>
    <row r="550" spans="1:9">
      <c r="A550" s="22" t="s">
        <v>1134</v>
      </c>
      <c r="B550" s="30"/>
      <c r="C550" s="30"/>
      <c r="D550" s="30" t="s">
        <v>1169</v>
      </c>
      <c r="E550" s="30" t="s">
        <v>112</v>
      </c>
      <c r="F550" s="30" t="s">
        <v>184</v>
      </c>
      <c r="G550" s="30" t="s">
        <v>571</v>
      </c>
      <c r="H550" s="30" t="s">
        <v>241</v>
      </c>
      <c r="I550" s="30" t="s">
        <v>572</v>
      </c>
    </row>
    <row r="551" spans="1:9">
      <c r="A551" s="22" t="s">
        <v>1135</v>
      </c>
      <c r="B551" s="30"/>
      <c r="C551" s="30"/>
      <c r="D551" s="30" t="s">
        <v>830</v>
      </c>
      <c r="E551" s="30" t="s">
        <v>822</v>
      </c>
      <c r="F551" s="30" t="s">
        <v>111</v>
      </c>
      <c r="G551" s="30" t="s">
        <v>865</v>
      </c>
      <c r="H551" s="30" t="s">
        <v>241</v>
      </c>
      <c r="I551" s="30" t="s">
        <v>823</v>
      </c>
    </row>
    <row r="552" spans="1:9">
      <c r="A552" s="22" t="s">
        <v>1135</v>
      </c>
      <c r="B552" s="30"/>
      <c r="C552" s="30"/>
      <c r="D552" s="30" t="s">
        <v>831</v>
      </c>
      <c r="E552" s="30" t="s">
        <v>822</v>
      </c>
      <c r="F552" s="30" t="s">
        <v>111</v>
      </c>
      <c r="G552" s="30" t="s">
        <v>865</v>
      </c>
      <c r="H552" s="30" t="s">
        <v>241</v>
      </c>
      <c r="I552" s="30" t="s">
        <v>232</v>
      </c>
    </row>
    <row r="553" spans="1:9">
      <c r="A553" s="28"/>
      <c r="B553" s="28"/>
      <c r="C553" s="28"/>
      <c r="D553" s="28"/>
      <c r="E553" s="29" t="s">
        <v>782</v>
      </c>
      <c r="F553" s="28"/>
      <c r="G553" s="28"/>
      <c r="H553" s="28"/>
      <c r="I553" s="28"/>
    </row>
    <row r="554" spans="1:9">
      <c r="A554" s="22" t="s">
        <v>1134</v>
      </c>
      <c r="B554" s="30"/>
      <c r="C554" s="30"/>
      <c r="D554" s="22" t="s">
        <v>463</v>
      </c>
      <c r="E554" s="30" t="s">
        <v>115</v>
      </c>
      <c r="F554" s="30" t="s">
        <v>111</v>
      </c>
      <c r="G554" s="30" t="s">
        <v>863</v>
      </c>
      <c r="H554" s="30" t="s">
        <v>241</v>
      </c>
      <c r="I554" s="30" t="s">
        <v>114</v>
      </c>
    </row>
    <row r="555" spans="1:9">
      <c r="A555" s="22" t="s">
        <v>1134</v>
      </c>
      <c r="B555" s="30"/>
      <c r="C555" s="30"/>
      <c r="D555" s="22" t="s">
        <v>464</v>
      </c>
      <c r="E555" s="30" t="s">
        <v>120</v>
      </c>
      <c r="F555" s="30" t="s">
        <v>111</v>
      </c>
      <c r="G555" s="30" t="s">
        <v>863</v>
      </c>
      <c r="H555" s="30" t="s">
        <v>241</v>
      </c>
      <c r="I555" s="30" t="s">
        <v>114</v>
      </c>
    </row>
    <row r="556" spans="1:9">
      <c r="A556" s="22" t="s">
        <v>1134</v>
      </c>
      <c r="B556" s="30"/>
      <c r="C556" s="30"/>
      <c r="D556" s="30" t="s">
        <v>465</v>
      </c>
      <c r="E556" s="30" t="s">
        <v>112</v>
      </c>
      <c r="F556" s="30" t="s">
        <v>111</v>
      </c>
      <c r="G556" s="30" t="s">
        <v>113</v>
      </c>
      <c r="H556" s="30" t="s">
        <v>241</v>
      </c>
      <c r="I556" s="30" t="s">
        <v>114</v>
      </c>
    </row>
    <row r="557" spans="1:9">
      <c r="A557" s="22" t="s">
        <v>1134</v>
      </c>
      <c r="C557" s="30"/>
      <c r="D557" s="30" t="s">
        <v>466</v>
      </c>
      <c r="E557" s="30" t="s">
        <v>115</v>
      </c>
      <c r="F557" s="30" t="s">
        <v>111</v>
      </c>
      <c r="G557" s="30" t="s">
        <v>863</v>
      </c>
      <c r="H557" s="30" t="s">
        <v>241</v>
      </c>
      <c r="I557" s="30" t="s">
        <v>204</v>
      </c>
    </row>
    <row r="558" spans="1:9">
      <c r="A558" s="22" t="s">
        <v>1134</v>
      </c>
      <c r="C558" s="30"/>
      <c r="D558" s="30" t="s">
        <v>467</v>
      </c>
      <c r="E558" s="30" t="s">
        <v>115</v>
      </c>
      <c r="F558" s="30" t="s">
        <v>111</v>
      </c>
      <c r="G558" s="30" t="s">
        <v>863</v>
      </c>
      <c r="H558" s="30" t="s">
        <v>241</v>
      </c>
      <c r="I558" s="30" t="s">
        <v>232</v>
      </c>
    </row>
    <row r="559" spans="1:9">
      <c r="A559" s="22" t="s">
        <v>1134</v>
      </c>
      <c r="B559" s="30"/>
      <c r="C559" s="30"/>
      <c r="D559" s="30" t="s">
        <v>468</v>
      </c>
      <c r="E559" s="30" t="s">
        <v>115</v>
      </c>
      <c r="F559" s="30" t="s">
        <v>111</v>
      </c>
      <c r="G559" s="30" t="s">
        <v>863</v>
      </c>
      <c r="H559" s="30" t="s">
        <v>241</v>
      </c>
      <c r="I559" s="30" t="s">
        <v>118</v>
      </c>
    </row>
    <row r="560" spans="1:9">
      <c r="A560" s="22" t="s">
        <v>1134</v>
      </c>
      <c r="B560" s="30"/>
      <c r="C560" s="30"/>
      <c r="D560" s="30" t="s">
        <v>469</v>
      </c>
      <c r="E560" s="30" t="s">
        <v>115</v>
      </c>
      <c r="F560" s="30" t="s">
        <v>111</v>
      </c>
      <c r="G560" s="30" t="s">
        <v>864</v>
      </c>
      <c r="H560" s="30" t="s">
        <v>241</v>
      </c>
      <c r="I560" s="30" t="s">
        <v>118</v>
      </c>
    </row>
    <row r="561" spans="1:9">
      <c r="A561" s="22" t="s">
        <v>1134</v>
      </c>
      <c r="C561" s="30"/>
      <c r="D561" s="30" t="s">
        <v>1039</v>
      </c>
      <c r="E561" s="30" t="s">
        <v>112</v>
      </c>
      <c r="F561" s="30" t="s">
        <v>247</v>
      </c>
      <c r="G561" s="30"/>
      <c r="H561" s="30" t="s">
        <v>241</v>
      </c>
      <c r="I561" s="30" t="s">
        <v>118</v>
      </c>
    </row>
    <row r="562" spans="1:9">
      <c r="A562" s="22" t="s">
        <v>1134</v>
      </c>
      <c r="C562" s="30"/>
      <c r="D562" s="30" t="s">
        <v>1040</v>
      </c>
      <c r="E562" s="30" t="s">
        <v>127</v>
      </c>
      <c r="F562" s="30" t="s">
        <v>247</v>
      </c>
      <c r="G562" s="30"/>
      <c r="H562" s="30" t="s">
        <v>241</v>
      </c>
      <c r="I562" s="30" t="s">
        <v>118</v>
      </c>
    </row>
    <row r="563" spans="1:9">
      <c r="A563" s="22" t="s">
        <v>1134</v>
      </c>
      <c r="B563" s="30"/>
      <c r="C563" s="30"/>
      <c r="D563" s="30" t="s">
        <v>1041</v>
      </c>
      <c r="E563" s="30" t="s">
        <v>112</v>
      </c>
      <c r="F563" s="30" t="s">
        <v>123</v>
      </c>
      <c r="G563" s="30"/>
      <c r="H563" s="30" t="s">
        <v>241</v>
      </c>
      <c r="I563" s="30" t="s">
        <v>240</v>
      </c>
    </row>
    <row r="564" spans="1:9">
      <c r="A564" s="22" t="s">
        <v>1134</v>
      </c>
      <c r="B564" s="30"/>
      <c r="C564" s="30"/>
      <c r="D564" s="30" t="s">
        <v>1042</v>
      </c>
      <c r="E564" s="30" t="s">
        <v>127</v>
      </c>
      <c r="F564" s="30" t="s">
        <v>123</v>
      </c>
      <c r="G564" s="30"/>
      <c r="H564" s="30" t="s">
        <v>241</v>
      </c>
      <c r="I564" s="30" t="s">
        <v>240</v>
      </c>
    </row>
    <row r="565" spans="1:9">
      <c r="A565" s="22" t="s">
        <v>1134</v>
      </c>
      <c r="B565" s="30"/>
      <c r="C565" s="30"/>
      <c r="D565" s="30" t="s">
        <v>470</v>
      </c>
      <c r="E565" s="30" t="s">
        <v>112</v>
      </c>
      <c r="F565" s="30" t="s">
        <v>866</v>
      </c>
      <c r="G565" s="30"/>
      <c r="H565" s="30" t="s">
        <v>241</v>
      </c>
      <c r="I565" s="30" t="s">
        <v>126</v>
      </c>
    </row>
    <row r="566" spans="1:9">
      <c r="A566" s="22" t="s">
        <v>1134</v>
      </c>
      <c r="B566" s="30"/>
      <c r="C566" s="30"/>
      <c r="D566" s="30" t="s">
        <v>471</v>
      </c>
      <c r="E566" s="30" t="s">
        <v>127</v>
      </c>
      <c r="F566" s="30" t="s">
        <v>866</v>
      </c>
      <c r="G566" s="30"/>
      <c r="H566" s="30" t="s">
        <v>241</v>
      </c>
      <c r="I566" s="30" t="s">
        <v>126</v>
      </c>
    </row>
    <row r="567" spans="1:9">
      <c r="A567" s="22" t="s">
        <v>1134</v>
      </c>
      <c r="B567" s="30"/>
      <c r="C567" s="30"/>
      <c r="D567" s="30" t="s">
        <v>1043</v>
      </c>
      <c r="E567" s="30" t="s">
        <v>112</v>
      </c>
      <c r="F567" s="30" t="s">
        <v>866</v>
      </c>
      <c r="G567" s="30"/>
      <c r="H567" s="30" t="s">
        <v>241</v>
      </c>
      <c r="I567" s="30" t="s">
        <v>128</v>
      </c>
    </row>
    <row r="568" spans="1:9">
      <c r="A568" s="22" t="s">
        <v>1134</v>
      </c>
      <c r="B568" s="30"/>
      <c r="C568" s="30"/>
      <c r="D568" s="30" t="s">
        <v>1044</v>
      </c>
      <c r="E568" s="30" t="s">
        <v>127</v>
      </c>
      <c r="F568" s="30" t="s">
        <v>866</v>
      </c>
      <c r="G568" s="30"/>
      <c r="H568" s="30" t="s">
        <v>241</v>
      </c>
      <c r="I568" s="30" t="s">
        <v>128</v>
      </c>
    </row>
    <row r="569" spans="1:9">
      <c r="A569" s="22" t="s">
        <v>1134</v>
      </c>
      <c r="B569" s="30"/>
      <c r="C569" s="30"/>
      <c r="D569" s="22" t="s">
        <v>472</v>
      </c>
      <c r="E569" s="30" t="s">
        <v>120</v>
      </c>
      <c r="F569" s="30" t="s">
        <v>111</v>
      </c>
      <c r="G569" s="30"/>
      <c r="H569" s="30" t="s">
        <v>241</v>
      </c>
      <c r="I569" s="30" t="s">
        <v>213</v>
      </c>
    </row>
    <row r="570" spans="1:9">
      <c r="A570" s="22" t="s">
        <v>1134</v>
      </c>
      <c r="B570" s="30"/>
      <c r="C570" s="30"/>
      <c r="D570" s="30" t="s">
        <v>679</v>
      </c>
      <c r="E570" s="30" t="s">
        <v>115</v>
      </c>
      <c r="F570" s="30" t="s">
        <v>178</v>
      </c>
      <c r="G570" s="30" t="s">
        <v>1191</v>
      </c>
      <c r="H570" s="30" t="s">
        <v>241</v>
      </c>
      <c r="I570" s="30" t="s">
        <v>114</v>
      </c>
    </row>
    <row r="571" spans="1:9">
      <c r="A571" s="22" t="s">
        <v>1134</v>
      </c>
      <c r="B571" s="30"/>
      <c r="C571" s="30"/>
      <c r="D571" s="30" t="s">
        <v>473</v>
      </c>
      <c r="E571" s="30" t="s">
        <v>115</v>
      </c>
      <c r="F571" s="30" t="s">
        <v>178</v>
      </c>
      <c r="G571" s="30" t="s">
        <v>1192</v>
      </c>
      <c r="H571" s="30" t="s">
        <v>241</v>
      </c>
      <c r="I571" s="30" t="s">
        <v>114</v>
      </c>
    </row>
    <row r="572" spans="1:9">
      <c r="A572" s="22" t="s">
        <v>1134</v>
      </c>
      <c r="B572" s="30"/>
      <c r="C572" s="30"/>
      <c r="D572" s="30" t="s">
        <v>1170</v>
      </c>
      <c r="E572" s="30" t="s">
        <v>112</v>
      </c>
      <c r="F572" s="30" t="s">
        <v>178</v>
      </c>
      <c r="G572" s="30" t="s">
        <v>571</v>
      </c>
      <c r="H572" s="30" t="s">
        <v>241</v>
      </c>
      <c r="I572" s="30" t="s">
        <v>572</v>
      </c>
    </row>
    <row r="573" spans="1:9">
      <c r="A573" s="22" t="s">
        <v>1134</v>
      </c>
      <c r="B573" s="30"/>
      <c r="C573" s="30"/>
      <c r="D573" s="30" t="s">
        <v>680</v>
      </c>
      <c r="E573" s="30" t="s">
        <v>115</v>
      </c>
      <c r="F573" s="30" t="s">
        <v>179</v>
      </c>
      <c r="G573" s="30" t="s">
        <v>1193</v>
      </c>
      <c r="H573" s="30" t="s">
        <v>241</v>
      </c>
      <c r="I573" s="30" t="s">
        <v>114</v>
      </c>
    </row>
    <row r="574" spans="1:9">
      <c r="A574" s="22" t="s">
        <v>1134</v>
      </c>
      <c r="B574" s="30"/>
      <c r="C574" s="30"/>
      <c r="D574" s="30" t="s">
        <v>474</v>
      </c>
      <c r="E574" s="30" t="s">
        <v>115</v>
      </c>
      <c r="F574" s="30" t="s">
        <v>179</v>
      </c>
      <c r="G574" s="30" t="s">
        <v>1194</v>
      </c>
      <c r="H574" s="30" t="s">
        <v>241</v>
      </c>
      <c r="I574" s="30" t="s">
        <v>114</v>
      </c>
    </row>
    <row r="575" spans="1:9">
      <c r="A575" s="22" t="s">
        <v>1134</v>
      </c>
      <c r="B575" s="30"/>
      <c r="C575" s="30"/>
      <c r="D575" s="30" t="s">
        <v>1045</v>
      </c>
      <c r="E575" s="30" t="s">
        <v>112</v>
      </c>
      <c r="F575" s="30" t="s">
        <v>179</v>
      </c>
      <c r="G575" s="30" t="s">
        <v>571</v>
      </c>
      <c r="H575" s="30" t="s">
        <v>241</v>
      </c>
      <c r="I575" s="30" t="s">
        <v>572</v>
      </c>
    </row>
    <row r="576" spans="1:9">
      <c r="A576" s="22" t="s">
        <v>1134</v>
      </c>
      <c r="B576" s="30"/>
      <c r="C576" s="30"/>
      <c r="D576" s="30" t="s">
        <v>1171</v>
      </c>
      <c r="E576" s="30" t="s">
        <v>115</v>
      </c>
      <c r="F576" s="30" t="s">
        <v>169</v>
      </c>
      <c r="G576" s="30" t="s">
        <v>1195</v>
      </c>
      <c r="H576" s="30" t="s">
        <v>241</v>
      </c>
      <c r="I576" s="30" t="s">
        <v>114</v>
      </c>
    </row>
    <row r="577" spans="1:9">
      <c r="A577" s="22" t="s">
        <v>1134</v>
      </c>
      <c r="B577" s="30"/>
      <c r="C577" s="30"/>
      <c r="D577" s="30" t="s">
        <v>475</v>
      </c>
      <c r="E577" s="30" t="s">
        <v>115</v>
      </c>
      <c r="F577" s="30" t="s">
        <v>169</v>
      </c>
      <c r="G577" s="30" t="s">
        <v>1196</v>
      </c>
      <c r="H577" s="30" t="s">
        <v>241</v>
      </c>
      <c r="I577" s="30" t="s">
        <v>114</v>
      </c>
    </row>
    <row r="578" spans="1:9">
      <c r="A578" s="22" t="s">
        <v>1134</v>
      </c>
      <c r="B578" s="30"/>
      <c r="C578" s="30"/>
      <c r="D578" s="30" t="s">
        <v>1046</v>
      </c>
      <c r="E578" s="30" t="s">
        <v>112</v>
      </c>
      <c r="F578" s="30" t="s">
        <v>169</v>
      </c>
      <c r="G578" s="30" t="s">
        <v>571</v>
      </c>
      <c r="H578" s="30" t="s">
        <v>241</v>
      </c>
      <c r="I578" s="30" t="s">
        <v>572</v>
      </c>
    </row>
    <row r="579" spans="1:9">
      <c r="A579" s="22" t="s">
        <v>1134</v>
      </c>
      <c r="B579" s="30"/>
      <c r="C579" s="30"/>
      <c r="D579" s="30" t="s">
        <v>681</v>
      </c>
      <c r="E579" s="30" t="s">
        <v>115</v>
      </c>
      <c r="F579" s="30" t="s">
        <v>180</v>
      </c>
      <c r="G579" s="30" t="s">
        <v>1202</v>
      </c>
      <c r="H579" s="30" t="s">
        <v>241</v>
      </c>
      <c r="I579" s="30" t="s">
        <v>114</v>
      </c>
    </row>
    <row r="580" spans="1:9">
      <c r="A580" s="22" t="s">
        <v>1134</v>
      </c>
      <c r="B580" s="30"/>
      <c r="C580" s="30"/>
      <c r="D580" s="30" t="s">
        <v>476</v>
      </c>
      <c r="E580" s="30" t="s">
        <v>115</v>
      </c>
      <c r="F580" s="30" t="s">
        <v>180</v>
      </c>
      <c r="G580" s="30" t="s">
        <v>1203</v>
      </c>
      <c r="H580" s="30" t="s">
        <v>241</v>
      </c>
      <c r="I580" s="30" t="s">
        <v>114</v>
      </c>
    </row>
    <row r="581" spans="1:9">
      <c r="A581" s="22" t="s">
        <v>1134</v>
      </c>
      <c r="B581" s="30"/>
      <c r="C581" s="30"/>
      <c r="D581" s="30" t="s">
        <v>1047</v>
      </c>
      <c r="E581" s="30" t="s">
        <v>112</v>
      </c>
      <c r="F581" s="30" t="s">
        <v>180</v>
      </c>
      <c r="G581" s="30" t="s">
        <v>571</v>
      </c>
      <c r="H581" s="30" t="s">
        <v>241</v>
      </c>
      <c r="I581" s="30" t="s">
        <v>572</v>
      </c>
    </row>
    <row r="582" spans="1:9">
      <c r="A582" s="22" t="s">
        <v>1134</v>
      </c>
      <c r="B582" s="30"/>
      <c r="C582" s="30"/>
      <c r="D582" s="30" t="s">
        <v>682</v>
      </c>
      <c r="E582" s="30" t="s">
        <v>115</v>
      </c>
      <c r="F582" s="30" t="s">
        <v>181</v>
      </c>
      <c r="G582" s="30" t="s">
        <v>1197</v>
      </c>
      <c r="H582" s="30" t="s">
        <v>241</v>
      </c>
      <c r="I582" s="30" t="s">
        <v>114</v>
      </c>
    </row>
    <row r="583" spans="1:9">
      <c r="A583" s="22" t="s">
        <v>1134</v>
      </c>
      <c r="B583" s="30"/>
      <c r="C583" s="30"/>
      <c r="D583" s="30" t="s">
        <v>1048</v>
      </c>
      <c r="E583" s="30" t="s">
        <v>115</v>
      </c>
      <c r="F583" s="30" t="s">
        <v>181</v>
      </c>
      <c r="G583" s="30" t="s">
        <v>1198</v>
      </c>
      <c r="H583" s="30" t="s">
        <v>241</v>
      </c>
      <c r="I583" s="30" t="s">
        <v>114</v>
      </c>
    </row>
    <row r="584" spans="1:9">
      <c r="A584" s="22" t="s">
        <v>1134</v>
      </c>
      <c r="B584" s="30"/>
      <c r="C584" s="30"/>
      <c r="D584" s="30" t="s">
        <v>1049</v>
      </c>
      <c r="E584" s="30" t="s">
        <v>112</v>
      </c>
      <c r="F584" s="30" t="s">
        <v>181</v>
      </c>
      <c r="G584" s="30" t="s">
        <v>571</v>
      </c>
      <c r="H584" s="30" t="s">
        <v>241</v>
      </c>
      <c r="I584" s="30" t="s">
        <v>572</v>
      </c>
    </row>
    <row r="585" spans="1:9">
      <c r="A585" s="22" t="s">
        <v>1134</v>
      </c>
      <c r="B585" s="30"/>
      <c r="C585" s="30"/>
      <c r="D585" s="30" t="s">
        <v>683</v>
      </c>
      <c r="E585" s="30" t="s">
        <v>115</v>
      </c>
      <c r="F585" s="30" t="s">
        <v>182</v>
      </c>
      <c r="G585" s="30" t="s">
        <v>1199</v>
      </c>
      <c r="H585" s="30" t="s">
        <v>241</v>
      </c>
      <c r="I585" s="30" t="s">
        <v>114</v>
      </c>
    </row>
    <row r="586" spans="1:9">
      <c r="A586" s="22" t="s">
        <v>1134</v>
      </c>
      <c r="B586" s="30"/>
      <c r="C586" s="30"/>
      <c r="D586" s="30" t="s">
        <v>1050</v>
      </c>
      <c r="E586" s="30" t="s">
        <v>115</v>
      </c>
      <c r="F586" s="30" t="s">
        <v>182</v>
      </c>
      <c r="G586" s="30" t="s">
        <v>1200</v>
      </c>
      <c r="H586" s="30" t="s">
        <v>241</v>
      </c>
      <c r="I586" s="30" t="s">
        <v>114</v>
      </c>
    </row>
    <row r="587" spans="1:9">
      <c r="A587" s="22" t="s">
        <v>1134</v>
      </c>
      <c r="B587" s="30"/>
      <c r="C587" s="30"/>
      <c r="D587" s="30" t="s">
        <v>1051</v>
      </c>
      <c r="E587" s="30" t="s">
        <v>112</v>
      </c>
      <c r="F587" s="30" t="s">
        <v>182</v>
      </c>
      <c r="G587" s="30" t="s">
        <v>571</v>
      </c>
      <c r="H587" s="30" t="s">
        <v>241</v>
      </c>
      <c r="I587" s="30" t="s">
        <v>572</v>
      </c>
    </row>
    <row r="588" spans="1:9">
      <c r="A588" s="22" t="s">
        <v>1134</v>
      </c>
      <c r="B588" s="30"/>
      <c r="C588" s="30"/>
      <c r="D588" s="30" t="s">
        <v>684</v>
      </c>
      <c r="E588" s="30" t="s">
        <v>115</v>
      </c>
      <c r="F588" s="30" t="s">
        <v>183</v>
      </c>
      <c r="G588" s="30" t="s">
        <v>1204</v>
      </c>
      <c r="H588" s="30" t="s">
        <v>241</v>
      </c>
      <c r="I588" s="30" t="s">
        <v>114</v>
      </c>
    </row>
    <row r="589" spans="1:9">
      <c r="A589" s="22" t="s">
        <v>1134</v>
      </c>
      <c r="B589" s="30"/>
      <c r="C589" s="30"/>
      <c r="D589" s="30" t="s">
        <v>1052</v>
      </c>
      <c r="E589" s="30" t="s">
        <v>115</v>
      </c>
      <c r="F589" s="30" t="s">
        <v>183</v>
      </c>
      <c r="G589" s="30" t="s">
        <v>1205</v>
      </c>
      <c r="H589" s="30" t="s">
        <v>241</v>
      </c>
      <c r="I589" s="30" t="s">
        <v>114</v>
      </c>
    </row>
    <row r="590" spans="1:9">
      <c r="A590" s="22" t="s">
        <v>1134</v>
      </c>
      <c r="B590" s="30"/>
      <c r="C590" s="30"/>
      <c r="D590" s="30" t="s">
        <v>1053</v>
      </c>
      <c r="E590" s="30" t="s">
        <v>112</v>
      </c>
      <c r="F590" s="30" t="s">
        <v>183</v>
      </c>
      <c r="G590" s="30" t="s">
        <v>571</v>
      </c>
      <c r="H590" s="30" t="s">
        <v>241</v>
      </c>
      <c r="I590" s="30" t="s">
        <v>572</v>
      </c>
    </row>
    <row r="591" spans="1:9">
      <c r="A591" s="22" t="s">
        <v>1134</v>
      </c>
      <c r="B591" s="30"/>
      <c r="C591" s="30"/>
      <c r="D591" s="30" t="s">
        <v>685</v>
      </c>
      <c r="E591" s="30" t="s">
        <v>115</v>
      </c>
      <c r="F591" s="30" t="s">
        <v>184</v>
      </c>
      <c r="G591" s="30" t="s">
        <v>1189</v>
      </c>
      <c r="H591" s="30" t="s">
        <v>241</v>
      </c>
      <c r="I591" s="30" t="s">
        <v>114</v>
      </c>
    </row>
    <row r="592" spans="1:9">
      <c r="A592" s="22" t="s">
        <v>1134</v>
      </c>
      <c r="B592" s="30"/>
      <c r="C592" s="30"/>
      <c r="D592" s="30" t="s">
        <v>1054</v>
      </c>
      <c r="E592" s="30" t="s">
        <v>115</v>
      </c>
      <c r="F592" s="30" t="s">
        <v>184</v>
      </c>
      <c r="G592" s="30" t="s">
        <v>1190</v>
      </c>
      <c r="H592" s="30" t="s">
        <v>241</v>
      </c>
      <c r="I592" s="30" t="s">
        <v>114</v>
      </c>
    </row>
    <row r="593" spans="1:9">
      <c r="A593" s="22" t="s">
        <v>1134</v>
      </c>
      <c r="B593" s="30"/>
      <c r="C593" s="30"/>
      <c r="D593" s="30" t="s">
        <v>1172</v>
      </c>
      <c r="E593" s="30" t="s">
        <v>112</v>
      </c>
      <c r="F593" s="30" t="s">
        <v>184</v>
      </c>
      <c r="G593" s="30" t="s">
        <v>571</v>
      </c>
      <c r="H593" s="30" t="s">
        <v>241</v>
      </c>
      <c r="I593" s="30" t="s">
        <v>572</v>
      </c>
    </row>
    <row r="594" spans="1:9">
      <c r="A594" s="22" t="s">
        <v>1135</v>
      </c>
      <c r="B594" s="30"/>
      <c r="C594" s="30"/>
      <c r="D594" s="30" t="s">
        <v>832</v>
      </c>
      <c r="E594" s="30" t="s">
        <v>822</v>
      </c>
      <c r="F594" s="30" t="s">
        <v>111</v>
      </c>
      <c r="G594" s="30" t="s">
        <v>865</v>
      </c>
      <c r="H594" s="30" t="s">
        <v>241</v>
      </c>
      <c r="I594" s="30" t="s">
        <v>823</v>
      </c>
    </row>
    <row r="595" spans="1:9">
      <c r="A595" s="22" t="s">
        <v>1135</v>
      </c>
      <c r="B595" s="30"/>
      <c r="C595" s="30"/>
      <c r="D595" s="30" t="s">
        <v>833</v>
      </c>
      <c r="E595" s="30" t="s">
        <v>822</v>
      </c>
      <c r="F595" s="30" t="s">
        <v>111</v>
      </c>
      <c r="G595" s="30" t="s">
        <v>865</v>
      </c>
      <c r="H595" s="30" t="s">
        <v>241</v>
      </c>
      <c r="I595" s="30" t="s">
        <v>232</v>
      </c>
    </row>
    <row r="596" spans="1:9">
      <c r="A596" s="28"/>
      <c r="B596" s="28"/>
      <c r="C596" s="28"/>
      <c r="D596" s="28"/>
      <c r="E596" s="29" t="s">
        <v>781</v>
      </c>
      <c r="F596" s="28"/>
      <c r="G596" s="28"/>
      <c r="H596" s="28"/>
      <c r="I596" s="28"/>
    </row>
    <row r="597" spans="1:9">
      <c r="A597" s="22" t="s">
        <v>1134</v>
      </c>
      <c r="B597" s="30"/>
      <c r="C597" s="30"/>
      <c r="D597" s="22" t="s">
        <v>183</v>
      </c>
      <c r="E597" s="30" t="s">
        <v>115</v>
      </c>
      <c r="F597" s="30" t="s">
        <v>111</v>
      </c>
      <c r="G597" s="30" t="s">
        <v>863</v>
      </c>
      <c r="H597" s="30" t="s">
        <v>241</v>
      </c>
      <c r="I597" s="30" t="s">
        <v>114</v>
      </c>
    </row>
    <row r="598" spans="1:9">
      <c r="A598" s="22" t="s">
        <v>1134</v>
      </c>
      <c r="B598" s="30"/>
      <c r="C598" s="30"/>
      <c r="D598" s="22" t="s">
        <v>491</v>
      </c>
      <c r="E598" s="30" t="s">
        <v>120</v>
      </c>
      <c r="F598" s="30" t="s">
        <v>111</v>
      </c>
      <c r="G598" s="30" t="s">
        <v>863</v>
      </c>
      <c r="H598" s="30" t="s">
        <v>241</v>
      </c>
      <c r="I598" s="30" t="s">
        <v>114</v>
      </c>
    </row>
    <row r="599" spans="1:9">
      <c r="A599" s="22" t="s">
        <v>1134</v>
      </c>
      <c r="B599" s="30"/>
      <c r="C599" s="30"/>
      <c r="D599" s="30" t="s">
        <v>492</v>
      </c>
      <c r="E599" s="30" t="s">
        <v>112</v>
      </c>
      <c r="F599" s="30" t="s">
        <v>111</v>
      </c>
      <c r="G599" s="30" t="s">
        <v>113</v>
      </c>
      <c r="H599" s="30" t="s">
        <v>241</v>
      </c>
      <c r="I599" s="30" t="s">
        <v>114</v>
      </c>
    </row>
    <row r="600" spans="1:9">
      <c r="A600" s="22" t="s">
        <v>1134</v>
      </c>
      <c r="C600" s="30"/>
      <c r="D600" s="30" t="s">
        <v>493</v>
      </c>
      <c r="E600" s="30" t="s">
        <v>115</v>
      </c>
      <c r="F600" s="30" t="s">
        <v>111</v>
      </c>
      <c r="G600" s="30" t="s">
        <v>863</v>
      </c>
      <c r="H600" s="30" t="s">
        <v>241</v>
      </c>
      <c r="I600" s="30" t="s">
        <v>204</v>
      </c>
    </row>
    <row r="601" spans="1:9">
      <c r="A601" s="22" t="s">
        <v>1134</v>
      </c>
      <c r="C601" s="30"/>
      <c r="D601" s="30" t="s">
        <v>494</v>
      </c>
      <c r="E601" s="30" t="s">
        <v>115</v>
      </c>
      <c r="F601" s="30" t="s">
        <v>111</v>
      </c>
      <c r="G601" s="30" t="s">
        <v>863</v>
      </c>
      <c r="H601" s="30" t="s">
        <v>241</v>
      </c>
      <c r="I601" s="30" t="s">
        <v>232</v>
      </c>
    </row>
    <row r="602" spans="1:9">
      <c r="A602" s="22" t="s">
        <v>1134</v>
      </c>
      <c r="B602" s="30"/>
      <c r="C602" s="30"/>
      <c r="D602" s="30" t="s">
        <v>495</v>
      </c>
      <c r="E602" s="30" t="s">
        <v>115</v>
      </c>
      <c r="F602" s="30" t="s">
        <v>111</v>
      </c>
      <c r="G602" s="30" t="s">
        <v>863</v>
      </c>
      <c r="H602" s="30" t="s">
        <v>241</v>
      </c>
      <c r="I602" s="30" t="s">
        <v>118</v>
      </c>
    </row>
    <row r="603" spans="1:9">
      <c r="A603" s="22" t="s">
        <v>1134</v>
      </c>
      <c r="B603" s="30"/>
      <c r="C603" s="30"/>
      <c r="D603" s="30" t="s">
        <v>496</v>
      </c>
      <c r="E603" s="30" t="s">
        <v>115</v>
      </c>
      <c r="F603" s="30" t="s">
        <v>111</v>
      </c>
      <c r="G603" s="30" t="s">
        <v>864</v>
      </c>
      <c r="H603" s="30" t="s">
        <v>241</v>
      </c>
      <c r="I603" s="30" t="s">
        <v>118</v>
      </c>
    </row>
    <row r="604" spans="1:9">
      <c r="A604" s="22" t="s">
        <v>1134</v>
      </c>
      <c r="C604" s="30"/>
      <c r="D604" s="30" t="s">
        <v>1055</v>
      </c>
      <c r="E604" s="30" t="s">
        <v>112</v>
      </c>
      <c r="F604" s="30" t="s">
        <v>247</v>
      </c>
      <c r="G604" s="30"/>
      <c r="H604" s="30" t="s">
        <v>241</v>
      </c>
      <c r="I604" s="30" t="s">
        <v>118</v>
      </c>
    </row>
    <row r="605" spans="1:9">
      <c r="A605" s="22" t="s">
        <v>1134</v>
      </c>
      <c r="C605" s="30"/>
      <c r="D605" s="30" t="s">
        <v>1056</v>
      </c>
      <c r="E605" s="30" t="s">
        <v>127</v>
      </c>
      <c r="F605" s="30" t="s">
        <v>247</v>
      </c>
      <c r="G605" s="30"/>
      <c r="H605" s="30" t="s">
        <v>241</v>
      </c>
      <c r="I605" s="30" t="s">
        <v>118</v>
      </c>
    </row>
    <row r="606" spans="1:9">
      <c r="A606" s="22" t="s">
        <v>1134</v>
      </c>
      <c r="B606" s="30"/>
      <c r="C606" s="30"/>
      <c r="D606" s="30" t="s">
        <v>1057</v>
      </c>
      <c r="E606" s="30" t="s">
        <v>112</v>
      </c>
      <c r="F606" s="30" t="s">
        <v>123</v>
      </c>
      <c r="G606" s="30"/>
      <c r="H606" s="30" t="s">
        <v>241</v>
      </c>
      <c r="I606" s="30" t="s">
        <v>240</v>
      </c>
    </row>
    <row r="607" spans="1:9">
      <c r="A607" s="22" t="s">
        <v>1134</v>
      </c>
      <c r="B607" s="30"/>
      <c r="C607" s="30"/>
      <c r="D607" s="30" t="s">
        <v>1058</v>
      </c>
      <c r="E607" s="30" t="s">
        <v>127</v>
      </c>
      <c r="F607" s="30" t="s">
        <v>123</v>
      </c>
      <c r="G607" s="30"/>
      <c r="H607" s="30" t="s">
        <v>241</v>
      </c>
      <c r="I607" s="30" t="s">
        <v>240</v>
      </c>
    </row>
    <row r="608" spans="1:9">
      <c r="A608" s="22" t="s">
        <v>1134</v>
      </c>
      <c r="B608" s="30"/>
      <c r="C608" s="30"/>
      <c r="D608" s="30" t="s">
        <v>497</v>
      </c>
      <c r="E608" s="30" t="s">
        <v>112</v>
      </c>
      <c r="F608" s="30" t="s">
        <v>866</v>
      </c>
      <c r="G608" s="30"/>
      <c r="H608" s="30" t="s">
        <v>241</v>
      </c>
      <c r="I608" s="30" t="s">
        <v>126</v>
      </c>
    </row>
    <row r="609" spans="1:9">
      <c r="A609" s="22" t="s">
        <v>1134</v>
      </c>
      <c r="B609" s="30"/>
      <c r="C609" s="30"/>
      <c r="D609" s="30" t="s">
        <v>498</v>
      </c>
      <c r="E609" s="30" t="s">
        <v>127</v>
      </c>
      <c r="F609" s="30" t="s">
        <v>866</v>
      </c>
      <c r="G609" s="30"/>
      <c r="H609" s="30" t="s">
        <v>241</v>
      </c>
      <c r="I609" s="30" t="s">
        <v>126</v>
      </c>
    </row>
    <row r="610" spans="1:9">
      <c r="A610" s="22" t="s">
        <v>1134</v>
      </c>
      <c r="B610" s="30"/>
      <c r="C610" s="30"/>
      <c r="D610" s="30" t="s">
        <v>1059</v>
      </c>
      <c r="E610" s="30" t="s">
        <v>112</v>
      </c>
      <c r="F610" s="30" t="s">
        <v>866</v>
      </c>
      <c r="G610" s="30"/>
      <c r="H610" s="30" t="s">
        <v>241</v>
      </c>
      <c r="I610" s="30" t="s">
        <v>128</v>
      </c>
    </row>
    <row r="611" spans="1:9">
      <c r="A611" s="22" t="s">
        <v>1134</v>
      </c>
      <c r="B611" s="30"/>
      <c r="C611" s="30"/>
      <c r="D611" s="30" t="s">
        <v>1060</v>
      </c>
      <c r="E611" s="30" t="s">
        <v>127</v>
      </c>
      <c r="F611" s="30" t="s">
        <v>866</v>
      </c>
      <c r="G611" s="30"/>
      <c r="H611" s="30" t="s">
        <v>241</v>
      </c>
      <c r="I611" s="30" t="s">
        <v>128</v>
      </c>
    </row>
    <row r="612" spans="1:9">
      <c r="A612" s="22" t="s">
        <v>1134</v>
      </c>
      <c r="B612" s="30"/>
      <c r="C612" s="30"/>
      <c r="D612" s="22" t="s">
        <v>500</v>
      </c>
      <c r="E612" s="30" t="s">
        <v>120</v>
      </c>
      <c r="F612" s="30" t="s">
        <v>111</v>
      </c>
      <c r="G612" s="30"/>
      <c r="H612" s="30" t="s">
        <v>241</v>
      </c>
      <c r="I612" s="30" t="s">
        <v>213</v>
      </c>
    </row>
    <row r="613" spans="1:9">
      <c r="A613" s="22" t="s">
        <v>1134</v>
      </c>
      <c r="B613" s="30"/>
      <c r="C613" s="30"/>
      <c r="D613" s="30" t="s">
        <v>693</v>
      </c>
      <c r="E613" s="30" t="s">
        <v>115</v>
      </c>
      <c r="F613" s="30" t="s">
        <v>178</v>
      </c>
      <c r="G613" s="30" t="s">
        <v>1191</v>
      </c>
      <c r="H613" s="30" t="s">
        <v>241</v>
      </c>
      <c r="I613" s="30" t="s">
        <v>114</v>
      </c>
    </row>
    <row r="614" spans="1:9">
      <c r="A614" s="22" t="s">
        <v>1134</v>
      </c>
      <c r="B614" s="30"/>
      <c r="C614" s="30"/>
      <c r="D614" s="30" t="s">
        <v>501</v>
      </c>
      <c r="E614" s="30" t="s">
        <v>115</v>
      </c>
      <c r="F614" s="30" t="s">
        <v>178</v>
      </c>
      <c r="G614" s="30" t="s">
        <v>1192</v>
      </c>
      <c r="H614" s="30" t="s">
        <v>241</v>
      </c>
      <c r="I614" s="30" t="s">
        <v>114</v>
      </c>
    </row>
    <row r="615" spans="1:9">
      <c r="A615" s="22" t="s">
        <v>1134</v>
      </c>
      <c r="B615" s="30"/>
      <c r="C615" s="30"/>
      <c r="D615" s="30" t="s">
        <v>1173</v>
      </c>
      <c r="E615" s="30" t="s">
        <v>112</v>
      </c>
      <c r="F615" s="30" t="s">
        <v>178</v>
      </c>
      <c r="G615" s="30" t="s">
        <v>571</v>
      </c>
      <c r="H615" s="30" t="s">
        <v>241</v>
      </c>
      <c r="I615" s="30" t="s">
        <v>572</v>
      </c>
    </row>
    <row r="616" spans="1:9">
      <c r="A616" s="22" t="s">
        <v>1134</v>
      </c>
      <c r="B616" s="30"/>
      <c r="C616" s="30"/>
      <c r="D616" s="30" t="s">
        <v>694</v>
      </c>
      <c r="E616" s="30" t="s">
        <v>115</v>
      </c>
      <c r="F616" s="30" t="s">
        <v>179</v>
      </c>
      <c r="G616" s="30" t="s">
        <v>1193</v>
      </c>
      <c r="H616" s="30" t="s">
        <v>241</v>
      </c>
      <c r="I616" s="30" t="s">
        <v>114</v>
      </c>
    </row>
    <row r="617" spans="1:9">
      <c r="A617" s="22" t="s">
        <v>1134</v>
      </c>
      <c r="B617" s="30"/>
      <c r="C617" s="30"/>
      <c r="D617" s="30" t="s">
        <v>502</v>
      </c>
      <c r="E617" s="30" t="s">
        <v>115</v>
      </c>
      <c r="F617" s="30" t="s">
        <v>179</v>
      </c>
      <c r="G617" s="30" t="s">
        <v>1194</v>
      </c>
      <c r="H617" s="30" t="s">
        <v>241</v>
      </c>
      <c r="I617" s="30" t="s">
        <v>114</v>
      </c>
    </row>
    <row r="618" spans="1:9">
      <c r="A618" s="22" t="s">
        <v>1134</v>
      </c>
      <c r="B618" s="30"/>
      <c r="C618" s="30"/>
      <c r="D618" s="30" t="s">
        <v>1061</v>
      </c>
      <c r="E618" s="30" t="s">
        <v>112</v>
      </c>
      <c r="F618" s="30" t="s">
        <v>179</v>
      </c>
      <c r="G618" s="30" t="s">
        <v>571</v>
      </c>
      <c r="H618" s="30" t="s">
        <v>241</v>
      </c>
      <c r="I618" s="30" t="s">
        <v>572</v>
      </c>
    </row>
    <row r="619" spans="1:9">
      <c r="A619" s="22" t="s">
        <v>1134</v>
      </c>
      <c r="B619" s="30"/>
      <c r="C619" s="30"/>
      <c r="D619" s="30" t="s">
        <v>1174</v>
      </c>
      <c r="E619" s="30" t="s">
        <v>115</v>
      </c>
      <c r="F619" s="30" t="s">
        <v>169</v>
      </c>
      <c r="G619" s="30" t="s">
        <v>1195</v>
      </c>
      <c r="H619" s="30" t="s">
        <v>241</v>
      </c>
      <c r="I619" s="30" t="s">
        <v>114</v>
      </c>
    </row>
    <row r="620" spans="1:9">
      <c r="A620" s="22" t="s">
        <v>1134</v>
      </c>
      <c r="B620" s="30"/>
      <c r="C620" s="30"/>
      <c r="D620" s="30" t="s">
        <v>503</v>
      </c>
      <c r="E620" s="30" t="s">
        <v>115</v>
      </c>
      <c r="F620" s="30" t="s">
        <v>169</v>
      </c>
      <c r="G620" s="30" t="s">
        <v>1196</v>
      </c>
      <c r="H620" s="30" t="s">
        <v>241</v>
      </c>
      <c r="I620" s="30" t="s">
        <v>114</v>
      </c>
    </row>
    <row r="621" spans="1:9">
      <c r="A621" s="22" t="s">
        <v>1134</v>
      </c>
      <c r="B621" s="30"/>
      <c r="C621" s="30"/>
      <c r="D621" s="30" t="s">
        <v>1062</v>
      </c>
      <c r="E621" s="30" t="s">
        <v>112</v>
      </c>
      <c r="F621" s="30" t="s">
        <v>169</v>
      </c>
      <c r="G621" s="30" t="s">
        <v>571</v>
      </c>
      <c r="H621" s="30" t="s">
        <v>241</v>
      </c>
      <c r="I621" s="30" t="s">
        <v>572</v>
      </c>
    </row>
    <row r="622" spans="1:9">
      <c r="A622" s="22" t="s">
        <v>1134</v>
      </c>
      <c r="B622" s="30"/>
      <c r="C622" s="30"/>
      <c r="D622" s="30" t="s">
        <v>695</v>
      </c>
      <c r="E622" s="30" t="s">
        <v>115</v>
      </c>
      <c r="F622" s="30" t="s">
        <v>180</v>
      </c>
      <c r="G622" s="30" t="s">
        <v>1202</v>
      </c>
      <c r="H622" s="30" t="s">
        <v>241</v>
      </c>
      <c r="I622" s="30" t="s">
        <v>114</v>
      </c>
    </row>
    <row r="623" spans="1:9">
      <c r="A623" s="22" t="s">
        <v>1134</v>
      </c>
      <c r="B623" s="30"/>
      <c r="C623" s="30"/>
      <c r="D623" s="30" t="s">
        <v>504</v>
      </c>
      <c r="E623" s="30" t="s">
        <v>115</v>
      </c>
      <c r="F623" s="30" t="s">
        <v>180</v>
      </c>
      <c r="G623" s="30" t="s">
        <v>1203</v>
      </c>
      <c r="H623" s="30" t="s">
        <v>241</v>
      </c>
      <c r="I623" s="30" t="s">
        <v>114</v>
      </c>
    </row>
    <row r="624" spans="1:9">
      <c r="A624" s="22" t="s">
        <v>1134</v>
      </c>
      <c r="B624" s="30"/>
      <c r="C624" s="30"/>
      <c r="D624" s="30" t="s">
        <v>1063</v>
      </c>
      <c r="E624" s="30" t="s">
        <v>112</v>
      </c>
      <c r="F624" s="30" t="s">
        <v>180</v>
      </c>
      <c r="G624" s="30" t="s">
        <v>571</v>
      </c>
      <c r="H624" s="30" t="s">
        <v>241</v>
      </c>
      <c r="I624" s="30" t="s">
        <v>572</v>
      </c>
    </row>
    <row r="625" spans="1:9">
      <c r="A625" s="22" t="s">
        <v>1134</v>
      </c>
      <c r="B625" s="30"/>
      <c r="C625" s="30"/>
      <c r="D625" s="30" t="s">
        <v>696</v>
      </c>
      <c r="E625" s="30" t="s">
        <v>115</v>
      </c>
      <c r="F625" s="30" t="s">
        <v>181</v>
      </c>
      <c r="G625" s="30" t="s">
        <v>1197</v>
      </c>
      <c r="H625" s="30" t="s">
        <v>241</v>
      </c>
      <c r="I625" s="30" t="s">
        <v>114</v>
      </c>
    </row>
    <row r="626" spans="1:9">
      <c r="A626" s="22" t="s">
        <v>1134</v>
      </c>
      <c r="B626" s="30"/>
      <c r="C626" s="30"/>
      <c r="D626" s="30" t="s">
        <v>1064</v>
      </c>
      <c r="E626" s="30" t="s">
        <v>115</v>
      </c>
      <c r="F626" s="30" t="s">
        <v>181</v>
      </c>
      <c r="G626" s="30" t="s">
        <v>1198</v>
      </c>
      <c r="H626" s="30" t="s">
        <v>241</v>
      </c>
      <c r="I626" s="30" t="s">
        <v>114</v>
      </c>
    </row>
    <row r="627" spans="1:9">
      <c r="A627" s="22" t="s">
        <v>1134</v>
      </c>
      <c r="B627" s="30"/>
      <c r="C627" s="30"/>
      <c r="D627" s="30" t="s">
        <v>1065</v>
      </c>
      <c r="E627" s="30" t="s">
        <v>112</v>
      </c>
      <c r="F627" s="30" t="s">
        <v>181</v>
      </c>
      <c r="G627" s="30" t="s">
        <v>571</v>
      </c>
      <c r="H627" s="30" t="s">
        <v>241</v>
      </c>
      <c r="I627" s="30" t="s">
        <v>572</v>
      </c>
    </row>
    <row r="628" spans="1:9">
      <c r="A628" s="22" t="s">
        <v>1134</v>
      </c>
      <c r="B628" s="30"/>
      <c r="C628" s="30"/>
      <c r="D628" s="30" t="s">
        <v>697</v>
      </c>
      <c r="E628" s="30" t="s">
        <v>115</v>
      </c>
      <c r="F628" s="30" t="s">
        <v>182</v>
      </c>
      <c r="G628" s="30" t="s">
        <v>1199</v>
      </c>
      <c r="H628" s="30" t="s">
        <v>241</v>
      </c>
      <c r="I628" s="30" t="s">
        <v>114</v>
      </c>
    </row>
    <row r="629" spans="1:9">
      <c r="A629" s="22" t="s">
        <v>1134</v>
      </c>
      <c r="B629" s="30"/>
      <c r="C629" s="30"/>
      <c r="D629" s="30" t="s">
        <v>1066</v>
      </c>
      <c r="E629" s="30" t="s">
        <v>115</v>
      </c>
      <c r="F629" s="30" t="s">
        <v>182</v>
      </c>
      <c r="G629" s="30" t="s">
        <v>1200</v>
      </c>
      <c r="H629" s="30" t="s">
        <v>241</v>
      </c>
      <c r="I629" s="30" t="s">
        <v>114</v>
      </c>
    </row>
    <row r="630" spans="1:9">
      <c r="A630" s="22" t="s">
        <v>1134</v>
      </c>
      <c r="B630" s="30"/>
      <c r="C630" s="30"/>
      <c r="D630" s="30" t="s">
        <v>1067</v>
      </c>
      <c r="E630" s="30" t="s">
        <v>112</v>
      </c>
      <c r="F630" s="30" t="s">
        <v>182</v>
      </c>
      <c r="G630" s="30" t="s">
        <v>571</v>
      </c>
      <c r="H630" s="30" t="s">
        <v>241</v>
      </c>
      <c r="I630" s="30" t="s">
        <v>572</v>
      </c>
    </row>
    <row r="631" spans="1:9">
      <c r="A631" s="22" t="s">
        <v>1134</v>
      </c>
      <c r="B631" s="30"/>
      <c r="C631" s="30"/>
      <c r="D631" s="30" t="s">
        <v>698</v>
      </c>
      <c r="E631" s="30" t="s">
        <v>115</v>
      </c>
      <c r="F631" s="30" t="s">
        <v>183</v>
      </c>
      <c r="G631" s="30" t="s">
        <v>1204</v>
      </c>
      <c r="H631" s="30" t="s">
        <v>241</v>
      </c>
      <c r="I631" s="30" t="s">
        <v>114</v>
      </c>
    </row>
    <row r="632" spans="1:9">
      <c r="A632" s="22" t="s">
        <v>1134</v>
      </c>
      <c r="B632" s="30"/>
      <c r="C632" s="30"/>
      <c r="D632" s="30" t="s">
        <v>1068</v>
      </c>
      <c r="E632" s="30" t="s">
        <v>115</v>
      </c>
      <c r="F632" s="30" t="s">
        <v>183</v>
      </c>
      <c r="G632" s="30" t="s">
        <v>1205</v>
      </c>
      <c r="H632" s="30" t="s">
        <v>241</v>
      </c>
      <c r="I632" s="30" t="s">
        <v>114</v>
      </c>
    </row>
    <row r="633" spans="1:9">
      <c r="A633" s="22" t="s">
        <v>1134</v>
      </c>
      <c r="B633" s="30"/>
      <c r="C633" s="30"/>
      <c r="D633" s="30" t="s">
        <v>1069</v>
      </c>
      <c r="E633" s="30" t="s">
        <v>112</v>
      </c>
      <c r="F633" s="30" t="s">
        <v>183</v>
      </c>
      <c r="G633" s="30" t="s">
        <v>571</v>
      </c>
      <c r="H633" s="30" t="s">
        <v>241</v>
      </c>
      <c r="I633" s="30" t="s">
        <v>572</v>
      </c>
    </row>
    <row r="634" spans="1:9">
      <c r="A634" s="22" t="s">
        <v>1134</v>
      </c>
      <c r="B634" s="30"/>
      <c r="C634" s="30"/>
      <c r="D634" s="30" t="s">
        <v>699</v>
      </c>
      <c r="E634" s="30" t="s">
        <v>115</v>
      </c>
      <c r="F634" s="30" t="s">
        <v>184</v>
      </c>
      <c r="G634" s="30" t="s">
        <v>1189</v>
      </c>
      <c r="H634" s="30" t="s">
        <v>241</v>
      </c>
      <c r="I634" s="30" t="s">
        <v>114</v>
      </c>
    </row>
    <row r="635" spans="1:9">
      <c r="A635" s="22" t="s">
        <v>1134</v>
      </c>
      <c r="B635" s="30"/>
      <c r="C635" s="30"/>
      <c r="D635" s="30" t="s">
        <v>1070</v>
      </c>
      <c r="E635" s="30" t="s">
        <v>115</v>
      </c>
      <c r="F635" s="30" t="s">
        <v>184</v>
      </c>
      <c r="G635" s="30" t="s">
        <v>1190</v>
      </c>
      <c r="H635" s="30" t="s">
        <v>241</v>
      </c>
      <c r="I635" s="30" t="s">
        <v>114</v>
      </c>
    </row>
    <row r="636" spans="1:9">
      <c r="A636" s="22" t="s">
        <v>1134</v>
      </c>
      <c r="B636" s="30"/>
      <c r="C636" s="30"/>
      <c r="D636" s="30" t="s">
        <v>1175</v>
      </c>
      <c r="E636" s="30" t="s">
        <v>112</v>
      </c>
      <c r="F636" s="30" t="s">
        <v>184</v>
      </c>
      <c r="G636" s="30" t="s">
        <v>571</v>
      </c>
      <c r="H636" s="30" t="s">
        <v>241</v>
      </c>
      <c r="I636" s="30" t="s">
        <v>572</v>
      </c>
    </row>
    <row r="637" spans="1:9">
      <c r="A637" s="22" t="s">
        <v>1135</v>
      </c>
      <c r="B637" s="30"/>
      <c r="C637" s="30"/>
      <c r="D637" s="30" t="s">
        <v>834</v>
      </c>
      <c r="E637" s="30" t="s">
        <v>822</v>
      </c>
      <c r="F637" s="30" t="s">
        <v>111</v>
      </c>
      <c r="G637" s="30" t="s">
        <v>865</v>
      </c>
      <c r="H637" s="30" t="s">
        <v>241</v>
      </c>
      <c r="I637" s="30" t="s">
        <v>823</v>
      </c>
    </row>
    <row r="638" spans="1:9">
      <c r="A638" s="22" t="s">
        <v>1135</v>
      </c>
      <c r="B638" s="30"/>
      <c r="C638" s="30"/>
      <c r="D638" s="30" t="s">
        <v>835</v>
      </c>
      <c r="E638" s="30" t="s">
        <v>822</v>
      </c>
      <c r="F638" s="30" t="s">
        <v>111</v>
      </c>
      <c r="G638" s="30" t="s">
        <v>865</v>
      </c>
      <c r="H638" s="30" t="s">
        <v>241</v>
      </c>
      <c r="I638" s="30" t="s">
        <v>232</v>
      </c>
    </row>
    <row r="639" spans="1:9">
      <c r="A639" s="28"/>
      <c r="B639" s="28"/>
      <c r="C639" s="28"/>
      <c r="D639" s="28"/>
      <c r="E639" s="29" t="s">
        <v>780</v>
      </c>
      <c r="F639" s="28"/>
      <c r="G639" s="28"/>
      <c r="H639" s="28"/>
      <c r="I639" s="28"/>
    </row>
    <row r="640" spans="1:9">
      <c r="A640" s="22" t="s">
        <v>1134</v>
      </c>
      <c r="B640" s="30"/>
      <c r="C640" s="30"/>
      <c r="D640" s="22" t="s">
        <v>700</v>
      </c>
      <c r="E640" s="30" t="s">
        <v>115</v>
      </c>
      <c r="F640" s="30" t="s">
        <v>111</v>
      </c>
      <c r="G640" s="30" t="s">
        <v>863</v>
      </c>
      <c r="H640" s="30" t="s">
        <v>241</v>
      </c>
      <c r="I640" s="30" t="s">
        <v>114</v>
      </c>
    </row>
    <row r="641" spans="1:9">
      <c r="A641" s="22" t="s">
        <v>1134</v>
      </c>
      <c r="B641" s="30"/>
      <c r="C641" s="30"/>
      <c r="D641" s="22" t="s">
        <v>701</v>
      </c>
      <c r="E641" s="30" t="s">
        <v>120</v>
      </c>
      <c r="F641" s="30" t="s">
        <v>111</v>
      </c>
      <c r="G641" s="30" t="s">
        <v>863</v>
      </c>
      <c r="H641" s="30" t="s">
        <v>241</v>
      </c>
      <c r="I641" s="30" t="s">
        <v>114</v>
      </c>
    </row>
    <row r="642" spans="1:9">
      <c r="A642" s="22" t="s">
        <v>1134</v>
      </c>
      <c r="B642" s="30"/>
      <c r="C642" s="30"/>
      <c r="D642" s="30" t="s">
        <v>702</v>
      </c>
      <c r="E642" s="30" t="s">
        <v>112</v>
      </c>
      <c r="F642" s="30" t="s">
        <v>111</v>
      </c>
      <c r="G642" s="30" t="s">
        <v>113</v>
      </c>
      <c r="H642" s="30" t="s">
        <v>241</v>
      </c>
      <c r="I642" s="30" t="s">
        <v>114</v>
      </c>
    </row>
    <row r="643" spans="1:9">
      <c r="A643" s="22" t="s">
        <v>1134</v>
      </c>
      <c r="C643" s="30"/>
      <c r="D643" s="30" t="s">
        <v>703</v>
      </c>
      <c r="E643" s="30" t="s">
        <v>115</v>
      </c>
      <c r="F643" s="30" t="s">
        <v>111</v>
      </c>
      <c r="G643" s="30" t="s">
        <v>863</v>
      </c>
      <c r="H643" s="30" t="s">
        <v>241</v>
      </c>
      <c r="I643" s="30" t="s">
        <v>204</v>
      </c>
    </row>
    <row r="644" spans="1:9">
      <c r="A644" s="22" t="s">
        <v>1134</v>
      </c>
      <c r="C644" s="30"/>
      <c r="D644" s="30" t="s">
        <v>704</v>
      </c>
      <c r="E644" s="30" t="s">
        <v>115</v>
      </c>
      <c r="F644" s="30" t="s">
        <v>111</v>
      </c>
      <c r="G644" s="30" t="s">
        <v>863</v>
      </c>
      <c r="H644" s="30" t="s">
        <v>241</v>
      </c>
      <c r="I644" s="30" t="s">
        <v>232</v>
      </c>
    </row>
    <row r="645" spans="1:9">
      <c r="A645" s="22" t="s">
        <v>1134</v>
      </c>
      <c r="B645" s="30"/>
      <c r="C645" s="30"/>
      <c r="D645" s="30" t="s">
        <v>705</v>
      </c>
      <c r="E645" s="30" t="s">
        <v>115</v>
      </c>
      <c r="F645" s="30" t="s">
        <v>111</v>
      </c>
      <c r="G645" s="30" t="s">
        <v>863</v>
      </c>
      <c r="H645" s="30" t="s">
        <v>241</v>
      </c>
      <c r="I645" s="30" t="s">
        <v>118</v>
      </c>
    </row>
    <row r="646" spans="1:9">
      <c r="A646" s="22" t="s">
        <v>1134</v>
      </c>
      <c r="B646" s="30"/>
      <c r="C646" s="30"/>
      <c r="D646" s="30" t="s">
        <v>706</v>
      </c>
      <c r="E646" s="30" t="s">
        <v>115</v>
      </c>
      <c r="F646" s="30" t="s">
        <v>111</v>
      </c>
      <c r="G646" s="30" t="s">
        <v>864</v>
      </c>
      <c r="H646" s="30" t="s">
        <v>241</v>
      </c>
      <c r="I646" s="30" t="s">
        <v>118</v>
      </c>
    </row>
    <row r="647" spans="1:9">
      <c r="A647" s="22" t="s">
        <v>1134</v>
      </c>
      <c r="C647" s="30"/>
      <c r="D647" s="30" t="s">
        <v>1071</v>
      </c>
      <c r="E647" s="30" t="s">
        <v>112</v>
      </c>
      <c r="F647" s="30" t="s">
        <v>247</v>
      </c>
      <c r="G647" s="30"/>
      <c r="H647" s="30" t="s">
        <v>241</v>
      </c>
      <c r="I647" s="30" t="s">
        <v>118</v>
      </c>
    </row>
    <row r="648" spans="1:9">
      <c r="A648" s="22" t="s">
        <v>1134</v>
      </c>
      <c r="C648" s="30"/>
      <c r="D648" s="30" t="s">
        <v>1072</v>
      </c>
      <c r="E648" s="30" t="s">
        <v>127</v>
      </c>
      <c r="F648" s="30" t="s">
        <v>247</v>
      </c>
      <c r="G648" s="30"/>
      <c r="H648" s="30" t="s">
        <v>241</v>
      </c>
      <c r="I648" s="30" t="s">
        <v>118</v>
      </c>
    </row>
    <row r="649" spans="1:9">
      <c r="A649" s="22" t="s">
        <v>1134</v>
      </c>
      <c r="B649" s="30"/>
      <c r="C649" s="30"/>
      <c r="D649" s="30" t="s">
        <v>1073</v>
      </c>
      <c r="E649" s="30" t="s">
        <v>112</v>
      </c>
      <c r="F649" s="30" t="s">
        <v>123</v>
      </c>
      <c r="G649" s="30"/>
      <c r="H649" s="30" t="s">
        <v>241</v>
      </c>
      <c r="I649" s="30" t="s">
        <v>240</v>
      </c>
    </row>
    <row r="650" spans="1:9">
      <c r="A650" s="22" t="s">
        <v>1134</v>
      </c>
      <c r="B650" s="30"/>
      <c r="C650" s="30"/>
      <c r="D650" s="30" t="s">
        <v>1074</v>
      </c>
      <c r="E650" s="30" t="s">
        <v>127</v>
      </c>
      <c r="F650" s="30" t="s">
        <v>123</v>
      </c>
      <c r="G650" s="30"/>
      <c r="H650" s="30" t="s">
        <v>241</v>
      </c>
      <c r="I650" s="30" t="s">
        <v>240</v>
      </c>
    </row>
    <row r="651" spans="1:9">
      <c r="A651" s="22" t="s">
        <v>1134</v>
      </c>
      <c r="B651" s="30"/>
      <c r="C651" s="30"/>
      <c r="D651" s="30" t="s">
        <v>707</v>
      </c>
      <c r="E651" s="30" t="s">
        <v>112</v>
      </c>
      <c r="F651" s="30" t="s">
        <v>866</v>
      </c>
      <c r="G651" s="30"/>
      <c r="H651" s="30" t="s">
        <v>241</v>
      </c>
      <c r="I651" s="30" t="s">
        <v>126</v>
      </c>
    </row>
    <row r="652" spans="1:9">
      <c r="A652" s="22" t="s">
        <v>1134</v>
      </c>
      <c r="B652" s="30"/>
      <c r="C652" s="30"/>
      <c r="D652" s="30" t="s">
        <v>708</v>
      </c>
      <c r="E652" s="30" t="s">
        <v>127</v>
      </c>
      <c r="F652" s="30" t="s">
        <v>866</v>
      </c>
      <c r="G652" s="30"/>
      <c r="H652" s="30" t="s">
        <v>241</v>
      </c>
      <c r="I652" s="30" t="s">
        <v>126</v>
      </c>
    </row>
    <row r="653" spans="1:9">
      <c r="A653" s="22" t="s">
        <v>1134</v>
      </c>
      <c r="B653" s="30"/>
      <c r="C653" s="30"/>
      <c r="D653" s="30" t="s">
        <v>1075</v>
      </c>
      <c r="E653" s="30" t="s">
        <v>112</v>
      </c>
      <c r="F653" s="30" t="s">
        <v>866</v>
      </c>
      <c r="G653" s="30"/>
      <c r="H653" s="30" t="s">
        <v>241</v>
      </c>
      <c r="I653" s="30" t="s">
        <v>128</v>
      </c>
    </row>
    <row r="654" spans="1:9">
      <c r="A654" s="22" t="s">
        <v>1134</v>
      </c>
      <c r="B654" s="30"/>
      <c r="C654" s="30"/>
      <c r="D654" s="30" t="s">
        <v>1076</v>
      </c>
      <c r="E654" s="30" t="s">
        <v>127</v>
      </c>
      <c r="F654" s="30" t="s">
        <v>866</v>
      </c>
      <c r="G654" s="30"/>
      <c r="H654" s="30" t="s">
        <v>241</v>
      </c>
      <c r="I654" s="30" t="s">
        <v>128</v>
      </c>
    </row>
    <row r="655" spans="1:9">
      <c r="A655" s="22" t="s">
        <v>1134</v>
      </c>
      <c r="B655" s="30"/>
      <c r="C655" s="30"/>
      <c r="D655" s="22" t="s">
        <v>1077</v>
      </c>
      <c r="E655" s="30" t="s">
        <v>120</v>
      </c>
      <c r="F655" s="30" t="s">
        <v>111</v>
      </c>
      <c r="G655" s="30"/>
      <c r="H655" s="30" t="s">
        <v>241</v>
      </c>
      <c r="I655" s="30" t="s">
        <v>213</v>
      </c>
    </row>
    <row r="656" spans="1:9">
      <c r="A656" s="22" t="s">
        <v>1134</v>
      </c>
      <c r="B656" s="30"/>
      <c r="C656" s="30"/>
      <c r="D656" s="30" t="s">
        <v>709</v>
      </c>
      <c r="E656" s="30" t="s">
        <v>115</v>
      </c>
      <c r="F656" s="30" t="s">
        <v>178</v>
      </c>
      <c r="G656" s="30" t="s">
        <v>1191</v>
      </c>
      <c r="H656" s="30" t="s">
        <v>241</v>
      </c>
      <c r="I656" s="30" t="s">
        <v>114</v>
      </c>
    </row>
    <row r="657" spans="1:9">
      <c r="A657" s="22" t="s">
        <v>1134</v>
      </c>
      <c r="B657" s="30"/>
      <c r="C657" s="30"/>
      <c r="D657" s="30" t="s">
        <v>1078</v>
      </c>
      <c r="E657" s="30" t="s">
        <v>115</v>
      </c>
      <c r="F657" s="30" t="s">
        <v>178</v>
      </c>
      <c r="G657" s="30" t="s">
        <v>1192</v>
      </c>
      <c r="H657" s="30" t="s">
        <v>241</v>
      </c>
      <c r="I657" s="30" t="s">
        <v>114</v>
      </c>
    </row>
    <row r="658" spans="1:9">
      <c r="A658" s="22" t="s">
        <v>1134</v>
      </c>
      <c r="B658" s="30"/>
      <c r="C658" s="30"/>
      <c r="D658" s="30" t="s">
        <v>1176</v>
      </c>
      <c r="E658" s="30" t="s">
        <v>112</v>
      </c>
      <c r="F658" s="30" t="s">
        <v>178</v>
      </c>
      <c r="G658" s="30" t="s">
        <v>571</v>
      </c>
      <c r="H658" s="30" t="s">
        <v>241</v>
      </c>
      <c r="I658" s="30" t="s">
        <v>572</v>
      </c>
    </row>
    <row r="659" spans="1:9">
      <c r="A659" s="22" t="s">
        <v>1134</v>
      </c>
      <c r="B659" s="30"/>
      <c r="C659" s="30"/>
      <c r="D659" s="30" t="s">
        <v>710</v>
      </c>
      <c r="E659" s="30" t="s">
        <v>115</v>
      </c>
      <c r="F659" s="30" t="s">
        <v>179</v>
      </c>
      <c r="G659" s="30" t="s">
        <v>1193</v>
      </c>
      <c r="H659" s="30" t="s">
        <v>241</v>
      </c>
      <c r="I659" s="30" t="s">
        <v>114</v>
      </c>
    </row>
    <row r="660" spans="1:9">
      <c r="A660" s="22" t="s">
        <v>1134</v>
      </c>
      <c r="B660" s="30"/>
      <c r="C660" s="30"/>
      <c r="D660" s="30" t="s">
        <v>1079</v>
      </c>
      <c r="E660" s="30" t="s">
        <v>115</v>
      </c>
      <c r="F660" s="30" t="s">
        <v>179</v>
      </c>
      <c r="G660" s="30" t="s">
        <v>1194</v>
      </c>
      <c r="H660" s="30" t="s">
        <v>241</v>
      </c>
      <c r="I660" s="30" t="s">
        <v>114</v>
      </c>
    </row>
    <row r="661" spans="1:9">
      <c r="A661" s="22" t="s">
        <v>1134</v>
      </c>
      <c r="B661" s="30"/>
      <c r="C661" s="30"/>
      <c r="D661" s="30" t="s">
        <v>1080</v>
      </c>
      <c r="E661" s="30" t="s">
        <v>112</v>
      </c>
      <c r="F661" s="30" t="s">
        <v>179</v>
      </c>
      <c r="G661" s="30" t="s">
        <v>571</v>
      </c>
      <c r="H661" s="30" t="s">
        <v>241</v>
      </c>
      <c r="I661" s="30" t="s">
        <v>572</v>
      </c>
    </row>
    <row r="662" spans="1:9">
      <c r="A662" s="22" t="s">
        <v>1134</v>
      </c>
      <c r="B662" s="30"/>
      <c r="C662" s="30"/>
      <c r="D662" s="30" t="s">
        <v>1177</v>
      </c>
      <c r="E662" s="30" t="s">
        <v>115</v>
      </c>
      <c r="F662" s="30" t="s">
        <v>169</v>
      </c>
      <c r="G662" s="30" t="s">
        <v>1195</v>
      </c>
      <c r="H662" s="30" t="s">
        <v>241</v>
      </c>
      <c r="I662" s="30" t="s">
        <v>114</v>
      </c>
    </row>
    <row r="663" spans="1:9">
      <c r="A663" s="22" t="s">
        <v>1134</v>
      </c>
      <c r="B663" s="30"/>
      <c r="C663" s="30"/>
      <c r="D663" s="30" t="s">
        <v>1081</v>
      </c>
      <c r="E663" s="30" t="s">
        <v>115</v>
      </c>
      <c r="F663" s="30" t="s">
        <v>169</v>
      </c>
      <c r="G663" s="30" t="s">
        <v>1196</v>
      </c>
      <c r="H663" s="30" t="s">
        <v>241</v>
      </c>
      <c r="I663" s="30" t="s">
        <v>114</v>
      </c>
    </row>
    <row r="664" spans="1:9">
      <c r="A664" s="22" t="s">
        <v>1134</v>
      </c>
      <c r="B664" s="30"/>
      <c r="C664" s="30"/>
      <c r="D664" s="30" t="s">
        <v>1082</v>
      </c>
      <c r="E664" s="30" t="s">
        <v>112</v>
      </c>
      <c r="F664" s="30" t="s">
        <v>169</v>
      </c>
      <c r="G664" s="30" t="s">
        <v>571</v>
      </c>
      <c r="H664" s="30" t="s">
        <v>241</v>
      </c>
      <c r="I664" s="30" t="s">
        <v>572</v>
      </c>
    </row>
    <row r="665" spans="1:9">
      <c r="A665" s="22" t="s">
        <v>1134</v>
      </c>
      <c r="B665" s="30"/>
      <c r="C665" s="30"/>
      <c r="D665" s="30" t="s">
        <v>711</v>
      </c>
      <c r="E665" s="30" t="s">
        <v>115</v>
      </c>
      <c r="F665" s="30" t="s">
        <v>180</v>
      </c>
      <c r="G665" s="30" t="s">
        <v>1202</v>
      </c>
      <c r="H665" s="30" t="s">
        <v>241</v>
      </c>
      <c r="I665" s="30" t="s">
        <v>114</v>
      </c>
    </row>
    <row r="666" spans="1:9">
      <c r="A666" s="22" t="s">
        <v>1134</v>
      </c>
      <c r="B666" s="30"/>
      <c r="C666" s="30"/>
      <c r="D666" s="30" t="s">
        <v>1083</v>
      </c>
      <c r="E666" s="30" t="s">
        <v>115</v>
      </c>
      <c r="F666" s="30" t="s">
        <v>180</v>
      </c>
      <c r="G666" s="30" t="s">
        <v>1203</v>
      </c>
      <c r="H666" s="30" t="s">
        <v>241</v>
      </c>
      <c r="I666" s="30" t="s">
        <v>114</v>
      </c>
    </row>
    <row r="667" spans="1:9">
      <c r="A667" s="22" t="s">
        <v>1134</v>
      </c>
      <c r="B667" s="30"/>
      <c r="C667" s="30"/>
      <c r="D667" s="30" t="s">
        <v>1084</v>
      </c>
      <c r="E667" s="30" t="s">
        <v>112</v>
      </c>
      <c r="F667" s="30" t="s">
        <v>180</v>
      </c>
      <c r="G667" s="30" t="s">
        <v>571</v>
      </c>
      <c r="H667" s="30" t="s">
        <v>241</v>
      </c>
      <c r="I667" s="30" t="s">
        <v>572</v>
      </c>
    </row>
    <row r="668" spans="1:9">
      <c r="A668" s="22" t="s">
        <v>1134</v>
      </c>
      <c r="B668" s="30"/>
      <c r="C668" s="30"/>
      <c r="D668" s="30" t="s">
        <v>712</v>
      </c>
      <c r="E668" s="30" t="s">
        <v>115</v>
      </c>
      <c r="F668" s="30" t="s">
        <v>181</v>
      </c>
      <c r="G668" s="30" t="s">
        <v>1197</v>
      </c>
      <c r="H668" s="30" t="s">
        <v>241</v>
      </c>
      <c r="I668" s="30" t="s">
        <v>114</v>
      </c>
    </row>
    <row r="669" spans="1:9">
      <c r="A669" s="22" t="s">
        <v>1134</v>
      </c>
      <c r="B669" s="30"/>
      <c r="C669" s="30"/>
      <c r="D669" s="30" t="s">
        <v>1085</v>
      </c>
      <c r="E669" s="30" t="s">
        <v>115</v>
      </c>
      <c r="F669" s="30" t="s">
        <v>181</v>
      </c>
      <c r="G669" s="30" t="s">
        <v>1198</v>
      </c>
      <c r="H669" s="30" t="s">
        <v>241</v>
      </c>
      <c r="I669" s="30" t="s">
        <v>114</v>
      </c>
    </row>
    <row r="670" spans="1:9">
      <c r="A670" s="22" t="s">
        <v>1134</v>
      </c>
      <c r="B670" s="30"/>
      <c r="C670" s="30"/>
      <c r="D670" s="30" t="s">
        <v>1086</v>
      </c>
      <c r="E670" s="30" t="s">
        <v>112</v>
      </c>
      <c r="F670" s="30" t="s">
        <v>181</v>
      </c>
      <c r="G670" s="30" t="s">
        <v>571</v>
      </c>
      <c r="H670" s="30" t="s">
        <v>241</v>
      </c>
      <c r="I670" s="30" t="s">
        <v>572</v>
      </c>
    </row>
    <row r="671" spans="1:9">
      <c r="A671" s="22" t="s">
        <v>1134</v>
      </c>
      <c r="B671" s="30"/>
      <c r="C671" s="30"/>
      <c r="D671" s="30" t="s">
        <v>713</v>
      </c>
      <c r="E671" s="30" t="s">
        <v>115</v>
      </c>
      <c r="F671" s="30" t="s">
        <v>182</v>
      </c>
      <c r="G671" s="30" t="s">
        <v>1199</v>
      </c>
      <c r="H671" s="30" t="s">
        <v>241</v>
      </c>
      <c r="I671" s="30" t="s">
        <v>114</v>
      </c>
    </row>
    <row r="672" spans="1:9">
      <c r="A672" s="22" t="s">
        <v>1134</v>
      </c>
      <c r="B672" s="30"/>
      <c r="C672" s="30"/>
      <c r="D672" s="30" t="s">
        <v>1087</v>
      </c>
      <c r="E672" s="30" t="s">
        <v>115</v>
      </c>
      <c r="F672" s="30" t="s">
        <v>182</v>
      </c>
      <c r="G672" s="30" t="s">
        <v>1200</v>
      </c>
      <c r="H672" s="30" t="s">
        <v>241</v>
      </c>
      <c r="I672" s="30" t="s">
        <v>114</v>
      </c>
    </row>
    <row r="673" spans="1:9">
      <c r="A673" s="22" t="s">
        <v>1134</v>
      </c>
      <c r="B673" s="30"/>
      <c r="C673" s="30"/>
      <c r="D673" s="30" t="s">
        <v>1088</v>
      </c>
      <c r="E673" s="30" t="s">
        <v>112</v>
      </c>
      <c r="F673" s="30" t="s">
        <v>182</v>
      </c>
      <c r="G673" s="30" t="s">
        <v>571</v>
      </c>
      <c r="H673" s="30" t="s">
        <v>241</v>
      </c>
      <c r="I673" s="30" t="s">
        <v>572</v>
      </c>
    </row>
    <row r="674" spans="1:9">
      <c r="A674" s="22" t="s">
        <v>1134</v>
      </c>
      <c r="B674" s="30"/>
      <c r="C674" s="30"/>
      <c r="D674" s="30" t="s">
        <v>714</v>
      </c>
      <c r="E674" s="30" t="s">
        <v>115</v>
      </c>
      <c r="F674" s="30" t="s">
        <v>183</v>
      </c>
      <c r="G674" s="30" t="s">
        <v>1204</v>
      </c>
      <c r="H674" s="30" t="s">
        <v>241</v>
      </c>
      <c r="I674" s="30" t="s">
        <v>114</v>
      </c>
    </row>
    <row r="675" spans="1:9">
      <c r="A675" s="22" t="s">
        <v>1134</v>
      </c>
      <c r="B675" s="30"/>
      <c r="C675" s="30"/>
      <c r="D675" s="30" t="s">
        <v>1089</v>
      </c>
      <c r="E675" s="30" t="s">
        <v>115</v>
      </c>
      <c r="F675" s="30" t="s">
        <v>183</v>
      </c>
      <c r="G675" s="30" t="s">
        <v>1205</v>
      </c>
      <c r="H675" s="30" t="s">
        <v>241</v>
      </c>
      <c r="I675" s="30" t="s">
        <v>114</v>
      </c>
    </row>
    <row r="676" spans="1:9">
      <c r="A676" s="22" t="s">
        <v>1134</v>
      </c>
      <c r="B676" s="30"/>
      <c r="C676" s="30"/>
      <c r="D676" s="30" t="s">
        <v>1090</v>
      </c>
      <c r="E676" s="30" t="s">
        <v>112</v>
      </c>
      <c r="F676" s="30" t="s">
        <v>183</v>
      </c>
      <c r="G676" s="30" t="s">
        <v>571</v>
      </c>
      <c r="H676" s="30" t="s">
        <v>241</v>
      </c>
      <c r="I676" s="30" t="s">
        <v>572</v>
      </c>
    </row>
    <row r="677" spans="1:9">
      <c r="A677" s="22" t="s">
        <v>1134</v>
      </c>
      <c r="B677" s="30"/>
      <c r="C677" s="30"/>
      <c r="D677" s="30" t="s">
        <v>715</v>
      </c>
      <c r="E677" s="30" t="s">
        <v>115</v>
      </c>
      <c r="F677" s="30" t="s">
        <v>184</v>
      </c>
      <c r="G677" s="30" t="s">
        <v>1189</v>
      </c>
      <c r="H677" s="30" t="s">
        <v>241</v>
      </c>
      <c r="I677" s="30" t="s">
        <v>114</v>
      </c>
    </row>
    <row r="678" spans="1:9">
      <c r="A678" s="22" t="s">
        <v>1134</v>
      </c>
      <c r="B678" s="30"/>
      <c r="C678" s="30"/>
      <c r="D678" s="30" t="s">
        <v>1091</v>
      </c>
      <c r="E678" s="30" t="s">
        <v>115</v>
      </c>
      <c r="F678" s="30" t="s">
        <v>184</v>
      </c>
      <c r="G678" s="30" t="s">
        <v>1190</v>
      </c>
      <c r="H678" s="30" t="s">
        <v>241</v>
      </c>
      <c r="I678" s="30" t="s">
        <v>114</v>
      </c>
    </row>
    <row r="679" spans="1:9">
      <c r="A679" s="22" t="s">
        <v>1134</v>
      </c>
      <c r="B679" s="30"/>
      <c r="C679" s="30"/>
      <c r="D679" s="30" t="s">
        <v>1178</v>
      </c>
      <c r="E679" s="30" t="s">
        <v>112</v>
      </c>
      <c r="F679" s="30" t="s">
        <v>184</v>
      </c>
      <c r="G679" s="30" t="s">
        <v>571</v>
      </c>
      <c r="H679" s="30" t="s">
        <v>241</v>
      </c>
      <c r="I679" s="30" t="s">
        <v>572</v>
      </c>
    </row>
    <row r="680" spans="1:9">
      <c r="A680" s="22" t="s">
        <v>1135</v>
      </c>
      <c r="B680" s="30"/>
      <c r="C680" s="30"/>
      <c r="D680" s="30" t="s">
        <v>836</v>
      </c>
      <c r="E680" s="30" t="s">
        <v>822</v>
      </c>
      <c r="F680" s="30" t="s">
        <v>111</v>
      </c>
      <c r="G680" s="30" t="s">
        <v>865</v>
      </c>
      <c r="H680" s="30" t="s">
        <v>241</v>
      </c>
      <c r="I680" s="30" t="s">
        <v>823</v>
      </c>
    </row>
    <row r="681" spans="1:9">
      <c r="A681" s="22" t="s">
        <v>1135</v>
      </c>
      <c r="B681" s="30"/>
      <c r="C681" s="30"/>
      <c r="D681" s="30" t="s">
        <v>837</v>
      </c>
      <c r="E681" s="30" t="s">
        <v>822</v>
      </c>
      <c r="F681" s="30" t="s">
        <v>111</v>
      </c>
      <c r="G681" s="30" t="s">
        <v>865</v>
      </c>
      <c r="H681" s="30" t="s">
        <v>241</v>
      </c>
      <c r="I681" s="30" t="s">
        <v>232</v>
      </c>
    </row>
    <row r="682" spans="1:9">
      <c r="A682" s="28"/>
      <c r="B682" s="28"/>
      <c r="C682" s="28"/>
      <c r="D682" s="28"/>
      <c r="E682" s="29" t="s">
        <v>779</v>
      </c>
      <c r="F682" s="28"/>
      <c r="G682" s="28"/>
      <c r="H682" s="28"/>
      <c r="I682" s="28"/>
    </row>
    <row r="683" spans="1:9">
      <c r="A683" s="22" t="s">
        <v>1134</v>
      </c>
      <c r="B683" s="30"/>
      <c r="C683" s="30"/>
      <c r="D683" s="22" t="s">
        <v>716</v>
      </c>
      <c r="E683" s="30" t="s">
        <v>115</v>
      </c>
      <c r="F683" s="30" t="s">
        <v>111</v>
      </c>
      <c r="G683" s="30" t="s">
        <v>863</v>
      </c>
      <c r="H683" s="30" t="s">
        <v>241</v>
      </c>
      <c r="I683" s="30" t="s">
        <v>114</v>
      </c>
    </row>
    <row r="684" spans="1:9">
      <c r="A684" s="22" t="s">
        <v>1134</v>
      </c>
      <c r="B684" s="30"/>
      <c r="C684" s="30"/>
      <c r="D684" s="22" t="s">
        <v>717</v>
      </c>
      <c r="E684" s="30" t="s">
        <v>120</v>
      </c>
      <c r="F684" s="30" t="s">
        <v>111</v>
      </c>
      <c r="G684" s="30" t="s">
        <v>863</v>
      </c>
      <c r="H684" s="30" t="s">
        <v>241</v>
      </c>
      <c r="I684" s="30" t="s">
        <v>114</v>
      </c>
    </row>
    <row r="685" spans="1:9">
      <c r="A685" s="22" t="s">
        <v>1134</v>
      </c>
      <c r="B685" s="30"/>
      <c r="C685" s="30"/>
      <c r="D685" s="30" t="s">
        <v>718</v>
      </c>
      <c r="E685" s="30" t="s">
        <v>112</v>
      </c>
      <c r="F685" s="30" t="s">
        <v>111</v>
      </c>
      <c r="G685" s="30" t="s">
        <v>113</v>
      </c>
      <c r="H685" s="30" t="s">
        <v>241</v>
      </c>
      <c r="I685" s="30" t="s">
        <v>114</v>
      </c>
    </row>
    <row r="686" spans="1:9">
      <c r="A686" s="22" t="s">
        <v>1134</v>
      </c>
      <c r="C686" s="30"/>
      <c r="D686" s="30" t="s">
        <v>719</v>
      </c>
      <c r="E686" s="30" t="s">
        <v>115</v>
      </c>
      <c r="F686" s="30" t="s">
        <v>111</v>
      </c>
      <c r="G686" s="30" t="s">
        <v>863</v>
      </c>
      <c r="H686" s="30" t="s">
        <v>241</v>
      </c>
      <c r="I686" s="30" t="s">
        <v>204</v>
      </c>
    </row>
    <row r="687" spans="1:9">
      <c r="A687" s="22" t="s">
        <v>1134</v>
      </c>
      <c r="C687" s="30"/>
      <c r="D687" s="30" t="s">
        <v>720</v>
      </c>
      <c r="E687" s="30" t="s">
        <v>115</v>
      </c>
      <c r="F687" s="30" t="s">
        <v>111</v>
      </c>
      <c r="G687" s="30" t="s">
        <v>863</v>
      </c>
      <c r="H687" s="30" t="s">
        <v>241</v>
      </c>
      <c r="I687" s="30" t="s">
        <v>232</v>
      </c>
    </row>
    <row r="688" spans="1:9">
      <c r="A688" s="22" t="s">
        <v>1134</v>
      </c>
      <c r="B688" s="30"/>
      <c r="C688" s="30"/>
      <c r="D688" s="30" t="s">
        <v>721</v>
      </c>
      <c r="E688" s="30" t="s">
        <v>115</v>
      </c>
      <c r="F688" s="30" t="s">
        <v>111</v>
      </c>
      <c r="G688" s="30" t="s">
        <v>863</v>
      </c>
      <c r="H688" s="30" t="s">
        <v>241</v>
      </c>
      <c r="I688" s="30" t="s">
        <v>118</v>
      </c>
    </row>
    <row r="689" spans="1:9">
      <c r="A689" s="22" t="s">
        <v>1134</v>
      </c>
      <c r="B689" s="30"/>
      <c r="C689" s="30"/>
      <c r="D689" s="30" t="s">
        <v>722</v>
      </c>
      <c r="E689" s="30" t="s">
        <v>115</v>
      </c>
      <c r="F689" s="30" t="s">
        <v>111</v>
      </c>
      <c r="G689" s="30" t="s">
        <v>864</v>
      </c>
      <c r="H689" s="30" t="s">
        <v>241</v>
      </c>
      <c r="I689" s="30" t="s">
        <v>118</v>
      </c>
    </row>
    <row r="690" spans="1:9">
      <c r="A690" s="22" t="s">
        <v>1134</v>
      </c>
      <c r="C690" s="30"/>
      <c r="D690" s="30" t="s">
        <v>1092</v>
      </c>
      <c r="E690" s="30" t="s">
        <v>112</v>
      </c>
      <c r="F690" s="30" t="s">
        <v>247</v>
      </c>
      <c r="G690" s="30"/>
      <c r="H690" s="30" t="s">
        <v>241</v>
      </c>
      <c r="I690" s="30" t="s">
        <v>118</v>
      </c>
    </row>
    <row r="691" spans="1:9">
      <c r="A691" s="22" t="s">
        <v>1134</v>
      </c>
      <c r="C691" s="30"/>
      <c r="D691" s="30" t="s">
        <v>1093</v>
      </c>
      <c r="E691" s="30" t="s">
        <v>127</v>
      </c>
      <c r="F691" s="30" t="s">
        <v>247</v>
      </c>
      <c r="G691" s="30"/>
      <c r="H691" s="30" t="s">
        <v>241</v>
      </c>
      <c r="I691" s="30" t="s">
        <v>118</v>
      </c>
    </row>
    <row r="692" spans="1:9">
      <c r="A692" s="22" t="s">
        <v>1134</v>
      </c>
      <c r="B692" s="30"/>
      <c r="C692" s="30"/>
      <c r="D692" s="30" t="s">
        <v>1094</v>
      </c>
      <c r="E692" s="30" t="s">
        <v>112</v>
      </c>
      <c r="F692" s="30" t="s">
        <v>123</v>
      </c>
      <c r="G692" s="30"/>
      <c r="H692" s="30" t="s">
        <v>241</v>
      </c>
      <c r="I692" s="30" t="s">
        <v>240</v>
      </c>
    </row>
    <row r="693" spans="1:9">
      <c r="A693" s="22" t="s">
        <v>1134</v>
      </c>
      <c r="B693" s="30"/>
      <c r="C693" s="30"/>
      <c r="D693" s="30" t="s">
        <v>1095</v>
      </c>
      <c r="E693" s="30" t="s">
        <v>127</v>
      </c>
      <c r="F693" s="30" t="s">
        <v>123</v>
      </c>
      <c r="G693" s="30"/>
      <c r="H693" s="30" t="s">
        <v>241</v>
      </c>
      <c r="I693" s="30" t="s">
        <v>240</v>
      </c>
    </row>
    <row r="694" spans="1:9">
      <c r="A694" s="22" t="s">
        <v>1134</v>
      </c>
      <c r="B694" s="30"/>
      <c r="C694" s="30"/>
      <c r="D694" s="30" t="s">
        <v>723</v>
      </c>
      <c r="E694" s="30" t="s">
        <v>112</v>
      </c>
      <c r="F694" s="30" t="s">
        <v>866</v>
      </c>
      <c r="G694" s="30"/>
      <c r="H694" s="30" t="s">
        <v>241</v>
      </c>
      <c r="I694" s="30" t="s">
        <v>126</v>
      </c>
    </row>
    <row r="695" spans="1:9">
      <c r="A695" s="22" t="s">
        <v>1134</v>
      </c>
      <c r="B695" s="30"/>
      <c r="C695" s="30"/>
      <c r="D695" s="30" t="s">
        <v>724</v>
      </c>
      <c r="E695" s="30" t="s">
        <v>127</v>
      </c>
      <c r="F695" s="30" t="s">
        <v>866</v>
      </c>
      <c r="G695" s="30"/>
      <c r="H695" s="30" t="s">
        <v>241</v>
      </c>
      <c r="I695" s="30" t="s">
        <v>126</v>
      </c>
    </row>
    <row r="696" spans="1:9">
      <c r="A696" s="22" t="s">
        <v>1134</v>
      </c>
      <c r="B696" s="30"/>
      <c r="C696" s="30"/>
      <c r="D696" s="30" t="s">
        <v>1096</v>
      </c>
      <c r="E696" s="30" t="s">
        <v>112</v>
      </c>
      <c r="F696" s="30" t="s">
        <v>866</v>
      </c>
      <c r="G696" s="30"/>
      <c r="H696" s="30" t="s">
        <v>241</v>
      </c>
      <c r="I696" s="30" t="s">
        <v>128</v>
      </c>
    </row>
    <row r="697" spans="1:9">
      <c r="A697" s="22" t="s">
        <v>1134</v>
      </c>
      <c r="B697" s="30"/>
      <c r="C697" s="30"/>
      <c r="D697" s="30" t="s">
        <v>1097</v>
      </c>
      <c r="E697" s="30" t="s">
        <v>127</v>
      </c>
      <c r="F697" s="30" t="s">
        <v>866</v>
      </c>
      <c r="G697" s="30"/>
      <c r="H697" s="30" t="s">
        <v>241</v>
      </c>
      <c r="I697" s="30" t="s">
        <v>128</v>
      </c>
    </row>
    <row r="698" spans="1:9">
      <c r="A698" s="22" t="s">
        <v>1134</v>
      </c>
      <c r="B698" s="30"/>
      <c r="C698" s="30"/>
      <c r="D698" s="22" t="s">
        <v>1098</v>
      </c>
      <c r="E698" s="30" t="s">
        <v>120</v>
      </c>
      <c r="F698" s="30" t="s">
        <v>111</v>
      </c>
      <c r="G698" s="30"/>
      <c r="H698" s="30" t="s">
        <v>241</v>
      </c>
      <c r="I698" s="30" t="s">
        <v>213</v>
      </c>
    </row>
    <row r="699" spans="1:9">
      <c r="A699" s="22" t="s">
        <v>1134</v>
      </c>
      <c r="B699" s="30"/>
      <c r="C699" s="30"/>
      <c r="D699" s="30" t="s">
        <v>725</v>
      </c>
      <c r="E699" s="30" t="s">
        <v>115</v>
      </c>
      <c r="F699" s="30" t="s">
        <v>178</v>
      </c>
      <c r="G699" s="30" t="s">
        <v>1191</v>
      </c>
      <c r="H699" s="30" t="s">
        <v>241</v>
      </c>
      <c r="I699" s="30" t="s">
        <v>114</v>
      </c>
    </row>
    <row r="700" spans="1:9">
      <c r="A700" s="22" t="s">
        <v>1134</v>
      </c>
      <c r="B700" s="30"/>
      <c r="C700" s="30"/>
      <c r="D700" s="30" t="s">
        <v>1099</v>
      </c>
      <c r="E700" s="30" t="s">
        <v>115</v>
      </c>
      <c r="F700" s="30" t="s">
        <v>178</v>
      </c>
      <c r="G700" s="30" t="s">
        <v>1192</v>
      </c>
      <c r="H700" s="30" t="s">
        <v>241</v>
      </c>
      <c r="I700" s="30" t="s">
        <v>114</v>
      </c>
    </row>
    <row r="701" spans="1:9">
      <c r="A701" s="22" t="s">
        <v>1134</v>
      </c>
      <c r="B701" s="30"/>
      <c r="C701" s="30"/>
      <c r="D701" s="30" t="s">
        <v>1179</v>
      </c>
      <c r="E701" s="30" t="s">
        <v>112</v>
      </c>
      <c r="F701" s="30" t="s">
        <v>178</v>
      </c>
      <c r="G701" s="30" t="s">
        <v>571</v>
      </c>
      <c r="H701" s="30" t="s">
        <v>241</v>
      </c>
      <c r="I701" s="30" t="s">
        <v>572</v>
      </c>
    </row>
    <row r="702" spans="1:9">
      <c r="A702" s="22" t="s">
        <v>1134</v>
      </c>
      <c r="B702" s="30"/>
      <c r="C702" s="30"/>
      <c r="D702" s="30" t="s">
        <v>726</v>
      </c>
      <c r="E702" s="30" t="s">
        <v>115</v>
      </c>
      <c r="F702" s="30" t="s">
        <v>179</v>
      </c>
      <c r="G702" s="30" t="s">
        <v>1193</v>
      </c>
      <c r="H702" s="30" t="s">
        <v>241</v>
      </c>
      <c r="I702" s="30" t="s">
        <v>114</v>
      </c>
    </row>
    <row r="703" spans="1:9">
      <c r="A703" s="22" t="s">
        <v>1134</v>
      </c>
      <c r="B703" s="30"/>
      <c r="C703" s="30"/>
      <c r="D703" s="30" t="s">
        <v>1100</v>
      </c>
      <c r="E703" s="30" t="s">
        <v>115</v>
      </c>
      <c r="F703" s="30" t="s">
        <v>179</v>
      </c>
      <c r="G703" s="30" t="s">
        <v>1194</v>
      </c>
      <c r="H703" s="30" t="s">
        <v>241</v>
      </c>
      <c r="I703" s="30" t="s">
        <v>114</v>
      </c>
    </row>
    <row r="704" spans="1:9">
      <c r="A704" s="22" t="s">
        <v>1134</v>
      </c>
      <c r="B704" s="30"/>
      <c r="C704" s="30"/>
      <c r="D704" s="30" t="s">
        <v>1101</v>
      </c>
      <c r="E704" s="30" t="s">
        <v>112</v>
      </c>
      <c r="F704" s="30" t="s">
        <v>179</v>
      </c>
      <c r="G704" s="30" t="s">
        <v>571</v>
      </c>
      <c r="H704" s="30" t="s">
        <v>241</v>
      </c>
      <c r="I704" s="30" t="s">
        <v>572</v>
      </c>
    </row>
    <row r="705" spans="1:9">
      <c r="A705" s="22" t="s">
        <v>1134</v>
      </c>
      <c r="B705" s="30"/>
      <c r="C705" s="30"/>
      <c r="D705" s="30" t="s">
        <v>1180</v>
      </c>
      <c r="E705" s="30" t="s">
        <v>115</v>
      </c>
      <c r="F705" s="30" t="s">
        <v>169</v>
      </c>
      <c r="G705" s="30" t="s">
        <v>1195</v>
      </c>
      <c r="H705" s="30" t="s">
        <v>241</v>
      </c>
      <c r="I705" s="30" t="s">
        <v>114</v>
      </c>
    </row>
    <row r="706" spans="1:9">
      <c r="A706" s="22" t="s">
        <v>1134</v>
      </c>
      <c r="B706" s="30"/>
      <c r="C706" s="30"/>
      <c r="D706" s="30" t="s">
        <v>1102</v>
      </c>
      <c r="E706" s="30" t="s">
        <v>115</v>
      </c>
      <c r="F706" s="30" t="s">
        <v>169</v>
      </c>
      <c r="G706" s="30" t="s">
        <v>1196</v>
      </c>
      <c r="H706" s="30" t="s">
        <v>241</v>
      </c>
      <c r="I706" s="30" t="s">
        <v>114</v>
      </c>
    </row>
    <row r="707" spans="1:9">
      <c r="A707" s="22" t="s">
        <v>1134</v>
      </c>
      <c r="B707" s="30"/>
      <c r="C707" s="30"/>
      <c r="D707" s="30" t="s">
        <v>1103</v>
      </c>
      <c r="E707" s="30" t="s">
        <v>112</v>
      </c>
      <c r="F707" s="30" t="s">
        <v>169</v>
      </c>
      <c r="G707" s="30" t="s">
        <v>571</v>
      </c>
      <c r="H707" s="30" t="s">
        <v>241</v>
      </c>
      <c r="I707" s="30" t="s">
        <v>572</v>
      </c>
    </row>
    <row r="708" spans="1:9">
      <c r="A708" s="22" t="s">
        <v>1134</v>
      </c>
      <c r="B708" s="30"/>
      <c r="C708" s="30"/>
      <c r="D708" s="30" t="s">
        <v>727</v>
      </c>
      <c r="E708" s="30" t="s">
        <v>115</v>
      </c>
      <c r="F708" s="30" t="s">
        <v>180</v>
      </c>
      <c r="G708" s="30" t="s">
        <v>1202</v>
      </c>
      <c r="H708" s="30" t="s">
        <v>241</v>
      </c>
      <c r="I708" s="30" t="s">
        <v>114</v>
      </c>
    </row>
    <row r="709" spans="1:9">
      <c r="A709" s="22" t="s">
        <v>1134</v>
      </c>
      <c r="B709" s="30"/>
      <c r="C709" s="30"/>
      <c r="D709" s="30" t="s">
        <v>1104</v>
      </c>
      <c r="E709" s="30" t="s">
        <v>115</v>
      </c>
      <c r="F709" s="30" t="s">
        <v>180</v>
      </c>
      <c r="G709" s="30" t="s">
        <v>1203</v>
      </c>
      <c r="H709" s="30" t="s">
        <v>241</v>
      </c>
      <c r="I709" s="30" t="s">
        <v>114</v>
      </c>
    </row>
    <row r="710" spans="1:9">
      <c r="A710" s="22" t="s">
        <v>1134</v>
      </c>
      <c r="B710" s="30"/>
      <c r="C710" s="30"/>
      <c r="D710" s="30" t="s">
        <v>1105</v>
      </c>
      <c r="E710" s="30" t="s">
        <v>112</v>
      </c>
      <c r="F710" s="30" t="s">
        <v>180</v>
      </c>
      <c r="G710" s="30" t="s">
        <v>571</v>
      </c>
      <c r="H710" s="30" t="s">
        <v>241</v>
      </c>
      <c r="I710" s="30" t="s">
        <v>572</v>
      </c>
    </row>
    <row r="711" spans="1:9">
      <c r="A711" s="22" t="s">
        <v>1134</v>
      </c>
      <c r="B711" s="30"/>
      <c r="C711" s="30"/>
      <c r="D711" s="30" t="s">
        <v>728</v>
      </c>
      <c r="E711" s="30" t="s">
        <v>115</v>
      </c>
      <c r="F711" s="30" t="s">
        <v>181</v>
      </c>
      <c r="G711" s="30" t="s">
        <v>1197</v>
      </c>
      <c r="H711" s="30" t="s">
        <v>241</v>
      </c>
      <c r="I711" s="30" t="s">
        <v>114</v>
      </c>
    </row>
    <row r="712" spans="1:9">
      <c r="A712" s="22" t="s">
        <v>1134</v>
      </c>
      <c r="B712" s="30"/>
      <c r="C712" s="30"/>
      <c r="D712" s="30" t="s">
        <v>1106</v>
      </c>
      <c r="E712" s="30" t="s">
        <v>115</v>
      </c>
      <c r="F712" s="30" t="s">
        <v>181</v>
      </c>
      <c r="G712" s="30" t="s">
        <v>1198</v>
      </c>
      <c r="H712" s="30" t="s">
        <v>241</v>
      </c>
      <c r="I712" s="30" t="s">
        <v>114</v>
      </c>
    </row>
    <row r="713" spans="1:9">
      <c r="A713" s="22" t="s">
        <v>1134</v>
      </c>
      <c r="B713" s="30"/>
      <c r="C713" s="30"/>
      <c r="D713" s="30" t="s">
        <v>1107</v>
      </c>
      <c r="E713" s="30" t="s">
        <v>112</v>
      </c>
      <c r="F713" s="30" t="s">
        <v>181</v>
      </c>
      <c r="G713" s="30" t="s">
        <v>571</v>
      </c>
      <c r="H713" s="30" t="s">
        <v>241</v>
      </c>
      <c r="I713" s="30" t="s">
        <v>572</v>
      </c>
    </row>
    <row r="714" spans="1:9">
      <c r="A714" s="22" t="s">
        <v>1134</v>
      </c>
      <c r="B714" s="30"/>
      <c r="C714" s="30"/>
      <c r="D714" s="30" t="s">
        <v>729</v>
      </c>
      <c r="E714" s="30" t="s">
        <v>115</v>
      </c>
      <c r="F714" s="30" t="s">
        <v>182</v>
      </c>
      <c r="G714" s="30" t="s">
        <v>1199</v>
      </c>
      <c r="H714" s="30" t="s">
        <v>241</v>
      </c>
      <c r="I714" s="30" t="s">
        <v>114</v>
      </c>
    </row>
    <row r="715" spans="1:9">
      <c r="A715" s="22" t="s">
        <v>1134</v>
      </c>
      <c r="B715" s="30"/>
      <c r="C715" s="30"/>
      <c r="D715" s="30" t="s">
        <v>1108</v>
      </c>
      <c r="E715" s="30" t="s">
        <v>115</v>
      </c>
      <c r="F715" s="30" t="s">
        <v>182</v>
      </c>
      <c r="G715" s="30" t="s">
        <v>1200</v>
      </c>
      <c r="H715" s="30" t="s">
        <v>241</v>
      </c>
      <c r="I715" s="30" t="s">
        <v>114</v>
      </c>
    </row>
    <row r="716" spans="1:9">
      <c r="A716" s="22" t="s">
        <v>1134</v>
      </c>
      <c r="B716" s="30"/>
      <c r="C716" s="30"/>
      <c r="D716" s="30" t="s">
        <v>1109</v>
      </c>
      <c r="E716" s="30" t="s">
        <v>112</v>
      </c>
      <c r="F716" s="30" t="s">
        <v>182</v>
      </c>
      <c r="G716" s="30" t="s">
        <v>571</v>
      </c>
      <c r="H716" s="30" t="s">
        <v>241</v>
      </c>
      <c r="I716" s="30" t="s">
        <v>572</v>
      </c>
    </row>
    <row r="717" spans="1:9">
      <c r="A717" s="22" t="s">
        <v>1134</v>
      </c>
      <c r="B717" s="30"/>
      <c r="C717" s="30"/>
      <c r="D717" s="30" t="s">
        <v>730</v>
      </c>
      <c r="E717" s="30" t="s">
        <v>115</v>
      </c>
      <c r="F717" s="30" t="s">
        <v>183</v>
      </c>
      <c r="G717" s="30" t="s">
        <v>1204</v>
      </c>
      <c r="H717" s="30" t="s">
        <v>241</v>
      </c>
      <c r="I717" s="30" t="s">
        <v>114</v>
      </c>
    </row>
    <row r="718" spans="1:9">
      <c r="A718" s="22" t="s">
        <v>1134</v>
      </c>
      <c r="B718" s="30"/>
      <c r="C718" s="30"/>
      <c r="D718" s="30" t="s">
        <v>1110</v>
      </c>
      <c r="E718" s="30" t="s">
        <v>115</v>
      </c>
      <c r="F718" s="30" t="s">
        <v>183</v>
      </c>
      <c r="G718" s="30" t="s">
        <v>1205</v>
      </c>
      <c r="H718" s="30" t="s">
        <v>241</v>
      </c>
      <c r="I718" s="30" t="s">
        <v>114</v>
      </c>
    </row>
    <row r="719" spans="1:9">
      <c r="A719" s="22" t="s">
        <v>1134</v>
      </c>
      <c r="B719" s="30"/>
      <c r="C719" s="30"/>
      <c r="D719" s="30" t="s">
        <v>1111</v>
      </c>
      <c r="E719" s="30" t="s">
        <v>112</v>
      </c>
      <c r="F719" s="30" t="s">
        <v>183</v>
      </c>
      <c r="G719" s="30" t="s">
        <v>571</v>
      </c>
      <c r="H719" s="30" t="s">
        <v>241</v>
      </c>
      <c r="I719" s="30" t="s">
        <v>572</v>
      </c>
    </row>
    <row r="720" spans="1:9">
      <c r="A720" s="22" t="s">
        <v>1134</v>
      </c>
      <c r="B720" s="30"/>
      <c r="C720" s="30"/>
      <c r="D720" s="30" t="s">
        <v>731</v>
      </c>
      <c r="E720" s="30" t="s">
        <v>115</v>
      </c>
      <c r="F720" s="30" t="s">
        <v>184</v>
      </c>
      <c r="G720" s="30" t="s">
        <v>1189</v>
      </c>
      <c r="H720" s="30" t="s">
        <v>241</v>
      </c>
      <c r="I720" s="30" t="s">
        <v>114</v>
      </c>
    </row>
    <row r="721" spans="1:9">
      <c r="A721" s="22" t="s">
        <v>1134</v>
      </c>
      <c r="B721" s="30"/>
      <c r="C721" s="30"/>
      <c r="D721" s="30" t="s">
        <v>1112</v>
      </c>
      <c r="E721" s="30" t="s">
        <v>115</v>
      </c>
      <c r="F721" s="30" t="s">
        <v>184</v>
      </c>
      <c r="G721" s="30" t="s">
        <v>1190</v>
      </c>
      <c r="H721" s="30" t="s">
        <v>241</v>
      </c>
      <c r="I721" s="30" t="s">
        <v>114</v>
      </c>
    </row>
    <row r="722" spans="1:9">
      <c r="A722" s="22" t="s">
        <v>1134</v>
      </c>
      <c r="B722" s="30"/>
      <c r="C722" s="30"/>
      <c r="D722" s="30" t="s">
        <v>1181</v>
      </c>
      <c r="E722" s="30" t="s">
        <v>112</v>
      </c>
      <c r="F722" s="30" t="s">
        <v>184</v>
      </c>
      <c r="G722" s="30" t="s">
        <v>571</v>
      </c>
      <c r="H722" s="30" t="s">
        <v>241</v>
      </c>
      <c r="I722" s="30" t="s">
        <v>572</v>
      </c>
    </row>
    <row r="723" spans="1:9">
      <c r="A723" s="22" t="s">
        <v>1135</v>
      </c>
      <c r="B723" s="30"/>
      <c r="C723" s="30"/>
      <c r="D723" s="30" t="s">
        <v>838</v>
      </c>
      <c r="E723" s="30" t="s">
        <v>822</v>
      </c>
      <c r="F723" s="30" t="s">
        <v>111</v>
      </c>
      <c r="G723" s="30" t="s">
        <v>865</v>
      </c>
      <c r="H723" s="30" t="s">
        <v>241</v>
      </c>
      <c r="I723" s="30" t="s">
        <v>823</v>
      </c>
    </row>
    <row r="724" spans="1:9">
      <c r="A724" s="22" t="s">
        <v>1135</v>
      </c>
      <c r="B724" s="30"/>
      <c r="C724" s="30"/>
      <c r="D724" s="30" t="s">
        <v>839</v>
      </c>
      <c r="E724" s="30" t="s">
        <v>822</v>
      </c>
      <c r="F724" s="30" t="s">
        <v>111</v>
      </c>
      <c r="G724" s="30" t="s">
        <v>865</v>
      </c>
      <c r="H724" s="30" t="s">
        <v>241</v>
      </c>
      <c r="I724" s="30" t="s">
        <v>232</v>
      </c>
    </row>
    <row r="725" spans="1:9">
      <c r="A725" s="28"/>
      <c r="B725" s="28"/>
      <c r="C725" s="28"/>
      <c r="D725" s="28"/>
      <c r="E725" s="29" t="s">
        <v>778</v>
      </c>
      <c r="F725" s="28"/>
      <c r="G725" s="28"/>
      <c r="H725" s="28"/>
      <c r="I725" s="28"/>
    </row>
    <row r="726" spans="1:9">
      <c r="A726" s="22" t="s">
        <v>1134</v>
      </c>
      <c r="B726" s="30"/>
      <c r="C726" s="30"/>
      <c r="D726" s="22" t="s">
        <v>732</v>
      </c>
      <c r="E726" s="30" t="s">
        <v>115</v>
      </c>
      <c r="F726" s="30" t="s">
        <v>111</v>
      </c>
      <c r="G726" s="30" t="s">
        <v>863</v>
      </c>
      <c r="H726" s="30" t="s">
        <v>241</v>
      </c>
      <c r="I726" s="30" t="s">
        <v>114</v>
      </c>
    </row>
    <row r="727" spans="1:9">
      <c r="A727" s="22" t="s">
        <v>1134</v>
      </c>
      <c r="B727" s="30"/>
      <c r="C727" s="30"/>
      <c r="D727" s="22" t="s">
        <v>733</v>
      </c>
      <c r="E727" s="30" t="s">
        <v>120</v>
      </c>
      <c r="F727" s="30" t="s">
        <v>111</v>
      </c>
      <c r="G727" s="30" t="s">
        <v>863</v>
      </c>
      <c r="H727" s="30" t="s">
        <v>241</v>
      </c>
      <c r="I727" s="30" t="s">
        <v>114</v>
      </c>
    </row>
    <row r="728" spans="1:9">
      <c r="A728" s="22" t="s">
        <v>1134</v>
      </c>
      <c r="B728" s="30"/>
      <c r="C728" s="30"/>
      <c r="D728" s="30" t="s">
        <v>734</v>
      </c>
      <c r="E728" s="30" t="s">
        <v>112</v>
      </c>
      <c r="F728" s="30" t="s">
        <v>111</v>
      </c>
      <c r="G728" s="30" t="s">
        <v>113</v>
      </c>
      <c r="H728" s="30" t="s">
        <v>241</v>
      </c>
      <c r="I728" s="30" t="s">
        <v>114</v>
      </c>
    </row>
    <row r="729" spans="1:9">
      <c r="A729" s="22" t="s">
        <v>1134</v>
      </c>
      <c r="C729" s="30"/>
      <c r="D729" s="30" t="s">
        <v>735</v>
      </c>
      <c r="E729" s="30" t="s">
        <v>115</v>
      </c>
      <c r="F729" s="30" t="s">
        <v>111</v>
      </c>
      <c r="G729" s="30" t="s">
        <v>863</v>
      </c>
      <c r="H729" s="30" t="s">
        <v>241</v>
      </c>
      <c r="I729" s="30" t="s">
        <v>204</v>
      </c>
    </row>
    <row r="730" spans="1:9">
      <c r="A730" s="22" t="s">
        <v>1134</v>
      </c>
      <c r="C730" s="30"/>
      <c r="D730" s="30" t="s">
        <v>736</v>
      </c>
      <c r="E730" s="30" t="s">
        <v>115</v>
      </c>
      <c r="F730" s="30" t="s">
        <v>111</v>
      </c>
      <c r="G730" s="30" t="s">
        <v>863</v>
      </c>
      <c r="H730" s="30" t="s">
        <v>241</v>
      </c>
      <c r="I730" s="30" t="s">
        <v>232</v>
      </c>
    </row>
    <row r="731" spans="1:9">
      <c r="A731" s="22" t="s">
        <v>1134</v>
      </c>
      <c r="B731" s="30"/>
      <c r="C731" s="30"/>
      <c r="D731" s="30" t="s">
        <v>737</v>
      </c>
      <c r="E731" s="30" t="s">
        <v>115</v>
      </c>
      <c r="F731" s="30" t="s">
        <v>111</v>
      </c>
      <c r="G731" s="30" t="s">
        <v>863</v>
      </c>
      <c r="H731" s="30" t="s">
        <v>241</v>
      </c>
      <c r="I731" s="30" t="s">
        <v>118</v>
      </c>
    </row>
    <row r="732" spans="1:9">
      <c r="A732" s="22" t="s">
        <v>1134</v>
      </c>
      <c r="B732" s="30"/>
      <c r="C732" s="30"/>
      <c r="D732" s="30" t="s">
        <v>738</v>
      </c>
      <c r="E732" s="30" t="s">
        <v>115</v>
      </c>
      <c r="F732" s="30" t="s">
        <v>111</v>
      </c>
      <c r="G732" s="30" t="s">
        <v>864</v>
      </c>
      <c r="H732" s="30" t="s">
        <v>241</v>
      </c>
      <c r="I732" s="30" t="s">
        <v>118</v>
      </c>
    </row>
    <row r="733" spans="1:9">
      <c r="A733" s="22" t="s">
        <v>1134</v>
      </c>
      <c r="C733" s="30"/>
      <c r="D733" s="30" t="s">
        <v>1113</v>
      </c>
      <c r="E733" s="30" t="s">
        <v>112</v>
      </c>
      <c r="F733" s="30" t="s">
        <v>247</v>
      </c>
      <c r="G733" s="30"/>
      <c r="H733" s="30" t="s">
        <v>241</v>
      </c>
      <c r="I733" s="30" t="s">
        <v>118</v>
      </c>
    </row>
    <row r="734" spans="1:9">
      <c r="A734" s="22" t="s">
        <v>1134</v>
      </c>
      <c r="C734" s="30"/>
      <c r="D734" s="30" t="s">
        <v>1114</v>
      </c>
      <c r="E734" s="30" t="s">
        <v>127</v>
      </c>
      <c r="F734" s="30" t="s">
        <v>247</v>
      </c>
      <c r="G734" s="30"/>
      <c r="H734" s="30" t="s">
        <v>241</v>
      </c>
      <c r="I734" s="30" t="s">
        <v>118</v>
      </c>
    </row>
    <row r="735" spans="1:9">
      <c r="A735" s="22" t="s">
        <v>1134</v>
      </c>
      <c r="B735" s="30"/>
      <c r="C735" s="30"/>
      <c r="D735" s="30" t="s">
        <v>1115</v>
      </c>
      <c r="E735" s="30" t="s">
        <v>112</v>
      </c>
      <c r="F735" s="30" t="s">
        <v>123</v>
      </c>
      <c r="G735" s="30"/>
      <c r="H735" s="30" t="s">
        <v>241</v>
      </c>
      <c r="I735" s="30" t="s">
        <v>240</v>
      </c>
    </row>
    <row r="736" spans="1:9">
      <c r="A736" s="22" t="s">
        <v>1134</v>
      </c>
      <c r="B736" s="30"/>
      <c r="C736" s="30"/>
      <c r="D736" s="30" t="s">
        <v>1116</v>
      </c>
      <c r="E736" s="30" t="s">
        <v>127</v>
      </c>
      <c r="F736" s="30" t="s">
        <v>123</v>
      </c>
      <c r="G736" s="30"/>
      <c r="H736" s="30" t="s">
        <v>241</v>
      </c>
      <c r="I736" s="30" t="s">
        <v>240</v>
      </c>
    </row>
    <row r="737" spans="1:9">
      <c r="A737" s="22" t="s">
        <v>1134</v>
      </c>
      <c r="B737" s="30"/>
      <c r="C737" s="30"/>
      <c r="D737" s="30" t="s">
        <v>739</v>
      </c>
      <c r="E737" s="30" t="s">
        <v>112</v>
      </c>
      <c r="F737" s="30" t="s">
        <v>866</v>
      </c>
      <c r="G737" s="30"/>
      <c r="H737" s="30" t="s">
        <v>241</v>
      </c>
      <c r="I737" s="30" t="s">
        <v>126</v>
      </c>
    </row>
    <row r="738" spans="1:9">
      <c r="A738" s="22" t="s">
        <v>1134</v>
      </c>
      <c r="B738" s="30"/>
      <c r="C738" s="30"/>
      <c r="D738" s="30" t="s">
        <v>740</v>
      </c>
      <c r="E738" s="30" t="s">
        <v>127</v>
      </c>
      <c r="F738" s="30" t="s">
        <v>866</v>
      </c>
      <c r="G738" s="30"/>
      <c r="H738" s="30" t="s">
        <v>241</v>
      </c>
      <c r="I738" s="30" t="s">
        <v>126</v>
      </c>
    </row>
    <row r="739" spans="1:9">
      <c r="A739" s="22" t="s">
        <v>1134</v>
      </c>
      <c r="B739" s="30"/>
      <c r="C739" s="30"/>
      <c r="D739" s="30" t="s">
        <v>1117</v>
      </c>
      <c r="E739" s="30" t="s">
        <v>112</v>
      </c>
      <c r="F739" s="30" t="s">
        <v>866</v>
      </c>
      <c r="G739" s="30"/>
      <c r="H739" s="30" t="s">
        <v>241</v>
      </c>
      <c r="I739" s="30" t="s">
        <v>128</v>
      </c>
    </row>
    <row r="740" spans="1:9">
      <c r="A740" s="22" t="s">
        <v>1134</v>
      </c>
      <c r="B740" s="30"/>
      <c r="C740" s="30"/>
      <c r="D740" s="30" t="s">
        <v>1118</v>
      </c>
      <c r="E740" s="30" t="s">
        <v>127</v>
      </c>
      <c r="F740" s="30" t="s">
        <v>866</v>
      </c>
      <c r="G740" s="30"/>
      <c r="H740" s="30" t="s">
        <v>241</v>
      </c>
      <c r="I740" s="30" t="s">
        <v>128</v>
      </c>
    </row>
    <row r="741" spans="1:9">
      <c r="A741" s="22" t="s">
        <v>1134</v>
      </c>
      <c r="B741" s="30"/>
      <c r="C741" s="30"/>
      <c r="D741" s="22" t="s">
        <v>1119</v>
      </c>
      <c r="E741" s="30" t="s">
        <v>120</v>
      </c>
      <c r="F741" s="30" t="s">
        <v>111</v>
      </c>
      <c r="G741" s="30"/>
      <c r="H741" s="30" t="s">
        <v>241</v>
      </c>
      <c r="I741" s="30" t="s">
        <v>213</v>
      </c>
    </row>
    <row r="742" spans="1:9">
      <c r="A742" s="22" t="s">
        <v>1134</v>
      </c>
      <c r="B742" s="30"/>
      <c r="C742" s="30"/>
      <c r="D742" s="30" t="s">
        <v>742</v>
      </c>
      <c r="E742" s="30" t="s">
        <v>115</v>
      </c>
      <c r="F742" s="30" t="s">
        <v>178</v>
      </c>
      <c r="G742" s="30" t="s">
        <v>1191</v>
      </c>
      <c r="H742" s="30" t="s">
        <v>241</v>
      </c>
      <c r="I742" s="30" t="s">
        <v>114</v>
      </c>
    </row>
    <row r="743" spans="1:9">
      <c r="A743" s="22" t="s">
        <v>1134</v>
      </c>
      <c r="B743" s="30"/>
      <c r="C743" s="30"/>
      <c r="D743" s="30" t="s">
        <v>1120</v>
      </c>
      <c r="E743" s="30" t="s">
        <v>115</v>
      </c>
      <c r="F743" s="30" t="s">
        <v>178</v>
      </c>
      <c r="G743" s="30" t="s">
        <v>1192</v>
      </c>
      <c r="H743" s="30" t="s">
        <v>241</v>
      </c>
      <c r="I743" s="30" t="s">
        <v>114</v>
      </c>
    </row>
    <row r="744" spans="1:9">
      <c r="A744" s="22" t="s">
        <v>1134</v>
      </c>
      <c r="B744" s="30"/>
      <c r="C744" s="30"/>
      <c r="D744" s="30" t="s">
        <v>1182</v>
      </c>
      <c r="E744" s="30" t="s">
        <v>112</v>
      </c>
      <c r="F744" s="30" t="s">
        <v>178</v>
      </c>
      <c r="G744" s="30" t="s">
        <v>571</v>
      </c>
      <c r="H744" s="30" t="s">
        <v>241</v>
      </c>
      <c r="I744" s="30" t="s">
        <v>572</v>
      </c>
    </row>
    <row r="745" spans="1:9">
      <c r="A745" s="22" t="s">
        <v>1134</v>
      </c>
      <c r="B745" s="30"/>
      <c r="C745" s="30"/>
      <c r="D745" s="30" t="s">
        <v>743</v>
      </c>
      <c r="E745" s="30" t="s">
        <v>115</v>
      </c>
      <c r="F745" s="30" t="s">
        <v>179</v>
      </c>
      <c r="G745" s="30" t="s">
        <v>1193</v>
      </c>
      <c r="H745" s="30" t="s">
        <v>241</v>
      </c>
      <c r="I745" s="30" t="s">
        <v>114</v>
      </c>
    </row>
    <row r="746" spans="1:9">
      <c r="A746" s="22" t="s">
        <v>1134</v>
      </c>
      <c r="B746" s="30"/>
      <c r="C746" s="30"/>
      <c r="D746" s="30" t="s">
        <v>1121</v>
      </c>
      <c r="E746" s="30" t="s">
        <v>115</v>
      </c>
      <c r="F746" s="30" t="s">
        <v>179</v>
      </c>
      <c r="G746" s="30" t="s">
        <v>1194</v>
      </c>
      <c r="H746" s="30" t="s">
        <v>241</v>
      </c>
      <c r="I746" s="30" t="s">
        <v>114</v>
      </c>
    </row>
    <row r="747" spans="1:9">
      <c r="A747" s="22" t="s">
        <v>1134</v>
      </c>
      <c r="B747" s="30"/>
      <c r="C747" s="30"/>
      <c r="D747" s="30" t="s">
        <v>1122</v>
      </c>
      <c r="E747" s="30" t="s">
        <v>112</v>
      </c>
      <c r="F747" s="30" t="s">
        <v>179</v>
      </c>
      <c r="G747" s="30" t="s">
        <v>571</v>
      </c>
      <c r="H747" s="30" t="s">
        <v>241</v>
      </c>
      <c r="I747" s="30" t="s">
        <v>572</v>
      </c>
    </row>
    <row r="748" spans="1:9">
      <c r="A748" s="22" t="s">
        <v>1134</v>
      </c>
      <c r="B748" s="30"/>
      <c r="C748" s="30"/>
      <c r="D748" s="30" t="s">
        <v>1183</v>
      </c>
      <c r="E748" s="30" t="s">
        <v>115</v>
      </c>
      <c r="F748" s="30" t="s">
        <v>169</v>
      </c>
      <c r="G748" s="30" t="s">
        <v>1195</v>
      </c>
      <c r="H748" s="30" t="s">
        <v>241</v>
      </c>
      <c r="I748" s="30" t="s">
        <v>114</v>
      </c>
    </row>
    <row r="749" spans="1:9">
      <c r="A749" s="22" t="s">
        <v>1134</v>
      </c>
      <c r="B749" s="30"/>
      <c r="C749" s="30"/>
      <c r="D749" s="30" t="s">
        <v>1123</v>
      </c>
      <c r="E749" s="30" t="s">
        <v>115</v>
      </c>
      <c r="F749" s="30" t="s">
        <v>169</v>
      </c>
      <c r="G749" s="30" t="s">
        <v>1196</v>
      </c>
      <c r="H749" s="30" t="s">
        <v>241</v>
      </c>
      <c r="I749" s="30" t="s">
        <v>114</v>
      </c>
    </row>
    <row r="750" spans="1:9">
      <c r="A750" s="22" t="s">
        <v>1134</v>
      </c>
      <c r="B750" s="30"/>
      <c r="C750" s="30"/>
      <c r="D750" s="30" t="s">
        <v>1124</v>
      </c>
      <c r="E750" s="30" t="s">
        <v>112</v>
      </c>
      <c r="F750" s="30" t="s">
        <v>169</v>
      </c>
      <c r="G750" s="30" t="s">
        <v>571</v>
      </c>
      <c r="H750" s="30" t="s">
        <v>241</v>
      </c>
      <c r="I750" s="30" t="s">
        <v>572</v>
      </c>
    </row>
    <row r="751" spans="1:9">
      <c r="A751" s="22" t="s">
        <v>1134</v>
      </c>
      <c r="B751" s="30"/>
      <c r="C751" s="30"/>
      <c r="D751" s="30" t="s">
        <v>744</v>
      </c>
      <c r="E751" s="30" t="s">
        <v>115</v>
      </c>
      <c r="F751" s="30" t="s">
        <v>180</v>
      </c>
      <c r="G751" s="30" t="s">
        <v>1202</v>
      </c>
      <c r="H751" s="30" t="s">
        <v>241</v>
      </c>
      <c r="I751" s="30" t="s">
        <v>114</v>
      </c>
    </row>
    <row r="752" spans="1:9">
      <c r="A752" s="22" t="s">
        <v>1134</v>
      </c>
      <c r="B752" s="30"/>
      <c r="C752" s="30"/>
      <c r="D752" s="30" t="s">
        <v>1125</v>
      </c>
      <c r="E752" s="30" t="s">
        <v>115</v>
      </c>
      <c r="F752" s="30" t="s">
        <v>180</v>
      </c>
      <c r="G752" s="30" t="s">
        <v>1203</v>
      </c>
      <c r="H752" s="30" t="s">
        <v>241</v>
      </c>
      <c r="I752" s="30" t="s">
        <v>114</v>
      </c>
    </row>
    <row r="753" spans="1:9">
      <c r="A753" s="22" t="s">
        <v>1134</v>
      </c>
      <c r="B753" s="30"/>
      <c r="C753" s="30"/>
      <c r="D753" s="30" t="s">
        <v>1126</v>
      </c>
      <c r="E753" s="30" t="s">
        <v>112</v>
      </c>
      <c r="F753" s="30" t="s">
        <v>180</v>
      </c>
      <c r="G753" s="30" t="s">
        <v>571</v>
      </c>
      <c r="H753" s="30" t="s">
        <v>241</v>
      </c>
      <c r="I753" s="30" t="s">
        <v>572</v>
      </c>
    </row>
    <row r="754" spans="1:9">
      <c r="A754" s="22" t="s">
        <v>1134</v>
      </c>
      <c r="B754" s="30"/>
      <c r="C754" s="30"/>
      <c r="D754" s="30" t="s">
        <v>745</v>
      </c>
      <c r="E754" s="30" t="s">
        <v>115</v>
      </c>
      <c r="F754" s="30" t="s">
        <v>181</v>
      </c>
      <c r="G754" s="30" t="s">
        <v>1197</v>
      </c>
      <c r="H754" s="30" t="s">
        <v>241</v>
      </c>
      <c r="I754" s="30" t="s">
        <v>114</v>
      </c>
    </row>
    <row r="755" spans="1:9">
      <c r="A755" s="22" t="s">
        <v>1134</v>
      </c>
      <c r="B755" s="30"/>
      <c r="C755" s="30"/>
      <c r="D755" s="30" t="s">
        <v>1127</v>
      </c>
      <c r="E755" s="30" t="s">
        <v>115</v>
      </c>
      <c r="F755" s="30" t="s">
        <v>181</v>
      </c>
      <c r="G755" s="30" t="s">
        <v>1198</v>
      </c>
      <c r="H755" s="30" t="s">
        <v>241</v>
      </c>
      <c r="I755" s="30" t="s">
        <v>114</v>
      </c>
    </row>
    <row r="756" spans="1:9">
      <c r="A756" s="22" t="s">
        <v>1134</v>
      </c>
      <c r="B756" s="30"/>
      <c r="C756" s="30"/>
      <c r="D756" s="30" t="s">
        <v>1128</v>
      </c>
      <c r="E756" s="30" t="s">
        <v>112</v>
      </c>
      <c r="F756" s="30" t="s">
        <v>181</v>
      </c>
      <c r="G756" s="30" t="s">
        <v>571</v>
      </c>
      <c r="H756" s="30" t="s">
        <v>241</v>
      </c>
      <c r="I756" s="30" t="s">
        <v>572</v>
      </c>
    </row>
    <row r="757" spans="1:9">
      <c r="A757" s="22" t="s">
        <v>1134</v>
      </c>
      <c r="B757" s="30"/>
      <c r="C757" s="30"/>
      <c r="D757" s="30" t="s">
        <v>746</v>
      </c>
      <c r="E757" s="30" t="s">
        <v>115</v>
      </c>
      <c r="F757" s="30" t="s">
        <v>182</v>
      </c>
      <c r="G757" s="30" t="s">
        <v>1199</v>
      </c>
      <c r="H757" s="30" t="s">
        <v>241</v>
      </c>
      <c r="I757" s="30" t="s">
        <v>114</v>
      </c>
    </row>
    <row r="758" spans="1:9">
      <c r="A758" s="22" t="s">
        <v>1134</v>
      </c>
      <c r="B758" s="30"/>
      <c r="C758" s="30"/>
      <c r="D758" s="30" t="s">
        <v>1129</v>
      </c>
      <c r="E758" s="30" t="s">
        <v>115</v>
      </c>
      <c r="F758" s="30" t="s">
        <v>182</v>
      </c>
      <c r="G758" s="30" t="s">
        <v>1200</v>
      </c>
      <c r="H758" s="30" t="s">
        <v>241</v>
      </c>
      <c r="I758" s="30" t="s">
        <v>114</v>
      </c>
    </row>
    <row r="759" spans="1:9">
      <c r="A759" s="22" t="s">
        <v>1134</v>
      </c>
      <c r="B759" s="30"/>
      <c r="C759" s="30"/>
      <c r="D759" s="30" t="s">
        <v>1130</v>
      </c>
      <c r="E759" s="30" t="s">
        <v>112</v>
      </c>
      <c r="F759" s="30" t="s">
        <v>182</v>
      </c>
      <c r="G759" s="30" t="s">
        <v>571</v>
      </c>
      <c r="H759" s="30" t="s">
        <v>241</v>
      </c>
      <c r="I759" s="30" t="s">
        <v>572</v>
      </c>
    </row>
    <row r="760" spans="1:9">
      <c r="A760" s="22" t="s">
        <v>1134</v>
      </c>
      <c r="B760" s="30"/>
      <c r="C760" s="30"/>
      <c r="D760" s="30" t="s">
        <v>747</v>
      </c>
      <c r="E760" s="30" t="s">
        <v>115</v>
      </c>
      <c r="F760" s="30" t="s">
        <v>183</v>
      </c>
      <c r="G760" s="30" t="s">
        <v>1204</v>
      </c>
      <c r="H760" s="30" t="s">
        <v>241</v>
      </c>
      <c r="I760" s="30" t="s">
        <v>114</v>
      </c>
    </row>
    <row r="761" spans="1:9">
      <c r="A761" s="22" t="s">
        <v>1134</v>
      </c>
      <c r="B761" s="30"/>
      <c r="C761" s="30"/>
      <c r="D761" s="30" t="s">
        <v>1131</v>
      </c>
      <c r="E761" s="30" t="s">
        <v>115</v>
      </c>
      <c r="F761" s="30" t="s">
        <v>183</v>
      </c>
      <c r="G761" s="30" t="s">
        <v>1205</v>
      </c>
      <c r="H761" s="30" t="s">
        <v>241</v>
      </c>
      <c r="I761" s="30" t="s">
        <v>114</v>
      </c>
    </row>
    <row r="762" spans="1:9">
      <c r="A762" s="22" t="s">
        <v>1134</v>
      </c>
      <c r="B762" s="30"/>
      <c r="C762" s="30"/>
      <c r="D762" s="30" t="s">
        <v>1132</v>
      </c>
      <c r="E762" s="30" t="s">
        <v>112</v>
      </c>
      <c r="F762" s="30" t="s">
        <v>183</v>
      </c>
      <c r="G762" s="30" t="s">
        <v>571</v>
      </c>
      <c r="H762" s="30" t="s">
        <v>241</v>
      </c>
      <c r="I762" s="30" t="s">
        <v>572</v>
      </c>
    </row>
    <row r="763" spans="1:9">
      <c r="A763" s="22" t="s">
        <v>1134</v>
      </c>
      <c r="B763" s="30"/>
      <c r="C763" s="30"/>
      <c r="D763" s="30" t="s">
        <v>748</v>
      </c>
      <c r="E763" s="30" t="s">
        <v>115</v>
      </c>
      <c r="F763" s="30" t="s">
        <v>184</v>
      </c>
      <c r="G763" s="30" t="s">
        <v>1189</v>
      </c>
      <c r="H763" s="30" t="s">
        <v>241</v>
      </c>
      <c r="I763" s="30" t="s">
        <v>114</v>
      </c>
    </row>
    <row r="764" spans="1:9">
      <c r="A764" s="22" t="s">
        <v>1134</v>
      </c>
      <c r="B764" s="30"/>
      <c r="C764" s="30"/>
      <c r="D764" s="30" t="s">
        <v>1133</v>
      </c>
      <c r="E764" s="30" t="s">
        <v>115</v>
      </c>
      <c r="F764" s="30" t="s">
        <v>184</v>
      </c>
      <c r="G764" s="30" t="s">
        <v>1190</v>
      </c>
      <c r="H764" s="30" t="s">
        <v>241</v>
      </c>
      <c r="I764" s="30" t="s">
        <v>114</v>
      </c>
    </row>
    <row r="765" spans="1:9">
      <c r="A765" s="22" t="s">
        <v>1134</v>
      </c>
      <c r="B765" s="30"/>
      <c r="C765" s="30"/>
      <c r="D765" s="30" t="s">
        <v>1184</v>
      </c>
      <c r="E765" s="30" t="s">
        <v>112</v>
      </c>
      <c r="F765" s="30" t="s">
        <v>184</v>
      </c>
      <c r="G765" s="30" t="s">
        <v>571</v>
      </c>
      <c r="H765" s="30" t="s">
        <v>241</v>
      </c>
      <c r="I765" s="30" t="s">
        <v>572</v>
      </c>
    </row>
    <row r="766" spans="1:9">
      <c r="A766" s="22" t="s">
        <v>1135</v>
      </c>
      <c r="B766" s="30"/>
      <c r="C766" s="30"/>
      <c r="D766" s="30" t="s">
        <v>840</v>
      </c>
      <c r="E766" s="30" t="s">
        <v>822</v>
      </c>
      <c r="F766" s="30" t="s">
        <v>111</v>
      </c>
      <c r="G766" s="30" t="s">
        <v>865</v>
      </c>
      <c r="H766" s="30" t="s">
        <v>241</v>
      </c>
      <c r="I766" s="30" t="s">
        <v>823</v>
      </c>
    </row>
    <row r="767" spans="1:9">
      <c r="A767" s="22" t="s">
        <v>1135</v>
      </c>
      <c r="B767" s="30"/>
      <c r="C767" s="30"/>
      <c r="D767" s="30" t="s">
        <v>841</v>
      </c>
      <c r="E767" s="30" t="s">
        <v>822</v>
      </c>
      <c r="F767" s="30" t="s">
        <v>111</v>
      </c>
      <c r="G767" s="30" t="s">
        <v>865</v>
      </c>
      <c r="H767" s="30" t="s">
        <v>241</v>
      </c>
      <c r="I767" s="30" t="s">
        <v>232</v>
      </c>
    </row>
    <row r="768" spans="1:9">
      <c r="A768" s="30"/>
      <c r="B768" s="30"/>
      <c r="C768" s="30"/>
      <c r="D768" s="30"/>
      <c r="E768" s="30"/>
      <c r="F768" s="30"/>
      <c r="G768" s="30" t="s">
        <v>435</v>
      </c>
      <c r="H768" s="30"/>
      <c r="I768" s="30"/>
    </row>
  </sheetData>
  <dataConsolidate/>
  <pageMargins left="0.75" right="0.75" top="1" bottom="1" header="0.5" footer="0.5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13"/>
  <dimension ref="A2:K768"/>
  <sheetViews>
    <sheetView topLeftCell="D1" workbookViewId="0">
      <pane ySplit="4" topLeftCell="A738" activePane="bottomLeft" state="frozen"/>
      <selection activeCell="A748" sqref="A748"/>
      <selection pane="bottomLeft" activeCell="A748" sqref="A748"/>
    </sheetView>
  </sheetViews>
  <sheetFormatPr defaultRowHeight="12"/>
  <cols>
    <col min="1" max="1" width="23.85546875" style="22" customWidth="1"/>
    <col min="2" max="2" width="5.5703125" style="22" customWidth="1"/>
    <col min="3" max="3" width="53.28515625" style="22" customWidth="1"/>
    <col min="4" max="4" width="6.28515625" style="22" customWidth="1"/>
    <col min="5" max="5" width="23.140625" style="22" customWidth="1"/>
    <col min="6" max="6" width="15.7109375" style="22" customWidth="1"/>
    <col min="7" max="7" width="23.42578125" style="22" customWidth="1"/>
    <col min="8" max="8" width="14.7109375" style="22" customWidth="1"/>
    <col min="9" max="9" width="28.28515625" style="21" customWidth="1"/>
    <col min="10" max="16384" width="9.140625" style="21"/>
  </cols>
  <sheetData>
    <row r="2" spans="1:9" ht="12.75" thickBot="1">
      <c r="A2" s="21"/>
      <c r="B2" s="21"/>
      <c r="C2" s="21"/>
      <c r="D2" s="21"/>
      <c r="E2" s="21"/>
      <c r="F2" s="21"/>
      <c r="G2" s="21"/>
      <c r="H2" s="21"/>
    </row>
    <row r="3" spans="1:9">
      <c r="A3" s="26" t="s">
        <v>1</v>
      </c>
      <c r="B3" s="25" t="s">
        <v>8</v>
      </c>
      <c r="C3" s="26"/>
      <c r="D3" s="25" t="s">
        <v>0</v>
      </c>
      <c r="E3" s="27"/>
      <c r="F3" s="26" t="s">
        <v>4</v>
      </c>
      <c r="G3" s="26" t="s">
        <v>9</v>
      </c>
      <c r="H3" s="26" t="s">
        <v>3</v>
      </c>
      <c r="I3" s="25"/>
    </row>
    <row r="4" spans="1:9" ht="12.75" thickBot="1">
      <c r="A4" s="24" t="s">
        <v>5</v>
      </c>
      <c r="B4" s="23" t="s">
        <v>2</v>
      </c>
      <c r="C4" s="24" t="s">
        <v>8</v>
      </c>
      <c r="D4" s="23" t="s">
        <v>2</v>
      </c>
      <c r="E4" s="24" t="s">
        <v>7</v>
      </c>
      <c r="F4" s="24" t="s">
        <v>5</v>
      </c>
      <c r="G4" s="24" t="s">
        <v>16</v>
      </c>
      <c r="H4" s="24" t="s">
        <v>6</v>
      </c>
      <c r="I4" s="23" t="s">
        <v>17</v>
      </c>
    </row>
    <row r="5" spans="1:9">
      <c r="A5" s="22" t="s">
        <v>1138</v>
      </c>
      <c r="B5" s="22" t="s">
        <v>168</v>
      </c>
      <c r="C5" s="22" t="s">
        <v>310</v>
      </c>
    </row>
    <row r="6" spans="1:9">
      <c r="A6" s="22" t="s">
        <v>1138</v>
      </c>
      <c r="B6" s="22" t="s">
        <v>116</v>
      </c>
      <c r="C6" s="22" t="s">
        <v>243</v>
      </c>
    </row>
    <row r="7" spans="1:9">
      <c r="A7" s="22" t="s">
        <v>1138</v>
      </c>
      <c r="B7" s="22" t="s">
        <v>117</v>
      </c>
      <c r="C7" s="22" t="s">
        <v>259</v>
      </c>
    </row>
    <row r="8" spans="1:9">
      <c r="A8" s="22" t="s">
        <v>1138</v>
      </c>
      <c r="B8" s="22" t="s">
        <v>119</v>
      </c>
      <c r="C8" s="22" t="s">
        <v>244</v>
      </c>
    </row>
    <row r="9" spans="1:9">
      <c r="A9" s="22" t="s">
        <v>1138</v>
      </c>
      <c r="B9" s="21" t="s">
        <v>261</v>
      </c>
      <c r="C9" s="22" t="s">
        <v>524</v>
      </c>
    </row>
    <row r="10" spans="1:9">
      <c r="A10" s="22" t="s">
        <v>1138</v>
      </c>
      <c r="B10" s="22" t="s">
        <v>262</v>
      </c>
      <c r="C10" s="22" t="s">
        <v>311</v>
      </c>
    </row>
    <row r="11" spans="1:9">
      <c r="A11" s="22" t="s">
        <v>1138</v>
      </c>
      <c r="B11" s="22" t="s">
        <v>327</v>
      </c>
      <c r="C11" s="22" t="s">
        <v>245</v>
      </c>
    </row>
    <row r="12" spans="1:9">
      <c r="A12" s="22" t="s">
        <v>1138</v>
      </c>
      <c r="B12" s="22" t="s">
        <v>359</v>
      </c>
      <c r="C12" s="22" t="s">
        <v>260</v>
      </c>
    </row>
    <row r="13" spans="1:9">
      <c r="A13" s="22" t="s">
        <v>1138</v>
      </c>
      <c r="B13" s="22" t="s">
        <v>444</v>
      </c>
      <c r="C13" s="22" t="s">
        <v>246</v>
      </c>
    </row>
    <row r="14" spans="1:9">
      <c r="A14" s="22" t="s">
        <v>1138</v>
      </c>
      <c r="B14" s="22" t="s">
        <v>445</v>
      </c>
      <c r="C14" s="22" t="s">
        <v>525</v>
      </c>
    </row>
    <row r="15" spans="1:9">
      <c r="A15" s="22" t="s">
        <v>1138</v>
      </c>
      <c r="B15" s="22" t="s">
        <v>446</v>
      </c>
      <c r="C15" s="22" t="s">
        <v>440</v>
      </c>
    </row>
    <row r="16" spans="1:9">
      <c r="A16" s="22" t="s">
        <v>1138</v>
      </c>
      <c r="B16" s="22" t="s">
        <v>169</v>
      </c>
      <c r="C16" s="22" t="s">
        <v>441</v>
      </c>
    </row>
    <row r="17" spans="1:11">
      <c r="A17" s="22" t="s">
        <v>1138</v>
      </c>
      <c r="B17" s="21" t="s">
        <v>527</v>
      </c>
      <c r="C17" s="22" t="s">
        <v>442</v>
      </c>
    </row>
    <row r="18" spans="1:11">
      <c r="A18" s="22" t="s">
        <v>1138</v>
      </c>
      <c r="B18" s="21" t="s">
        <v>528</v>
      </c>
      <c r="C18" s="22" t="s">
        <v>443</v>
      </c>
    </row>
    <row r="19" spans="1:11">
      <c r="A19" s="22" t="s">
        <v>1138</v>
      </c>
      <c r="B19" s="22" t="s">
        <v>529</v>
      </c>
      <c r="C19" s="22" t="s">
        <v>526</v>
      </c>
    </row>
    <row r="20" spans="1:11">
      <c r="A20" s="22" t="s">
        <v>1138</v>
      </c>
      <c r="B20" s="22" t="s">
        <v>164</v>
      </c>
      <c r="C20" s="22" t="s">
        <v>323</v>
      </c>
    </row>
    <row r="21" spans="1:11">
      <c r="A21" s="22" t="s">
        <v>1138</v>
      </c>
      <c r="B21" s="22" t="s">
        <v>163</v>
      </c>
      <c r="C21" s="22" t="s">
        <v>324</v>
      </c>
    </row>
    <row r="22" spans="1:11">
      <c r="A22" s="22" t="s">
        <v>1138</v>
      </c>
      <c r="B22" s="22" t="s">
        <v>278</v>
      </c>
      <c r="C22" s="22" t="s">
        <v>326</v>
      </c>
    </row>
    <row r="23" spans="1:11">
      <c r="A23" s="22" t="s">
        <v>1138</v>
      </c>
      <c r="B23" s="22" t="s">
        <v>165</v>
      </c>
      <c r="C23" s="30" t="s">
        <v>850</v>
      </c>
    </row>
    <row r="24" spans="1:11">
      <c r="A24" s="22" t="s">
        <v>1138</v>
      </c>
      <c r="B24" s="22" t="s">
        <v>239</v>
      </c>
      <c r="C24" s="30" t="s">
        <v>851</v>
      </c>
    </row>
    <row r="25" spans="1:11">
      <c r="A25" s="22" t="s">
        <v>1138</v>
      </c>
      <c r="B25" s="22" t="s">
        <v>166</v>
      </c>
      <c r="C25" s="30" t="s">
        <v>852</v>
      </c>
    </row>
    <row r="26" spans="1:11">
      <c r="A26" s="22" t="s">
        <v>1138</v>
      </c>
      <c r="B26" s="22" t="s">
        <v>238</v>
      </c>
      <c r="C26" s="30" t="s">
        <v>853</v>
      </c>
    </row>
    <row r="27" spans="1:11">
      <c r="A27" s="22" t="s">
        <v>1138</v>
      </c>
      <c r="B27" s="22" t="s">
        <v>167</v>
      </c>
      <c r="C27" s="30" t="s">
        <v>188</v>
      </c>
    </row>
    <row r="28" spans="1:11">
      <c r="A28" s="22" t="s">
        <v>1138</v>
      </c>
      <c r="B28" s="22" t="s">
        <v>170</v>
      </c>
      <c r="C28" s="30" t="s">
        <v>854</v>
      </c>
    </row>
    <row r="29" spans="1:11" ht="12.75">
      <c r="A29" s="22" t="s">
        <v>1138</v>
      </c>
      <c r="B29" s="22" t="s">
        <v>328</v>
      </c>
      <c r="C29" s="49" t="s">
        <v>855</v>
      </c>
    </row>
    <row r="30" spans="1:11">
      <c r="A30" s="22" t="s">
        <v>1138</v>
      </c>
      <c r="B30" s="22" t="s">
        <v>171</v>
      </c>
      <c r="C30" s="30" t="s">
        <v>856</v>
      </c>
    </row>
    <row r="31" spans="1:11" s="22" customFormat="1" ht="12.75">
      <c r="A31" s="22" t="s">
        <v>1138</v>
      </c>
      <c r="B31" s="22" t="s">
        <v>172</v>
      </c>
      <c r="C31" s="49" t="s">
        <v>857</v>
      </c>
      <c r="I31" s="21"/>
      <c r="J31" s="21"/>
      <c r="K31" s="21"/>
    </row>
    <row r="32" spans="1:11" s="22" customFormat="1" ht="12.75">
      <c r="A32" s="22" t="s">
        <v>1138</v>
      </c>
      <c r="B32" s="22" t="s">
        <v>878</v>
      </c>
      <c r="C32" s="49" t="s">
        <v>861</v>
      </c>
      <c r="I32" s="21"/>
      <c r="J32" s="21"/>
      <c r="K32" s="21"/>
    </row>
    <row r="33" spans="1:11" s="22" customFormat="1" ht="12.75">
      <c r="A33" s="22" t="s">
        <v>1138</v>
      </c>
      <c r="B33" s="22" t="s">
        <v>234</v>
      </c>
      <c r="C33" s="49" t="s">
        <v>862</v>
      </c>
      <c r="I33" s="21"/>
      <c r="J33" s="21"/>
      <c r="K33" s="21"/>
    </row>
    <row r="34" spans="1:11" s="22" customFormat="1">
      <c r="A34" s="22" t="s">
        <v>1138</v>
      </c>
      <c r="B34" s="30" t="s">
        <v>279</v>
      </c>
      <c r="C34" s="30" t="s">
        <v>187</v>
      </c>
      <c r="I34" s="21"/>
      <c r="J34" s="21"/>
      <c r="K34" s="21"/>
    </row>
    <row r="35" spans="1:11" s="22" customFormat="1">
      <c r="A35" s="22" t="s">
        <v>1138</v>
      </c>
      <c r="B35" s="30" t="s">
        <v>185</v>
      </c>
      <c r="C35" s="30" t="s">
        <v>858</v>
      </c>
      <c r="I35" s="21"/>
      <c r="J35" s="21"/>
      <c r="K35" s="21"/>
    </row>
    <row r="36" spans="1:11" s="22" customFormat="1">
      <c r="A36" s="22" t="s">
        <v>1138</v>
      </c>
      <c r="B36" s="30" t="s">
        <v>329</v>
      </c>
      <c r="C36" s="30" t="s">
        <v>859</v>
      </c>
      <c r="I36" s="21"/>
      <c r="J36" s="21"/>
      <c r="K36" s="21"/>
    </row>
    <row r="37" spans="1:11" s="22" customFormat="1">
      <c r="A37" s="22" t="s">
        <v>1138</v>
      </c>
      <c r="B37" s="30" t="s">
        <v>867</v>
      </c>
      <c r="C37" s="30" t="s">
        <v>860</v>
      </c>
      <c r="I37" s="21"/>
      <c r="J37" s="21"/>
      <c r="K37" s="21"/>
    </row>
    <row r="38" spans="1:11" s="22" customFormat="1">
      <c r="A38" s="22" t="s">
        <v>1138</v>
      </c>
      <c r="B38" s="30" t="s">
        <v>186</v>
      </c>
      <c r="C38" s="30" t="s">
        <v>434</v>
      </c>
      <c r="I38" s="21"/>
      <c r="J38" s="21"/>
      <c r="K38" s="21"/>
    </row>
    <row r="39" spans="1:11" s="22" customFormat="1">
      <c r="A39" s="22" t="s">
        <v>1138</v>
      </c>
      <c r="B39" s="30" t="s">
        <v>280</v>
      </c>
      <c r="C39" s="30" t="s">
        <v>305</v>
      </c>
      <c r="I39" s="21"/>
      <c r="J39" s="21"/>
      <c r="K39" s="21"/>
    </row>
    <row r="40" spans="1:11" s="22" customFormat="1">
      <c r="A40" s="22" t="s">
        <v>1138</v>
      </c>
      <c r="B40" s="30" t="s">
        <v>174</v>
      </c>
      <c r="C40" s="30" t="s">
        <v>306</v>
      </c>
      <c r="I40" s="21"/>
      <c r="J40" s="21"/>
      <c r="K40" s="21"/>
    </row>
    <row r="41" spans="1:11" s="22" customFormat="1">
      <c r="A41" s="22" t="s">
        <v>1138</v>
      </c>
      <c r="B41" s="30" t="s">
        <v>868</v>
      </c>
      <c r="C41" s="30" t="s">
        <v>277</v>
      </c>
      <c r="I41" s="21"/>
      <c r="J41" s="21"/>
      <c r="K41" s="21"/>
    </row>
    <row r="42" spans="1:11" s="22" customFormat="1">
      <c r="A42" s="22" t="s">
        <v>1138</v>
      </c>
      <c r="B42" s="30" t="s">
        <v>175</v>
      </c>
      <c r="C42" s="30" t="s">
        <v>321</v>
      </c>
      <c r="I42" s="21"/>
      <c r="J42" s="21"/>
      <c r="K42" s="21"/>
    </row>
    <row r="43" spans="1:11" s="22" customFormat="1">
      <c r="A43" s="22" t="s">
        <v>1138</v>
      </c>
      <c r="B43" s="30" t="s">
        <v>250</v>
      </c>
      <c r="C43" s="30" t="s">
        <v>173</v>
      </c>
      <c r="I43" s="21"/>
      <c r="J43" s="21"/>
      <c r="K43" s="21"/>
    </row>
    <row r="44" spans="1:11" s="22" customFormat="1">
      <c r="A44" s="22" t="s">
        <v>1138</v>
      </c>
      <c r="B44" s="30" t="s">
        <v>330</v>
      </c>
      <c r="C44" s="30" t="s">
        <v>189</v>
      </c>
      <c r="I44" s="21"/>
      <c r="J44" s="21"/>
      <c r="K44" s="21"/>
    </row>
    <row r="45" spans="1:11" s="22" customFormat="1">
      <c r="A45" s="22" t="s">
        <v>1138</v>
      </c>
      <c r="B45" s="30" t="s">
        <v>211</v>
      </c>
      <c r="C45" s="30" t="s">
        <v>190</v>
      </c>
      <c r="I45" s="21"/>
      <c r="J45" s="21"/>
      <c r="K45" s="21"/>
    </row>
    <row r="46" spans="1:11" s="22" customFormat="1">
      <c r="A46" s="22" t="s">
        <v>1138</v>
      </c>
      <c r="B46" s="30" t="s">
        <v>281</v>
      </c>
      <c r="C46" s="30" t="s">
        <v>191</v>
      </c>
      <c r="I46" s="21"/>
      <c r="J46" s="21"/>
      <c r="K46" s="21"/>
    </row>
    <row r="47" spans="1:11" s="22" customFormat="1">
      <c r="A47" s="22" t="s">
        <v>1138</v>
      </c>
      <c r="B47" s="30" t="s">
        <v>447</v>
      </c>
      <c r="C47" s="30" t="s">
        <v>212</v>
      </c>
      <c r="I47" s="21"/>
      <c r="J47" s="21"/>
      <c r="K47" s="21"/>
    </row>
    <row r="48" spans="1:11" s="22" customFormat="1">
      <c r="A48" s="22" t="s">
        <v>1138</v>
      </c>
      <c r="B48" s="30" t="s">
        <v>331</v>
      </c>
      <c r="C48" s="30" t="s">
        <v>322</v>
      </c>
      <c r="I48" s="21"/>
      <c r="J48" s="21"/>
      <c r="K48" s="21"/>
    </row>
    <row r="49" spans="1:11" s="22" customFormat="1">
      <c r="A49" s="22" t="s">
        <v>1138</v>
      </c>
      <c r="B49" s="22" t="s">
        <v>251</v>
      </c>
      <c r="C49" s="22" t="s">
        <v>431</v>
      </c>
      <c r="I49" s="21"/>
      <c r="J49" s="21"/>
      <c r="K49" s="21"/>
    </row>
    <row r="50" spans="1:11" s="22" customFormat="1">
      <c r="A50" s="22" t="s">
        <v>1138</v>
      </c>
      <c r="B50" s="30" t="s">
        <v>282</v>
      </c>
      <c r="C50" s="22" t="s">
        <v>554</v>
      </c>
      <c r="I50" s="21"/>
      <c r="J50" s="21"/>
      <c r="K50" s="21"/>
    </row>
    <row r="51" spans="1:11" s="22" customFormat="1">
      <c r="A51" s="22" t="s">
        <v>1138</v>
      </c>
      <c r="B51" s="30" t="s">
        <v>532</v>
      </c>
      <c r="C51" s="22" t="s">
        <v>530</v>
      </c>
      <c r="I51" s="21"/>
      <c r="J51" s="21"/>
      <c r="K51" s="21"/>
    </row>
    <row r="52" spans="1:11" s="22" customFormat="1">
      <c r="A52" s="22" t="s">
        <v>1138</v>
      </c>
      <c r="B52" s="30" t="s">
        <v>332</v>
      </c>
      <c r="C52" s="22" t="s">
        <v>555</v>
      </c>
      <c r="I52" s="21"/>
      <c r="J52" s="21"/>
      <c r="K52" s="21"/>
    </row>
    <row r="53" spans="1:11" s="22" customFormat="1">
      <c r="A53" s="22" t="s">
        <v>1138</v>
      </c>
      <c r="B53" s="30" t="s">
        <v>214</v>
      </c>
      <c r="C53" s="22" t="s">
        <v>531</v>
      </c>
      <c r="I53" s="21"/>
      <c r="J53" s="21"/>
      <c r="K53" s="21"/>
    </row>
    <row r="54" spans="1:11" s="22" customFormat="1">
      <c r="A54" s="22" t="s">
        <v>1138</v>
      </c>
      <c r="B54" s="30" t="s">
        <v>307</v>
      </c>
      <c r="C54" s="22" t="s">
        <v>574</v>
      </c>
      <c r="I54" s="21"/>
      <c r="J54" s="21"/>
      <c r="K54" s="21"/>
    </row>
    <row r="55" spans="1:11" s="22" customFormat="1">
      <c r="A55" s="22" t="s">
        <v>1138</v>
      </c>
      <c r="B55" s="30" t="s">
        <v>869</v>
      </c>
      <c r="C55" s="22" t="s">
        <v>579</v>
      </c>
      <c r="I55" s="21"/>
      <c r="J55" s="21"/>
      <c r="K55" s="21"/>
    </row>
    <row r="56" spans="1:11" s="22" customFormat="1">
      <c r="A56" s="22" t="s">
        <v>1138</v>
      </c>
      <c r="B56" s="30" t="s">
        <v>333</v>
      </c>
      <c r="C56" s="22" t="s">
        <v>573</v>
      </c>
      <c r="I56" s="21"/>
      <c r="J56" s="21"/>
      <c r="K56" s="21"/>
    </row>
    <row r="57" spans="1:11" s="22" customFormat="1">
      <c r="A57" s="22" t="s">
        <v>1138</v>
      </c>
      <c r="B57" s="30" t="s">
        <v>283</v>
      </c>
      <c r="C57" s="22" t="s">
        <v>556</v>
      </c>
      <c r="I57" s="21"/>
      <c r="J57" s="21"/>
      <c r="K57" s="21"/>
    </row>
    <row r="58" spans="1:11" s="22" customFormat="1">
      <c r="A58" s="22" t="s">
        <v>1138</v>
      </c>
      <c r="B58" s="30" t="s">
        <v>537</v>
      </c>
      <c r="C58" s="22" t="s">
        <v>533</v>
      </c>
      <c r="I58" s="21"/>
      <c r="J58" s="21"/>
      <c r="K58" s="21"/>
    </row>
    <row r="59" spans="1:11" s="22" customFormat="1">
      <c r="A59" s="22" t="s">
        <v>1138</v>
      </c>
      <c r="B59" s="30" t="s">
        <v>334</v>
      </c>
      <c r="C59" s="22" t="s">
        <v>557</v>
      </c>
      <c r="I59" s="21"/>
      <c r="J59" s="21"/>
      <c r="K59" s="21"/>
    </row>
    <row r="60" spans="1:11" s="22" customFormat="1">
      <c r="A60" s="22" t="s">
        <v>1138</v>
      </c>
      <c r="B60" s="30" t="s">
        <v>252</v>
      </c>
      <c r="C60" s="22" t="s">
        <v>534</v>
      </c>
      <c r="I60" s="21"/>
      <c r="J60" s="21"/>
      <c r="K60" s="21"/>
    </row>
    <row r="61" spans="1:11" s="22" customFormat="1">
      <c r="A61" s="22" t="s">
        <v>1138</v>
      </c>
      <c r="B61" s="30" t="s">
        <v>284</v>
      </c>
      <c r="C61" s="22" t="s">
        <v>575</v>
      </c>
      <c r="I61" s="21"/>
      <c r="J61" s="21"/>
      <c r="K61" s="21"/>
    </row>
    <row r="62" spans="1:11" s="22" customFormat="1">
      <c r="A62" s="22" t="s">
        <v>1138</v>
      </c>
      <c r="B62" s="30" t="s">
        <v>870</v>
      </c>
      <c r="C62" s="22" t="s">
        <v>580</v>
      </c>
      <c r="I62" s="21"/>
      <c r="J62" s="21"/>
      <c r="K62" s="21"/>
    </row>
    <row r="63" spans="1:11" s="22" customFormat="1">
      <c r="A63" s="22" t="s">
        <v>1138</v>
      </c>
      <c r="B63" s="30" t="s">
        <v>335</v>
      </c>
      <c r="C63" s="22" t="s">
        <v>576</v>
      </c>
      <c r="I63" s="21"/>
      <c r="J63" s="21"/>
      <c r="K63" s="21"/>
    </row>
    <row r="64" spans="1:11" s="22" customFormat="1">
      <c r="A64" s="22" t="s">
        <v>1138</v>
      </c>
      <c r="B64" s="30" t="s">
        <v>285</v>
      </c>
      <c r="C64" s="22" t="s">
        <v>558</v>
      </c>
      <c r="I64" s="21"/>
      <c r="J64" s="21"/>
      <c r="K64" s="21"/>
    </row>
    <row r="65" spans="1:11" s="22" customFormat="1">
      <c r="A65" s="22" t="s">
        <v>1138</v>
      </c>
      <c r="B65" s="30" t="s">
        <v>597</v>
      </c>
      <c r="C65" s="22" t="s">
        <v>535</v>
      </c>
      <c r="I65" s="21"/>
      <c r="J65" s="21"/>
      <c r="K65" s="21"/>
    </row>
    <row r="66" spans="1:11" s="22" customFormat="1">
      <c r="A66" s="22" t="s">
        <v>1138</v>
      </c>
      <c r="B66" s="30" t="s">
        <v>336</v>
      </c>
      <c r="C66" s="22" t="s">
        <v>559</v>
      </c>
      <c r="I66" s="21"/>
      <c r="J66" s="21"/>
      <c r="K66" s="21"/>
    </row>
    <row r="67" spans="1:11" s="22" customFormat="1">
      <c r="A67" s="22" t="s">
        <v>1138</v>
      </c>
      <c r="B67" s="30" t="s">
        <v>253</v>
      </c>
      <c r="C67" s="22" t="s">
        <v>536</v>
      </c>
      <c r="I67" s="21"/>
      <c r="J67" s="21"/>
      <c r="K67" s="21"/>
    </row>
    <row r="68" spans="1:11" s="22" customFormat="1">
      <c r="A68" s="22" t="s">
        <v>1138</v>
      </c>
      <c r="B68" s="30" t="s">
        <v>286</v>
      </c>
      <c r="C68" s="22" t="s">
        <v>577</v>
      </c>
      <c r="I68" s="21"/>
      <c r="J68" s="21"/>
      <c r="K68" s="21"/>
    </row>
    <row r="69" spans="1:11" s="22" customFormat="1">
      <c r="A69" s="22" t="s">
        <v>1138</v>
      </c>
      <c r="B69" s="30" t="s">
        <v>871</v>
      </c>
      <c r="C69" s="22" t="s">
        <v>581</v>
      </c>
      <c r="I69" s="21"/>
      <c r="J69" s="21"/>
      <c r="K69" s="21"/>
    </row>
    <row r="70" spans="1:11" s="22" customFormat="1">
      <c r="A70" s="22" t="s">
        <v>1138</v>
      </c>
      <c r="B70" s="30" t="s">
        <v>308</v>
      </c>
      <c r="C70" s="22" t="s">
        <v>578</v>
      </c>
      <c r="I70" s="21"/>
      <c r="J70" s="21"/>
      <c r="K70" s="21"/>
    </row>
    <row r="71" spans="1:11" s="22" customFormat="1">
      <c r="A71" s="22" t="s">
        <v>1138</v>
      </c>
      <c r="B71" s="30" t="s">
        <v>337</v>
      </c>
      <c r="C71" s="22" t="s">
        <v>560</v>
      </c>
      <c r="I71" s="21"/>
      <c r="J71" s="21"/>
      <c r="K71" s="21"/>
    </row>
    <row r="72" spans="1:11" s="22" customFormat="1">
      <c r="A72" s="22" t="s">
        <v>1138</v>
      </c>
      <c r="B72" s="30" t="s">
        <v>548</v>
      </c>
      <c r="C72" s="22" t="s">
        <v>538</v>
      </c>
      <c r="I72" s="21"/>
      <c r="J72" s="21"/>
      <c r="K72" s="21"/>
    </row>
    <row r="73" spans="1:11" s="22" customFormat="1">
      <c r="A73" s="22" t="s">
        <v>1138</v>
      </c>
      <c r="B73" s="30" t="s">
        <v>338</v>
      </c>
      <c r="C73" s="22" t="s">
        <v>561</v>
      </c>
      <c r="I73" s="21"/>
      <c r="J73" s="21"/>
      <c r="K73" s="21"/>
    </row>
    <row r="74" spans="1:11" s="22" customFormat="1">
      <c r="A74" s="22" t="s">
        <v>1138</v>
      </c>
      <c r="B74" s="30" t="s">
        <v>339</v>
      </c>
      <c r="C74" s="22" t="s">
        <v>539</v>
      </c>
      <c r="I74" s="21"/>
      <c r="J74" s="21"/>
      <c r="K74" s="21"/>
    </row>
    <row r="75" spans="1:11" s="22" customFormat="1">
      <c r="A75" s="22" t="s">
        <v>1138</v>
      </c>
      <c r="B75" s="30" t="s">
        <v>340</v>
      </c>
      <c r="C75" s="22" t="s">
        <v>582</v>
      </c>
      <c r="I75" s="21"/>
      <c r="J75" s="21"/>
      <c r="K75" s="21"/>
    </row>
    <row r="76" spans="1:11" s="22" customFormat="1">
      <c r="A76" s="22" t="s">
        <v>1138</v>
      </c>
      <c r="B76" s="30" t="s">
        <v>872</v>
      </c>
      <c r="C76" s="22" t="s">
        <v>583</v>
      </c>
      <c r="I76" s="21"/>
      <c r="J76" s="21"/>
      <c r="K76" s="21"/>
    </row>
    <row r="77" spans="1:11" s="22" customFormat="1">
      <c r="A77" s="22" t="s">
        <v>1138</v>
      </c>
      <c r="B77" s="30" t="s">
        <v>549</v>
      </c>
      <c r="C77" s="22" t="s">
        <v>584</v>
      </c>
      <c r="I77" s="21"/>
      <c r="J77" s="21"/>
      <c r="K77" s="21"/>
    </row>
    <row r="78" spans="1:11" s="22" customFormat="1">
      <c r="A78" s="22" t="s">
        <v>1138</v>
      </c>
      <c r="B78" s="30" t="s">
        <v>598</v>
      </c>
      <c r="C78" s="22" t="s">
        <v>562</v>
      </c>
      <c r="I78" s="21"/>
      <c r="J78" s="21"/>
      <c r="K78" s="21"/>
    </row>
    <row r="79" spans="1:11" s="22" customFormat="1">
      <c r="A79" s="22" t="s">
        <v>1138</v>
      </c>
      <c r="B79" s="30" t="s">
        <v>550</v>
      </c>
      <c r="C79" s="22" t="s">
        <v>540</v>
      </c>
      <c r="I79" s="21"/>
      <c r="J79" s="21"/>
      <c r="K79" s="21"/>
    </row>
    <row r="80" spans="1:11" s="22" customFormat="1">
      <c r="A80" s="22" t="s">
        <v>1138</v>
      </c>
      <c r="B80" s="30" t="s">
        <v>551</v>
      </c>
      <c r="C80" s="22" t="s">
        <v>563</v>
      </c>
      <c r="I80" s="21"/>
      <c r="J80" s="21"/>
      <c r="K80" s="21"/>
    </row>
    <row r="81" spans="1:11" s="22" customFormat="1">
      <c r="A81" s="22" t="s">
        <v>1138</v>
      </c>
      <c r="B81" s="30" t="s">
        <v>552</v>
      </c>
      <c r="C81" s="22" t="s">
        <v>541</v>
      </c>
      <c r="I81" s="21"/>
      <c r="J81" s="21"/>
      <c r="K81" s="21"/>
    </row>
    <row r="82" spans="1:11" s="22" customFormat="1">
      <c r="A82" s="22" t="s">
        <v>1138</v>
      </c>
      <c r="B82" s="30" t="s">
        <v>553</v>
      </c>
      <c r="C82" s="22" t="s">
        <v>585</v>
      </c>
      <c r="I82" s="21"/>
      <c r="J82" s="21"/>
      <c r="K82" s="21"/>
    </row>
    <row r="83" spans="1:11" s="22" customFormat="1">
      <c r="A83" s="22" t="s">
        <v>1138</v>
      </c>
      <c r="B83" s="30" t="s">
        <v>873</v>
      </c>
      <c r="C83" s="22" t="s">
        <v>586</v>
      </c>
      <c r="I83" s="21"/>
      <c r="J83" s="21"/>
      <c r="K83" s="21"/>
    </row>
    <row r="84" spans="1:11" s="22" customFormat="1">
      <c r="A84" s="22" t="s">
        <v>1138</v>
      </c>
      <c r="B84" s="30" t="s">
        <v>599</v>
      </c>
      <c r="C84" s="22" t="s">
        <v>587</v>
      </c>
      <c r="I84" s="21"/>
      <c r="J84" s="21"/>
      <c r="K84" s="21"/>
    </row>
    <row r="85" spans="1:11" s="22" customFormat="1">
      <c r="A85" s="22" t="s">
        <v>1138</v>
      </c>
      <c r="B85" s="30" t="s">
        <v>600</v>
      </c>
      <c r="C85" s="22" t="s">
        <v>564</v>
      </c>
      <c r="I85" s="21"/>
      <c r="J85" s="21"/>
      <c r="K85" s="21"/>
    </row>
    <row r="86" spans="1:11" s="22" customFormat="1">
      <c r="A86" s="22" t="s">
        <v>1138</v>
      </c>
      <c r="B86" s="30" t="s">
        <v>601</v>
      </c>
      <c r="C86" s="22" t="s">
        <v>542</v>
      </c>
      <c r="I86" s="21"/>
      <c r="J86" s="21"/>
      <c r="K86" s="21"/>
    </row>
    <row r="87" spans="1:11" s="22" customFormat="1">
      <c r="A87" s="22" t="s">
        <v>1138</v>
      </c>
      <c r="B87" s="30" t="s">
        <v>602</v>
      </c>
      <c r="C87" s="22" t="s">
        <v>565</v>
      </c>
      <c r="I87" s="21"/>
      <c r="J87" s="21"/>
      <c r="K87" s="21"/>
    </row>
    <row r="88" spans="1:11" s="22" customFormat="1">
      <c r="A88" s="22" t="s">
        <v>1138</v>
      </c>
      <c r="B88" s="30" t="s">
        <v>603</v>
      </c>
      <c r="C88" s="22" t="s">
        <v>543</v>
      </c>
      <c r="I88" s="21"/>
      <c r="J88" s="21"/>
      <c r="K88" s="21"/>
    </row>
    <row r="89" spans="1:11" s="22" customFormat="1">
      <c r="A89" s="22" t="s">
        <v>1138</v>
      </c>
      <c r="B89" s="30" t="s">
        <v>604</v>
      </c>
      <c r="C89" s="22" t="s">
        <v>588</v>
      </c>
      <c r="I89" s="21"/>
      <c r="J89" s="21"/>
      <c r="K89" s="21"/>
    </row>
    <row r="90" spans="1:11" s="22" customFormat="1">
      <c r="A90" s="22" t="s">
        <v>1138</v>
      </c>
      <c r="B90" s="30" t="s">
        <v>874</v>
      </c>
      <c r="C90" s="22" t="s">
        <v>589</v>
      </c>
      <c r="I90" s="21"/>
      <c r="J90" s="21"/>
      <c r="K90" s="21"/>
    </row>
    <row r="91" spans="1:11" s="22" customFormat="1">
      <c r="A91" s="22" t="s">
        <v>1138</v>
      </c>
      <c r="B91" s="30" t="s">
        <v>605</v>
      </c>
      <c r="C91" s="22" t="s">
        <v>590</v>
      </c>
      <c r="I91" s="21"/>
      <c r="J91" s="21"/>
      <c r="K91" s="21"/>
    </row>
    <row r="92" spans="1:11" s="22" customFormat="1">
      <c r="A92" s="22" t="s">
        <v>1138</v>
      </c>
      <c r="B92" s="30" t="s">
        <v>606</v>
      </c>
      <c r="C92" s="22" t="s">
        <v>566</v>
      </c>
      <c r="I92" s="21"/>
      <c r="J92" s="21"/>
      <c r="K92" s="21"/>
    </row>
    <row r="93" spans="1:11" s="22" customFormat="1">
      <c r="A93" s="22" t="s">
        <v>1138</v>
      </c>
      <c r="B93" s="30" t="s">
        <v>607</v>
      </c>
      <c r="C93" s="22" t="s">
        <v>544</v>
      </c>
      <c r="I93" s="21"/>
      <c r="J93" s="21"/>
      <c r="K93" s="21"/>
    </row>
    <row r="94" spans="1:11" s="22" customFormat="1">
      <c r="A94" s="22" t="s">
        <v>1138</v>
      </c>
      <c r="B94" s="30" t="s">
        <v>608</v>
      </c>
      <c r="C94" s="22" t="s">
        <v>567</v>
      </c>
      <c r="I94" s="21"/>
      <c r="J94" s="21"/>
      <c r="K94" s="21"/>
    </row>
    <row r="95" spans="1:11" s="22" customFormat="1">
      <c r="A95" s="22" t="s">
        <v>1138</v>
      </c>
      <c r="B95" s="30" t="s">
        <v>609</v>
      </c>
      <c r="C95" s="22" t="s">
        <v>545</v>
      </c>
      <c r="I95" s="21"/>
      <c r="J95" s="21"/>
      <c r="K95" s="21"/>
    </row>
    <row r="96" spans="1:11" s="22" customFormat="1">
      <c r="A96" s="22" t="s">
        <v>1138</v>
      </c>
      <c r="B96" s="30" t="s">
        <v>610</v>
      </c>
      <c r="C96" s="22" t="s">
        <v>591</v>
      </c>
      <c r="I96" s="21"/>
      <c r="J96" s="21"/>
      <c r="K96" s="21"/>
    </row>
    <row r="97" spans="1:11" s="22" customFormat="1">
      <c r="A97" s="22" t="s">
        <v>1138</v>
      </c>
      <c r="B97" s="30" t="s">
        <v>875</v>
      </c>
      <c r="C97" s="22" t="s">
        <v>592</v>
      </c>
      <c r="I97" s="21"/>
      <c r="J97" s="21"/>
      <c r="K97" s="21"/>
    </row>
    <row r="98" spans="1:11" s="22" customFormat="1">
      <c r="A98" s="22" t="s">
        <v>1138</v>
      </c>
      <c r="B98" s="30" t="s">
        <v>611</v>
      </c>
      <c r="C98" s="22" t="s">
        <v>593</v>
      </c>
      <c r="I98" s="21"/>
      <c r="J98" s="21"/>
      <c r="K98" s="21"/>
    </row>
    <row r="99" spans="1:11" s="22" customFormat="1">
      <c r="A99" s="22" t="s">
        <v>1138</v>
      </c>
      <c r="B99" s="30" t="s">
        <v>612</v>
      </c>
      <c r="C99" s="22" t="s">
        <v>568</v>
      </c>
      <c r="I99" s="21"/>
      <c r="J99" s="21"/>
      <c r="K99" s="21"/>
    </row>
    <row r="100" spans="1:11" s="22" customFormat="1">
      <c r="A100" s="22" t="s">
        <v>1138</v>
      </c>
      <c r="B100" s="30" t="s">
        <v>613</v>
      </c>
      <c r="C100" s="22" t="s">
        <v>546</v>
      </c>
      <c r="I100" s="21"/>
      <c r="J100" s="21"/>
      <c r="K100" s="21"/>
    </row>
    <row r="101" spans="1:11" s="22" customFormat="1">
      <c r="A101" s="22" t="s">
        <v>1138</v>
      </c>
      <c r="B101" s="30" t="s">
        <v>614</v>
      </c>
      <c r="C101" s="22" t="s">
        <v>569</v>
      </c>
      <c r="I101" s="21"/>
      <c r="J101" s="21"/>
      <c r="K101" s="21"/>
    </row>
    <row r="102" spans="1:11" s="22" customFormat="1">
      <c r="A102" s="22" t="s">
        <v>1138</v>
      </c>
      <c r="B102" s="30" t="s">
        <v>615</v>
      </c>
      <c r="C102" s="22" t="s">
        <v>547</v>
      </c>
      <c r="I102" s="21"/>
      <c r="J102" s="21"/>
      <c r="K102" s="21"/>
    </row>
    <row r="103" spans="1:11" s="22" customFormat="1">
      <c r="A103" s="22" t="s">
        <v>1138</v>
      </c>
      <c r="B103" s="30" t="s">
        <v>616</v>
      </c>
      <c r="C103" s="22" t="s">
        <v>594</v>
      </c>
      <c r="I103" s="21"/>
      <c r="J103" s="21"/>
      <c r="K103" s="21"/>
    </row>
    <row r="104" spans="1:11" s="22" customFormat="1">
      <c r="A104" s="22" t="s">
        <v>1138</v>
      </c>
      <c r="B104" s="30" t="s">
        <v>876</v>
      </c>
      <c r="C104" s="22" t="s">
        <v>595</v>
      </c>
      <c r="I104" s="21"/>
      <c r="J104" s="21"/>
      <c r="K104" s="21"/>
    </row>
    <row r="105" spans="1:11" s="22" customFormat="1">
      <c r="A105" s="22" t="s">
        <v>1138</v>
      </c>
      <c r="B105" s="30" t="s">
        <v>877</v>
      </c>
      <c r="C105" s="22" t="s">
        <v>596</v>
      </c>
      <c r="I105" s="21"/>
      <c r="J105" s="21"/>
      <c r="K105" s="21"/>
    </row>
    <row r="106" spans="1:11" s="22" customFormat="1">
      <c r="A106" s="22" t="s">
        <v>1139</v>
      </c>
      <c r="B106" s="30" t="s">
        <v>804</v>
      </c>
      <c r="C106" s="22" t="s">
        <v>310</v>
      </c>
      <c r="I106" s="21"/>
      <c r="J106" s="21"/>
      <c r="K106" s="21"/>
    </row>
    <row r="107" spans="1:11" s="22" customFormat="1">
      <c r="A107" s="22" t="s">
        <v>1139</v>
      </c>
      <c r="B107" s="30" t="s">
        <v>805</v>
      </c>
      <c r="C107" s="22" t="s">
        <v>243</v>
      </c>
      <c r="I107" s="21"/>
      <c r="J107" s="21"/>
      <c r="K107" s="21"/>
    </row>
    <row r="108" spans="1:11" s="22" customFormat="1">
      <c r="A108" s="22" t="s">
        <v>1139</v>
      </c>
      <c r="B108" s="30" t="s">
        <v>806</v>
      </c>
      <c r="C108" s="22" t="s">
        <v>259</v>
      </c>
      <c r="I108" s="21"/>
      <c r="J108" s="21"/>
      <c r="K108" s="21"/>
    </row>
    <row r="109" spans="1:11" s="22" customFormat="1">
      <c r="A109" s="22" t="s">
        <v>1139</v>
      </c>
      <c r="B109" s="30" t="s">
        <v>807</v>
      </c>
      <c r="C109" s="22" t="s">
        <v>244</v>
      </c>
      <c r="I109" s="21"/>
      <c r="J109" s="21"/>
      <c r="K109" s="21"/>
    </row>
    <row r="110" spans="1:11" s="22" customFormat="1">
      <c r="A110" s="22" t="s">
        <v>1139</v>
      </c>
      <c r="B110" s="30" t="s">
        <v>179</v>
      </c>
      <c r="C110" s="22" t="s">
        <v>524</v>
      </c>
      <c r="I110" s="21"/>
      <c r="J110" s="21"/>
      <c r="K110" s="21"/>
    </row>
    <row r="111" spans="1:11" s="22" customFormat="1">
      <c r="A111" s="22" t="s">
        <v>1139</v>
      </c>
      <c r="B111" s="30" t="s">
        <v>808</v>
      </c>
      <c r="C111" s="22" t="s">
        <v>311</v>
      </c>
      <c r="I111" s="21"/>
      <c r="J111" s="21"/>
      <c r="K111" s="21"/>
    </row>
    <row r="112" spans="1:11" s="22" customFormat="1">
      <c r="A112" s="22" t="s">
        <v>1139</v>
      </c>
      <c r="B112" s="30" t="s">
        <v>809</v>
      </c>
      <c r="C112" s="22" t="s">
        <v>245</v>
      </c>
      <c r="I112" s="21"/>
      <c r="J112" s="21"/>
      <c r="K112" s="21"/>
    </row>
    <row r="113" spans="1:11" s="22" customFormat="1">
      <c r="A113" s="22" t="s">
        <v>1139</v>
      </c>
      <c r="B113" s="30" t="s">
        <v>810</v>
      </c>
      <c r="C113" s="22" t="s">
        <v>260</v>
      </c>
      <c r="I113" s="21"/>
      <c r="J113" s="21"/>
      <c r="K113" s="21"/>
    </row>
    <row r="114" spans="1:11" s="22" customFormat="1">
      <c r="A114" s="22" t="s">
        <v>1139</v>
      </c>
      <c r="B114" s="30" t="s">
        <v>811</v>
      </c>
      <c r="C114" s="22" t="s">
        <v>246</v>
      </c>
      <c r="I114" s="21"/>
      <c r="J114" s="21"/>
      <c r="K114" s="21"/>
    </row>
    <row r="115" spans="1:11">
      <c r="A115" s="22" t="s">
        <v>1139</v>
      </c>
      <c r="B115" s="30" t="s">
        <v>812</v>
      </c>
      <c r="C115" s="22" t="s">
        <v>525</v>
      </c>
    </row>
    <row r="116" spans="1:11">
      <c r="A116" s="22" t="s">
        <v>1139</v>
      </c>
      <c r="B116" s="30" t="s">
        <v>813</v>
      </c>
      <c r="C116" s="22" t="s">
        <v>440</v>
      </c>
    </row>
    <row r="117" spans="1:11">
      <c r="A117" s="22" t="s">
        <v>1139</v>
      </c>
      <c r="B117" s="30" t="s">
        <v>814</v>
      </c>
      <c r="C117" s="22" t="s">
        <v>441</v>
      </c>
    </row>
    <row r="118" spans="1:11">
      <c r="A118" s="22" t="s">
        <v>1139</v>
      </c>
      <c r="B118" s="30" t="s">
        <v>815</v>
      </c>
      <c r="C118" s="22" t="s">
        <v>442</v>
      </c>
    </row>
    <row r="119" spans="1:11">
      <c r="A119" s="22" t="s">
        <v>1139</v>
      </c>
      <c r="B119" s="30" t="s">
        <v>816</v>
      </c>
      <c r="C119" s="22" t="s">
        <v>443</v>
      </c>
    </row>
    <row r="120" spans="1:11">
      <c r="A120" s="22" t="s">
        <v>1139</v>
      </c>
      <c r="B120" s="30" t="s">
        <v>817</v>
      </c>
      <c r="C120" s="22" t="s">
        <v>526</v>
      </c>
    </row>
    <row r="121" spans="1:11">
      <c r="A121" s="22" t="s">
        <v>1139</v>
      </c>
      <c r="B121" s="30" t="s">
        <v>818</v>
      </c>
      <c r="C121" s="22" t="s">
        <v>819</v>
      </c>
    </row>
    <row r="122" spans="1:11">
      <c r="A122" s="22" t="s">
        <v>1139</v>
      </c>
      <c r="B122" s="30" t="s">
        <v>281</v>
      </c>
      <c r="C122" s="22" t="s">
        <v>820</v>
      </c>
    </row>
    <row r="123" spans="1:11">
      <c r="A123" s="28"/>
      <c r="B123" s="28"/>
      <c r="C123" s="28"/>
      <c r="D123" s="28"/>
      <c r="E123" s="29" t="s">
        <v>341</v>
      </c>
      <c r="F123" s="28"/>
      <c r="G123" s="28"/>
      <c r="H123" s="28"/>
      <c r="I123" s="28"/>
    </row>
    <row r="124" spans="1:11">
      <c r="A124" s="22" t="s">
        <v>1138</v>
      </c>
      <c r="B124" s="30"/>
      <c r="C124" s="30"/>
      <c r="D124" s="22" t="s">
        <v>369</v>
      </c>
      <c r="E124" s="30" t="s">
        <v>115</v>
      </c>
      <c r="F124" s="30" t="s">
        <v>111</v>
      </c>
      <c r="G124" s="30" t="s">
        <v>863</v>
      </c>
      <c r="H124" s="30" t="s">
        <v>241</v>
      </c>
      <c r="I124" s="30" t="s">
        <v>114</v>
      </c>
      <c r="J124" s="21">
        <v>1</v>
      </c>
    </row>
    <row r="125" spans="1:11">
      <c r="A125" s="22" t="s">
        <v>1138</v>
      </c>
      <c r="B125" s="30"/>
      <c r="C125" s="30"/>
      <c r="D125" s="22" t="s">
        <v>176</v>
      </c>
      <c r="E125" s="30" t="s">
        <v>120</v>
      </c>
      <c r="F125" s="30" t="s">
        <v>111</v>
      </c>
      <c r="G125" s="30" t="s">
        <v>863</v>
      </c>
      <c r="H125" s="30" t="s">
        <v>241</v>
      </c>
      <c r="I125" s="30" t="s">
        <v>114</v>
      </c>
      <c r="J125" s="21">
        <v>2</v>
      </c>
    </row>
    <row r="126" spans="1:11">
      <c r="A126" s="22" t="s">
        <v>1138</v>
      </c>
      <c r="B126" s="30"/>
      <c r="C126" s="30"/>
      <c r="D126" s="30" t="s">
        <v>177</v>
      </c>
      <c r="E126" s="30" t="s">
        <v>112</v>
      </c>
      <c r="F126" s="30" t="s">
        <v>111</v>
      </c>
      <c r="G126" s="30" t="s">
        <v>113</v>
      </c>
      <c r="H126" s="30" t="s">
        <v>241</v>
      </c>
      <c r="I126" s="30" t="s">
        <v>114</v>
      </c>
      <c r="J126" s="21">
        <v>3</v>
      </c>
    </row>
    <row r="127" spans="1:11">
      <c r="A127" s="22" t="s">
        <v>1138</v>
      </c>
      <c r="C127" s="30"/>
      <c r="D127" s="30" t="s">
        <v>233</v>
      </c>
      <c r="E127" s="30" t="s">
        <v>115</v>
      </c>
      <c r="F127" s="30" t="s">
        <v>111</v>
      </c>
      <c r="G127" s="30" t="s">
        <v>863</v>
      </c>
      <c r="H127" s="30" t="s">
        <v>241</v>
      </c>
      <c r="I127" s="30" t="s">
        <v>204</v>
      </c>
      <c r="J127" s="21">
        <v>4</v>
      </c>
    </row>
    <row r="128" spans="1:11">
      <c r="A128" s="22" t="s">
        <v>1138</v>
      </c>
      <c r="C128" s="30"/>
      <c r="D128" s="30" t="s">
        <v>287</v>
      </c>
      <c r="E128" s="30" t="s">
        <v>115</v>
      </c>
      <c r="F128" s="30" t="s">
        <v>111</v>
      </c>
      <c r="G128" s="30" t="s">
        <v>863</v>
      </c>
      <c r="H128" s="30" t="s">
        <v>241</v>
      </c>
      <c r="I128" s="30" t="s">
        <v>232</v>
      </c>
      <c r="J128" s="21">
        <v>5</v>
      </c>
    </row>
    <row r="129" spans="1:10">
      <c r="A129" s="22" t="s">
        <v>1138</v>
      </c>
      <c r="B129" s="30"/>
      <c r="C129" s="30"/>
      <c r="D129" s="30" t="s">
        <v>288</v>
      </c>
      <c r="E129" s="30" t="s">
        <v>115</v>
      </c>
      <c r="F129" s="30" t="s">
        <v>111</v>
      </c>
      <c r="G129" s="30" t="s">
        <v>863</v>
      </c>
      <c r="H129" s="30" t="s">
        <v>241</v>
      </c>
      <c r="I129" s="30" t="s">
        <v>118</v>
      </c>
      <c r="J129" s="21">
        <v>6</v>
      </c>
    </row>
    <row r="130" spans="1:10">
      <c r="A130" s="22" t="s">
        <v>1138</v>
      </c>
      <c r="B130" s="30"/>
      <c r="C130" s="30"/>
      <c r="D130" s="30" t="s">
        <v>370</v>
      </c>
      <c r="E130" s="30" t="s">
        <v>115</v>
      </c>
      <c r="F130" s="30" t="s">
        <v>111</v>
      </c>
      <c r="G130" s="30" t="s">
        <v>864</v>
      </c>
      <c r="H130" s="30" t="s">
        <v>241</v>
      </c>
      <c r="I130" s="30" t="s">
        <v>118</v>
      </c>
      <c r="J130" s="21">
        <v>7</v>
      </c>
    </row>
    <row r="131" spans="1:10">
      <c r="A131" s="22" t="s">
        <v>1138</v>
      </c>
      <c r="C131" s="30"/>
      <c r="D131" s="30" t="s">
        <v>879</v>
      </c>
      <c r="E131" s="30" t="s">
        <v>112</v>
      </c>
      <c r="F131" s="30" t="s">
        <v>247</v>
      </c>
      <c r="G131" s="30"/>
      <c r="H131" s="30" t="s">
        <v>241</v>
      </c>
      <c r="I131" s="30" t="s">
        <v>118</v>
      </c>
      <c r="J131" s="21">
        <v>8</v>
      </c>
    </row>
    <row r="132" spans="1:10">
      <c r="A132" s="22" t="s">
        <v>1138</v>
      </c>
      <c r="C132" s="30"/>
      <c r="D132" s="30" t="s">
        <v>880</v>
      </c>
      <c r="E132" s="30" t="s">
        <v>127</v>
      </c>
      <c r="F132" s="30" t="s">
        <v>247</v>
      </c>
      <c r="G132" s="30"/>
      <c r="H132" s="30" t="s">
        <v>241</v>
      </c>
      <c r="I132" s="30" t="s">
        <v>118</v>
      </c>
      <c r="J132" s="21">
        <v>9</v>
      </c>
    </row>
    <row r="133" spans="1:10">
      <c r="A133" s="22" t="s">
        <v>1138</v>
      </c>
      <c r="B133" s="30"/>
      <c r="C133" s="30"/>
      <c r="D133" s="30" t="s">
        <v>881</v>
      </c>
      <c r="E133" s="30" t="s">
        <v>112</v>
      </c>
      <c r="F133" s="30" t="s">
        <v>123</v>
      </c>
      <c r="G133" s="30"/>
      <c r="H133" s="30" t="s">
        <v>241</v>
      </c>
      <c r="I133" s="30" t="s">
        <v>240</v>
      </c>
      <c r="J133" s="21">
        <v>10</v>
      </c>
    </row>
    <row r="134" spans="1:10">
      <c r="A134" s="22" t="s">
        <v>1138</v>
      </c>
      <c r="B134" s="30"/>
      <c r="C134" s="30"/>
      <c r="D134" s="30" t="s">
        <v>882</v>
      </c>
      <c r="E134" s="30" t="s">
        <v>127</v>
      </c>
      <c r="F134" s="30" t="s">
        <v>123</v>
      </c>
      <c r="G134" s="30"/>
      <c r="H134" s="30" t="s">
        <v>241</v>
      </c>
      <c r="I134" s="30" t="s">
        <v>240</v>
      </c>
      <c r="J134" s="21">
        <v>11</v>
      </c>
    </row>
    <row r="135" spans="1:10">
      <c r="A135" s="22" t="s">
        <v>1138</v>
      </c>
      <c r="B135" s="30"/>
      <c r="C135" s="30"/>
      <c r="D135" s="30" t="s">
        <v>371</v>
      </c>
      <c r="E135" s="30" t="s">
        <v>112</v>
      </c>
      <c r="F135" s="30" t="s">
        <v>866</v>
      </c>
      <c r="G135" s="30"/>
      <c r="H135" s="30" t="s">
        <v>241</v>
      </c>
      <c r="I135" s="30" t="s">
        <v>126</v>
      </c>
      <c r="J135" s="21">
        <v>12</v>
      </c>
    </row>
    <row r="136" spans="1:10">
      <c r="A136" s="22" t="s">
        <v>1138</v>
      </c>
      <c r="B136" s="30"/>
      <c r="C136" s="30"/>
      <c r="D136" s="30" t="s">
        <v>372</v>
      </c>
      <c r="E136" s="30" t="s">
        <v>127</v>
      </c>
      <c r="F136" s="30" t="s">
        <v>866</v>
      </c>
      <c r="G136" s="30"/>
      <c r="H136" s="30" t="s">
        <v>241</v>
      </c>
      <c r="I136" s="30" t="s">
        <v>126</v>
      </c>
      <c r="J136" s="21">
        <v>13</v>
      </c>
    </row>
    <row r="137" spans="1:10">
      <c r="A137" s="22" t="s">
        <v>1138</v>
      </c>
      <c r="B137" s="30"/>
      <c r="C137" s="30"/>
      <c r="D137" s="30" t="s">
        <v>883</v>
      </c>
      <c r="E137" s="30" t="s">
        <v>112</v>
      </c>
      <c r="F137" s="30" t="s">
        <v>866</v>
      </c>
      <c r="G137" s="30"/>
      <c r="H137" s="30" t="s">
        <v>241</v>
      </c>
      <c r="I137" s="30" t="s">
        <v>128</v>
      </c>
      <c r="J137" s="21">
        <v>14</v>
      </c>
    </row>
    <row r="138" spans="1:10">
      <c r="A138" s="22" t="s">
        <v>1138</v>
      </c>
      <c r="B138" s="30"/>
      <c r="C138" s="30"/>
      <c r="D138" s="30" t="s">
        <v>884</v>
      </c>
      <c r="E138" s="30" t="s">
        <v>127</v>
      </c>
      <c r="F138" s="30" t="s">
        <v>866</v>
      </c>
      <c r="G138" s="30"/>
      <c r="H138" s="30" t="s">
        <v>241</v>
      </c>
      <c r="I138" s="30" t="s">
        <v>128</v>
      </c>
      <c r="J138" s="21">
        <v>15</v>
      </c>
    </row>
    <row r="139" spans="1:10">
      <c r="A139" s="22" t="s">
        <v>1138</v>
      </c>
      <c r="B139" s="30"/>
      <c r="C139" s="30"/>
      <c r="D139" s="22" t="s">
        <v>289</v>
      </c>
      <c r="E139" s="30" t="s">
        <v>120</v>
      </c>
      <c r="F139" s="30" t="s">
        <v>111</v>
      </c>
      <c r="G139" s="30"/>
      <c r="H139" s="30" t="s">
        <v>241</v>
      </c>
      <c r="I139" s="30" t="s">
        <v>213</v>
      </c>
      <c r="J139" s="21">
        <v>16</v>
      </c>
    </row>
    <row r="140" spans="1:10">
      <c r="A140" s="22" t="s">
        <v>1138</v>
      </c>
      <c r="B140" s="30"/>
      <c r="C140" s="30"/>
      <c r="D140" s="30" t="s">
        <v>623</v>
      </c>
      <c r="E140" s="30" t="s">
        <v>115</v>
      </c>
      <c r="F140" s="30" t="s">
        <v>178</v>
      </c>
      <c r="G140" s="30" t="s">
        <v>1191</v>
      </c>
      <c r="H140" s="30" t="s">
        <v>241</v>
      </c>
      <c r="I140" s="30" t="s">
        <v>114</v>
      </c>
      <c r="J140" s="21">
        <v>17</v>
      </c>
    </row>
    <row r="141" spans="1:10">
      <c r="A141" s="22" t="s">
        <v>1138</v>
      </c>
      <c r="B141" s="30"/>
      <c r="C141" s="30"/>
      <c r="D141" s="30" t="s">
        <v>373</v>
      </c>
      <c r="E141" s="30" t="s">
        <v>115</v>
      </c>
      <c r="F141" s="30" t="s">
        <v>178</v>
      </c>
      <c r="G141" s="30" t="s">
        <v>1192</v>
      </c>
      <c r="H141" s="30" t="s">
        <v>241</v>
      </c>
      <c r="I141" s="30" t="s">
        <v>114</v>
      </c>
      <c r="J141" s="21">
        <v>18</v>
      </c>
    </row>
    <row r="142" spans="1:10">
      <c r="A142" s="22" t="s">
        <v>1138</v>
      </c>
      <c r="B142" s="30"/>
      <c r="C142" s="30"/>
      <c r="D142" s="30" t="s">
        <v>1140</v>
      </c>
      <c r="E142" s="30" t="s">
        <v>112</v>
      </c>
      <c r="F142" s="30" t="s">
        <v>178</v>
      </c>
      <c r="G142" s="30" t="s">
        <v>571</v>
      </c>
      <c r="H142" s="30" t="s">
        <v>241</v>
      </c>
      <c r="I142" s="30" t="s">
        <v>572</v>
      </c>
      <c r="J142" s="21">
        <v>19</v>
      </c>
    </row>
    <row r="143" spans="1:10">
      <c r="A143" s="22" t="s">
        <v>1138</v>
      </c>
      <c r="B143" s="30"/>
      <c r="C143" s="30"/>
      <c r="D143" s="30" t="s">
        <v>624</v>
      </c>
      <c r="E143" s="30" t="s">
        <v>115</v>
      </c>
      <c r="F143" s="30" t="s">
        <v>179</v>
      </c>
      <c r="G143" s="30" t="s">
        <v>1193</v>
      </c>
      <c r="H143" s="30" t="s">
        <v>241</v>
      </c>
      <c r="I143" s="30" t="s">
        <v>114</v>
      </c>
      <c r="J143" s="21">
        <v>20</v>
      </c>
    </row>
    <row r="144" spans="1:10">
      <c r="A144" s="22" t="s">
        <v>1138</v>
      </c>
      <c r="B144" s="30"/>
      <c r="C144" s="30"/>
      <c r="D144" s="30" t="s">
        <v>374</v>
      </c>
      <c r="E144" s="30" t="s">
        <v>115</v>
      </c>
      <c r="F144" s="30" t="s">
        <v>179</v>
      </c>
      <c r="G144" s="30" t="s">
        <v>1194</v>
      </c>
      <c r="H144" s="30" t="s">
        <v>241</v>
      </c>
      <c r="I144" s="30" t="s">
        <v>114</v>
      </c>
      <c r="J144" s="21">
        <v>21</v>
      </c>
    </row>
    <row r="145" spans="1:10">
      <c r="A145" s="22" t="s">
        <v>1138</v>
      </c>
      <c r="B145" s="30"/>
      <c r="C145" s="30"/>
      <c r="D145" s="30" t="s">
        <v>885</v>
      </c>
      <c r="E145" s="30" t="s">
        <v>112</v>
      </c>
      <c r="F145" s="30" t="s">
        <v>179</v>
      </c>
      <c r="G145" s="30" t="s">
        <v>571</v>
      </c>
      <c r="H145" s="30" t="s">
        <v>241</v>
      </c>
      <c r="I145" s="30" t="s">
        <v>572</v>
      </c>
      <c r="J145" s="21">
        <v>22</v>
      </c>
    </row>
    <row r="146" spans="1:10">
      <c r="A146" s="22" t="s">
        <v>1138</v>
      </c>
      <c r="B146" s="30"/>
      <c r="C146" s="30"/>
      <c r="D146" s="30" t="s">
        <v>1141</v>
      </c>
      <c r="E146" s="30" t="s">
        <v>115</v>
      </c>
      <c r="F146" s="30" t="s">
        <v>169</v>
      </c>
      <c r="G146" s="30" t="s">
        <v>1195</v>
      </c>
      <c r="H146" s="30" t="s">
        <v>241</v>
      </c>
      <c r="I146" s="30" t="s">
        <v>114</v>
      </c>
      <c r="J146" s="21">
        <v>23</v>
      </c>
    </row>
    <row r="147" spans="1:10">
      <c r="A147" s="22" t="s">
        <v>1138</v>
      </c>
      <c r="B147" s="30"/>
      <c r="C147" s="30"/>
      <c r="D147" s="30" t="s">
        <v>375</v>
      </c>
      <c r="E147" s="30" t="s">
        <v>115</v>
      </c>
      <c r="F147" s="30" t="s">
        <v>169</v>
      </c>
      <c r="G147" s="30" t="s">
        <v>1196</v>
      </c>
      <c r="H147" s="30" t="s">
        <v>241</v>
      </c>
      <c r="I147" s="30" t="s">
        <v>114</v>
      </c>
      <c r="J147" s="21">
        <v>24</v>
      </c>
    </row>
    <row r="148" spans="1:10">
      <c r="A148" s="22" t="s">
        <v>1138</v>
      </c>
      <c r="B148" s="30"/>
      <c r="C148" s="30"/>
      <c r="D148" s="30" t="s">
        <v>886</v>
      </c>
      <c r="E148" s="30" t="s">
        <v>112</v>
      </c>
      <c r="F148" s="30" t="s">
        <v>169</v>
      </c>
      <c r="G148" s="30" t="s">
        <v>571</v>
      </c>
      <c r="H148" s="30" t="s">
        <v>241</v>
      </c>
      <c r="I148" s="30" t="s">
        <v>572</v>
      </c>
      <c r="J148" s="21">
        <v>25</v>
      </c>
    </row>
    <row r="149" spans="1:10">
      <c r="A149" s="22" t="s">
        <v>1138</v>
      </c>
      <c r="B149" s="30"/>
      <c r="C149" s="30"/>
      <c r="D149" s="30" t="s">
        <v>625</v>
      </c>
      <c r="E149" s="30" t="s">
        <v>115</v>
      </c>
      <c r="F149" s="30" t="s">
        <v>180</v>
      </c>
      <c r="G149" s="30" t="s">
        <v>1202</v>
      </c>
      <c r="H149" s="30" t="s">
        <v>241</v>
      </c>
      <c r="I149" s="30" t="s">
        <v>114</v>
      </c>
      <c r="J149" s="21">
        <v>26</v>
      </c>
    </row>
    <row r="150" spans="1:10">
      <c r="A150" s="22" t="s">
        <v>1138</v>
      </c>
      <c r="B150" s="30"/>
      <c r="C150" s="30"/>
      <c r="D150" s="30" t="s">
        <v>376</v>
      </c>
      <c r="E150" s="30" t="s">
        <v>115</v>
      </c>
      <c r="F150" s="30" t="s">
        <v>180</v>
      </c>
      <c r="G150" s="30" t="s">
        <v>1203</v>
      </c>
      <c r="H150" s="30" t="s">
        <v>241</v>
      </c>
      <c r="I150" s="30" t="s">
        <v>114</v>
      </c>
      <c r="J150" s="21">
        <v>27</v>
      </c>
    </row>
    <row r="151" spans="1:10">
      <c r="A151" s="22" t="s">
        <v>1138</v>
      </c>
      <c r="B151" s="30"/>
      <c r="C151" s="30"/>
      <c r="D151" s="30" t="s">
        <v>887</v>
      </c>
      <c r="E151" s="30" t="s">
        <v>112</v>
      </c>
      <c r="F151" s="30" t="s">
        <v>180</v>
      </c>
      <c r="G151" s="30" t="s">
        <v>571</v>
      </c>
      <c r="H151" s="30" t="s">
        <v>241</v>
      </c>
      <c r="I151" s="30" t="s">
        <v>572</v>
      </c>
      <c r="J151" s="21">
        <v>28</v>
      </c>
    </row>
    <row r="152" spans="1:10">
      <c r="A152" s="22" t="s">
        <v>1138</v>
      </c>
      <c r="B152" s="30"/>
      <c r="C152" s="30"/>
      <c r="D152" s="30" t="s">
        <v>626</v>
      </c>
      <c r="E152" s="30" t="s">
        <v>115</v>
      </c>
      <c r="F152" s="30" t="s">
        <v>181</v>
      </c>
      <c r="G152" s="30" t="s">
        <v>1197</v>
      </c>
      <c r="H152" s="30" t="s">
        <v>241</v>
      </c>
      <c r="I152" s="30" t="s">
        <v>114</v>
      </c>
      <c r="J152" s="21">
        <v>29</v>
      </c>
    </row>
    <row r="153" spans="1:10">
      <c r="A153" s="22" t="s">
        <v>1138</v>
      </c>
      <c r="B153" s="30"/>
      <c r="C153" s="30"/>
      <c r="D153" s="30" t="s">
        <v>888</v>
      </c>
      <c r="E153" s="30" t="s">
        <v>115</v>
      </c>
      <c r="F153" s="30" t="s">
        <v>181</v>
      </c>
      <c r="G153" s="30" t="s">
        <v>1198</v>
      </c>
      <c r="H153" s="30" t="s">
        <v>241</v>
      </c>
      <c r="I153" s="30" t="s">
        <v>114</v>
      </c>
      <c r="J153" s="21">
        <v>30</v>
      </c>
    </row>
    <row r="154" spans="1:10">
      <c r="A154" s="22" t="s">
        <v>1138</v>
      </c>
      <c r="B154" s="30"/>
      <c r="C154" s="30"/>
      <c r="D154" s="30" t="s">
        <v>889</v>
      </c>
      <c r="E154" s="30" t="s">
        <v>112</v>
      </c>
      <c r="F154" s="30" t="s">
        <v>181</v>
      </c>
      <c r="G154" s="30" t="s">
        <v>571</v>
      </c>
      <c r="H154" s="30" t="s">
        <v>241</v>
      </c>
      <c r="I154" s="30" t="s">
        <v>572</v>
      </c>
      <c r="J154" s="21">
        <v>31</v>
      </c>
    </row>
    <row r="155" spans="1:10">
      <c r="A155" s="22" t="s">
        <v>1138</v>
      </c>
      <c r="B155" s="30"/>
      <c r="C155" s="30"/>
      <c r="D155" s="30" t="s">
        <v>627</v>
      </c>
      <c r="E155" s="30" t="s">
        <v>115</v>
      </c>
      <c r="F155" s="30" t="s">
        <v>182</v>
      </c>
      <c r="G155" s="30" t="s">
        <v>1199</v>
      </c>
      <c r="H155" s="30" t="s">
        <v>241</v>
      </c>
      <c r="I155" s="30" t="s">
        <v>114</v>
      </c>
      <c r="J155" s="21">
        <v>32</v>
      </c>
    </row>
    <row r="156" spans="1:10">
      <c r="A156" s="22" t="s">
        <v>1138</v>
      </c>
      <c r="B156" s="30"/>
      <c r="C156" s="30"/>
      <c r="D156" s="30" t="s">
        <v>890</v>
      </c>
      <c r="E156" s="30" t="s">
        <v>115</v>
      </c>
      <c r="F156" s="30" t="s">
        <v>182</v>
      </c>
      <c r="G156" s="30" t="s">
        <v>1200</v>
      </c>
      <c r="H156" s="30" t="s">
        <v>241</v>
      </c>
      <c r="I156" s="30" t="s">
        <v>114</v>
      </c>
      <c r="J156" s="21">
        <v>33</v>
      </c>
    </row>
    <row r="157" spans="1:10">
      <c r="A157" s="22" t="s">
        <v>1138</v>
      </c>
      <c r="B157" s="30"/>
      <c r="C157" s="30"/>
      <c r="D157" s="30" t="s">
        <v>891</v>
      </c>
      <c r="E157" s="30" t="s">
        <v>112</v>
      </c>
      <c r="F157" s="30" t="s">
        <v>182</v>
      </c>
      <c r="G157" s="30" t="s">
        <v>571</v>
      </c>
      <c r="H157" s="30" t="s">
        <v>241</v>
      </c>
      <c r="I157" s="30" t="s">
        <v>572</v>
      </c>
      <c r="J157" s="21">
        <v>34</v>
      </c>
    </row>
    <row r="158" spans="1:10">
      <c r="A158" s="22" t="s">
        <v>1138</v>
      </c>
      <c r="B158" s="30"/>
      <c r="C158" s="30"/>
      <c r="D158" s="30" t="s">
        <v>628</v>
      </c>
      <c r="E158" s="30" t="s">
        <v>115</v>
      </c>
      <c r="F158" s="30" t="s">
        <v>183</v>
      </c>
      <c r="G158" s="30" t="s">
        <v>1204</v>
      </c>
      <c r="H158" s="30" t="s">
        <v>241</v>
      </c>
      <c r="I158" s="30" t="s">
        <v>114</v>
      </c>
      <c r="J158" s="21">
        <v>35</v>
      </c>
    </row>
    <row r="159" spans="1:10">
      <c r="A159" s="22" t="s">
        <v>1138</v>
      </c>
      <c r="B159" s="30"/>
      <c r="C159" s="30"/>
      <c r="D159" s="30" t="s">
        <v>892</v>
      </c>
      <c r="E159" s="30" t="s">
        <v>115</v>
      </c>
      <c r="F159" s="30" t="s">
        <v>183</v>
      </c>
      <c r="G159" s="30" t="s">
        <v>1205</v>
      </c>
      <c r="H159" s="30" t="s">
        <v>241</v>
      </c>
      <c r="I159" s="30" t="s">
        <v>114</v>
      </c>
      <c r="J159" s="21">
        <v>36</v>
      </c>
    </row>
    <row r="160" spans="1:10">
      <c r="A160" s="22" t="s">
        <v>1138</v>
      </c>
      <c r="B160" s="30"/>
      <c r="C160" s="30"/>
      <c r="D160" s="30" t="s">
        <v>893</v>
      </c>
      <c r="E160" s="30" t="s">
        <v>112</v>
      </c>
      <c r="F160" s="30" t="s">
        <v>183</v>
      </c>
      <c r="G160" s="30" t="s">
        <v>571</v>
      </c>
      <c r="H160" s="30" t="s">
        <v>241</v>
      </c>
      <c r="I160" s="30" t="s">
        <v>572</v>
      </c>
      <c r="J160" s="21">
        <v>37</v>
      </c>
    </row>
    <row r="161" spans="1:10">
      <c r="A161" s="22" t="s">
        <v>1138</v>
      </c>
      <c r="B161" s="30"/>
      <c r="C161" s="30"/>
      <c r="D161" s="30" t="s">
        <v>629</v>
      </c>
      <c r="E161" s="30" t="s">
        <v>115</v>
      </c>
      <c r="F161" s="30" t="s">
        <v>184</v>
      </c>
      <c r="G161" s="30" t="s">
        <v>1189</v>
      </c>
      <c r="H161" s="30" t="s">
        <v>241</v>
      </c>
      <c r="I161" s="30" t="s">
        <v>114</v>
      </c>
      <c r="J161" s="21">
        <v>38</v>
      </c>
    </row>
    <row r="162" spans="1:10">
      <c r="A162" s="22" t="s">
        <v>1138</v>
      </c>
      <c r="B162" s="30"/>
      <c r="C162" s="30"/>
      <c r="D162" s="30" t="s">
        <v>894</v>
      </c>
      <c r="E162" s="30" t="s">
        <v>115</v>
      </c>
      <c r="F162" s="30" t="s">
        <v>184</v>
      </c>
      <c r="G162" s="30" t="s">
        <v>1190</v>
      </c>
      <c r="H162" s="30" t="s">
        <v>241</v>
      </c>
      <c r="I162" s="30" t="s">
        <v>114</v>
      </c>
      <c r="J162" s="21">
        <v>39</v>
      </c>
    </row>
    <row r="163" spans="1:10">
      <c r="A163" s="22" t="s">
        <v>1138</v>
      </c>
      <c r="B163" s="30"/>
      <c r="C163" s="30"/>
      <c r="D163" s="30" t="s">
        <v>1142</v>
      </c>
      <c r="E163" s="30" t="s">
        <v>112</v>
      </c>
      <c r="F163" s="30" t="s">
        <v>184</v>
      </c>
      <c r="G163" s="30" t="s">
        <v>571</v>
      </c>
      <c r="H163" s="30" t="s">
        <v>241</v>
      </c>
      <c r="I163" s="30" t="s">
        <v>572</v>
      </c>
      <c r="J163" s="21">
        <v>40</v>
      </c>
    </row>
    <row r="164" spans="1:10">
      <c r="A164" s="22" t="s">
        <v>1139</v>
      </c>
      <c r="B164" s="30"/>
      <c r="C164" s="30"/>
      <c r="D164" s="30" t="s">
        <v>821</v>
      </c>
      <c r="E164" s="30" t="s">
        <v>822</v>
      </c>
      <c r="F164" s="30" t="s">
        <v>111</v>
      </c>
      <c r="G164" s="30" t="s">
        <v>865</v>
      </c>
      <c r="H164" s="30" t="s">
        <v>241</v>
      </c>
      <c r="I164" s="30" t="s">
        <v>232</v>
      </c>
      <c r="J164" s="21">
        <v>41</v>
      </c>
    </row>
    <row r="165" spans="1:10">
      <c r="A165" s="22" t="s">
        <v>1139</v>
      </c>
      <c r="B165" s="30"/>
      <c r="C165" s="30"/>
      <c r="D165" s="30" t="s">
        <v>331</v>
      </c>
      <c r="E165" s="30" t="s">
        <v>822</v>
      </c>
      <c r="F165" s="30" t="s">
        <v>111</v>
      </c>
      <c r="G165" s="30" t="s">
        <v>865</v>
      </c>
      <c r="H165" s="30" t="s">
        <v>241</v>
      </c>
      <c r="I165" s="30" t="s">
        <v>823</v>
      </c>
      <c r="J165" s="21">
        <v>42</v>
      </c>
    </row>
    <row r="166" spans="1:10">
      <c r="A166" s="28"/>
      <c r="B166" s="28"/>
      <c r="C166" s="28"/>
      <c r="D166" s="28"/>
      <c r="E166" s="29" t="s">
        <v>368</v>
      </c>
      <c r="F166" s="28"/>
      <c r="G166" s="28"/>
      <c r="H166" s="28"/>
      <c r="I166" s="28"/>
    </row>
    <row r="167" spans="1:10">
      <c r="A167" s="22" t="s">
        <v>1138</v>
      </c>
      <c r="B167" s="30"/>
      <c r="C167" s="30"/>
      <c r="D167" s="22" t="s">
        <v>350</v>
      </c>
      <c r="E167" s="30" t="s">
        <v>115</v>
      </c>
      <c r="F167" s="30" t="s">
        <v>111</v>
      </c>
      <c r="G167" s="30" t="s">
        <v>863</v>
      </c>
      <c r="H167" s="30" t="s">
        <v>241</v>
      </c>
      <c r="I167" s="30" t="s">
        <v>114</v>
      </c>
    </row>
    <row r="168" spans="1:10">
      <c r="A168" s="22" t="s">
        <v>1138</v>
      </c>
      <c r="B168" s="30"/>
      <c r="C168" s="30"/>
      <c r="D168" s="22" t="s">
        <v>266</v>
      </c>
      <c r="E168" s="30" t="s">
        <v>120</v>
      </c>
      <c r="F168" s="30" t="s">
        <v>111</v>
      </c>
      <c r="G168" s="30" t="s">
        <v>863</v>
      </c>
      <c r="H168" s="30" t="s">
        <v>241</v>
      </c>
      <c r="I168" s="30" t="s">
        <v>114</v>
      </c>
    </row>
    <row r="169" spans="1:10">
      <c r="A169" s="22" t="s">
        <v>1138</v>
      </c>
      <c r="B169" s="30"/>
      <c r="C169" s="30"/>
      <c r="D169" s="30" t="s">
        <v>267</v>
      </c>
      <c r="E169" s="30" t="s">
        <v>112</v>
      </c>
      <c r="F169" s="30" t="s">
        <v>111</v>
      </c>
      <c r="G169" s="30" t="s">
        <v>113</v>
      </c>
      <c r="H169" s="30" t="s">
        <v>241</v>
      </c>
      <c r="I169" s="30" t="s">
        <v>114</v>
      </c>
    </row>
    <row r="170" spans="1:10">
      <c r="A170" s="22" t="s">
        <v>1138</v>
      </c>
      <c r="C170" s="30"/>
      <c r="D170" s="30" t="s">
        <v>268</v>
      </c>
      <c r="E170" s="30" t="s">
        <v>115</v>
      </c>
      <c r="F170" s="30" t="s">
        <v>111</v>
      </c>
      <c r="G170" s="30" t="s">
        <v>863</v>
      </c>
      <c r="H170" s="30" t="s">
        <v>241</v>
      </c>
      <c r="I170" s="30" t="s">
        <v>204</v>
      </c>
    </row>
    <row r="171" spans="1:10">
      <c r="A171" s="22" t="s">
        <v>1138</v>
      </c>
      <c r="C171" s="30"/>
      <c r="D171" s="30" t="s">
        <v>302</v>
      </c>
      <c r="E171" s="30" t="s">
        <v>115</v>
      </c>
      <c r="F171" s="30" t="s">
        <v>111</v>
      </c>
      <c r="G171" s="30" t="s">
        <v>863</v>
      </c>
      <c r="H171" s="30" t="s">
        <v>241</v>
      </c>
      <c r="I171" s="30" t="s">
        <v>232</v>
      </c>
    </row>
    <row r="172" spans="1:10">
      <c r="A172" s="22" t="s">
        <v>1138</v>
      </c>
      <c r="B172" s="30"/>
      <c r="C172" s="30"/>
      <c r="D172" s="30" t="s">
        <v>303</v>
      </c>
      <c r="E172" s="30" t="s">
        <v>115</v>
      </c>
      <c r="F172" s="30" t="s">
        <v>111</v>
      </c>
      <c r="G172" s="30" t="s">
        <v>863</v>
      </c>
      <c r="H172" s="30" t="s">
        <v>241</v>
      </c>
      <c r="I172" s="30" t="s">
        <v>118</v>
      </c>
    </row>
    <row r="173" spans="1:10">
      <c r="A173" s="22" t="s">
        <v>1138</v>
      </c>
      <c r="B173" s="30"/>
      <c r="C173" s="30"/>
      <c r="D173" s="30" t="s">
        <v>351</v>
      </c>
      <c r="E173" s="30" t="s">
        <v>115</v>
      </c>
      <c r="F173" s="30" t="s">
        <v>111</v>
      </c>
      <c r="G173" s="30" t="s">
        <v>864</v>
      </c>
      <c r="H173" s="30" t="s">
        <v>241</v>
      </c>
      <c r="I173" s="30" t="s">
        <v>118</v>
      </c>
    </row>
    <row r="174" spans="1:10">
      <c r="A174" s="22" t="s">
        <v>1138</v>
      </c>
      <c r="C174" s="30"/>
      <c r="D174" s="30" t="s">
        <v>911</v>
      </c>
      <c r="E174" s="30" t="s">
        <v>112</v>
      </c>
      <c r="F174" s="30" t="s">
        <v>247</v>
      </c>
      <c r="G174" s="30"/>
      <c r="H174" s="30" t="s">
        <v>241</v>
      </c>
      <c r="I174" s="30" t="s">
        <v>118</v>
      </c>
    </row>
    <row r="175" spans="1:10">
      <c r="A175" s="22" t="s">
        <v>1138</v>
      </c>
      <c r="C175" s="30"/>
      <c r="D175" s="30" t="s">
        <v>912</v>
      </c>
      <c r="E175" s="30" t="s">
        <v>127</v>
      </c>
      <c r="F175" s="30" t="s">
        <v>247</v>
      </c>
      <c r="G175" s="30"/>
      <c r="H175" s="30" t="s">
        <v>241</v>
      </c>
      <c r="I175" s="30" t="s">
        <v>118</v>
      </c>
    </row>
    <row r="176" spans="1:10">
      <c r="A176" s="22" t="s">
        <v>1138</v>
      </c>
      <c r="B176" s="30"/>
      <c r="C176" s="30"/>
      <c r="D176" s="30" t="s">
        <v>913</v>
      </c>
      <c r="E176" s="30" t="s">
        <v>112</v>
      </c>
      <c r="F176" s="30" t="s">
        <v>123</v>
      </c>
      <c r="G176" s="30"/>
      <c r="H176" s="30" t="s">
        <v>241</v>
      </c>
      <c r="I176" s="30" t="s">
        <v>240</v>
      </c>
    </row>
    <row r="177" spans="1:9">
      <c r="A177" s="22" t="s">
        <v>1138</v>
      </c>
      <c r="B177" s="30"/>
      <c r="C177" s="30"/>
      <c r="D177" s="30" t="s">
        <v>914</v>
      </c>
      <c r="E177" s="30" t="s">
        <v>127</v>
      </c>
      <c r="F177" s="30" t="s">
        <v>123</v>
      </c>
      <c r="G177" s="30"/>
      <c r="H177" s="30" t="s">
        <v>241</v>
      </c>
      <c r="I177" s="30" t="s">
        <v>240</v>
      </c>
    </row>
    <row r="178" spans="1:9">
      <c r="A178" s="22" t="s">
        <v>1138</v>
      </c>
      <c r="B178" s="30"/>
      <c r="C178" s="30"/>
      <c r="D178" s="30" t="s">
        <v>352</v>
      </c>
      <c r="E178" s="30" t="s">
        <v>112</v>
      </c>
      <c r="F178" s="30" t="s">
        <v>866</v>
      </c>
      <c r="G178" s="30"/>
      <c r="H178" s="30" t="s">
        <v>241</v>
      </c>
      <c r="I178" s="30" t="s">
        <v>126</v>
      </c>
    </row>
    <row r="179" spans="1:9">
      <c r="A179" s="22" t="s">
        <v>1138</v>
      </c>
      <c r="B179" s="30"/>
      <c r="C179" s="30"/>
      <c r="D179" s="30" t="s">
        <v>353</v>
      </c>
      <c r="E179" s="30" t="s">
        <v>127</v>
      </c>
      <c r="F179" s="30" t="s">
        <v>866</v>
      </c>
      <c r="G179" s="30"/>
      <c r="H179" s="30" t="s">
        <v>241</v>
      </c>
      <c r="I179" s="30" t="s">
        <v>126</v>
      </c>
    </row>
    <row r="180" spans="1:9">
      <c r="A180" s="22" t="s">
        <v>1138</v>
      </c>
      <c r="B180" s="30"/>
      <c r="C180" s="30"/>
      <c r="D180" s="30" t="s">
        <v>915</v>
      </c>
      <c r="E180" s="30" t="s">
        <v>112</v>
      </c>
      <c r="F180" s="30" t="s">
        <v>866</v>
      </c>
      <c r="G180" s="30"/>
      <c r="H180" s="30" t="s">
        <v>241</v>
      </c>
      <c r="I180" s="30" t="s">
        <v>128</v>
      </c>
    </row>
    <row r="181" spans="1:9">
      <c r="A181" s="22" t="s">
        <v>1138</v>
      </c>
      <c r="B181" s="30"/>
      <c r="C181" s="30"/>
      <c r="D181" s="30" t="s">
        <v>916</v>
      </c>
      <c r="E181" s="30" t="s">
        <v>127</v>
      </c>
      <c r="F181" s="30" t="s">
        <v>866</v>
      </c>
      <c r="G181" s="30"/>
      <c r="H181" s="30" t="s">
        <v>241</v>
      </c>
      <c r="I181" s="30" t="s">
        <v>128</v>
      </c>
    </row>
    <row r="182" spans="1:9">
      <c r="A182" s="22" t="s">
        <v>1138</v>
      </c>
      <c r="B182" s="30"/>
      <c r="C182" s="30"/>
      <c r="D182" s="22" t="s">
        <v>304</v>
      </c>
      <c r="E182" s="30" t="s">
        <v>120</v>
      </c>
      <c r="F182" s="30" t="s">
        <v>111</v>
      </c>
      <c r="G182" s="30"/>
      <c r="H182" s="30" t="s">
        <v>241</v>
      </c>
      <c r="I182" s="30" t="s">
        <v>213</v>
      </c>
    </row>
    <row r="183" spans="1:9">
      <c r="A183" s="22" t="s">
        <v>1138</v>
      </c>
      <c r="B183" s="30"/>
      <c r="C183" s="30"/>
      <c r="D183" s="30" t="s">
        <v>655</v>
      </c>
      <c r="E183" s="30" t="s">
        <v>115</v>
      </c>
      <c r="F183" s="30" t="s">
        <v>178</v>
      </c>
      <c r="G183" s="30" t="s">
        <v>1191</v>
      </c>
      <c r="H183" s="30" t="s">
        <v>241</v>
      </c>
      <c r="I183" s="30" t="s">
        <v>114</v>
      </c>
    </row>
    <row r="184" spans="1:9">
      <c r="A184" s="22" t="s">
        <v>1138</v>
      </c>
      <c r="B184" s="30"/>
      <c r="C184" s="30"/>
      <c r="D184" s="30" t="s">
        <v>355</v>
      </c>
      <c r="E184" s="30" t="s">
        <v>115</v>
      </c>
      <c r="F184" s="30" t="s">
        <v>178</v>
      </c>
      <c r="G184" s="30" t="s">
        <v>1192</v>
      </c>
      <c r="H184" s="30" t="s">
        <v>241</v>
      </c>
      <c r="I184" s="30" t="s">
        <v>114</v>
      </c>
    </row>
    <row r="185" spans="1:9">
      <c r="A185" s="22" t="s">
        <v>1138</v>
      </c>
      <c r="B185" s="30"/>
      <c r="C185" s="30"/>
      <c r="D185" s="30" t="s">
        <v>1143</v>
      </c>
      <c r="E185" s="30" t="s">
        <v>112</v>
      </c>
      <c r="F185" s="30" t="s">
        <v>178</v>
      </c>
      <c r="G185" s="30" t="s">
        <v>571</v>
      </c>
      <c r="H185" s="30" t="s">
        <v>241</v>
      </c>
      <c r="I185" s="30" t="s">
        <v>572</v>
      </c>
    </row>
    <row r="186" spans="1:9">
      <c r="A186" s="22" t="s">
        <v>1138</v>
      </c>
      <c r="B186" s="30"/>
      <c r="C186" s="30"/>
      <c r="D186" s="30" t="s">
        <v>656</v>
      </c>
      <c r="E186" s="30" t="s">
        <v>115</v>
      </c>
      <c r="F186" s="30" t="s">
        <v>179</v>
      </c>
      <c r="G186" s="30" t="s">
        <v>1193</v>
      </c>
      <c r="H186" s="30" t="s">
        <v>241</v>
      </c>
      <c r="I186" s="30" t="s">
        <v>114</v>
      </c>
    </row>
    <row r="187" spans="1:9">
      <c r="A187" s="22" t="s">
        <v>1138</v>
      </c>
      <c r="B187" s="30"/>
      <c r="C187" s="30"/>
      <c r="D187" s="30" t="s">
        <v>356</v>
      </c>
      <c r="E187" s="30" t="s">
        <v>115</v>
      </c>
      <c r="F187" s="30" t="s">
        <v>179</v>
      </c>
      <c r="G187" s="30" t="s">
        <v>1194</v>
      </c>
      <c r="H187" s="30" t="s">
        <v>241</v>
      </c>
      <c r="I187" s="30" t="s">
        <v>114</v>
      </c>
    </row>
    <row r="188" spans="1:9">
      <c r="A188" s="22" t="s">
        <v>1138</v>
      </c>
      <c r="B188" s="30"/>
      <c r="C188" s="30"/>
      <c r="D188" s="30" t="s">
        <v>917</v>
      </c>
      <c r="E188" s="30" t="s">
        <v>112</v>
      </c>
      <c r="F188" s="30" t="s">
        <v>179</v>
      </c>
      <c r="G188" s="30" t="s">
        <v>571</v>
      </c>
      <c r="H188" s="30" t="s">
        <v>241</v>
      </c>
      <c r="I188" s="30" t="s">
        <v>572</v>
      </c>
    </row>
    <row r="189" spans="1:9">
      <c r="A189" s="22" t="s">
        <v>1138</v>
      </c>
      <c r="B189" s="30"/>
      <c r="C189" s="30"/>
      <c r="D189" s="30" t="s">
        <v>1144</v>
      </c>
      <c r="E189" s="30" t="s">
        <v>115</v>
      </c>
      <c r="F189" s="30" t="s">
        <v>169</v>
      </c>
      <c r="G189" s="30" t="s">
        <v>1195</v>
      </c>
      <c r="H189" s="30" t="s">
        <v>241</v>
      </c>
      <c r="I189" s="30" t="s">
        <v>114</v>
      </c>
    </row>
    <row r="190" spans="1:9">
      <c r="A190" s="22" t="s">
        <v>1138</v>
      </c>
      <c r="B190" s="30"/>
      <c r="C190" s="30"/>
      <c r="D190" s="30" t="s">
        <v>357</v>
      </c>
      <c r="E190" s="30" t="s">
        <v>115</v>
      </c>
      <c r="F190" s="30" t="s">
        <v>169</v>
      </c>
      <c r="G190" s="30" t="s">
        <v>1196</v>
      </c>
      <c r="H190" s="30" t="s">
        <v>241</v>
      </c>
      <c r="I190" s="30" t="s">
        <v>114</v>
      </c>
    </row>
    <row r="191" spans="1:9">
      <c r="A191" s="22" t="s">
        <v>1138</v>
      </c>
      <c r="B191" s="30"/>
      <c r="C191" s="30"/>
      <c r="D191" s="30" t="s">
        <v>918</v>
      </c>
      <c r="E191" s="30" t="s">
        <v>112</v>
      </c>
      <c r="F191" s="30" t="s">
        <v>169</v>
      </c>
      <c r="G191" s="30" t="s">
        <v>571</v>
      </c>
      <c r="H191" s="30" t="s">
        <v>241</v>
      </c>
      <c r="I191" s="30" t="s">
        <v>572</v>
      </c>
    </row>
    <row r="192" spans="1:9">
      <c r="A192" s="22" t="s">
        <v>1138</v>
      </c>
      <c r="B192" s="30"/>
      <c r="C192" s="30"/>
      <c r="D192" s="30" t="s">
        <v>657</v>
      </c>
      <c r="E192" s="30" t="s">
        <v>115</v>
      </c>
      <c r="F192" s="30" t="s">
        <v>180</v>
      </c>
      <c r="G192" s="30" t="s">
        <v>1202</v>
      </c>
      <c r="H192" s="30" t="s">
        <v>241</v>
      </c>
      <c r="I192" s="30" t="s">
        <v>114</v>
      </c>
    </row>
    <row r="193" spans="1:9">
      <c r="A193" s="22" t="s">
        <v>1138</v>
      </c>
      <c r="B193" s="30"/>
      <c r="C193" s="30"/>
      <c r="D193" s="30" t="s">
        <v>358</v>
      </c>
      <c r="E193" s="30" t="s">
        <v>115</v>
      </c>
      <c r="F193" s="30" t="s">
        <v>180</v>
      </c>
      <c r="G193" s="30" t="s">
        <v>1203</v>
      </c>
      <c r="H193" s="30" t="s">
        <v>241</v>
      </c>
      <c r="I193" s="30" t="s">
        <v>114</v>
      </c>
    </row>
    <row r="194" spans="1:9">
      <c r="A194" s="22" t="s">
        <v>1138</v>
      </c>
      <c r="B194" s="30"/>
      <c r="C194" s="30"/>
      <c r="D194" s="30" t="s">
        <v>919</v>
      </c>
      <c r="E194" s="30" t="s">
        <v>112</v>
      </c>
      <c r="F194" s="30" t="s">
        <v>180</v>
      </c>
      <c r="G194" s="30" t="s">
        <v>571</v>
      </c>
      <c r="H194" s="30" t="s">
        <v>241</v>
      </c>
      <c r="I194" s="30" t="s">
        <v>572</v>
      </c>
    </row>
    <row r="195" spans="1:9">
      <c r="A195" s="22" t="s">
        <v>1138</v>
      </c>
      <c r="B195" s="30"/>
      <c r="C195" s="30"/>
      <c r="D195" s="30" t="s">
        <v>630</v>
      </c>
      <c r="E195" s="30" t="s">
        <v>115</v>
      </c>
      <c r="F195" s="30" t="s">
        <v>181</v>
      </c>
      <c r="G195" s="30" t="s">
        <v>1197</v>
      </c>
      <c r="H195" s="30" t="s">
        <v>241</v>
      </c>
      <c r="I195" s="30" t="s">
        <v>114</v>
      </c>
    </row>
    <row r="196" spans="1:9">
      <c r="A196" s="22" t="s">
        <v>1138</v>
      </c>
      <c r="B196" s="30"/>
      <c r="C196" s="30"/>
      <c r="D196" s="30" t="s">
        <v>920</v>
      </c>
      <c r="E196" s="30" t="s">
        <v>115</v>
      </c>
      <c r="F196" s="30" t="s">
        <v>181</v>
      </c>
      <c r="G196" s="30" t="s">
        <v>1198</v>
      </c>
      <c r="H196" s="30" t="s">
        <v>241</v>
      </c>
      <c r="I196" s="30" t="s">
        <v>114</v>
      </c>
    </row>
    <row r="197" spans="1:9">
      <c r="A197" s="22" t="s">
        <v>1138</v>
      </c>
      <c r="B197" s="30"/>
      <c r="C197" s="30"/>
      <c r="D197" s="30" t="s">
        <v>921</v>
      </c>
      <c r="E197" s="30" t="s">
        <v>112</v>
      </c>
      <c r="F197" s="30" t="s">
        <v>181</v>
      </c>
      <c r="G197" s="30" t="s">
        <v>571</v>
      </c>
      <c r="H197" s="30" t="s">
        <v>241</v>
      </c>
      <c r="I197" s="30" t="s">
        <v>572</v>
      </c>
    </row>
    <row r="198" spans="1:9">
      <c r="A198" s="22" t="s">
        <v>1138</v>
      </c>
      <c r="B198" s="30"/>
      <c r="C198" s="30"/>
      <c r="D198" s="30" t="s">
        <v>631</v>
      </c>
      <c r="E198" s="30" t="s">
        <v>115</v>
      </c>
      <c r="F198" s="30" t="s">
        <v>182</v>
      </c>
      <c r="G198" s="30" t="s">
        <v>1199</v>
      </c>
      <c r="H198" s="30" t="s">
        <v>241</v>
      </c>
      <c r="I198" s="30" t="s">
        <v>114</v>
      </c>
    </row>
    <row r="199" spans="1:9">
      <c r="A199" s="22" t="s">
        <v>1138</v>
      </c>
      <c r="B199" s="30"/>
      <c r="C199" s="30"/>
      <c r="D199" s="30" t="s">
        <v>922</v>
      </c>
      <c r="E199" s="30" t="s">
        <v>115</v>
      </c>
      <c r="F199" s="30" t="s">
        <v>182</v>
      </c>
      <c r="G199" s="30" t="s">
        <v>1200</v>
      </c>
      <c r="H199" s="30" t="s">
        <v>241</v>
      </c>
      <c r="I199" s="30" t="s">
        <v>114</v>
      </c>
    </row>
    <row r="200" spans="1:9">
      <c r="A200" s="22" t="s">
        <v>1138</v>
      </c>
      <c r="B200" s="30"/>
      <c r="C200" s="30"/>
      <c r="D200" s="30" t="s">
        <v>923</v>
      </c>
      <c r="E200" s="30" t="s">
        <v>112</v>
      </c>
      <c r="F200" s="30" t="s">
        <v>182</v>
      </c>
      <c r="G200" s="30" t="s">
        <v>571</v>
      </c>
      <c r="H200" s="30" t="s">
        <v>241</v>
      </c>
      <c r="I200" s="30" t="s">
        <v>572</v>
      </c>
    </row>
    <row r="201" spans="1:9">
      <c r="A201" s="22" t="s">
        <v>1138</v>
      </c>
      <c r="B201" s="30"/>
      <c r="C201" s="30"/>
      <c r="D201" s="30" t="s">
        <v>632</v>
      </c>
      <c r="E201" s="30" t="s">
        <v>115</v>
      </c>
      <c r="F201" s="30" t="s">
        <v>183</v>
      </c>
      <c r="G201" s="30" t="s">
        <v>1204</v>
      </c>
      <c r="H201" s="30" t="s">
        <v>241</v>
      </c>
      <c r="I201" s="30" t="s">
        <v>114</v>
      </c>
    </row>
    <row r="202" spans="1:9">
      <c r="A202" s="22" t="s">
        <v>1138</v>
      </c>
      <c r="B202" s="30"/>
      <c r="C202" s="30"/>
      <c r="D202" s="30" t="s">
        <v>924</v>
      </c>
      <c r="E202" s="30" t="s">
        <v>115</v>
      </c>
      <c r="F202" s="30" t="s">
        <v>183</v>
      </c>
      <c r="G202" s="30" t="s">
        <v>1205</v>
      </c>
      <c r="H202" s="30" t="s">
        <v>241</v>
      </c>
      <c r="I202" s="30" t="s">
        <v>114</v>
      </c>
    </row>
    <row r="203" spans="1:9">
      <c r="A203" s="22" t="s">
        <v>1138</v>
      </c>
      <c r="B203" s="30"/>
      <c r="C203" s="30"/>
      <c r="D203" s="30" t="s">
        <v>925</v>
      </c>
      <c r="E203" s="30" t="s">
        <v>112</v>
      </c>
      <c r="F203" s="30" t="s">
        <v>183</v>
      </c>
      <c r="G203" s="30" t="s">
        <v>571</v>
      </c>
      <c r="H203" s="30" t="s">
        <v>241</v>
      </c>
      <c r="I203" s="30" t="s">
        <v>572</v>
      </c>
    </row>
    <row r="204" spans="1:9">
      <c r="A204" s="22" t="s">
        <v>1138</v>
      </c>
      <c r="B204" s="30"/>
      <c r="C204" s="30"/>
      <c r="D204" s="30" t="s">
        <v>633</v>
      </c>
      <c r="E204" s="30" t="s">
        <v>115</v>
      </c>
      <c r="F204" s="30" t="s">
        <v>184</v>
      </c>
      <c r="G204" s="30" t="s">
        <v>1189</v>
      </c>
      <c r="H204" s="30" t="s">
        <v>241</v>
      </c>
      <c r="I204" s="30" t="s">
        <v>114</v>
      </c>
    </row>
    <row r="205" spans="1:9">
      <c r="A205" s="22" t="s">
        <v>1138</v>
      </c>
      <c r="B205" s="30"/>
      <c r="C205" s="30"/>
      <c r="D205" s="30" t="s">
        <v>926</v>
      </c>
      <c r="E205" s="30" t="s">
        <v>115</v>
      </c>
      <c r="F205" s="30" t="s">
        <v>184</v>
      </c>
      <c r="G205" s="30" t="s">
        <v>1190</v>
      </c>
      <c r="H205" s="30" t="s">
        <v>241</v>
      </c>
      <c r="I205" s="30" t="s">
        <v>114</v>
      </c>
    </row>
    <row r="206" spans="1:9">
      <c r="A206" s="22" t="s">
        <v>1138</v>
      </c>
      <c r="B206" s="30"/>
      <c r="C206" s="30"/>
      <c r="D206" s="30" t="s">
        <v>1145</v>
      </c>
      <c r="E206" s="30" t="s">
        <v>112</v>
      </c>
      <c r="F206" s="30" t="s">
        <v>184</v>
      </c>
      <c r="G206" s="30" t="s">
        <v>571</v>
      </c>
      <c r="H206" s="30" t="s">
        <v>241</v>
      </c>
      <c r="I206" s="30" t="s">
        <v>572</v>
      </c>
    </row>
    <row r="207" spans="1:9">
      <c r="A207" s="22" t="s">
        <v>1139</v>
      </c>
      <c r="B207" s="30"/>
      <c r="C207" s="30"/>
      <c r="D207" s="30" t="s">
        <v>529</v>
      </c>
      <c r="E207" s="30" t="s">
        <v>822</v>
      </c>
      <c r="F207" s="30" t="s">
        <v>111</v>
      </c>
      <c r="G207" s="30" t="s">
        <v>865</v>
      </c>
      <c r="H207" s="30" t="s">
        <v>241</v>
      </c>
      <c r="I207" s="30" t="s">
        <v>823</v>
      </c>
    </row>
    <row r="208" spans="1:9">
      <c r="A208" s="22" t="s">
        <v>1139</v>
      </c>
      <c r="B208" s="30"/>
      <c r="C208" s="30"/>
      <c r="D208" s="30" t="s">
        <v>741</v>
      </c>
      <c r="E208" s="30" t="s">
        <v>822</v>
      </c>
      <c r="F208" s="30" t="s">
        <v>111</v>
      </c>
      <c r="G208" s="30" t="s">
        <v>865</v>
      </c>
      <c r="H208" s="30" t="s">
        <v>241</v>
      </c>
      <c r="I208" s="30" t="s">
        <v>232</v>
      </c>
    </row>
    <row r="209" spans="1:9">
      <c r="A209" s="28"/>
      <c r="B209" s="28"/>
      <c r="C209" s="28"/>
      <c r="D209" s="28"/>
      <c r="E209" s="29" t="s">
        <v>505</v>
      </c>
      <c r="F209" s="28"/>
      <c r="G209" s="28"/>
      <c r="H209" s="28"/>
      <c r="I209" s="28"/>
    </row>
    <row r="210" spans="1:9">
      <c r="A210" s="22" t="s">
        <v>1138</v>
      </c>
      <c r="B210" s="30"/>
      <c r="C210" s="30"/>
      <c r="D210" s="22" t="s">
        <v>477</v>
      </c>
      <c r="E210" s="30" t="s">
        <v>115</v>
      </c>
      <c r="F210" s="30" t="s">
        <v>111</v>
      </c>
      <c r="G210" s="30" t="s">
        <v>863</v>
      </c>
      <c r="H210" s="30" t="s">
        <v>241</v>
      </c>
      <c r="I210" s="30" t="s">
        <v>114</v>
      </c>
    </row>
    <row r="211" spans="1:9">
      <c r="A211" s="22" t="s">
        <v>1138</v>
      </c>
      <c r="B211" s="30"/>
      <c r="C211" s="30"/>
      <c r="D211" s="22" t="s">
        <v>478</v>
      </c>
      <c r="E211" s="30" t="s">
        <v>120</v>
      </c>
      <c r="F211" s="30" t="s">
        <v>111</v>
      </c>
      <c r="G211" s="30" t="s">
        <v>863</v>
      </c>
      <c r="H211" s="30" t="s">
        <v>241</v>
      </c>
      <c r="I211" s="30" t="s">
        <v>114</v>
      </c>
    </row>
    <row r="212" spans="1:9">
      <c r="A212" s="22" t="s">
        <v>1138</v>
      </c>
      <c r="B212" s="30"/>
      <c r="C212" s="30"/>
      <c r="D212" s="30" t="s">
        <v>479</v>
      </c>
      <c r="E212" s="30" t="s">
        <v>112</v>
      </c>
      <c r="F212" s="30" t="s">
        <v>111</v>
      </c>
      <c r="G212" s="30" t="s">
        <v>113</v>
      </c>
      <c r="H212" s="30" t="s">
        <v>241</v>
      </c>
      <c r="I212" s="30" t="s">
        <v>114</v>
      </c>
    </row>
    <row r="213" spans="1:9">
      <c r="A213" s="22" t="s">
        <v>1138</v>
      </c>
      <c r="C213" s="30"/>
      <c r="D213" s="30" t="s">
        <v>480</v>
      </c>
      <c r="E213" s="30" t="s">
        <v>115</v>
      </c>
      <c r="F213" s="30" t="s">
        <v>111</v>
      </c>
      <c r="G213" s="30" t="s">
        <v>863</v>
      </c>
      <c r="H213" s="30" t="s">
        <v>241</v>
      </c>
      <c r="I213" s="30" t="s">
        <v>204</v>
      </c>
    </row>
    <row r="214" spans="1:9">
      <c r="A214" s="22" t="s">
        <v>1138</v>
      </c>
      <c r="C214" s="30"/>
      <c r="D214" s="30" t="s">
        <v>481</v>
      </c>
      <c r="E214" s="30" t="s">
        <v>115</v>
      </c>
      <c r="F214" s="30" t="s">
        <v>111</v>
      </c>
      <c r="G214" s="30" t="s">
        <v>863</v>
      </c>
      <c r="H214" s="30" t="s">
        <v>241</v>
      </c>
      <c r="I214" s="30" t="s">
        <v>232</v>
      </c>
    </row>
    <row r="215" spans="1:9">
      <c r="A215" s="22" t="s">
        <v>1138</v>
      </c>
      <c r="B215" s="30"/>
      <c r="C215" s="30"/>
      <c r="D215" s="30" t="s">
        <v>482</v>
      </c>
      <c r="E215" s="30" t="s">
        <v>115</v>
      </c>
      <c r="F215" s="30" t="s">
        <v>111</v>
      </c>
      <c r="G215" s="30" t="s">
        <v>863</v>
      </c>
      <c r="H215" s="30" t="s">
        <v>241</v>
      </c>
      <c r="I215" s="30" t="s">
        <v>118</v>
      </c>
    </row>
    <row r="216" spans="1:9">
      <c r="A216" s="22" t="s">
        <v>1138</v>
      </c>
      <c r="B216" s="30"/>
      <c r="C216" s="30"/>
      <c r="D216" s="30" t="s">
        <v>483</v>
      </c>
      <c r="E216" s="30" t="s">
        <v>115</v>
      </c>
      <c r="F216" s="30" t="s">
        <v>111</v>
      </c>
      <c r="G216" s="30" t="s">
        <v>864</v>
      </c>
      <c r="H216" s="30" t="s">
        <v>241</v>
      </c>
      <c r="I216" s="30" t="s">
        <v>118</v>
      </c>
    </row>
    <row r="217" spans="1:9">
      <c r="A217" s="22" t="s">
        <v>1138</v>
      </c>
      <c r="C217" s="30"/>
      <c r="D217" s="30" t="s">
        <v>895</v>
      </c>
      <c r="E217" s="30" t="s">
        <v>112</v>
      </c>
      <c r="F217" s="30" t="s">
        <v>247</v>
      </c>
      <c r="G217" s="30"/>
      <c r="H217" s="30" t="s">
        <v>241</v>
      </c>
      <c r="I217" s="30" t="s">
        <v>118</v>
      </c>
    </row>
    <row r="218" spans="1:9">
      <c r="A218" s="22" t="s">
        <v>1138</v>
      </c>
      <c r="C218" s="30"/>
      <c r="D218" s="30" t="s">
        <v>896</v>
      </c>
      <c r="E218" s="30" t="s">
        <v>127</v>
      </c>
      <c r="F218" s="30" t="s">
        <v>247</v>
      </c>
      <c r="G218" s="30"/>
      <c r="H218" s="30" t="s">
        <v>241</v>
      </c>
      <c r="I218" s="30" t="s">
        <v>118</v>
      </c>
    </row>
    <row r="219" spans="1:9">
      <c r="A219" s="22" t="s">
        <v>1138</v>
      </c>
      <c r="B219" s="30"/>
      <c r="C219" s="30"/>
      <c r="D219" s="30" t="s">
        <v>897</v>
      </c>
      <c r="E219" s="30" t="s">
        <v>112</v>
      </c>
      <c r="F219" s="30" t="s">
        <v>123</v>
      </c>
      <c r="G219" s="30"/>
      <c r="H219" s="30" t="s">
        <v>241</v>
      </c>
      <c r="I219" s="30" t="s">
        <v>240</v>
      </c>
    </row>
    <row r="220" spans="1:9">
      <c r="A220" s="22" t="s">
        <v>1138</v>
      </c>
      <c r="B220" s="30"/>
      <c r="C220" s="30"/>
      <c r="D220" s="30" t="s">
        <v>898</v>
      </c>
      <c r="E220" s="30" t="s">
        <v>127</v>
      </c>
      <c r="F220" s="30" t="s">
        <v>123</v>
      </c>
      <c r="G220" s="30"/>
      <c r="H220" s="30" t="s">
        <v>241</v>
      </c>
      <c r="I220" s="30" t="s">
        <v>240</v>
      </c>
    </row>
    <row r="221" spans="1:9">
      <c r="A221" s="22" t="s">
        <v>1138</v>
      </c>
      <c r="B221" s="30"/>
      <c r="C221" s="30"/>
      <c r="D221" s="30" t="s">
        <v>484</v>
      </c>
      <c r="E221" s="30" t="s">
        <v>112</v>
      </c>
      <c r="F221" s="30" t="s">
        <v>866</v>
      </c>
      <c r="G221" s="30"/>
      <c r="H221" s="30" t="s">
        <v>241</v>
      </c>
      <c r="I221" s="30" t="s">
        <v>126</v>
      </c>
    </row>
    <row r="222" spans="1:9">
      <c r="A222" s="22" t="s">
        <v>1138</v>
      </c>
      <c r="B222" s="30"/>
      <c r="C222" s="30"/>
      <c r="D222" s="30" t="s">
        <v>485</v>
      </c>
      <c r="E222" s="30" t="s">
        <v>127</v>
      </c>
      <c r="F222" s="30" t="s">
        <v>866</v>
      </c>
      <c r="G222" s="30"/>
      <c r="H222" s="30" t="s">
        <v>241</v>
      </c>
      <c r="I222" s="30" t="s">
        <v>126</v>
      </c>
    </row>
    <row r="223" spans="1:9">
      <c r="A223" s="22" t="s">
        <v>1138</v>
      </c>
      <c r="B223" s="30"/>
      <c r="C223" s="30"/>
      <c r="D223" s="30" t="s">
        <v>899</v>
      </c>
      <c r="E223" s="30" t="s">
        <v>112</v>
      </c>
      <c r="F223" s="30" t="s">
        <v>866</v>
      </c>
      <c r="G223" s="30"/>
      <c r="H223" s="30" t="s">
        <v>241</v>
      </c>
      <c r="I223" s="30" t="s">
        <v>128</v>
      </c>
    </row>
    <row r="224" spans="1:9">
      <c r="A224" s="22" t="s">
        <v>1138</v>
      </c>
      <c r="B224" s="30"/>
      <c r="C224" s="30"/>
      <c r="D224" s="30" t="s">
        <v>900</v>
      </c>
      <c r="E224" s="30" t="s">
        <v>127</v>
      </c>
      <c r="F224" s="30" t="s">
        <v>866</v>
      </c>
      <c r="G224" s="30"/>
      <c r="H224" s="30" t="s">
        <v>241</v>
      </c>
      <c r="I224" s="30" t="s">
        <v>128</v>
      </c>
    </row>
    <row r="225" spans="1:9">
      <c r="A225" s="22" t="s">
        <v>1138</v>
      </c>
      <c r="B225" s="30"/>
      <c r="C225" s="30"/>
      <c r="D225" s="22" t="s">
        <v>486</v>
      </c>
      <c r="E225" s="30" t="s">
        <v>120</v>
      </c>
      <c r="F225" s="30" t="s">
        <v>111</v>
      </c>
      <c r="G225" s="30"/>
      <c r="H225" s="30" t="s">
        <v>241</v>
      </c>
      <c r="I225" s="30" t="s">
        <v>213</v>
      </c>
    </row>
    <row r="226" spans="1:9">
      <c r="A226" s="22" t="s">
        <v>1138</v>
      </c>
      <c r="B226" s="30"/>
      <c r="C226" s="30"/>
      <c r="D226" s="30" t="s">
        <v>686</v>
      </c>
      <c r="E226" s="30" t="s">
        <v>115</v>
      </c>
      <c r="F226" s="30" t="s">
        <v>178</v>
      </c>
      <c r="G226" s="30" t="s">
        <v>1191</v>
      </c>
      <c r="H226" s="30" t="s">
        <v>241</v>
      </c>
      <c r="I226" s="30" t="s">
        <v>114</v>
      </c>
    </row>
    <row r="227" spans="1:9">
      <c r="A227" s="22" t="s">
        <v>1138</v>
      </c>
      <c r="B227" s="30"/>
      <c r="C227" s="30"/>
      <c r="D227" s="30" t="s">
        <v>487</v>
      </c>
      <c r="E227" s="30" t="s">
        <v>115</v>
      </c>
      <c r="F227" s="30" t="s">
        <v>178</v>
      </c>
      <c r="G227" s="30" t="s">
        <v>1192</v>
      </c>
      <c r="H227" s="30" t="s">
        <v>241</v>
      </c>
      <c r="I227" s="30" t="s">
        <v>114</v>
      </c>
    </row>
    <row r="228" spans="1:9">
      <c r="A228" s="22" t="s">
        <v>1138</v>
      </c>
      <c r="B228" s="30"/>
      <c r="C228" s="30"/>
      <c r="D228" s="30" t="s">
        <v>1146</v>
      </c>
      <c r="E228" s="30" t="s">
        <v>112</v>
      </c>
      <c r="F228" s="30" t="s">
        <v>178</v>
      </c>
      <c r="G228" s="30" t="s">
        <v>571</v>
      </c>
      <c r="H228" s="30" t="s">
        <v>241</v>
      </c>
      <c r="I228" s="30" t="s">
        <v>572</v>
      </c>
    </row>
    <row r="229" spans="1:9">
      <c r="A229" s="22" t="s">
        <v>1138</v>
      </c>
      <c r="B229" s="30"/>
      <c r="C229" s="30"/>
      <c r="D229" s="30" t="s">
        <v>687</v>
      </c>
      <c r="E229" s="30" t="s">
        <v>115</v>
      </c>
      <c r="F229" s="30" t="s">
        <v>179</v>
      </c>
      <c r="G229" s="30" t="s">
        <v>1193</v>
      </c>
      <c r="H229" s="30" t="s">
        <v>241</v>
      </c>
      <c r="I229" s="30" t="s">
        <v>114</v>
      </c>
    </row>
    <row r="230" spans="1:9">
      <c r="A230" s="22" t="s">
        <v>1138</v>
      </c>
      <c r="B230" s="30"/>
      <c r="C230" s="30"/>
      <c r="D230" s="30" t="s">
        <v>488</v>
      </c>
      <c r="E230" s="30" t="s">
        <v>115</v>
      </c>
      <c r="F230" s="30" t="s">
        <v>179</v>
      </c>
      <c r="G230" s="30" t="s">
        <v>1194</v>
      </c>
      <c r="H230" s="30" t="s">
        <v>241</v>
      </c>
      <c r="I230" s="30" t="s">
        <v>114</v>
      </c>
    </row>
    <row r="231" spans="1:9">
      <c r="A231" s="22" t="s">
        <v>1138</v>
      </c>
      <c r="B231" s="30"/>
      <c r="C231" s="30"/>
      <c r="D231" s="30" t="s">
        <v>901</v>
      </c>
      <c r="E231" s="30" t="s">
        <v>112</v>
      </c>
      <c r="F231" s="30" t="s">
        <v>179</v>
      </c>
      <c r="G231" s="30" t="s">
        <v>571</v>
      </c>
      <c r="H231" s="30" t="s">
        <v>241</v>
      </c>
      <c r="I231" s="30" t="s">
        <v>572</v>
      </c>
    </row>
    <row r="232" spans="1:9">
      <c r="A232" s="22" t="s">
        <v>1138</v>
      </c>
      <c r="B232" s="30"/>
      <c r="C232" s="30"/>
      <c r="D232" s="30" t="s">
        <v>1147</v>
      </c>
      <c r="E232" s="30" t="s">
        <v>115</v>
      </c>
      <c r="F232" s="30" t="s">
        <v>169</v>
      </c>
      <c r="G232" s="30" t="s">
        <v>1195</v>
      </c>
      <c r="H232" s="30" t="s">
        <v>241</v>
      </c>
      <c r="I232" s="30" t="s">
        <v>114</v>
      </c>
    </row>
    <row r="233" spans="1:9">
      <c r="A233" s="22" t="s">
        <v>1138</v>
      </c>
      <c r="B233" s="30"/>
      <c r="C233" s="30"/>
      <c r="D233" s="30" t="s">
        <v>489</v>
      </c>
      <c r="E233" s="30" t="s">
        <v>115</v>
      </c>
      <c r="F233" s="30" t="s">
        <v>169</v>
      </c>
      <c r="G233" s="30" t="s">
        <v>1196</v>
      </c>
      <c r="H233" s="30" t="s">
        <v>241</v>
      </c>
      <c r="I233" s="30" t="s">
        <v>114</v>
      </c>
    </row>
    <row r="234" spans="1:9">
      <c r="A234" s="22" t="s">
        <v>1138</v>
      </c>
      <c r="B234" s="30"/>
      <c r="C234" s="30"/>
      <c r="D234" s="30" t="s">
        <v>902</v>
      </c>
      <c r="E234" s="30" t="s">
        <v>112</v>
      </c>
      <c r="F234" s="30" t="s">
        <v>169</v>
      </c>
      <c r="G234" s="30" t="s">
        <v>571</v>
      </c>
      <c r="H234" s="30" t="s">
        <v>241</v>
      </c>
      <c r="I234" s="30" t="s">
        <v>572</v>
      </c>
    </row>
    <row r="235" spans="1:9">
      <c r="A235" s="22" t="s">
        <v>1138</v>
      </c>
      <c r="B235" s="30"/>
      <c r="C235" s="30"/>
      <c r="D235" s="30" t="s">
        <v>688</v>
      </c>
      <c r="E235" s="30" t="s">
        <v>115</v>
      </c>
      <c r="F235" s="30" t="s">
        <v>180</v>
      </c>
      <c r="G235" s="30" t="s">
        <v>1202</v>
      </c>
      <c r="H235" s="30" t="s">
        <v>241</v>
      </c>
      <c r="I235" s="30" t="s">
        <v>114</v>
      </c>
    </row>
    <row r="236" spans="1:9">
      <c r="A236" s="22" t="s">
        <v>1138</v>
      </c>
      <c r="B236" s="30"/>
      <c r="C236" s="30"/>
      <c r="D236" s="30" t="s">
        <v>490</v>
      </c>
      <c r="E236" s="30" t="s">
        <v>115</v>
      </c>
      <c r="F236" s="30" t="s">
        <v>180</v>
      </c>
      <c r="G236" s="30" t="s">
        <v>1203</v>
      </c>
      <c r="H236" s="30" t="s">
        <v>241</v>
      </c>
      <c r="I236" s="30" t="s">
        <v>114</v>
      </c>
    </row>
    <row r="237" spans="1:9">
      <c r="A237" s="22" t="s">
        <v>1138</v>
      </c>
      <c r="B237" s="30"/>
      <c r="C237" s="30"/>
      <c r="D237" s="30" t="s">
        <v>903</v>
      </c>
      <c r="E237" s="30" t="s">
        <v>112</v>
      </c>
      <c r="F237" s="30" t="s">
        <v>180</v>
      </c>
      <c r="G237" s="30" t="s">
        <v>571</v>
      </c>
      <c r="H237" s="30" t="s">
        <v>241</v>
      </c>
      <c r="I237" s="30" t="s">
        <v>572</v>
      </c>
    </row>
    <row r="238" spans="1:9">
      <c r="A238" s="22" t="s">
        <v>1138</v>
      </c>
      <c r="B238" s="30"/>
      <c r="C238" s="30"/>
      <c r="D238" s="30" t="s">
        <v>689</v>
      </c>
      <c r="E238" s="30" t="s">
        <v>115</v>
      </c>
      <c r="F238" s="30" t="s">
        <v>181</v>
      </c>
      <c r="G238" s="30" t="s">
        <v>1197</v>
      </c>
      <c r="H238" s="30" t="s">
        <v>241</v>
      </c>
      <c r="I238" s="30" t="s">
        <v>114</v>
      </c>
    </row>
    <row r="239" spans="1:9">
      <c r="A239" s="22" t="s">
        <v>1138</v>
      </c>
      <c r="B239" s="30"/>
      <c r="C239" s="30"/>
      <c r="D239" s="30" t="s">
        <v>904</v>
      </c>
      <c r="E239" s="30" t="s">
        <v>115</v>
      </c>
      <c r="F239" s="30" t="s">
        <v>181</v>
      </c>
      <c r="G239" s="30" t="s">
        <v>1198</v>
      </c>
      <c r="H239" s="30" t="s">
        <v>241</v>
      </c>
      <c r="I239" s="30" t="s">
        <v>114</v>
      </c>
    </row>
    <row r="240" spans="1:9">
      <c r="A240" s="22" t="s">
        <v>1138</v>
      </c>
      <c r="B240" s="30"/>
      <c r="C240" s="30"/>
      <c r="D240" s="30" t="s">
        <v>905</v>
      </c>
      <c r="E240" s="30" t="s">
        <v>112</v>
      </c>
      <c r="F240" s="30" t="s">
        <v>181</v>
      </c>
      <c r="G240" s="30" t="s">
        <v>571</v>
      </c>
      <c r="H240" s="30" t="s">
        <v>241</v>
      </c>
      <c r="I240" s="30" t="s">
        <v>572</v>
      </c>
    </row>
    <row r="241" spans="1:9">
      <c r="A241" s="22" t="s">
        <v>1138</v>
      </c>
      <c r="B241" s="30"/>
      <c r="C241" s="30"/>
      <c r="D241" s="30" t="s">
        <v>690</v>
      </c>
      <c r="E241" s="30" t="s">
        <v>115</v>
      </c>
      <c r="F241" s="30" t="s">
        <v>182</v>
      </c>
      <c r="G241" s="30" t="s">
        <v>1199</v>
      </c>
      <c r="H241" s="30" t="s">
        <v>241</v>
      </c>
      <c r="I241" s="30" t="s">
        <v>114</v>
      </c>
    </row>
    <row r="242" spans="1:9">
      <c r="A242" s="22" t="s">
        <v>1138</v>
      </c>
      <c r="B242" s="30"/>
      <c r="C242" s="30"/>
      <c r="D242" s="30" t="s">
        <v>906</v>
      </c>
      <c r="E242" s="30" t="s">
        <v>115</v>
      </c>
      <c r="F242" s="30" t="s">
        <v>182</v>
      </c>
      <c r="G242" s="30" t="s">
        <v>1200</v>
      </c>
      <c r="H242" s="30" t="s">
        <v>241</v>
      </c>
      <c r="I242" s="30" t="s">
        <v>114</v>
      </c>
    </row>
    <row r="243" spans="1:9">
      <c r="A243" s="22" t="s">
        <v>1138</v>
      </c>
      <c r="B243" s="30"/>
      <c r="C243" s="30"/>
      <c r="D243" s="30" t="s">
        <v>907</v>
      </c>
      <c r="E243" s="30" t="s">
        <v>112</v>
      </c>
      <c r="F243" s="30" t="s">
        <v>182</v>
      </c>
      <c r="G243" s="30" t="s">
        <v>571</v>
      </c>
      <c r="H243" s="30" t="s">
        <v>241</v>
      </c>
      <c r="I243" s="30" t="s">
        <v>572</v>
      </c>
    </row>
    <row r="244" spans="1:9">
      <c r="A244" s="22" t="s">
        <v>1138</v>
      </c>
      <c r="B244" s="30"/>
      <c r="C244" s="30"/>
      <c r="D244" s="30" t="s">
        <v>691</v>
      </c>
      <c r="E244" s="30" t="s">
        <v>115</v>
      </c>
      <c r="F244" s="30" t="s">
        <v>183</v>
      </c>
      <c r="G244" s="30" t="s">
        <v>1204</v>
      </c>
      <c r="H244" s="30" t="s">
        <v>241</v>
      </c>
      <c r="I244" s="30" t="s">
        <v>114</v>
      </c>
    </row>
    <row r="245" spans="1:9">
      <c r="A245" s="22" t="s">
        <v>1138</v>
      </c>
      <c r="B245" s="30"/>
      <c r="C245" s="30"/>
      <c r="D245" s="30" t="s">
        <v>908</v>
      </c>
      <c r="E245" s="30" t="s">
        <v>115</v>
      </c>
      <c r="F245" s="30" t="s">
        <v>183</v>
      </c>
      <c r="G245" s="30" t="s">
        <v>1205</v>
      </c>
      <c r="H245" s="30" t="s">
        <v>241</v>
      </c>
      <c r="I245" s="30" t="s">
        <v>114</v>
      </c>
    </row>
    <row r="246" spans="1:9">
      <c r="A246" s="22" t="s">
        <v>1138</v>
      </c>
      <c r="B246" s="30"/>
      <c r="C246" s="30"/>
      <c r="D246" s="30" t="s">
        <v>909</v>
      </c>
      <c r="E246" s="30" t="s">
        <v>112</v>
      </c>
      <c r="F246" s="30" t="s">
        <v>183</v>
      </c>
      <c r="G246" s="30" t="s">
        <v>571</v>
      </c>
      <c r="H246" s="30" t="s">
        <v>241</v>
      </c>
      <c r="I246" s="30" t="s">
        <v>572</v>
      </c>
    </row>
    <row r="247" spans="1:9">
      <c r="A247" s="22" t="s">
        <v>1138</v>
      </c>
      <c r="B247" s="30"/>
      <c r="C247" s="30"/>
      <c r="D247" s="30" t="s">
        <v>692</v>
      </c>
      <c r="E247" s="30" t="s">
        <v>115</v>
      </c>
      <c r="F247" s="30" t="s">
        <v>184</v>
      </c>
      <c r="G247" s="30" t="s">
        <v>1189</v>
      </c>
      <c r="H247" s="30" t="s">
        <v>241</v>
      </c>
      <c r="I247" s="30" t="s">
        <v>114</v>
      </c>
    </row>
    <row r="248" spans="1:9">
      <c r="A248" s="22" t="s">
        <v>1138</v>
      </c>
      <c r="B248" s="30"/>
      <c r="C248" s="30"/>
      <c r="D248" s="30" t="s">
        <v>910</v>
      </c>
      <c r="E248" s="30" t="s">
        <v>115</v>
      </c>
      <c r="F248" s="30" t="s">
        <v>184</v>
      </c>
      <c r="G248" s="30" t="s">
        <v>1190</v>
      </c>
      <c r="H248" s="30" t="s">
        <v>241</v>
      </c>
      <c r="I248" s="30" t="s">
        <v>114</v>
      </c>
    </row>
    <row r="249" spans="1:9">
      <c r="A249" s="22" t="s">
        <v>1138</v>
      </c>
      <c r="B249" s="30"/>
      <c r="C249" s="30"/>
      <c r="D249" s="30" t="s">
        <v>1148</v>
      </c>
      <c r="E249" s="30" t="s">
        <v>112</v>
      </c>
      <c r="F249" s="30" t="s">
        <v>184</v>
      </c>
      <c r="G249" s="30" t="s">
        <v>571</v>
      </c>
      <c r="H249" s="30" t="s">
        <v>241</v>
      </c>
      <c r="I249" s="30" t="s">
        <v>572</v>
      </c>
    </row>
    <row r="250" spans="1:9">
      <c r="A250" s="22" t="s">
        <v>1139</v>
      </c>
      <c r="B250" s="30"/>
      <c r="C250" s="30"/>
      <c r="D250" s="30" t="s">
        <v>824</v>
      </c>
      <c r="E250" s="30" t="s">
        <v>822</v>
      </c>
      <c r="F250" s="30" t="s">
        <v>111</v>
      </c>
      <c r="G250" s="30" t="s">
        <v>865</v>
      </c>
      <c r="H250" s="30" t="s">
        <v>241</v>
      </c>
      <c r="I250" s="30" t="s">
        <v>823</v>
      </c>
    </row>
    <row r="251" spans="1:9">
      <c r="A251" s="22" t="s">
        <v>1139</v>
      </c>
      <c r="B251" s="30"/>
      <c r="C251" s="30"/>
      <c r="D251" s="30" t="s">
        <v>825</v>
      </c>
      <c r="E251" s="30" t="s">
        <v>822</v>
      </c>
      <c r="F251" s="30" t="s">
        <v>111</v>
      </c>
      <c r="G251" s="30" t="s">
        <v>865</v>
      </c>
      <c r="H251" s="30" t="s">
        <v>241</v>
      </c>
      <c r="I251" s="30" t="s">
        <v>232</v>
      </c>
    </row>
    <row r="252" spans="1:9">
      <c r="A252" s="28"/>
      <c r="B252" s="28"/>
      <c r="C252" s="28"/>
      <c r="D252" s="28"/>
      <c r="E252" s="29" t="s">
        <v>777</v>
      </c>
      <c r="F252" s="28"/>
      <c r="G252" s="28"/>
      <c r="H252" s="28"/>
      <c r="I252" s="28"/>
    </row>
    <row r="253" spans="1:9">
      <c r="A253" s="22" t="s">
        <v>1138</v>
      </c>
      <c r="B253" s="30"/>
      <c r="C253" s="30"/>
      <c r="D253" s="22" t="s">
        <v>342</v>
      </c>
      <c r="E253" s="30" t="s">
        <v>115</v>
      </c>
      <c r="F253" s="30" t="s">
        <v>111</v>
      </c>
      <c r="G253" s="30" t="s">
        <v>863</v>
      </c>
      <c r="H253" s="30" t="s">
        <v>241</v>
      </c>
      <c r="I253" s="30" t="s">
        <v>114</v>
      </c>
    </row>
    <row r="254" spans="1:9">
      <c r="A254" s="22" t="s">
        <v>1138</v>
      </c>
      <c r="B254" s="30"/>
      <c r="C254" s="30"/>
      <c r="D254" s="22" t="s">
        <v>121</v>
      </c>
      <c r="E254" s="30" t="s">
        <v>120</v>
      </c>
      <c r="F254" s="30" t="s">
        <v>111</v>
      </c>
      <c r="G254" s="30" t="s">
        <v>863</v>
      </c>
      <c r="H254" s="30" t="s">
        <v>241</v>
      </c>
      <c r="I254" s="30" t="s">
        <v>114</v>
      </c>
    </row>
    <row r="255" spans="1:9">
      <c r="A255" s="22" t="s">
        <v>1138</v>
      </c>
      <c r="B255" s="30"/>
      <c r="C255" s="30"/>
      <c r="D255" s="30" t="s">
        <v>124</v>
      </c>
      <c r="E255" s="30" t="s">
        <v>112</v>
      </c>
      <c r="F255" s="30" t="s">
        <v>111</v>
      </c>
      <c r="G255" s="30" t="s">
        <v>113</v>
      </c>
      <c r="H255" s="30" t="s">
        <v>241</v>
      </c>
      <c r="I255" s="30" t="s">
        <v>114</v>
      </c>
    </row>
    <row r="256" spans="1:9">
      <c r="A256" s="22" t="s">
        <v>1138</v>
      </c>
      <c r="C256" s="30"/>
      <c r="D256" s="30" t="s">
        <v>235</v>
      </c>
      <c r="E256" s="30" t="s">
        <v>115</v>
      </c>
      <c r="F256" s="30" t="s">
        <v>111</v>
      </c>
      <c r="G256" s="30" t="s">
        <v>863</v>
      </c>
      <c r="H256" s="30" t="s">
        <v>241</v>
      </c>
      <c r="I256" s="30" t="s">
        <v>204</v>
      </c>
    </row>
    <row r="257" spans="1:9">
      <c r="A257" s="22" t="s">
        <v>1138</v>
      </c>
      <c r="C257" s="30"/>
      <c r="D257" s="30" t="s">
        <v>290</v>
      </c>
      <c r="E257" s="30" t="s">
        <v>115</v>
      </c>
      <c r="F257" s="30" t="s">
        <v>111</v>
      </c>
      <c r="G257" s="30" t="s">
        <v>863</v>
      </c>
      <c r="H257" s="30" t="s">
        <v>241</v>
      </c>
      <c r="I257" s="30" t="s">
        <v>232</v>
      </c>
    </row>
    <row r="258" spans="1:9">
      <c r="A258" s="22" t="s">
        <v>1138</v>
      </c>
      <c r="B258" s="30"/>
      <c r="C258" s="30"/>
      <c r="D258" s="30" t="s">
        <v>291</v>
      </c>
      <c r="E258" s="30" t="s">
        <v>115</v>
      </c>
      <c r="F258" s="30" t="s">
        <v>111</v>
      </c>
      <c r="G258" s="30" t="s">
        <v>863</v>
      </c>
      <c r="H258" s="30" t="s">
        <v>241</v>
      </c>
      <c r="I258" s="30" t="s">
        <v>118</v>
      </c>
    </row>
    <row r="259" spans="1:9">
      <c r="A259" s="22" t="s">
        <v>1138</v>
      </c>
      <c r="B259" s="30"/>
      <c r="C259" s="30"/>
      <c r="D259" s="30" t="s">
        <v>343</v>
      </c>
      <c r="E259" s="30" t="s">
        <v>115</v>
      </c>
      <c r="F259" s="30" t="s">
        <v>111</v>
      </c>
      <c r="G259" s="30" t="s">
        <v>864</v>
      </c>
      <c r="H259" s="30" t="s">
        <v>241</v>
      </c>
      <c r="I259" s="30" t="s">
        <v>118</v>
      </c>
    </row>
    <row r="260" spans="1:9">
      <c r="A260" s="22" t="s">
        <v>1138</v>
      </c>
      <c r="C260" s="30"/>
      <c r="D260" s="30" t="s">
        <v>927</v>
      </c>
      <c r="E260" s="30" t="s">
        <v>112</v>
      </c>
      <c r="F260" s="30" t="s">
        <v>247</v>
      </c>
      <c r="G260" s="30"/>
      <c r="H260" s="30" t="s">
        <v>241</v>
      </c>
      <c r="I260" s="30" t="s">
        <v>118</v>
      </c>
    </row>
    <row r="261" spans="1:9">
      <c r="A261" s="22" t="s">
        <v>1138</v>
      </c>
      <c r="C261" s="30"/>
      <c r="D261" s="30" t="s">
        <v>928</v>
      </c>
      <c r="E261" s="30" t="s">
        <v>127</v>
      </c>
      <c r="F261" s="30" t="s">
        <v>247</v>
      </c>
      <c r="G261" s="30"/>
      <c r="H261" s="30" t="s">
        <v>241</v>
      </c>
      <c r="I261" s="30" t="s">
        <v>118</v>
      </c>
    </row>
    <row r="262" spans="1:9">
      <c r="A262" s="22" t="s">
        <v>1138</v>
      </c>
      <c r="B262" s="30"/>
      <c r="C262" s="30"/>
      <c r="D262" s="30" t="s">
        <v>929</v>
      </c>
      <c r="E262" s="30" t="s">
        <v>112</v>
      </c>
      <c r="F262" s="30" t="s">
        <v>123</v>
      </c>
      <c r="G262" s="30"/>
      <c r="H262" s="30" t="s">
        <v>241</v>
      </c>
      <c r="I262" s="30" t="s">
        <v>240</v>
      </c>
    </row>
    <row r="263" spans="1:9">
      <c r="A263" s="22" t="s">
        <v>1138</v>
      </c>
      <c r="B263" s="30"/>
      <c r="C263" s="30"/>
      <c r="D263" s="30" t="s">
        <v>930</v>
      </c>
      <c r="E263" s="30" t="s">
        <v>127</v>
      </c>
      <c r="F263" s="30" t="s">
        <v>123</v>
      </c>
      <c r="G263" s="30"/>
      <c r="H263" s="30" t="s">
        <v>241</v>
      </c>
      <c r="I263" s="30" t="s">
        <v>240</v>
      </c>
    </row>
    <row r="264" spans="1:9">
      <c r="A264" s="22" t="s">
        <v>1138</v>
      </c>
      <c r="B264" s="30"/>
      <c r="C264" s="30"/>
      <c r="D264" s="30" t="s">
        <v>344</v>
      </c>
      <c r="E264" s="30" t="s">
        <v>112</v>
      </c>
      <c r="F264" s="30" t="s">
        <v>866</v>
      </c>
      <c r="G264" s="30"/>
      <c r="H264" s="30" t="s">
        <v>241</v>
      </c>
      <c r="I264" s="30" t="s">
        <v>126</v>
      </c>
    </row>
    <row r="265" spans="1:9">
      <c r="A265" s="22" t="s">
        <v>1138</v>
      </c>
      <c r="B265" s="30"/>
      <c r="C265" s="30"/>
      <c r="D265" s="30" t="s">
        <v>345</v>
      </c>
      <c r="E265" s="30" t="s">
        <v>127</v>
      </c>
      <c r="F265" s="30" t="s">
        <v>866</v>
      </c>
      <c r="G265" s="30"/>
      <c r="H265" s="30" t="s">
        <v>241</v>
      </c>
      <c r="I265" s="30" t="s">
        <v>126</v>
      </c>
    </row>
    <row r="266" spans="1:9">
      <c r="A266" s="22" t="s">
        <v>1138</v>
      </c>
      <c r="B266" s="30"/>
      <c r="C266" s="30"/>
      <c r="D266" s="30" t="s">
        <v>931</v>
      </c>
      <c r="E266" s="30" t="s">
        <v>112</v>
      </c>
      <c r="F266" s="30" t="s">
        <v>866</v>
      </c>
      <c r="G266" s="30"/>
      <c r="H266" s="30" t="s">
        <v>241</v>
      </c>
      <c r="I266" s="30" t="s">
        <v>128</v>
      </c>
    </row>
    <row r="267" spans="1:9">
      <c r="A267" s="22" t="s">
        <v>1138</v>
      </c>
      <c r="B267" s="30"/>
      <c r="C267" s="30"/>
      <c r="D267" s="30" t="s">
        <v>932</v>
      </c>
      <c r="E267" s="30" t="s">
        <v>127</v>
      </c>
      <c r="F267" s="30" t="s">
        <v>866</v>
      </c>
      <c r="G267" s="30"/>
      <c r="H267" s="30" t="s">
        <v>241</v>
      </c>
      <c r="I267" s="30" t="s">
        <v>128</v>
      </c>
    </row>
    <row r="268" spans="1:9">
      <c r="A268" s="22" t="s">
        <v>1138</v>
      </c>
      <c r="B268" s="30"/>
      <c r="C268" s="30"/>
      <c r="D268" s="22" t="s">
        <v>292</v>
      </c>
      <c r="E268" s="30" t="s">
        <v>120</v>
      </c>
      <c r="F268" s="30" t="s">
        <v>111</v>
      </c>
      <c r="G268" s="30"/>
      <c r="H268" s="30" t="s">
        <v>241</v>
      </c>
      <c r="I268" s="30" t="s">
        <v>213</v>
      </c>
    </row>
    <row r="269" spans="1:9">
      <c r="A269" s="22" t="s">
        <v>1138</v>
      </c>
      <c r="B269" s="30"/>
      <c r="C269" s="30"/>
      <c r="D269" s="30" t="s">
        <v>570</v>
      </c>
      <c r="E269" s="30" t="s">
        <v>115</v>
      </c>
      <c r="F269" s="30" t="s">
        <v>178</v>
      </c>
      <c r="G269" s="30" t="s">
        <v>1191</v>
      </c>
      <c r="H269" s="30" t="s">
        <v>241</v>
      </c>
      <c r="I269" s="30" t="s">
        <v>114</v>
      </c>
    </row>
    <row r="270" spans="1:9">
      <c r="A270" s="22" t="s">
        <v>1138</v>
      </c>
      <c r="B270" s="30"/>
      <c r="C270" s="30"/>
      <c r="D270" s="30" t="s">
        <v>346</v>
      </c>
      <c r="E270" s="30" t="s">
        <v>115</v>
      </c>
      <c r="F270" s="30" t="s">
        <v>178</v>
      </c>
      <c r="G270" s="30" t="s">
        <v>1192</v>
      </c>
      <c r="H270" s="30" t="s">
        <v>241</v>
      </c>
      <c r="I270" s="30" t="s">
        <v>114</v>
      </c>
    </row>
    <row r="271" spans="1:9">
      <c r="A271" s="22" t="s">
        <v>1138</v>
      </c>
      <c r="B271" s="30"/>
      <c r="C271" s="30"/>
      <c r="D271" s="30" t="s">
        <v>1149</v>
      </c>
      <c r="E271" s="30" t="s">
        <v>112</v>
      </c>
      <c r="F271" s="30" t="s">
        <v>178</v>
      </c>
      <c r="G271" s="30" t="s">
        <v>571</v>
      </c>
      <c r="H271" s="30" t="s">
        <v>241</v>
      </c>
      <c r="I271" s="30" t="s">
        <v>572</v>
      </c>
    </row>
    <row r="272" spans="1:9">
      <c r="A272" s="22" t="s">
        <v>1138</v>
      </c>
      <c r="B272" s="30"/>
      <c r="C272" s="30"/>
      <c r="D272" s="30" t="s">
        <v>617</v>
      </c>
      <c r="E272" s="30" t="s">
        <v>115</v>
      </c>
      <c r="F272" s="30" t="s">
        <v>179</v>
      </c>
      <c r="G272" s="30" t="s">
        <v>1193</v>
      </c>
      <c r="H272" s="30" t="s">
        <v>241</v>
      </c>
      <c r="I272" s="30" t="s">
        <v>114</v>
      </c>
    </row>
    <row r="273" spans="1:9">
      <c r="A273" s="22" t="s">
        <v>1138</v>
      </c>
      <c r="B273" s="30"/>
      <c r="C273" s="30"/>
      <c r="D273" s="30" t="s">
        <v>347</v>
      </c>
      <c r="E273" s="30" t="s">
        <v>115</v>
      </c>
      <c r="F273" s="30" t="s">
        <v>179</v>
      </c>
      <c r="G273" s="30" t="s">
        <v>1194</v>
      </c>
      <c r="H273" s="30" t="s">
        <v>241</v>
      </c>
      <c r="I273" s="30" t="s">
        <v>114</v>
      </c>
    </row>
    <row r="274" spans="1:9">
      <c r="A274" s="22" t="s">
        <v>1138</v>
      </c>
      <c r="B274" s="30"/>
      <c r="C274" s="30"/>
      <c r="D274" s="30" t="s">
        <v>933</v>
      </c>
      <c r="E274" s="30" t="s">
        <v>112</v>
      </c>
      <c r="F274" s="30" t="s">
        <v>179</v>
      </c>
      <c r="G274" s="30" t="s">
        <v>571</v>
      </c>
      <c r="H274" s="30" t="s">
        <v>241</v>
      </c>
      <c r="I274" s="30" t="s">
        <v>572</v>
      </c>
    </row>
    <row r="275" spans="1:9">
      <c r="A275" s="22" t="s">
        <v>1138</v>
      </c>
      <c r="B275" s="30"/>
      <c r="C275" s="30"/>
      <c r="D275" s="30" t="s">
        <v>1150</v>
      </c>
      <c r="E275" s="30" t="s">
        <v>115</v>
      </c>
      <c r="F275" s="30" t="s">
        <v>169</v>
      </c>
      <c r="G275" s="30" t="s">
        <v>1195</v>
      </c>
      <c r="H275" s="30" t="s">
        <v>241</v>
      </c>
      <c r="I275" s="30" t="s">
        <v>114</v>
      </c>
    </row>
    <row r="276" spans="1:9">
      <c r="A276" s="22" t="s">
        <v>1138</v>
      </c>
      <c r="B276" s="30"/>
      <c r="C276" s="30"/>
      <c r="D276" s="30" t="s">
        <v>348</v>
      </c>
      <c r="E276" s="30" t="s">
        <v>115</v>
      </c>
      <c r="F276" s="30" t="s">
        <v>169</v>
      </c>
      <c r="G276" s="30" t="s">
        <v>1196</v>
      </c>
      <c r="H276" s="30" t="s">
        <v>241</v>
      </c>
      <c r="I276" s="30" t="s">
        <v>114</v>
      </c>
    </row>
    <row r="277" spans="1:9">
      <c r="A277" s="22" t="s">
        <v>1138</v>
      </c>
      <c r="B277" s="30"/>
      <c r="C277" s="30"/>
      <c r="D277" s="30" t="s">
        <v>934</v>
      </c>
      <c r="E277" s="30" t="s">
        <v>112</v>
      </c>
      <c r="F277" s="30" t="s">
        <v>169</v>
      </c>
      <c r="G277" s="30" t="s">
        <v>571</v>
      </c>
      <c r="H277" s="30" t="s">
        <v>241</v>
      </c>
      <c r="I277" s="30" t="s">
        <v>572</v>
      </c>
    </row>
    <row r="278" spans="1:9">
      <c r="A278" s="22" t="s">
        <v>1138</v>
      </c>
      <c r="B278" s="30"/>
      <c r="C278" s="30"/>
      <c r="D278" s="30" t="s">
        <v>618</v>
      </c>
      <c r="E278" s="30" t="s">
        <v>115</v>
      </c>
      <c r="F278" s="30" t="s">
        <v>180</v>
      </c>
      <c r="G278" s="30" t="s">
        <v>1202</v>
      </c>
      <c r="H278" s="30" t="s">
        <v>241</v>
      </c>
      <c r="I278" s="30" t="s">
        <v>114</v>
      </c>
    </row>
    <row r="279" spans="1:9">
      <c r="A279" s="22" t="s">
        <v>1138</v>
      </c>
      <c r="B279" s="30"/>
      <c r="C279" s="30"/>
      <c r="D279" s="30" t="s">
        <v>349</v>
      </c>
      <c r="E279" s="30" t="s">
        <v>115</v>
      </c>
      <c r="F279" s="30" t="s">
        <v>180</v>
      </c>
      <c r="G279" s="30" t="s">
        <v>1203</v>
      </c>
      <c r="H279" s="30" t="s">
        <v>241</v>
      </c>
      <c r="I279" s="30" t="s">
        <v>114</v>
      </c>
    </row>
    <row r="280" spans="1:9">
      <c r="A280" s="22" t="s">
        <v>1138</v>
      </c>
      <c r="B280" s="30"/>
      <c r="C280" s="30"/>
      <c r="D280" s="30" t="s">
        <v>935</v>
      </c>
      <c r="E280" s="30" t="s">
        <v>112</v>
      </c>
      <c r="F280" s="30" t="s">
        <v>180</v>
      </c>
      <c r="G280" s="30" t="s">
        <v>571</v>
      </c>
      <c r="H280" s="30" t="s">
        <v>241</v>
      </c>
      <c r="I280" s="30" t="s">
        <v>572</v>
      </c>
    </row>
    <row r="281" spans="1:9">
      <c r="A281" s="22" t="s">
        <v>1138</v>
      </c>
      <c r="B281" s="30"/>
      <c r="C281" s="30"/>
      <c r="D281" s="30" t="s">
        <v>619</v>
      </c>
      <c r="E281" s="30" t="s">
        <v>115</v>
      </c>
      <c r="F281" s="30" t="s">
        <v>181</v>
      </c>
      <c r="G281" s="30" t="s">
        <v>1197</v>
      </c>
      <c r="H281" s="30" t="s">
        <v>241</v>
      </c>
      <c r="I281" s="30" t="s">
        <v>114</v>
      </c>
    </row>
    <row r="282" spans="1:9">
      <c r="A282" s="22" t="s">
        <v>1138</v>
      </c>
      <c r="B282" s="30"/>
      <c r="C282" s="30"/>
      <c r="D282" s="30" t="s">
        <v>936</v>
      </c>
      <c r="E282" s="30" t="s">
        <v>115</v>
      </c>
      <c r="F282" s="30" t="s">
        <v>181</v>
      </c>
      <c r="G282" s="30" t="s">
        <v>1198</v>
      </c>
      <c r="H282" s="30" t="s">
        <v>241</v>
      </c>
      <c r="I282" s="30" t="s">
        <v>114</v>
      </c>
    </row>
    <row r="283" spans="1:9">
      <c r="A283" s="22" t="s">
        <v>1138</v>
      </c>
      <c r="B283" s="30"/>
      <c r="C283" s="30"/>
      <c r="D283" s="30" t="s">
        <v>937</v>
      </c>
      <c r="E283" s="30" t="s">
        <v>112</v>
      </c>
      <c r="F283" s="30" t="s">
        <v>181</v>
      </c>
      <c r="G283" s="30" t="s">
        <v>571</v>
      </c>
      <c r="H283" s="30" t="s">
        <v>241</v>
      </c>
      <c r="I283" s="30" t="s">
        <v>572</v>
      </c>
    </row>
    <row r="284" spans="1:9">
      <c r="A284" s="22" t="s">
        <v>1138</v>
      </c>
      <c r="B284" s="30"/>
      <c r="C284" s="30"/>
      <c r="D284" s="30" t="s">
        <v>620</v>
      </c>
      <c r="E284" s="30" t="s">
        <v>115</v>
      </c>
      <c r="F284" s="30" t="s">
        <v>182</v>
      </c>
      <c r="G284" s="30" t="s">
        <v>1199</v>
      </c>
      <c r="H284" s="30" t="s">
        <v>241</v>
      </c>
      <c r="I284" s="30" t="s">
        <v>114</v>
      </c>
    </row>
    <row r="285" spans="1:9">
      <c r="A285" s="22" t="s">
        <v>1138</v>
      </c>
      <c r="B285" s="30"/>
      <c r="C285" s="30"/>
      <c r="D285" s="30" t="s">
        <v>938</v>
      </c>
      <c r="E285" s="30" t="s">
        <v>115</v>
      </c>
      <c r="F285" s="30" t="s">
        <v>182</v>
      </c>
      <c r="G285" s="30" t="s">
        <v>1200</v>
      </c>
      <c r="H285" s="30" t="s">
        <v>241</v>
      </c>
      <c r="I285" s="30" t="s">
        <v>114</v>
      </c>
    </row>
    <row r="286" spans="1:9">
      <c r="A286" s="22" t="s">
        <v>1138</v>
      </c>
      <c r="B286" s="30"/>
      <c r="C286" s="30"/>
      <c r="D286" s="30" t="s">
        <v>939</v>
      </c>
      <c r="E286" s="30" t="s">
        <v>112</v>
      </c>
      <c r="F286" s="30" t="s">
        <v>182</v>
      </c>
      <c r="G286" s="30" t="s">
        <v>571</v>
      </c>
      <c r="H286" s="30" t="s">
        <v>241</v>
      </c>
      <c r="I286" s="30" t="s">
        <v>572</v>
      </c>
    </row>
    <row r="287" spans="1:9">
      <c r="A287" s="22" t="s">
        <v>1138</v>
      </c>
      <c r="B287" s="30"/>
      <c r="C287" s="30"/>
      <c r="D287" s="30" t="s">
        <v>621</v>
      </c>
      <c r="E287" s="30" t="s">
        <v>115</v>
      </c>
      <c r="F287" s="30" t="s">
        <v>183</v>
      </c>
      <c r="G287" s="30" t="s">
        <v>1204</v>
      </c>
      <c r="H287" s="30" t="s">
        <v>241</v>
      </c>
      <c r="I287" s="30" t="s">
        <v>114</v>
      </c>
    </row>
    <row r="288" spans="1:9">
      <c r="A288" s="22" t="s">
        <v>1138</v>
      </c>
      <c r="B288" s="30"/>
      <c r="C288" s="30"/>
      <c r="D288" s="30" t="s">
        <v>940</v>
      </c>
      <c r="E288" s="30" t="s">
        <v>115</v>
      </c>
      <c r="F288" s="30" t="s">
        <v>183</v>
      </c>
      <c r="G288" s="30" t="s">
        <v>1205</v>
      </c>
      <c r="H288" s="30" t="s">
        <v>241</v>
      </c>
      <c r="I288" s="30" t="s">
        <v>114</v>
      </c>
    </row>
    <row r="289" spans="1:9">
      <c r="A289" s="22" t="s">
        <v>1138</v>
      </c>
      <c r="B289" s="30"/>
      <c r="C289" s="30"/>
      <c r="D289" s="30" t="s">
        <v>941</v>
      </c>
      <c r="E289" s="30" t="s">
        <v>112</v>
      </c>
      <c r="F289" s="30" t="s">
        <v>183</v>
      </c>
      <c r="G289" s="30" t="s">
        <v>571</v>
      </c>
      <c r="H289" s="30" t="s">
        <v>241</v>
      </c>
      <c r="I289" s="30" t="s">
        <v>572</v>
      </c>
    </row>
    <row r="290" spans="1:9">
      <c r="A290" s="22" t="s">
        <v>1138</v>
      </c>
      <c r="B290" s="30"/>
      <c r="C290" s="30"/>
      <c r="D290" s="30" t="s">
        <v>622</v>
      </c>
      <c r="E290" s="30" t="s">
        <v>115</v>
      </c>
      <c r="F290" s="30" t="s">
        <v>184</v>
      </c>
      <c r="G290" s="30" t="s">
        <v>1189</v>
      </c>
      <c r="H290" s="30" t="s">
        <v>241</v>
      </c>
      <c r="I290" s="30" t="s">
        <v>114</v>
      </c>
    </row>
    <row r="291" spans="1:9">
      <c r="A291" s="22" t="s">
        <v>1138</v>
      </c>
      <c r="B291" s="30"/>
      <c r="C291" s="30"/>
      <c r="D291" s="30" t="s">
        <v>942</v>
      </c>
      <c r="E291" s="30" t="s">
        <v>115</v>
      </c>
      <c r="F291" s="30" t="s">
        <v>184</v>
      </c>
      <c r="G291" s="30" t="s">
        <v>1190</v>
      </c>
      <c r="H291" s="30" t="s">
        <v>241</v>
      </c>
      <c r="I291" s="30" t="s">
        <v>114</v>
      </c>
    </row>
    <row r="292" spans="1:9">
      <c r="A292" s="22" t="s">
        <v>1138</v>
      </c>
      <c r="B292" s="30"/>
      <c r="C292" s="30"/>
      <c r="D292" s="30" t="s">
        <v>1151</v>
      </c>
      <c r="E292" s="30" t="s">
        <v>112</v>
      </c>
      <c r="F292" s="30" t="s">
        <v>184</v>
      </c>
      <c r="G292" s="30" t="s">
        <v>571</v>
      </c>
      <c r="H292" s="30" t="s">
        <v>241</v>
      </c>
      <c r="I292" s="30" t="s">
        <v>572</v>
      </c>
    </row>
    <row r="293" spans="1:9">
      <c r="A293" s="22" t="s">
        <v>1139</v>
      </c>
      <c r="B293" s="30"/>
      <c r="C293" s="30"/>
      <c r="D293" s="30" t="s">
        <v>117</v>
      </c>
      <c r="E293" s="30" t="s">
        <v>822</v>
      </c>
      <c r="F293" s="30" t="s">
        <v>111</v>
      </c>
      <c r="G293" s="30" t="s">
        <v>865</v>
      </c>
      <c r="H293" s="30" t="s">
        <v>241</v>
      </c>
      <c r="I293" s="30" t="s">
        <v>823</v>
      </c>
    </row>
    <row r="294" spans="1:9">
      <c r="A294" s="22" t="s">
        <v>1139</v>
      </c>
      <c r="B294" s="30"/>
      <c r="C294" s="30"/>
      <c r="D294" s="30" t="s">
        <v>381</v>
      </c>
      <c r="E294" s="30" t="s">
        <v>822</v>
      </c>
      <c r="F294" s="30" t="s">
        <v>111</v>
      </c>
      <c r="G294" s="30" t="s">
        <v>865</v>
      </c>
      <c r="H294" s="30" t="s">
        <v>241</v>
      </c>
      <c r="I294" s="30" t="s">
        <v>232</v>
      </c>
    </row>
    <row r="295" spans="1:9">
      <c r="A295" s="28"/>
      <c r="B295" s="28"/>
      <c r="C295" s="28"/>
      <c r="D295" s="28"/>
      <c r="E295" s="29" t="s">
        <v>776</v>
      </c>
      <c r="F295" s="28"/>
      <c r="G295" s="28"/>
      <c r="H295" s="28"/>
      <c r="I295" s="28"/>
    </row>
    <row r="296" spans="1:9">
      <c r="A296" s="22" t="s">
        <v>1138</v>
      </c>
      <c r="B296" s="30"/>
      <c r="C296" s="30"/>
      <c r="D296" s="22" t="s">
        <v>377</v>
      </c>
      <c r="E296" s="30" t="s">
        <v>115</v>
      </c>
      <c r="F296" s="30" t="s">
        <v>111</v>
      </c>
      <c r="G296" s="30" t="s">
        <v>863</v>
      </c>
      <c r="H296" s="30" t="s">
        <v>241</v>
      </c>
      <c r="I296" s="30" t="s">
        <v>114</v>
      </c>
    </row>
    <row r="297" spans="1:9">
      <c r="A297" s="22" t="s">
        <v>1138</v>
      </c>
      <c r="B297" s="30"/>
      <c r="C297" s="30"/>
      <c r="D297" s="22" t="s">
        <v>122</v>
      </c>
      <c r="E297" s="30" t="s">
        <v>120</v>
      </c>
      <c r="F297" s="30" t="s">
        <v>111</v>
      </c>
      <c r="G297" s="30" t="s">
        <v>863</v>
      </c>
      <c r="H297" s="30" t="s">
        <v>241</v>
      </c>
      <c r="I297" s="30" t="s">
        <v>114</v>
      </c>
    </row>
    <row r="298" spans="1:9">
      <c r="A298" s="22" t="s">
        <v>1138</v>
      </c>
      <c r="B298" s="30"/>
      <c r="C298" s="30"/>
      <c r="D298" s="30" t="s">
        <v>125</v>
      </c>
      <c r="E298" s="30" t="s">
        <v>112</v>
      </c>
      <c r="F298" s="30" t="s">
        <v>111</v>
      </c>
      <c r="G298" s="30" t="s">
        <v>113</v>
      </c>
      <c r="H298" s="30" t="s">
        <v>241</v>
      </c>
      <c r="I298" s="30" t="s">
        <v>114</v>
      </c>
    </row>
    <row r="299" spans="1:9">
      <c r="A299" s="22" t="s">
        <v>1138</v>
      </c>
      <c r="C299" s="30"/>
      <c r="D299" s="30" t="s">
        <v>236</v>
      </c>
      <c r="E299" s="30" t="s">
        <v>115</v>
      </c>
      <c r="F299" s="30" t="s">
        <v>111</v>
      </c>
      <c r="G299" s="30" t="s">
        <v>863</v>
      </c>
      <c r="H299" s="30" t="s">
        <v>241</v>
      </c>
      <c r="I299" s="30" t="s">
        <v>204</v>
      </c>
    </row>
    <row r="300" spans="1:9">
      <c r="A300" s="22" t="s">
        <v>1138</v>
      </c>
      <c r="C300" s="30"/>
      <c r="D300" s="30" t="s">
        <v>293</v>
      </c>
      <c r="E300" s="30" t="s">
        <v>115</v>
      </c>
      <c r="F300" s="30" t="s">
        <v>111</v>
      </c>
      <c r="G300" s="30" t="s">
        <v>863</v>
      </c>
      <c r="H300" s="30" t="s">
        <v>241</v>
      </c>
      <c r="I300" s="30" t="s">
        <v>232</v>
      </c>
    </row>
    <row r="301" spans="1:9">
      <c r="A301" s="22" t="s">
        <v>1138</v>
      </c>
      <c r="B301" s="30"/>
      <c r="C301" s="30"/>
      <c r="D301" s="30" t="s">
        <v>294</v>
      </c>
      <c r="E301" s="30" t="s">
        <v>115</v>
      </c>
      <c r="F301" s="30" t="s">
        <v>111</v>
      </c>
      <c r="G301" s="30" t="s">
        <v>863</v>
      </c>
      <c r="H301" s="30" t="s">
        <v>241</v>
      </c>
      <c r="I301" s="30" t="s">
        <v>118</v>
      </c>
    </row>
    <row r="302" spans="1:9">
      <c r="A302" s="22" t="s">
        <v>1138</v>
      </c>
      <c r="B302" s="30"/>
      <c r="C302" s="30"/>
      <c r="D302" s="30" t="s">
        <v>378</v>
      </c>
      <c r="E302" s="30" t="s">
        <v>115</v>
      </c>
      <c r="F302" s="30" t="s">
        <v>111</v>
      </c>
      <c r="G302" s="30" t="s">
        <v>864</v>
      </c>
      <c r="H302" s="30" t="s">
        <v>241</v>
      </c>
      <c r="I302" s="30" t="s">
        <v>118</v>
      </c>
    </row>
    <row r="303" spans="1:9">
      <c r="A303" s="22" t="s">
        <v>1138</v>
      </c>
      <c r="C303" s="30"/>
      <c r="D303" s="30" t="s">
        <v>943</v>
      </c>
      <c r="E303" s="30" t="s">
        <v>112</v>
      </c>
      <c r="F303" s="30" t="s">
        <v>247</v>
      </c>
      <c r="G303" s="30"/>
      <c r="H303" s="30" t="s">
        <v>241</v>
      </c>
      <c r="I303" s="30" t="s">
        <v>118</v>
      </c>
    </row>
    <row r="304" spans="1:9">
      <c r="A304" s="22" t="s">
        <v>1138</v>
      </c>
      <c r="C304" s="30"/>
      <c r="D304" s="30" t="s">
        <v>944</v>
      </c>
      <c r="E304" s="30" t="s">
        <v>127</v>
      </c>
      <c r="F304" s="30" t="s">
        <v>247</v>
      </c>
      <c r="G304" s="30"/>
      <c r="H304" s="30" t="s">
        <v>241</v>
      </c>
      <c r="I304" s="30" t="s">
        <v>118</v>
      </c>
    </row>
    <row r="305" spans="1:9">
      <c r="A305" s="22" t="s">
        <v>1138</v>
      </c>
      <c r="B305" s="30"/>
      <c r="C305" s="30"/>
      <c r="D305" s="30" t="s">
        <v>945</v>
      </c>
      <c r="E305" s="30" t="s">
        <v>112</v>
      </c>
      <c r="F305" s="30" t="s">
        <v>123</v>
      </c>
      <c r="G305" s="30"/>
      <c r="H305" s="30" t="s">
        <v>241</v>
      </c>
      <c r="I305" s="30" t="s">
        <v>240</v>
      </c>
    </row>
    <row r="306" spans="1:9">
      <c r="A306" s="22" t="s">
        <v>1138</v>
      </c>
      <c r="B306" s="30"/>
      <c r="C306" s="30"/>
      <c r="D306" s="30" t="s">
        <v>946</v>
      </c>
      <c r="E306" s="30" t="s">
        <v>127</v>
      </c>
      <c r="F306" s="30" t="s">
        <v>123</v>
      </c>
      <c r="G306" s="30"/>
      <c r="H306" s="30" t="s">
        <v>241</v>
      </c>
      <c r="I306" s="30" t="s">
        <v>240</v>
      </c>
    </row>
    <row r="307" spans="1:9">
      <c r="A307" s="22" t="s">
        <v>1138</v>
      </c>
      <c r="B307" s="30"/>
      <c r="C307" s="30"/>
      <c r="D307" s="30" t="s">
        <v>379</v>
      </c>
      <c r="E307" s="30" t="s">
        <v>112</v>
      </c>
      <c r="F307" s="30" t="s">
        <v>866</v>
      </c>
      <c r="G307" s="30"/>
      <c r="H307" s="30" t="s">
        <v>241</v>
      </c>
      <c r="I307" s="30" t="s">
        <v>126</v>
      </c>
    </row>
    <row r="308" spans="1:9">
      <c r="A308" s="22" t="s">
        <v>1138</v>
      </c>
      <c r="B308" s="30"/>
      <c r="C308" s="30"/>
      <c r="D308" s="30" t="s">
        <v>380</v>
      </c>
      <c r="E308" s="30" t="s">
        <v>127</v>
      </c>
      <c r="F308" s="30" t="s">
        <v>866</v>
      </c>
      <c r="G308" s="30"/>
      <c r="H308" s="30" t="s">
        <v>241</v>
      </c>
      <c r="I308" s="30" t="s">
        <v>126</v>
      </c>
    </row>
    <row r="309" spans="1:9">
      <c r="A309" s="22" t="s">
        <v>1138</v>
      </c>
      <c r="B309" s="30"/>
      <c r="C309" s="30"/>
      <c r="D309" s="30" t="s">
        <v>947</v>
      </c>
      <c r="E309" s="30" t="s">
        <v>112</v>
      </c>
      <c r="F309" s="30" t="s">
        <v>866</v>
      </c>
      <c r="G309" s="30"/>
      <c r="H309" s="30" t="s">
        <v>241</v>
      </c>
      <c r="I309" s="30" t="s">
        <v>128</v>
      </c>
    </row>
    <row r="310" spans="1:9">
      <c r="A310" s="22" t="s">
        <v>1138</v>
      </c>
      <c r="B310" s="30"/>
      <c r="C310" s="30"/>
      <c r="D310" s="30" t="s">
        <v>948</v>
      </c>
      <c r="E310" s="30" t="s">
        <v>127</v>
      </c>
      <c r="F310" s="30" t="s">
        <v>866</v>
      </c>
      <c r="G310" s="30"/>
      <c r="H310" s="30" t="s">
        <v>241</v>
      </c>
      <c r="I310" s="30" t="s">
        <v>128</v>
      </c>
    </row>
    <row r="311" spans="1:9">
      <c r="A311" s="22" t="s">
        <v>1138</v>
      </c>
      <c r="B311" s="30"/>
      <c r="C311" s="30"/>
      <c r="D311" s="22" t="s">
        <v>295</v>
      </c>
      <c r="E311" s="30" t="s">
        <v>120</v>
      </c>
      <c r="F311" s="30" t="s">
        <v>111</v>
      </c>
      <c r="G311" s="30"/>
      <c r="H311" s="30" t="s">
        <v>241</v>
      </c>
      <c r="I311" s="30" t="s">
        <v>213</v>
      </c>
    </row>
    <row r="312" spans="1:9">
      <c r="A312" s="22" t="s">
        <v>1138</v>
      </c>
      <c r="B312" s="30"/>
      <c r="C312" s="30"/>
      <c r="D312" s="30" t="s">
        <v>634</v>
      </c>
      <c r="E312" s="30" t="s">
        <v>115</v>
      </c>
      <c r="F312" s="30" t="s">
        <v>178</v>
      </c>
      <c r="G312" s="30" t="s">
        <v>1191</v>
      </c>
      <c r="H312" s="30" t="s">
        <v>241</v>
      </c>
      <c r="I312" s="30" t="s">
        <v>114</v>
      </c>
    </row>
    <row r="313" spans="1:9">
      <c r="A313" s="22" t="s">
        <v>1138</v>
      </c>
      <c r="B313" s="30"/>
      <c r="C313" s="30"/>
      <c r="D313" s="30" t="s">
        <v>382</v>
      </c>
      <c r="E313" s="30" t="s">
        <v>115</v>
      </c>
      <c r="F313" s="30" t="s">
        <v>178</v>
      </c>
      <c r="G313" s="30" t="s">
        <v>1192</v>
      </c>
      <c r="H313" s="30" t="s">
        <v>241</v>
      </c>
      <c r="I313" s="30" t="s">
        <v>114</v>
      </c>
    </row>
    <row r="314" spans="1:9">
      <c r="A314" s="22" t="s">
        <v>1138</v>
      </c>
      <c r="B314" s="30"/>
      <c r="C314" s="30"/>
      <c r="D314" s="30" t="s">
        <v>1152</v>
      </c>
      <c r="E314" s="30" t="s">
        <v>112</v>
      </c>
      <c r="F314" s="30" t="s">
        <v>178</v>
      </c>
      <c r="G314" s="30" t="s">
        <v>571</v>
      </c>
      <c r="H314" s="30" t="s">
        <v>241</v>
      </c>
      <c r="I314" s="30" t="s">
        <v>572</v>
      </c>
    </row>
    <row r="315" spans="1:9">
      <c r="A315" s="22" t="s">
        <v>1138</v>
      </c>
      <c r="B315" s="30"/>
      <c r="C315" s="30"/>
      <c r="D315" s="30" t="s">
        <v>635</v>
      </c>
      <c r="E315" s="30" t="s">
        <v>115</v>
      </c>
      <c r="F315" s="30" t="s">
        <v>179</v>
      </c>
      <c r="G315" s="30" t="s">
        <v>1193</v>
      </c>
      <c r="H315" s="30" t="s">
        <v>241</v>
      </c>
      <c r="I315" s="30" t="s">
        <v>114</v>
      </c>
    </row>
    <row r="316" spans="1:9">
      <c r="A316" s="22" t="s">
        <v>1138</v>
      </c>
      <c r="B316" s="30"/>
      <c r="C316" s="30"/>
      <c r="D316" s="30" t="s">
        <v>383</v>
      </c>
      <c r="E316" s="30" t="s">
        <v>115</v>
      </c>
      <c r="F316" s="30" t="s">
        <v>179</v>
      </c>
      <c r="G316" s="30" t="s">
        <v>1194</v>
      </c>
      <c r="H316" s="30" t="s">
        <v>241</v>
      </c>
      <c r="I316" s="30" t="s">
        <v>114</v>
      </c>
    </row>
    <row r="317" spans="1:9">
      <c r="A317" s="22" t="s">
        <v>1138</v>
      </c>
      <c r="B317" s="30"/>
      <c r="C317" s="30"/>
      <c r="D317" s="30" t="s">
        <v>949</v>
      </c>
      <c r="E317" s="30" t="s">
        <v>112</v>
      </c>
      <c r="F317" s="30" t="s">
        <v>179</v>
      </c>
      <c r="G317" s="30" t="s">
        <v>571</v>
      </c>
      <c r="H317" s="30" t="s">
        <v>241</v>
      </c>
      <c r="I317" s="30" t="s">
        <v>572</v>
      </c>
    </row>
    <row r="318" spans="1:9">
      <c r="A318" s="22" t="s">
        <v>1138</v>
      </c>
      <c r="B318" s="30"/>
      <c r="C318" s="30"/>
      <c r="D318" s="30" t="s">
        <v>1153</v>
      </c>
      <c r="E318" s="30" t="s">
        <v>115</v>
      </c>
      <c r="F318" s="30" t="s">
        <v>169</v>
      </c>
      <c r="G318" s="30" t="s">
        <v>1195</v>
      </c>
      <c r="H318" s="30" t="s">
        <v>241</v>
      </c>
      <c r="I318" s="30" t="s">
        <v>114</v>
      </c>
    </row>
    <row r="319" spans="1:9">
      <c r="A319" s="22" t="s">
        <v>1138</v>
      </c>
      <c r="B319" s="30"/>
      <c r="C319" s="30"/>
      <c r="D319" s="30" t="s">
        <v>384</v>
      </c>
      <c r="E319" s="30" t="s">
        <v>115</v>
      </c>
      <c r="F319" s="30" t="s">
        <v>169</v>
      </c>
      <c r="G319" s="30" t="s">
        <v>1196</v>
      </c>
      <c r="H319" s="30" t="s">
        <v>241</v>
      </c>
      <c r="I319" s="30" t="s">
        <v>114</v>
      </c>
    </row>
    <row r="320" spans="1:9">
      <c r="A320" s="22" t="s">
        <v>1138</v>
      </c>
      <c r="B320" s="30"/>
      <c r="C320" s="30"/>
      <c r="D320" s="30" t="s">
        <v>950</v>
      </c>
      <c r="E320" s="30" t="s">
        <v>112</v>
      </c>
      <c r="F320" s="30" t="s">
        <v>169</v>
      </c>
      <c r="G320" s="30" t="s">
        <v>571</v>
      </c>
      <c r="H320" s="30" t="s">
        <v>241</v>
      </c>
      <c r="I320" s="30" t="s">
        <v>572</v>
      </c>
    </row>
    <row r="321" spans="1:9">
      <c r="A321" s="22" t="s">
        <v>1138</v>
      </c>
      <c r="B321" s="30"/>
      <c r="C321" s="30"/>
      <c r="D321" s="30" t="s">
        <v>636</v>
      </c>
      <c r="E321" s="30" t="s">
        <v>115</v>
      </c>
      <c r="F321" s="30" t="s">
        <v>180</v>
      </c>
      <c r="G321" s="30" t="s">
        <v>1202</v>
      </c>
      <c r="H321" s="30" t="s">
        <v>241</v>
      </c>
      <c r="I321" s="30" t="s">
        <v>114</v>
      </c>
    </row>
    <row r="322" spans="1:9">
      <c r="A322" s="22" t="s">
        <v>1138</v>
      </c>
      <c r="B322" s="30"/>
      <c r="C322" s="30"/>
      <c r="D322" s="30" t="s">
        <v>385</v>
      </c>
      <c r="E322" s="30" t="s">
        <v>115</v>
      </c>
      <c r="F322" s="30" t="s">
        <v>180</v>
      </c>
      <c r="G322" s="30" t="s">
        <v>1203</v>
      </c>
      <c r="H322" s="30" t="s">
        <v>241</v>
      </c>
      <c r="I322" s="30" t="s">
        <v>114</v>
      </c>
    </row>
    <row r="323" spans="1:9">
      <c r="A323" s="22" t="s">
        <v>1138</v>
      </c>
      <c r="B323" s="30"/>
      <c r="C323" s="30"/>
      <c r="D323" s="30" t="s">
        <v>951</v>
      </c>
      <c r="E323" s="30" t="s">
        <v>112</v>
      </c>
      <c r="F323" s="30" t="s">
        <v>180</v>
      </c>
      <c r="G323" s="30" t="s">
        <v>571</v>
      </c>
      <c r="H323" s="30" t="s">
        <v>241</v>
      </c>
      <c r="I323" s="30" t="s">
        <v>572</v>
      </c>
    </row>
    <row r="324" spans="1:9">
      <c r="A324" s="22" t="s">
        <v>1138</v>
      </c>
      <c r="B324" s="30"/>
      <c r="C324" s="30"/>
      <c r="D324" s="30" t="s">
        <v>637</v>
      </c>
      <c r="E324" s="30" t="s">
        <v>115</v>
      </c>
      <c r="F324" s="30" t="s">
        <v>181</v>
      </c>
      <c r="G324" s="30" t="s">
        <v>1197</v>
      </c>
      <c r="H324" s="30" t="s">
        <v>241</v>
      </c>
      <c r="I324" s="30" t="s">
        <v>114</v>
      </c>
    </row>
    <row r="325" spans="1:9">
      <c r="A325" s="22" t="s">
        <v>1138</v>
      </c>
      <c r="B325" s="30"/>
      <c r="C325" s="30"/>
      <c r="D325" s="30" t="s">
        <v>952</v>
      </c>
      <c r="E325" s="30" t="s">
        <v>115</v>
      </c>
      <c r="F325" s="30" t="s">
        <v>181</v>
      </c>
      <c r="G325" s="30" t="s">
        <v>1198</v>
      </c>
      <c r="H325" s="30" t="s">
        <v>241</v>
      </c>
      <c r="I325" s="30" t="s">
        <v>114</v>
      </c>
    </row>
    <row r="326" spans="1:9">
      <c r="A326" s="22" t="s">
        <v>1138</v>
      </c>
      <c r="B326" s="30"/>
      <c r="C326" s="30"/>
      <c r="D326" s="30" t="s">
        <v>953</v>
      </c>
      <c r="E326" s="30" t="s">
        <v>112</v>
      </c>
      <c r="F326" s="30" t="s">
        <v>181</v>
      </c>
      <c r="G326" s="30" t="s">
        <v>571</v>
      </c>
      <c r="H326" s="30" t="s">
        <v>241</v>
      </c>
      <c r="I326" s="30" t="s">
        <v>572</v>
      </c>
    </row>
    <row r="327" spans="1:9">
      <c r="A327" s="22" t="s">
        <v>1138</v>
      </c>
      <c r="B327" s="30"/>
      <c r="C327" s="30"/>
      <c r="D327" s="30" t="s">
        <v>638</v>
      </c>
      <c r="E327" s="30" t="s">
        <v>115</v>
      </c>
      <c r="F327" s="30" t="s">
        <v>182</v>
      </c>
      <c r="G327" s="30" t="s">
        <v>1199</v>
      </c>
      <c r="H327" s="30" t="s">
        <v>241</v>
      </c>
      <c r="I327" s="30" t="s">
        <v>114</v>
      </c>
    </row>
    <row r="328" spans="1:9">
      <c r="A328" s="22" t="s">
        <v>1138</v>
      </c>
      <c r="B328" s="30"/>
      <c r="C328" s="30"/>
      <c r="D328" s="30" t="s">
        <v>954</v>
      </c>
      <c r="E328" s="30" t="s">
        <v>115</v>
      </c>
      <c r="F328" s="30" t="s">
        <v>182</v>
      </c>
      <c r="G328" s="30" t="s">
        <v>1200</v>
      </c>
      <c r="H328" s="30" t="s">
        <v>241</v>
      </c>
      <c r="I328" s="30" t="s">
        <v>114</v>
      </c>
    </row>
    <row r="329" spans="1:9">
      <c r="A329" s="22" t="s">
        <v>1138</v>
      </c>
      <c r="B329" s="30"/>
      <c r="C329" s="30"/>
      <c r="D329" s="30" t="s">
        <v>955</v>
      </c>
      <c r="E329" s="30" t="s">
        <v>112</v>
      </c>
      <c r="F329" s="30" t="s">
        <v>182</v>
      </c>
      <c r="G329" s="30" t="s">
        <v>571</v>
      </c>
      <c r="H329" s="30" t="s">
        <v>241</v>
      </c>
      <c r="I329" s="30" t="s">
        <v>572</v>
      </c>
    </row>
    <row r="330" spans="1:9">
      <c r="A330" s="22" t="s">
        <v>1138</v>
      </c>
      <c r="B330" s="30"/>
      <c r="C330" s="30"/>
      <c r="D330" s="30" t="s">
        <v>639</v>
      </c>
      <c r="E330" s="30" t="s">
        <v>115</v>
      </c>
      <c r="F330" s="30" t="s">
        <v>183</v>
      </c>
      <c r="G330" s="30" t="s">
        <v>1204</v>
      </c>
      <c r="H330" s="30" t="s">
        <v>241</v>
      </c>
      <c r="I330" s="30" t="s">
        <v>114</v>
      </c>
    </row>
    <row r="331" spans="1:9">
      <c r="A331" s="22" t="s">
        <v>1138</v>
      </c>
      <c r="B331" s="30"/>
      <c r="C331" s="30"/>
      <c r="D331" s="30" t="s">
        <v>956</v>
      </c>
      <c r="E331" s="30" t="s">
        <v>115</v>
      </c>
      <c r="F331" s="30" t="s">
        <v>183</v>
      </c>
      <c r="G331" s="30" t="s">
        <v>1205</v>
      </c>
      <c r="H331" s="30" t="s">
        <v>241</v>
      </c>
      <c r="I331" s="30" t="s">
        <v>114</v>
      </c>
    </row>
    <row r="332" spans="1:9">
      <c r="A332" s="22" t="s">
        <v>1138</v>
      </c>
      <c r="B332" s="30"/>
      <c r="C332" s="30"/>
      <c r="D332" s="30" t="s">
        <v>957</v>
      </c>
      <c r="E332" s="30" t="s">
        <v>112</v>
      </c>
      <c r="F332" s="30" t="s">
        <v>183</v>
      </c>
      <c r="G332" s="30" t="s">
        <v>571</v>
      </c>
      <c r="H332" s="30" t="s">
        <v>241</v>
      </c>
      <c r="I332" s="30" t="s">
        <v>572</v>
      </c>
    </row>
    <row r="333" spans="1:9">
      <c r="A333" s="22" t="s">
        <v>1138</v>
      </c>
      <c r="B333" s="30"/>
      <c r="C333" s="30"/>
      <c r="D333" s="30" t="s">
        <v>640</v>
      </c>
      <c r="E333" s="30" t="s">
        <v>115</v>
      </c>
      <c r="F333" s="30" t="s">
        <v>184</v>
      </c>
      <c r="G333" s="30" t="s">
        <v>1189</v>
      </c>
      <c r="H333" s="30" t="s">
        <v>241</v>
      </c>
      <c r="I333" s="30" t="s">
        <v>114</v>
      </c>
    </row>
    <row r="334" spans="1:9">
      <c r="A334" s="22" t="s">
        <v>1138</v>
      </c>
      <c r="B334" s="30"/>
      <c r="C334" s="30"/>
      <c r="D334" s="30" t="s">
        <v>958</v>
      </c>
      <c r="E334" s="30" t="s">
        <v>115</v>
      </c>
      <c r="F334" s="30" t="s">
        <v>184</v>
      </c>
      <c r="G334" s="30" t="s">
        <v>1190</v>
      </c>
      <c r="H334" s="30" t="s">
        <v>241</v>
      </c>
      <c r="I334" s="30" t="s">
        <v>114</v>
      </c>
    </row>
    <row r="335" spans="1:9">
      <c r="A335" s="22" t="s">
        <v>1138</v>
      </c>
      <c r="B335" s="30"/>
      <c r="C335" s="30"/>
      <c r="D335" s="30" t="s">
        <v>1154</v>
      </c>
      <c r="E335" s="30" t="s">
        <v>112</v>
      </c>
      <c r="F335" s="30" t="s">
        <v>184</v>
      </c>
      <c r="G335" s="30" t="s">
        <v>571</v>
      </c>
      <c r="H335" s="30" t="s">
        <v>241</v>
      </c>
      <c r="I335" s="30" t="s">
        <v>572</v>
      </c>
    </row>
    <row r="336" spans="1:9">
      <c r="A336" s="22" t="s">
        <v>1139</v>
      </c>
      <c r="B336" s="30"/>
      <c r="C336" s="30"/>
      <c r="D336" s="30" t="s">
        <v>262</v>
      </c>
      <c r="E336" s="30" t="s">
        <v>822</v>
      </c>
      <c r="F336" s="30" t="s">
        <v>111</v>
      </c>
      <c r="G336" s="30" t="s">
        <v>865</v>
      </c>
      <c r="H336" s="30" t="s">
        <v>241</v>
      </c>
      <c r="I336" s="30" t="s">
        <v>823</v>
      </c>
    </row>
    <row r="337" spans="1:9">
      <c r="A337" s="22" t="s">
        <v>1139</v>
      </c>
      <c r="B337" s="30"/>
      <c r="C337" s="30"/>
      <c r="D337" s="30" t="s">
        <v>354</v>
      </c>
      <c r="E337" s="30" t="s">
        <v>822</v>
      </c>
      <c r="F337" s="30" t="s">
        <v>111</v>
      </c>
      <c r="G337" s="30" t="s">
        <v>865</v>
      </c>
      <c r="H337" s="30" t="s">
        <v>241</v>
      </c>
      <c r="I337" s="30" t="s">
        <v>232</v>
      </c>
    </row>
    <row r="338" spans="1:9">
      <c r="A338" s="28"/>
      <c r="B338" s="28"/>
      <c r="C338" s="28"/>
      <c r="D338" s="28"/>
      <c r="E338" s="29" t="s">
        <v>775</v>
      </c>
      <c r="F338" s="28"/>
      <c r="G338" s="28"/>
      <c r="H338" s="28"/>
      <c r="I338" s="28"/>
    </row>
    <row r="339" spans="1:9">
      <c r="A339" s="22" t="s">
        <v>1138</v>
      </c>
      <c r="B339" s="30"/>
      <c r="C339" s="30"/>
      <c r="D339" s="22" t="s">
        <v>386</v>
      </c>
      <c r="E339" s="30" t="s">
        <v>115</v>
      </c>
      <c r="F339" s="30" t="s">
        <v>111</v>
      </c>
      <c r="G339" s="30" t="s">
        <v>863</v>
      </c>
      <c r="H339" s="30" t="s">
        <v>241</v>
      </c>
      <c r="I339" s="30" t="s">
        <v>114</v>
      </c>
    </row>
    <row r="340" spans="1:9">
      <c r="A340" s="22" t="s">
        <v>1138</v>
      </c>
      <c r="B340" s="30"/>
      <c r="C340" s="30"/>
      <c r="D340" s="22" t="s">
        <v>129</v>
      </c>
      <c r="E340" s="30" t="s">
        <v>120</v>
      </c>
      <c r="F340" s="30" t="s">
        <v>111</v>
      </c>
      <c r="G340" s="30" t="s">
        <v>863</v>
      </c>
      <c r="H340" s="30" t="s">
        <v>241</v>
      </c>
      <c r="I340" s="30" t="s">
        <v>114</v>
      </c>
    </row>
    <row r="341" spans="1:9">
      <c r="A341" s="22" t="s">
        <v>1138</v>
      </c>
      <c r="B341" s="30"/>
      <c r="C341" s="30"/>
      <c r="D341" s="30" t="s">
        <v>130</v>
      </c>
      <c r="E341" s="30" t="s">
        <v>112</v>
      </c>
      <c r="F341" s="30" t="s">
        <v>111</v>
      </c>
      <c r="G341" s="30" t="s">
        <v>113</v>
      </c>
      <c r="H341" s="30" t="s">
        <v>241</v>
      </c>
      <c r="I341" s="30" t="s">
        <v>114</v>
      </c>
    </row>
    <row r="342" spans="1:9">
      <c r="A342" s="22" t="s">
        <v>1138</v>
      </c>
      <c r="C342" s="30"/>
      <c r="D342" s="30" t="s">
        <v>237</v>
      </c>
      <c r="E342" s="30" t="s">
        <v>115</v>
      </c>
      <c r="F342" s="30" t="s">
        <v>111</v>
      </c>
      <c r="G342" s="30" t="s">
        <v>863</v>
      </c>
      <c r="H342" s="30" t="s">
        <v>241</v>
      </c>
      <c r="I342" s="30" t="s">
        <v>204</v>
      </c>
    </row>
    <row r="343" spans="1:9">
      <c r="A343" s="22" t="s">
        <v>1138</v>
      </c>
      <c r="C343" s="30"/>
      <c r="D343" s="30" t="s">
        <v>296</v>
      </c>
      <c r="E343" s="30" t="s">
        <v>115</v>
      </c>
      <c r="F343" s="30" t="s">
        <v>111</v>
      </c>
      <c r="G343" s="30" t="s">
        <v>863</v>
      </c>
      <c r="H343" s="30" t="s">
        <v>241</v>
      </c>
      <c r="I343" s="30" t="s">
        <v>232</v>
      </c>
    </row>
    <row r="344" spans="1:9">
      <c r="A344" s="22" t="s">
        <v>1138</v>
      </c>
      <c r="B344" s="30"/>
      <c r="C344" s="30"/>
      <c r="D344" s="30" t="s">
        <v>297</v>
      </c>
      <c r="E344" s="30" t="s">
        <v>115</v>
      </c>
      <c r="F344" s="30" t="s">
        <v>111</v>
      </c>
      <c r="G344" s="30" t="s">
        <v>863</v>
      </c>
      <c r="H344" s="30" t="s">
        <v>241</v>
      </c>
      <c r="I344" s="30" t="s">
        <v>118</v>
      </c>
    </row>
    <row r="345" spans="1:9">
      <c r="A345" s="22" t="s">
        <v>1138</v>
      </c>
      <c r="B345" s="30"/>
      <c r="C345" s="30"/>
      <c r="D345" s="30" t="s">
        <v>387</v>
      </c>
      <c r="E345" s="30" t="s">
        <v>115</v>
      </c>
      <c r="F345" s="30" t="s">
        <v>111</v>
      </c>
      <c r="G345" s="30" t="s">
        <v>864</v>
      </c>
      <c r="H345" s="30" t="s">
        <v>241</v>
      </c>
      <c r="I345" s="30" t="s">
        <v>118</v>
      </c>
    </row>
    <row r="346" spans="1:9">
      <c r="A346" s="22" t="s">
        <v>1138</v>
      </c>
      <c r="C346" s="30"/>
      <c r="D346" s="30" t="s">
        <v>959</v>
      </c>
      <c r="E346" s="30" t="s">
        <v>112</v>
      </c>
      <c r="F346" s="30" t="s">
        <v>247</v>
      </c>
      <c r="G346" s="30"/>
      <c r="H346" s="30" t="s">
        <v>241</v>
      </c>
      <c r="I346" s="30" t="s">
        <v>118</v>
      </c>
    </row>
    <row r="347" spans="1:9">
      <c r="A347" s="22" t="s">
        <v>1138</v>
      </c>
      <c r="C347" s="30"/>
      <c r="D347" s="30" t="s">
        <v>960</v>
      </c>
      <c r="E347" s="30" t="s">
        <v>127</v>
      </c>
      <c r="F347" s="30" t="s">
        <v>247</v>
      </c>
      <c r="G347" s="30"/>
      <c r="H347" s="30" t="s">
        <v>241</v>
      </c>
      <c r="I347" s="30" t="s">
        <v>118</v>
      </c>
    </row>
    <row r="348" spans="1:9">
      <c r="A348" s="22" t="s">
        <v>1138</v>
      </c>
      <c r="B348" s="30"/>
      <c r="C348" s="30"/>
      <c r="D348" s="30" t="s">
        <v>961</v>
      </c>
      <c r="E348" s="30" t="s">
        <v>112</v>
      </c>
      <c r="F348" s="30" t="s">
        <v>123</v>
      </c>
      <c r="G348" s="30"/>
      <c r="H348" s="30" t="s">
        <v>241</v>
      </c>
      <c r="I348" s="30" t="s">
        <v>240</v>
      </c>
    </row>
    <row r="349" spans="1:9">
      <c r="A349" s="22" t="s">
        <v>1138</v>
      </c>
      <c r="B349" s="30"/>
      <c r="C349" s="30"/>
      <c r="D349" s="30" t="s">
        <v>962</v>
      </c>
      <c r="E349" s="30" t="s">
        <v>127</v>
      </c>
      <c r="F349" s="30" t="s">
        <v>123</v>
      </c>
      <c r="G349" s="30"/>
      <c r="H349" s="30" t="s">
        <v>241</v>
      </c>
      <c r="I349" s="30" t="s">
        <v>240</v>
      </c>
    </row>
    <row r="350" spans="1:9">
      <c r="A350" s="22" t="s">
        <v>1138</v>
      </c>
      <c r="B350" s="30"/>
      <c r="C350" s="30"/>
      <c r="D350" s="30" t="s">
        <v>388</v>
      </c>
      <c r="E350" s="30" t="s">
        <v>112</v>
      </c>
      <c r="F350" s="30" t="s">
        <v>866</v>
      </c>
      <c r="G350" s="30"/>
      <c r="H350" s="30" t="s">
        <v>241</v>
      </c>
      <c r="I350" s="30" t="s">
        <v>126</v>
      </c>
    </row>
    <row r="351" spans="1:9">
      <c r="A351" s="22" t="s">
        <v>1138</v>
      </c>
      <c r="B351" s="30"/>
      <c r="C351" s="30"/>
      <c r="D351" s="30" t="s">
        <v>389</v>
      </c>
      <c r="E351" s="30" t="s">
        <v>127</v>
      </c>
      <c r="F351" s="30" t="s">
        <v>866</v>
      </c>
      <c r="G351" s="30"/>
      <c r="H351" s="30" t="s">
        <v>241</v>
      </c>
      <c r="I351" s="30" t="s">
        <v>126</v>
      </c>
    </row>
    <row r="352" spans="1:9">
      <c r="A352" s="22" t="s">
        <v>1138</v>
      </c>
      <c r="B352" s="30"/>
      <c r="C352" s="30"/>
      <c r="D352" s="30" t="s">
        <v>963</v>
      </c>
      <c r="E352" s="30" t="s">
        <v>112</v>
      </c>
      <c r="F352" s="30" t="s">
        <v>866</v>
      </c>
      <c r="G352" s="30"/>
      <c r="H352" s="30" t="s">
        <v>241</v>
      </c>
      <c r="I352" s="30" t="s">
        <v>128</v>
      </c>
    </row>
    <row r="353" spans="1:9">
      <c r="A353" s="22" t="s">
        <v>1138</v>
      </c>
      <c r="B353" s="30"/>
      <c r="C353" s="30"/>
      <c r="D353" s="30" t="s">
        <v>964</v>
      </c>
      <c r="E353" s="30" t="s">
        <v>127</v>
      </c>
      <c r="F353" s="30" t="s">
        <v>866</v>
      </c>
      <c r="G353" s="30"/>
      <c r="H353" s="30" t="s">
        <v>241</v>
      </c>
      <c r="I353" s="30" t="s">
        <v>128</v>
      </c>
    </row>
    <row r="354" spans="1:9">
      <c r="A354" s="22" t="s">
        <v>1138</v>
      </c>
      <c r="B354" s="30"/>
      <c r="C354" s="30"/>
      <c r="D354" s="22" t="s">
        <v>298</v>
      </c>
      <c r="E354" s="30" t="s">
        <v>120</v>
      </c>
      <c r="F354" s="30" t="s">
        <v>111</v>
      </c>
      <c r="G354" s="30"/>
      <c r="H354" s="30" t="s">
        <v>241</v>
      </c>
      <c r="I354" s="30" t="s">
        <v>213</v>
      </c>
    </row>
    <row r="355" spans="1:9">
      <c r="A355" s="22" t="s">
        <v>1138</v>
      </c>
      <c r="B355" s="30"/>
      <c r="C355" s="30"/>
      <c r="D355" s="30" t="s">
        <v>641</v>
      </c>
      <c r="E355" s="30" t="s">
        <v>115</v>
      </c>
      <c r="F355" s="30" t="s">
        <v>178</v>
      </c>
      <c r="G355" s="30" t="s">
        <v>1191</v>
      </c>
      <c r="H355" s="30" t="s">
        <v>241</v>
      </c>
      <c r="I355" s="30" t="s">
        <v>114</v>
      </c>
    </row>
    <row r="356" spans="1:9">
      <c r="A356" s="22" t="s">
        <v>1138</v>
      </c>
      <c r="B356" s="30"/>
      <c r="C356" s="30"/>
      <c r="D356" s="30" t="s">
        <v>390</v>
      </c>
      <c r="E356" s="30" t="s">
        <v>115</v>
      </c>
      <c r="F356" s="30" t="s">
        <v>178</v>
      </c>
      <c r="G356" s="30" t="s">
        <v>1192</v>
      </c>
      <c r="H356" s="30" t="s">
        <v>241</v>
      </c>
      <c r="I356" s="30" t="s">
        <v>114</v>
      </c>
    </row>
    <row r="357" spans="1:9">
      <c r="A357" s="22" t="s">
        <v>1138</v>
      </c>
      <c r="B357" s="30"/>
      <c r="C357" s="30"/>
      <c r="D357" s="30" t="s">
        <v>1155</v>
      </c>
      <c r="E357" s="30" t="s">
        <v>112</v>
      </c>
      <c r="F357" s="30" t="s">
        <v>178</v>
      </c>
      <c r="G357" s="30" t="s">
        <v>571</v>
      </c>
      <c r="H357" s="30" t="s">
        <v>241</v>
      </c>
      <c r="I357" s="30" t="s">
        <v>572</v>
      </c>
    </row>
    <row r="358" spans="1:9">
      <c r="A358" s="22" t="s">
        <v>1138</v>
      </c>
      <c r="B358" s="30"/>
      <c r="C358" s="30"/>
      <c r="D358" s="30" t="s">
        <v>642</v>
      </c>
      <c r="E358" s="30" t="s">
        <v>115</v>
      </c>
      <c r="F358" s="30" t="s">
        <v>179</v>
      </c>
      <c r="G358" s="30" t="s">
        <v>1193</v>
      </c>
      <c r="H358" s="30" t="s">
        <v>241</v>
      </c>
      <c r="I358" s="30" t="s">
        <v>114</v>
      </c>
    </row>
    <row r="359" spans="1:9">
      <c r="A359" s="22" t="s">
        <v>1138</v>
      </c>
      <c r="B359" s="30"/>
      <c r="C359" s="30"/>
      <c r="D359" s="30" t="s">
        <v>391</v>
      </c>
      <c r="E359" s="30" t="s">
        <v>115</v>
      </c>
      <c r="F359" s="30" t="s">
        <v>179</v>
      </c>
      <c r="G359" s="30" t="s">
        <v>1194</v>
      </c>
      <c r="H359" s="30" t="s">
        <v>241</v>
      </c>
      <c r="I359" s="30" t="s">
        <v>114</v>
      </c>
    </row>
    <row r="360" spans="1:9">
      <c r="A360" s="22" t="s">
        <v>1138</v>
      </c>
      <c r="B360" s="30"/>
      <c r="C360" s="30"/>
      <c r="D360" s="30" t="s">
        <v>965</v>
      </c>
      <c r="E360" s="30" t="s">
        <v>112</v>
      </c>
      <c r="F360" s="30" t="s">
        <v>179</v>
      </c>
      <c r="G360" s="30" t="s">
        <v>571</v>
      </c>
      <c r="H360" s="30" t="s">
        <v>241</v>
      </c>
      <c r="I360" s="30" t="s">
        <v>572</v>
      </c>
    </row>
    <row r="361" spans="1:9">
      <c r="A361" s="22" t="s">
        <v>1138</v>
      </c>
      <c r="B361" s="30"/>
      <c r="C361" s="30"/>
      <c r="D361" s="30" t="s">
        <v>1156</v>
      </c>
      <c r="E361" s="30" t="s">
        <v>115</v>
      </c>
      <c r="F361" s="30" t="s">
        <v>169</v>
      </c>
      <c r="G361" s="30" t="s">
        <v>1195</v>
      </c>
      <c r="H361" s="30" t="s">
        <v>241</v>
      </c>
      <c r="I361" s="30" t="s">
        <v>114</v>
      </c>
    </row>
    <row r="362" spans="1:9">
      <c r="A362" s="22" t="s">
        <v>1138</v>
      </c>
      <c r="B362" s="30"/>
      <c r="C362" s="30"/>
      <c r="D362" s="30" t="s">
        <v>392</v>
      </c>
      <c r="E362" s="30" t="s">
        <v>115</v>
      </c>
      <c r="F362" s="30" t="s">
        <v>169</v>
      </c>
      <c r="G362" s="30" t="s">
        <v>1196</v>
      </c>
      <c r="H362" s="30" t="s">
        <v>241</v>
      </c>
      <c r="I362" s="30" t="s">
        <v>114</v>
      </c>
    </row>
    <row r="363" spans="1:9">
      <c r="A363" s="22" t="s">
        <v>1138</v>
      </c>
      <c r="B363" s="30"/>
      <c r="C363" s="30"/>
      <c r="D363" s="30" t="s">
        <v>966</v>
      </c>
      <c r="E363" s="30" t="s">
        <v>112</v>
      </c>
      <c r="F363" s="30" t="s">
        <v>169</v>
      </c>
      <c r="G363" s="30" t="s">
        <v>571</v>
      </c>
      <c r="H363" s="30" t="s">
        <v>241</v>
      </c>
      <c r="I363" s="30" t="s">
        <v>572</v>
      </c>
    </row>
    <row r="364" spans="1:9">
      <c r="A364" s="22" t="s">
        <v>1138</v>
      </c>
      <c r="B364" s="30"/>
      <c r="C364" s="30"/>
      <c r="D364" s="30" t="s">
        <v>643</v>
      </c>
      <c r="E364" s="30" t="s">
        <v>115</v>
      </c>
      <c r="F364" s="30" t="s">
        <v>180</v>
      </c>
      <c r="G364" s="30" t="s">
        <v>1202</v>
      </c>
      <c r="H364" s="30" t="s">
        <v>241</v>
      </c>
      <c r="I364" s="30" t="s">
        <v>114</v>
      </c>
    </row>
    <row r="365" spans="1:9">
      <c r="A365" s="22" t="s">
        <v>1138</v>
      </c>
      <c r="B365" s="30"/>
      <c r="C365" s="30"/>
      <c r="D365" s="30" t="s">
        <v>393</v>
      </c>
      <c r="E365" s="30" t="s">
        <v>115</v>
      </c>
      <c r="F365" s="30" t="s">
        <v>180</v>
      </c>
      <c r="G365" s="30" t="s">
        <v>1203</v>
      </c>
      <c r="H365" s="30" t="s">
        <v>241</v>
      </c>
      <c r="I365" s="30" t="s">
        <v>114</v>
      </c>
    </row>
    <row r="366" spans="1:9">
      <c r="A366" s="22" t="s">
        <v>1138</v>
      </c>
      <c r="B366" s="30"/>
      <c r="C366" s="30"/>
      <c r="D366" s="30" t="s">
        <v>967</v>
      </c>
      <c r="E366" s="30" t="s">
        <v>112</v>
      </c>
      <c r="F366" s="30" t="s">
        <v>180</v>
      </c>
      <c r="G366" s="30" t="s">
        <v>571</v>
      </c>
      <c r="H366" s="30" t="s">
        <v>241</v>
      </c>
      <c r="I366" s="30" t="s">
        <v>572</v>
      </c>
    </row>
    <row r="367" spans="1:9">
      <c r="A367" s="22" t="s">
        <v>1138</v>
      </c>
      <c r="B367" s="30"/>
      <c r="C367" s="30"/>
      <c r="D367" s="30" t="s">
        <v>644</v>
      </c>
      <c r="E367" s="30" t="s">
        <v>115</v>
      </c>
      <c r="F367" s="30" t="s">
        <v>181</v>
      </c>
      <c r="G367" s="30" t="s">
        <v>1197</v>
      </c>
      <c r="H367" s="30" t="s">
        <v>241</v>
      </c>
      <c r="I367" s="30" t="s">
        <v>114</v>
      </c>
    </row>
    <row r="368" spans="1:9">
      <c r="A368" s="22" t="s">
        <v>1138</v>
      </c>
      <c r="B368" s="30"/>
      <c r="C368" s="30"/>
      <c r="D368" s="30" t="s">
        <v>968</v>
      </c>
      <c r="E368" s="30" t="s">
        <v>115</v>
      </c>
      <c r="F368" s="30" t="s">
        <v>181</v>
      </c>
      <c r="G368" s="30" t="s">
        <v>1198</v>
      </c>
      <c r="H368" s="30" t="s">
        <v>241</v>
      </c>
      <c r="I368" s="30" t="s">
        <v>114</v>
      </c>
    </row>
    <row r="369" spans="1:9">
      <c r="A369" s="22" t="s">
        <v>1138</v>
      </c>
      <c r="B369" s="30"/>
      <c r="C369" s="30"/>
      <c r="D369" s="30" t="s">
        <v>969</v>
      </c>
      <c r="E369" s="30" t="s">
        <v>112</v>
      </c>
      <c r="F369" s="30" t="s">
        <v>181</v>
      </c>
      <c r="G369" s="30" t="s">
        <v>571</v>
      </c>
      <c r="H369" s="30" t="s">
        <v>241</v>
      </c>
      <c r="I369" s="30" t="s">
        <v>572</v>
      </c>
    </row>
    <row r="370" spans="1:9">
      <c r="A370" s="22" t="s">
        <v>1138</v>
      </c>
      <c r="B370" s="30"/>
      <c r="C370" s="30"/>
      <c r="D370" s="30" t="s">
        <v>645</v>
      </c>
      <c r="E370" s="30" t="s">
        <v>115</v>
      </c>
      <c r="F370" s="30" t="s">
        <v>182</v>
      </c>
      <c r="G370" s="30" t="s">
        <v>1199</v>
      </c>
      <c r="H370" s="30" t="s">
        <v>241</v>
      </c>
      <c r="I370" s="30" t="s">
        <v>114</v>
      </c>
    </row>
    <row r="371" spans="1:9">
      <c r="A371" s="22" t="s">
        <v>1138</v>
      </c>
      <c r="B371" s="30"/>
      <c r="C371" s="30"/>
      <c r="D371" s="30" t="s">
        <v>970</v>
      </c>
      <c r="E371" s="30" t="s">
        <v>115</v>
      </c>
      <c r="F371" s="30" t="s">
        <v>182</v>
      </c>
      <c r="G371" s="30" t="s">
        <v>1200</v>
      </c>
      <c r="H371" s="30" t="s">
        <v>241</v>
      </c>
      <c r="I371" s="30" t="s">
        <v>114</v>
      </c>
    </row>
    <row r="372" spans="1:9">
      <c r="A372" s="22" t="s">
        <v>1138</v>
      </c>
      <c r="B372" s="30"/>
      <c r="C372" s="30"/>
      <c r="D372" s="30" t="s">
        <v>971</v>
      </c>
      <c r="E372" s="30" t="s">
        <v>112</v>
      </c>
      <c r="F372" s="30" t="s">
        <v>182</v>
      </c>
      <c r="G372" s="30" t="s">
        <v>571</v>
      </c>
      <c r="H372" s="30" t="s">
        <v>241</v>
      </c>
      <c r="I372" s="30" t="s">
        <v>572</v>
      </c>
    </row>
    <row r="373" spans="1:9">
      <c r="A373" s="22" t="s">
        <v>1138</v>
      </c>
      <c r="B373" s="30"/>
      <c r="C373" s="30"/>
      <c r="D373" s="30" t="s">
        <v>646</v>
      </c>
      <c r="E373" s="30" t="s">
        <v>115</v>
      </c>
      <c r="F373" s="30" t="s">
        <v>183</v>
      </c>
      <c r="G373" s="30" t="s">
        <v>1204</v>
      </c>
      <c r="H373" s="30" t="s">
        <v>241</v>
      </c>
      <c r="I373" s="30" t="s">
        <v>114</v>
      </c>
    </row>
    <row r="374" spans="1:9">
      <c r="A374" s="22" t="s">
        <v>1138</v>
      </c>
      <c r="B374" s="30"/>
      <c r="C374" s="30"/>
      <c r="D374" s="30" t="s">
        <v>972</v>
      </c>
      <c r="E374" s="30" t="s">
        <v>115</v>
      </c>
      <c r="F374" s="30" t="s">
        <v>183</v>
      </c>
      <c r="G374" s="30" t="s">
        <v>1205</v>
      </c>
      <c r="H374" s="30" t="s">
        <v>241</v>
      </c>
      <c r="I374" s="30" t="s">
        <v>114</v>
      </c>
    </row>
    <row r="375" spans="1:9">
      <c r="A375" s="22" t="s">
        <v>1138</v>
      </c>
      <c r="B375" s="30"/>
      <c r="C375" s="30"/>
      <c r="D375" s="30" t="s">
        <v>973</v>
      </c>
      <c r="E375" s="30" t="s">
        <v>112</v>
      </c>
      <c r="F375" s="30" t="s">
        <v>183</v>
      </c>
      <c r="G375" s="30" t="s">
        <v>571</v>
      </c>
      <c r="H375" s="30" t="s">
        <v>241</v>
      </c>
      <c r="I375" s="30" t="s">
        <v>572</v>
      </c>
    </row>
    <row r="376" spans="1:9">
      <c r="A376" s="22" t="s">
        <v>1138</v>
      </c>
      <c r="B376" s="30"/>
      <c r="C376" s="30"/>
      <c r="D376" s="30" t="s">
        <v>647</v>
      </c>
      <c r="E376" s="30" t="s">
        <v>115</v>
      </c>
      <c r="F376" s="30" t="s">
        <v>184</v>
      </c>
      <c r="G376" s="30" t="s">
        <v>1189</v>
      </c>
      <c r="H376" s="30" t="s">
        <v>241</v>
      </c>
      <c r="I376" s="30" t="s">
        <v>114</v>
      </c>
    </row>
    <row r="377" spans="1:9">
      <c r="A377" s="22" t="s">
        <v>1138</v>
      </c>
      <c r="B377" s="30"/>
      <c r="C377" s="30"/>
      <c r="D377" s="30" t="s">
        <v>974</v>
      </c>
      <c r="E377" s="30" t="s">
        <v>115</v>
      </c>
      <c r="F377" s="30" t="s">
        <v>184</v>
      </c>
      <c r="G377" s="30" t="s">
        <v>1190</v>
      </c>
      <c r="H377" s="30" t="s">
        <v>241</v>
      </c>
      <c r="I377" s="30" t="s">
        <v>114</v>
      </c>
    </row>
    <row r="378" spans="1:9">
      <c r="A378" s="22" t="s">
        <v>1138</v>
      </c>
      <c r="B378" s="30"/>
      <c r="C378" s="30"/>
      <c r="D378" s="30" t="s">
        <v>1157</v>
      </c>
      <c r="E378" s="30" t="s">
        <v>112</v>
      </c>
      <c r="F378" s="30" t="s">
        <v>184</v>
      </c>
      <c r="G378" s="30" t="s">
        <v>571</v>
      </c>
      <c r="H378" s="30" t="s">
        <v>241</v>
      </c>
      <c r="I378" s="30" t="s">
        <v>572</v>
      </c>
    </row>
    <row r="379" spans="1:9">
      <c r="A379" s="22" t="s">
        <v>1139</v>
      </c>
      <c r="B379" s="30"/>
      <c r="C379" s="30"/>
      <c r="D379" s="30" t="s">
        <v>444</v>
      </c>
      <c r="E379" s="30" t="s">
        <v>822</v>
      </c>
      <c r="F379" s="30" t="s">
        <v>111</v>
      </c>
      <c r="G379" s="30" t="s">
        <v>865</v>
      </c>
      <c r="H379" s="30" t="s">
        <v>241</v>
      </c>
      <c r="I379" s="30" t="s">
        <v>823</v>
      </c>
    </row>
    <row r="380" spans="1:9">
      <c r="A380" s="22" t="s">
        <v>1139</v>
      </c>
      <c r="B380" s="30"/>
      <c r="C380" s="30"/>
      <c r="D380" s="30" t="s">
        <v>457</v>
      </c>
      <c r="E380" s="30" t="s">
        <v>822</v>
      </c>
      <c r="F380" s="30" t="s">
        <v>111</v>
      </c>
      <c r="G380" s="30" t="s">
        <v>865</v>
      </c>
      <c r="H380" s="30" t="s">
        <v>241</v>
      </c>
      <c r="I380" s="30" t="s">
        <v>232</v>
      </c>
    </row>
    <row r="381" spans="1:9">
      <c r="A381" s="28"/>
      <c r="B381" s="28"/>
      <c r="C381" s="28"/>
      <c r="D381" s="28"/>
      <c r="E381" s="29" t="s">
        <v>774</v>
      </c>
      <c r="F381" s="28"/>
      <c r="G381" s="28"/>
      <c r="H381" s="28"/>
      <c r="I381" s="28"/>
    </row>
    <row r="382" spans="1:9">
      <c r="A382" s="22" t="s">
        <v>1138</v>
      </c>
      <c r="B382" s="30"/>
      <c r="C382" s="30"/>
      <c r="D382" s="22" t="s">
        <v>360</v>
      </c>
      <c r="E382" s="30" t="s">
        <v>115</v>
      </c>
      <c r="F382" s="30" t="s">
        <v>111</v>
      </c>
      <c r="G382" s="30" t="s">
        <v>863</v>
      </c>
      <c r="H382" s="30" t="s">
        <v>241</v>
      </c>
      <c r="I382" s="30" t="s">
        <v>114</v>
      </c>
    </row>
    <row r="383" spans="1:9">
      <c r="A383" s="22" t="s">
        <v>1138</v>
      </c>
      <c r="B383" s="30"/>
      <c r="C383" s="30"/>
      <c r="D383" s="22" t="s">
        <v>263</v>
      </c>
      <c r="E383" s="30" t="s">
        <v>120</v>
      </c>
      <c r="F383" s="30" t="s">
        <v>111</v>
      </c>
      <c r="G383" s="30" t="s">
        <v>863</v>
      </c>
      <c r="H383" s="30" t="s">
        <v>241</v>
      </c>
      <c r="I383" s="30" t="s">
        <v>114</v>
      </c>
    </row>
    <row r="384" spans="1:9">
      <c r="A384" s="22" t="s">
        <v>1138</v>
      </c>
      <c r="B384" s="30"/>
      <c r="C384" s="30"/>
      <c r="D384" s="30" t="s">
        <v>264</v>
      </c>
      <c r="E384" s="30" t="s">
        <v>112</v>
      </c>
      <c r="F384" s="30" t="s">
        <v>111</v>
      </c>
      <c r="G384" s="30" t="s">
        <v>113</v>
      </c>
      <c r="H384" s="30" t="s">
        <v>241</v>
      </c>
      <c r="I384" s="30" t="s">
        <v>114</v>
      </c>
    </row>
    <row r="385" spans="1:9">
      <c r="A385" s="22" t="s">
        <v>1138</v>
      </c>
      <c r="C385" s="30"/>
      <c r="D385" s="30" t="s">
        <v>265</v>
      </c>
      <c r="E385" s="30" t="s">
        <v>115</v>
      </c>
      <c r="F385" s="30" t="s">
        <v>111</v>
      </c>
      <c r="G385" s="30" t="s">
        <v>863</v>
      </c>
      <c r="H385" s="30" t="s">
        <v>241</v>
      </c>
      <c r="I385" s="30" t="s">
        <v>204</v>
      </c>
    </row>
    <row r="386" spans="1:9">
      <c r="A386" s="22" t="s">
        <v>1138</v>
      </c>
      <c r="C386" s="30"/>
      <c r="D386" s="30" t="s">
        <v>299</v>
      </c>
      <c r="E386" s="30" t="s">
        <v>115</v>
      </c>
      <c r="F386" s="30" t="s">
        <v>111</v>
      </c>
      <c r="G386" s="30" t="s">
        <v>863</v>
      </c>
      <c r="H386" s="30" t="s">
        <v>241</v>
      </c>
      <c r="I386" s="30" t="s">
        <v>232</v>
      </c>
    </row>
    <row r="387" spans="1:9">
      <c r="A387" s="22" t="s">
        <v>1138</v>
      </c>
      <c r="B387" s="30"/>
      <c r="C387" s="30"/>
      <c r="D387" s="30" t="s">
        <v>300</v>
      </c>
      <c r="E387" s="30" t="s">
        <v>115</v>
      </c>
      <c r="F387" s="30" t="s">
        <v>111</v>
      </c>
      <c r="G387" s="30" t="s">
        <v>863</v>
      </c>
      <c r="H387" s="30" t="s">
        <v>241</v>
      </c>
      <c r="I387" s="30" t="s">
        <v>118</v>
      </c>
    </row>
    <row r="388" spans="1:9">
      <c r="A388" s="22" t="s">
        <v>1138</v>
      </c>
      <c r="B388" s="30"/>
      <c r="C388" s="30"/>
      <c r="D388" s="30" t="s">
        <v>361</v>
      </c>
      <c r="E388" s="30" t="s">
        <v>115</v>
      </c>
      <c r="F388" s="30" t="s">
        <v>111</v>
      </c>
      <c r="G388" s="30" t="s">
        <v>864</v>
      </c>
      <c r="H388" s="30" t="s">
        <v>241</v>
      </c>
      <c r="I388" s="30" t="s">
        <v>118</v>
      </c>
    </row>
    <row r="389" spans="1:9">
      <c r="A389" s="22" t="s">
        <v>1138</v>
      </c>
      <c r="C389" s="30"/>
      <c r="D389" s="30" t="s">
        <v>975</v>
      </c>
      <c r="E389" s="30" t="s">
        <v>112</v>
      </c>
      <c r="F389" s="30" t="s">
        <v>247</v>
      </c>
      <c r="G389" s="30"/>
      <c r="H389" s="30" t="s">
        <v>241</v>
      </c>
      <c r="I389" s="30" t="s">
        <v>118</v>
      </c>
    </row>
    <row r="390" spans="1:9">
      <c r="A390" s="22" t="s">
        <v>1138</v>
      </c>
      <c r="C390" s="30"/>
      <c r="D390" s="30" t="s">
        <v>976</v>
      </c>
      <c r="E390" s="30" t="s">
        <v>127</v>
      </c>
      <c r="F390" s="30" t="s">
        <v>247</v>
      </c>
      <c r="G390" s="30"/>
      <c r="H390" s="30" t="s">
        <v>241</v>
      </c>
      <c r="I390" s="30" t="s">
        <v>118</v>
      </c>
    </row>
    <row r="391" spans="1:9">
      <c r="A391" s="22" t="s">
        <v>1138</v>
      </c>
      <c r="B391" s="30"/>
      <c r="C391" s="30"/>
      <c r="D391" s="30" t="s">
        <v>977</v>
      </c>
      <c r="E391" s="30" t="s">
        <v>112</v>
      </c>
      <c r="F391" s="30" t="s">
        <v>123</v>
      </c>
      <c r="G391" s="30"/>
      <c r="H391" s="30" t="s">
        <v>241</v>
      </c>
      <c r="I391" s="30" t="s">
        <v>240</v>
      </c>
    </row>
    <row r="392" spans="1:9">
      <c r="A392" s="22" t="s">
        <v>1138</v>
      </c>
      <c r="B392" s="30"/>
      <c r="C392" s="30"/>
      <c r="D392" s="30" t="s">
        <v>978</v>
      </c>
      <c r="E392" s="30" t="s">
        <v>127</v>
      </c>
      <c r="F392" s="30" t="s">
        <v>123</v>
      </c>
      <c r="G392" s="30"/>
      <c r="H392" s="30" t="s">
        <v>241</v>
      </c>
      <c r="I392" s="30" t="s">
        <v>240</v>
      </c>
    </row>
    <row r="393" spans="1:9">
      <c r="A393" s="22" t="s">
        <v>1138</v>
      </c>
      <c r="B393" s="30"/>
      <c r="C393" s="30"/>
      <c r="D393" s="30" t="s">
        <v>362</v>
      </c>
      <c r="E393" s="30" t="s">
        <v>112</v>
      </c>
      <c r="F393" s="30" t="s">
        <v>866</v>
      </c>
      <c r="G393" s="30"/>
      <c r="H393" s="30" t="s">
        <v>241</v>
      </c>
      <c r="I393" s="30" t="s">
        <v>126</v>
      </c>
    </row>
    <row r="394" spans="1:9">
      <c r="A394" s="22" t="s">
        <v>1138</v>
      </c>
      <c r="B394" s="30"/>
      <c r="C394" s="30"/>
      <c r="D394" s="30" t="s">
        <v>363</v>
      </c>
      <c r="E394" s="30" t="s">
        <v>127</v>
      </c>
      <c r="F394" s="30" t="s">
        <v>866</v>
      </c>
      <c r="G394" s="30"/>
      <c r="H394" s="30" t="s">
        <v>241</v>
      </c>
      <c r="I394" s="30" t="s">
        <v>126</v>
      </c>
    </row>
    <row r="395" spans="1:9">
      <c r="A395" s="22" t="s">
        <v>1138</v>
      </c>
      <c r="B395" s="30"/>
      <c r="C395" s="30"/>
      <c r="D395" s="30" t="s">
        <v>979</v>
      </c>
      <c r="E395" s="30" t="s">
        <v>112</v>
      </c>
      <c r="F395" s="30" t="s">
        <v>866</v>
      </c>
      <c r="G395" s="30"/>
      <c r="H395" s="30" t="s">
        <v>241</v>
      </c>
      <c r="I395" s="30" t="s">
        <v>128</v>
      </c>
    </row>
    <row r="396" spans="1:9">
      <c r="A396" s="22" t="s">
        <v>1138</v>
      </c>
      <c r="B396" s="30"/>
      <c r="C396" s="30"/>
      <c r="D396" s="30" t="s">
        <v>980</v>
      </c>
      <c r="E396" s="30" t="s">
        <v>127</v>
      </c>
      <c r="F396" s="30" t="s">
        <v>866</v>
      </c>
      <c r="G396" s="30"/>
      <c r="H396" s="30" t="s">
        <v>241</v>
      </c>
      <c r="I396" s="30" t="s">
        <v>128</v>
      </c>
    </row>
    <row r="397" spans="1:9">
      <c r="A397" s="22" t="s">
        <v>1138</v>
      </c>
      <c r="B397" s="30"/>
      <c r="C397" s="30"/>
      <c r="D397" s="22" t="s">
        <v>301</v>
      </c>
      <c r="E397" s="30" t="s">
        <v>120</v>
      </c>
      <c r="F397" s="30" t="s">
        <v>111</v>
      </c>
      <c r="G397" s="30"/>
      <c r="H397" s="30" t="s">
        <v>241</v>
      </c>
      <c r="I397" s="30" t="s">
        <v>213</v>
      </c>
    </row>
    <row r="398" spans="1:9">
      <c r="A398" s="22" t="s">
        <v>1138</v>
      </c>
      <c r="B398" s="30"/>
      <c r="C398" s="30"/>
      <c r="D398" s="30" t="s">
        <v>648</v>
      </c>
      <c r="E398" s="30" t="s">
        <v>115</v>
      </c>
      <c r="F398" s="30" t="s">
        <v>178</v>
      </c>
      <c r="G398" s="30" t="s">
        <v>1191</v>
      </c>
      <c r="H398" s="30" t="s">
        <v>241</v>
      </c>
      <c r="I398" s="30" t="s">
        <v>114</v>
      </c>
    </row>
    <row r="399" spans="1:9">
      <c r="A399" s="22" t="s">
        <v>1138</v>
      </c>
      <c r="B399" s="30"/>
      <c r="C399" s="30"/>
      <c r="D399" s="30" t="s">
        <v>364</v>
      </c>
      <c r="E399" s="30" t="s">
        <v>115</v>
      </c>
      <c r="F399" s="30" t="s">
        <v>178</v>
      </c>
      <c r="G399" s="30" t="s">
        <v>1192</v>
      </c>
      <c r="H399" s="30" t="s">
        <v>241</v>
      </c>
      <c r="I399" s="30" t="s">
        <v>114</v>
      </c>
    </row>
    <row r="400" spans="1:9">
      <c r="A400" s="22" t="s">
        <v>1138</v>
      </c>
      <c r="B400" s="30"/>
      <c r="C400" s="30"/>
      <c r="D400" s="30" t="s">
        <v>1158</v>
      </c>
      <c r="E400" s="30" t="s">
        <v>112</v>
      </c>
      <c r="F400" s="30" t="s">
        <v>178</v>
      </c>
      <c r="G400" s="30" t="s">
        <v>571</v>
      </c>
      <c r="H400" s="30" t="s">
        <v>241</v>
      </c>
      <c r="I400" s="30" t="s">
        <v>572</v>
      </c>
    </row>
    <row r="401" spans="1:9">
      <c r="A401" s="22" t="s">
        <v>1138</v>
      </c>
      <c r="B401" s="30"/>
      <c r="C401" s="30"/>
      <c r="D401" s="30" t="s">
        <v>649</v>
      </c>
      <c r="E401" s="30" t="s">
        <v>115</v>
      </c>
      <c r="F401" s="30" t="s">
        <v>179</v>
      </c>
      <c r="G401" s="30" t="s">
        <v>1193</v>
      </c>
      <c r="H401" s="30" t="s">
        <v>241</v>
      </c>
      <c r="I401" s="30" t="s">
        <v>114</v>
      </c>
    </row>
    <row r="402" spans="1:9">
      <c r="A402" s="22" t="s">
        <v>1138</v>
      </c>
      <c r="B402" s="30"/>
      <c r="C402" s="30"/>
      <c r="D402" s="30" t="s">
        <v>365</v>
      </c>
      <c r="E402" s="30" t="s">
        <v>115</v>
      </c>
      <c r="F402" s="30" t="s">
        <v>179</v>
      </c>
      <c r="G402" s="30" t="s">
        <v>1194</v>
      </c>
      <c r="H402" s="30" t="s">
        <v>241</v>
      </c>
      <c r="I402" s="30" t="s">
        <v>114</v>
      </c>
    </row>
    <row r="403" spans="1:9">
      <c r="A403" s="22" t="s">
        <v>1138</v>
      </c>
      <c r="B403" s="30"/>
      <c r="C403" s="30"/>
      <c r="D403" s="30" t="s">
        <v>981</v>
      </c>
      <c r="E403" s="30" t="s">
        <v>112</v>
      </c>
      <c r="F403" s="30" t="s">
        <v>179</v>
      </c>
      <c r="G403" s="30" t="s">
        <v>571</v>
      </c>
      <c r="H403" s="30" t="s">
        <v>241</v>
      </c>
      <c r="I403" s="30" t="s">
        <v>572</v>
      </c>
    </row>
    <row r="404" spans="1:9">
      <c r="A404" s="22" t="s">
        <v>1138</v>
      </c>
      <c r="B404" s="30"/>
      <c r="C404" s="30"/>
      <c r="D404" s="30" t="s">
        <v>1159</v>
      </c>
      <c r="E404" s="30" t="s">
        <v>115</v>
      </c>
      <c r="F404" s="30" t="s">
        <v>169</v>
      </c>
      <c r="G404" s="30" t="s">
        <v>1195</v>
      </c>
      <c r="H404" s="30" t="s">
        <v>241</v>
      </c>
      <c r="I404" s="30" t="s">
        <v>114</v>
      </c>
    </row>
    <row r="405" spans="1:9">
      <c r="A405" s="22" t="s">
        <v>1138</v>
      </c>
      <c r="B405" s="30"/>
      <c r="C405" s="30"/>
      <c r="D405" s="30" t="s">
        <v>366</v>
      </c>
      <c r="E405" s="30" t="s">
        <v>115</v>
      </c>
      <c r="F405" s="30" t="s">
        <v>169</v>
      </c>
      <c r="G405" s="30" t="s">
        <v>1196</v>
      </c>
      <c r="H405" s="30" t="s">
        <v>241</v>
      </c>
      <c r="I405" s="30" t="s">
        <v>114</v>
      </c>
    </row>
    <row r="406" spans="1:9">
      <c r="A406" s="22" t="s">
        <v>1138</v>
      </c>
      <c r="B406" s="30"/>
      <c r="C406" s="30"/>
      <c r="D406" s="30" t="s">
        <v>982</v>
      </c>
      <c r="E406" s="30" t="s">
        <v>112</v>
      </c>
      <c r="F406" s="30" t="s">
        <v>169</v>
      </c>
      <c r="G406" s="30" t="s">
        <v>571</v>
      </c>
      <c r="H406" s="30" t="s">
        <v>241</v>
      </c>
      <c r="I406" s="30" t="s">
        <v>572</v>
      </c>
    </row>
    <row r="407" spans="1:9">
      <c r="A407" s="22" t="s">
        <v>1138</v>
      </c>
      <c r="B407" s="30"/>
      <c r="C407" s="30"/>
      <c r="D407" s="30" t="s">
        <v>650</v>
      </c>
      <c r="E407" s="30" t="s">
        <v>115</v>
      </c>
      <c r="F407" s="30" t="s">
        <v>180</v>
      </c>
      <c r="G407" s="30" t="s">
        <v>1202</v>
      </c>
      <c r="H407" s="30" t="s">
        <v>241</v>
      </c>
      <c r="I407" s="30" t="s">
        <v>114</v>
      </c>
    </row>
    <row r="408" spans="1:9">
      <c r="A408" s="22" t="s">
        <v>1138</v>
      </c>
      <c r="B408" s="30"/>
      <c r="C408" s="30"/>
      <c r="D408" s="30" t="s">
        <v>367</v>
      </c>
      <c r="E408" s="30" t="s">
        <v>115</v>
      </c>
      <c r="F408" s="30" t="s">
        <v>180</v>
      </c>
      <c r="G408" s="30" t="s">
        <v>1203</v>
      </c>
      <c r="H408" s="30" t="s">
        <v>241</v>
      </c>
      <c r="I408" s="30" t="s">
        <v>114</v>
      </c>
    </row>
    <row r="409" spans="1:9">
      <c r="A409" s="22" t="s">
        <v>1138</v>
      </c>
      <c r="B409" s="30"/>
      <c r="C409" s="30"/>
      <c r="D409" s="30" t="s">
        <v>983</v>
      </c>
      <c r="E409" s="30" t="s">
        <v>112</v>
      </c>
      <c r="F409" s="30" t="s">
        <v>180</v>
      </c>
      <c r="G409" s="30" t="s">
        <v>571</v>
      </c>
      <c r="H409" s="30" t="s">
        <v>241</v>
      </c>
      <c r="I409" s="30" t="s">
        <v>572</v>
      </c>
    </row>
    <row r="410" spans="1:9">
      <c r="A410" s="22" t="s">
        <v>1138</v>
      </c>
      <c r="B410" s="30"/>
      <c r="C410" s="30"/>
      <c r="D410" s="30" t="s">
        <v>651</v>
      </c>
      <c r="E410" s="30" t="s">
        <v>115</v>
      </c>
      <c r="F410" s="30" t="s">
        <v>181</v>
      </c>
      <c r="G410" s="30" t="s">
        <v>1197</v>
      </c>
      <c r="H410" s="30" t="s">
        <v>241</v>
      </c>
      <c r="I410" s="30" t="s">
        <v>114</v>
      </c>
    </row>
    <row r="411" spans="1:9">
      <c r="A411" s="22" t="s">
        <v>1138</v>
      </c>
      <c r="B411" s="30"/>
      <c r="C411" s="30"/>
      <c r="D411" s="30" t="s">
        <v>984</v>
      </c>
      <c r="E411" s="30" t="s">
        <v>115</v>
      </c>
      <c r="F411" s="30" t="s">
        <v>181</v>
      </c>
      <c r="G411" s="30" t="s">
        <v>1198</v>
      </c>
      <c r="H411" s="30" t="s">
        <v>241</v>
      </c>
      <c r="I411" s="30" t="s">
        <v>114</v>
      </c>
    </row>
    <row r="412" spans="1:9">
      <c r="A412" s="22" t="s">
        <v>1138</v>
      </c>
      <c r="B412" s="30"/>
      <c r="C412" s="30"/>
      <c r="D412" s="30" t="s">
        <v>985</v>
      </c>
      <c r="E412" s="30" t="s">
        <v>112</v>
      </c>
      <c r="F412" s="30" t="s">
        <v>181</v>
      </c>
      <c r="G412" s="30" t="s">
        <v>571</v>
      </c>
      <c r="H412" s="30" t="s">
        <v>241</v>
      </c>
      <c r="I412" s="30" t="s">
        <v>572</v>
      </c>
    </row>
    <row r="413" spans="1:9">
      <c r="A413" s="22" t="s">
        <v>1138</v>
      </c>
      <c r="B413" s="30"/>
      <c r="C413" s="30"/>
      <c r="D413" s="30" t="s">
        <v>652</v>
      </c>
      <c r="E413" s="30" t="s">
        <v>115</v>
      </c>
      <c r="F413" s="30" t="s">
        <v>182</v>
      </c>
      <c r="G413" s="30" t="s">
        <v>1199</v>
      </c>
      <c r="H413" s="30" t="s">
        <v>241</v>
      </c>
      <c r="I413" s="30" t="s">
        <v>114</v>
      </c>
    </row>
    <row r="414" spans="1:9">
      <c r="A414" s="22" t="s">
        <v>1138</v>
      </c>
      <c r="B414" s="30"/>
      <c r="C414" s="30"/>
      <c r="D414" s="30" t="s">
        <v>986</v>
      </c>
      <c r="E414" s="30" t="s">
        <v>115</v>
      </c>
      <c r="F414" s="30" t="s">
        <v>182</v>
      </c>
      <c r="G414" s="30" t="s">
        <v>1200</v>
      </c>
      <c r="H414" s="30" t="s">
        <v>241</v>
      </c>
      <c r="I414" s="30" t="s">
        <v>114</v>
      </c>
    </row>
    <row r="415" spans="1:9">
      <c r="A415" s="22" t="s">
        <v>1138</v>
      </c>
      <c r="B415" s="30"/>
      <c r="C415" s="30"/>
      <c r="D415" s="30" t="s">
        <v>987</v>
      </c>
      <c r="E415" s="30" t="s">
        <v>112</v>
      </c>
      <c r="F415" s="30" t="s">
        <v>182</v>
      </c>
      <c r="G415" s="30" t="s">
        <v>571</v>
      </c>
      <c r="H415" s="30" t="s">
        <v>241</v>
      </c>
      <c r="I415" s="30" t="s">
        <v>572</v>
      </c>
    </row>
    <row r="416" spans="1:9">
      <c r="A416" s="22" t="s">
        <v>1138</v>
      </c>
      <c r="B416" s="30"/>
      <c r="C416" s="30"/>
      <c r="D416" s="30" t="s">
        <v>653</v>
      </c>
      <c r="E416" s="30" t="s">
        <v>115</v>
      </c>
      <c r="F416" s="30" t="s">
        <v>183</v>
      </c>
      <c r="G416" s="30" t="s">
        <v>1204</v>
      </c>
      <c r="H416" s="30" t="s">
        <v>241</v>
      </c>
      <c r="I416" s="30" t="s">
        <v>114</v>
      </c>
    </row>
    <row r="417" spans="1:9">
      <c r="A417" s="22" t="s">
        <v>1138</v>
      </c>
      <c r="B417" s="30"/>
      <c r="C417" s="30"/>
      <c r="D417" s="30" t="s">
        <v>988</v>
      </c>
      <c r="E417" s="30" t="s">
        <v>115</v>
      </c>
      <c r="F417" s="30" t="s">
        <v>183</v>
      </c>
      <c r="G417" s="30" t="s">
        <v>1205</v>
      </c>
      <c r="H417" s="30" t="s">
        <v>241</v>
      </c>
      <c r="I417" s="30" t="s">
        <v>114</v>
      </c>
    </row>
    <row r="418" spans="1:9">
      <c r="A418" s="22" t="s">
        <v>1138</v>
      </c>
      <c r="B418" s="30"/>
      <c r="C418" s="30"/>
      <c r="D418" s="30" t="s">
        <v>989</v>
      </c>
      <c r="E418" s="30" t="s">
        <v>112</v>
      </c>
      <c r="F418" s="30" t="s">
        <v>183</v>
      </c>
      <c r="G418" s="30" t="s">
        <v>571</v>
      </c>
      <c r="H418" s="30" t="s">
        <v>241</v>
      </c>
      <c r="I418" s="30" t="s">
        <v>572</v>
      </c>
    </row>
    <row r="419" spans="1:9">
      <c r="A419" s="22" t="s">
        <v>1138</v>
      </c>
      <c r="B419" s="30"/>
      <c r="C419" s="30"/>
      <c r="D419" s="30" t="s">
        <v>654</v>
      </c>
      <c r="E419" s="30" t="s">
        <v>115</v>
      </c>
      <c r="F419" s="30" t="s">
        <v>184</v>
      </c>
      <c r="G419" s="30" t="s">
        <v>1189</v>
      </c>
      <c r="H419" s="30" t="s">
        <v>241</v>
      </c>
      <c r="I419" s="30" t="s">
        <v>114</v>
      </c>
    </row>
    <row r="420" spans="1:9">
      <c r="A420" s="22" t="s">
        <v>1138</v>
      </c>
      <c r="B420" s="30"/>
      <c r="C420" s="30"/>
      <c r="D420" s="30" t="s">
        <v>990</v>
      </c>
      <c r="E420" s="30" t="s">
        <v>115</v>
      </c>
      <c r="F420" s="30" t="s">
        <v>184</v>
      </c>
      <c r="G420" s="30" t="s">
        <v>1190</v>
      </c>
      <c r="H420" s="30" t="s">
        <v>241</v>
      </c>
      <c r="I420" s="30" t="s">
        <v>114</v>
      </c>
    </row>
    <row r="421" spans="1:9">
      <c r="A421" s="22" t="s">
        <v>1138</v>
      </c>
      <c r="B421" s="30"/>
      <c r="C421" s="30"/>
      <c r="D421" s="30" t="s">
        <v>1160</v>
      </c>
      <c r="E421" s="30" t="s">
        <v>112</v>
      </c>
      <c r="F421" s="30" t="s">
        <v>184</v>
      </c>
      <c r="G421" s="30" t="s">
        <v>571</v>
      </c>
      <c r="H421" s="30" t="s">
        <v>241</v>
      </c>
      <c r="I421" s="30" t="s">
        <v>572</v>
      </c>
    </row>
    <row r="422" spans="1:9">
      <c r="A422" s="22" t="s">
        <v>1139</v>
      </c>
      <c r="B422" s="30"/>
      <c r="C422" s="30"/>
      <c r="D422" s="30" t="s">
        <v>169</v>
      </c>
      <c r="E422" s="30" t="s">
        <v>822</v>
      </c>
      <c r="F422" s="30" t="s">
        <v>111</v>
      </c>
      <c r="G422" s="30" t="s">
        <v>865</v>
      </c>
      <c r="H422" s="30" t="s">
        <v>241</v>
      </c>
      <c r="I422" s="30" t="s">
        <v>823</v>
      </c>
    </row>
    <row r="423" spans="1:9">
      <c r="A423" s="22" t="s">
        <v>1139</v>
      </c>
      <c r="B423" s="30"/>
      <c r="C423" s="30"/>
      <c r="D423" s="30" t="s">
        <v>499</v>
      </c>
      <c r="E423" s="30" t="s">
        <v>822</v>
      </c>
      <c r="F423" s="30" t="s">
        <v>111</v>
      </c>
      <c r="G423" s="30" t="s">
        <v>865</v>
      </c>
      <c r="H423" s="30" t="s">
        <v>241</v>
      </c>
      <c r="I423" s="30" t="s">
        <v>232</v>
      </c>
    </row>
    <row r="424" spans="1:9">
      <c r="A424" s="28"/>
      <c r="B424" s="28"/>
      <c r="C424" s="28"/>
      <c r="D424" s="28"/>
      <c r="E424" s="29" t="s">
        <v>773</v>
      </c>
      <c r="F424" s="28"/>
      <c r="G424" s="28"/>
      <c r="H424" s="28"/>
      <c r="I424" s="28"/>
    </row>
    <row r="425" spans="1:9">
      <c r="A425" s="22" t="s">
        <v>1138</v>
      </c>
      <c r="B425" s="30"/>
      <c r="C425" s="30"/>
      <c r="D425" s="22" t="s">
        <v>394</v>
      </c>
      <c r="E425" s="30" t="s">
        <v>115</v>
      </c>
      <c r="F425" s="30" t="s">
        <v>111</v>
      </c>
      <c r="G425" s="30" t="s">
        <v>863</v>
      </c>
      <c r="H425" s="30" t="s">
        <v>241</v>
      </c>
      <c r="I425" s="30" t="s">
        <v>114</v>
      </c>
    </row>
    <row r="426" spans="1:9">
      <c r="A426" s="22" t="s">
        <v>1138</v>
      </c>
      <c r="B426" s="30"/>
      <c r="C426" s="30"/>
      <c r="D426" s="22" t="s">
        <v>395</v>
      </c>
      <c r="E426" s="30" t="s">
        <v>120</v>
      </c>
      <c r="F426" s="30" t="s">
        <v>111</v>
      </c>
      <c r="G426" s="30" t="s">
        <v>863</v>
      </c>
      <c r="H426" s="30" t="s">
        <v>241</v>
      </c>
      <c r="I426" s="30" t="s">
        <v>114</v>
      </c>
    </row>
    <row r="427" spans="1:9">
      <c r="A427" s="22" t="s">
        <v>1138</v>
      </c>
      <c r="B427" s="30"/>
      <c r="C427" s="30"/>
      <c r="D427" s="30" t="s">
        <v>396</v>
      </c>
      <c r="E427" s="30" t="s">
        <v>112</v>
      </c>
      <c r="F427" s="30" t="s">
        <v>111</v>
      </c>
      <c r="G427" s="30" t="s">
        <v>113</v>
      </c>
      <c r="H427" s="30" t="s">
        <v>241</v>
      </c>
      <c r="I427" s="30" t="s">
        <v>114</v>
      </c>
    </row>
    <row r="428" spans="1:9">
      <c r="A428" s="22" t="s">
        <v>1138</v>
      </c>
      <c r="C428" s="30"/>
      <c r="D428" s="30" t="s">
        <v>397</v>
      </c>
      <c r="E428" s="30" t="s">
        <v>115</v>
      </c>
      <c r="F428" s="30" t="s">
        <v>111</v>
      </c>
      <c r="G428" s="30" t="s">
        <v>863</v>
      </c>
      <c r="H428" s="30" t="s">
        <v>241</v>
      </c>
      <c r="I428" s="30" t="s">
        <v>204</v>
      </c>
    </row>
    <row r="429" spans="1:9">
      <c r="A429" s="22" t="s">
        <v>1138</v>
      </c>
      <c r="C429" s="30"/>
      <c r="D429" s="30" t="s">
        <v>398</v>
      </c>
      <c r="E429" s="30" t="s">
        <v>115</v>
      </c>
      <c r="F429" s="30" t="s">
        <v>111</v>
      </c>
      <c r="G429" s="30" t="s">
        <v>863</v>
      </c>
      <c r="H429" s="30" t="s">
        <v>241</v>
      </c>
      <c r="I429" s="30" t="s">
        <v>232</v>
      </c>
    </row>
    <row r="430" spans="1:9">
      <c r="A430" s="22" t="s">
        <v>1138</v>
      </c>
      <c r="B430" s="30"/>
      <c r="C430" s="30"/>
      <c r="D430" s="30" t="s">
        <v>399</v>
      </c>
      <c r="E430" s="30" t="s">
        <v>115</v>
      </c>
      <c r="F430" s="30" t="s">
        <v>111</v>
      </c>
      <c r="G430" s="30" t="s">
        <v>863</v>
      </c>
      <c r="H430" s="30" t="s">
        <v>241</v>
      </c>
      <c r="I430" s="30" t="s">
        <v>118</v>
      </c>
    </row>
    <row r="431" spans="1:9">
      <c r="A431" s="22" t="s">
        <v>1138</v>
      </c>
      <c r="B431" s="30"/>
      <c r="C431" s="30"/>
      <c r="D431" s="30" t="s">
        <v>400</v>
      </c>
      <c r="E431" s="30" t="s">
        <v>115</v>
      </c>
      <c r="F431" s="30" t="s">
        <v>111</v>
      </c>
      <c r="G431" s="30" t="s">
        <v>864</v>
      </c>
      <c r="H431" s="30" t="s">
        <v>241</v>
      </c>
      <c r="I431" s="30" t="s">
        <v>118</v>
      </c>
    </row>
    <row r="432" spans="1:9">
      <c r="A432" s="22" t="s">
        <v>1138</v>
      </c>
      <c r="C432" s="30"/>
      <c r="D432" s="30" t="s">
        <v>991</v>
      </c>
      <c r="E432" s="30" t="s">
        <v>112</v>
      </c>
      <c r="F432" s="30" t="s">
        <v>247</v>
      </c>
      <c r="G432" s="30"/>
      <c r="H432" s="30" t="s">
        <v>241</v>
      </c>
      <c r="I432" s="30" t="s">
        <v>118</v>
      </c>
    </row>
    <row r="433" spans="1:9">
      <c r="A433" s="22" t="s">
        <v>1138</v>
      </c>
      <c r="C433" s="30"/>
      <c r="D433" s="30" t="s">
        <v>992</v>
      </c>
      <c r="E433" s="30" t="s">
        <v>127</v>
      </c>
      <c r="F433" s="30" t="s">
        <v>247</v>
      </c>
      <c r="G433" s="30"/>
      <c r="H433" s="30" t="s">
        <v>241</v>
      </c>
      <c r="I433" s="30" t="s">
        <v>118</v>
      </c>
    </row>
    <row r="434" spans="1:9">
      <c r="A434" s="22" t="s">
        <v>1138</v>
      </c>
      <c r="B434" s="30"/>
      <c r="C434" s="30"/>
      <c r="D434" s="30" t="s">
        <v>993</v>
      </c>
      <c r="E434" s="30" t="s">
        <v>112</v>
      </c>
      <c r="F434" s="30" t="s">
        <v>123</v>
      </c>
      <c r="G434" s="30"/>
      <c r="H434" s="30" t="s">
        <v>241</v>
      </c>
      <c r="I434" s="30" t="s">
        <v>240</v>
      </c>
    </row>
    <row r="435" spans="1:9">
      <c r="A435" s="22" t="s">
        <v>1138</v>
      </c>
      <c r="B435" s="30"/>
      <c r="C435" s="30"/>
      <c r="D435" s="30" t="s">
        <v>994</v>
      </c>
      <c r="E435" s="30" t="s">
        <v>127</v>
      </c>
      <c r="F435" s="30" t="s">
        <v>123</v>
      </c>
      <c r="G435" s="30"/>
      <c r="H435" s="30" t="s">
        <v>241</v>
      </c>
      <c r="I435" s="30" t="s">
        <v>240</v>
      </c>
    </row>
    <row r="436" spans="1:9">
      <c r="A436" s="22" t="s">
        <v>1138</v>
      </c>
      <c r="B436" s="30"/>
      <c r="C436" s="30"/>
      <c r="D436" s="30" t="s">
        <v>401</v>
      </c>
      <c r="E436" s="30" t="s">
        <v>112</v>
      </c>
      <c r="F436" s="30" t="s">
        <v>866</v>
      </c>
      <c r="G436" s="30"/>
      <c r="H436" s="30" t="s">
        <v>241</v>
      </c>
      <c r="I436" s="30" t="s">
        <v>126</v>
      </c>
    </row>
    <row r="437" spans="1:9">
      <c r="A437" s="22" t="s">
        <v>1138</v>
      </c>
      <c r="B437" s="30"/>
      <c r="C437" s="30"/>
      <c r="D437" s="30" t="s">
        <v>402</v>
      </c>
      <c r="E437" s="30" t="s">
        <v>127</v>
      </c>
      <c r="F437" s="30" t="s">
        <v>866</v>
      </c>
      <c r="G437" s="30"/>
      <c r="H437" s="30" t="s">
        <v>241</v>
      </c>
      <c r="I437" s="30" t="s">
        <v>126</v>
      </c>
    </row>
    <row r="438" spans="1:9">
      <c r="A438" s="22" t="s">
        <v>1138</v>
      </c>
      <c r="B438" s="30"/>
      <c r="C438" s="30"/>
      <c r="D438" s="30" t="s">
        <v>995</v>
      </c>
      <c r="E438" s="30" t="s">
        <v>112</v>
      </c>
      <c r="F438" s="30" t="s">
        <v>866</v>
      </c>
      <c r="G438" s="30"/>
      <c r="H438" s="30" t="s">
        <v>241</v>
      </c>
      <c r="I438" s="30" t="s">
        <v>128</v>
      </c>
    </row>
    <row r="439" spans="1:9">
      <c r="A439" s="22" t="s">
        <v>1138</v>
      </c>
      <c r="B439" s="30"/>
      <c r="C439" s="30"/>
      <c r="D439" s="30" t="s">
        <v>996</v>
      </c>
      <c r="E439" s="30" t="s">
        <v>127</v>
      </c>
      <c r="F439" s="30" t="s">
        <v>866</v>
      </c>
      <c r="G439" s="30"/>
      <c r="H439" s="30" t="s">
        <v>241</v>
      </c>
      <c r="I439" s="30" t="s">
        <v>128</v>
      </c>
    </row>
    <row r="440" spans="1:9">
      <c r="A440" s="22" t="s">
        <v>1138</v>
      </c>
      <c r="B440" s="30"/>
      <c r="C440" s="30"/>
      <c r="D440" s="22" t="s">
        <v>403</v>
      </c>
      <c r="E440" s="30" t="s">
        <v>120</v>
      </c>
      <c r="F440" s="30" t="s">
        <v>111</v>
      </c>
      <c r="G440" s="30"/>
      <c r="H440" s="30" t="s">
        <v>241</v>
      </c>
      <c r="I440" s="30" t="s">
        <v>213</v>
      </c>
    </row>
    <row r="441" spans="1:9">
      <c r="A441" s="22" t="s">
        <v>1138</v>
      </c>
      <c r="B441" s="30"/>
      <c r="C441" s="30"/>
      <c r="D441" s="30" t="s">
        <v>658</v>
      </c>
      <c r="E441" s="30" t="s">
        <v>115</v>
      </c>
      <c r="F441" s="30" t="s">
        <v>178</v>
      </c>
      <c r="G441" s="30" t="s">
        <v>1191</v>
      </c>
      <c r="H441" s="30" t="s">
        <v>241</v>
      </c>
      <c r="I441" s="30" t="s">
        <v>114</v>
      </c>
    </row>
    <row r="442" spans="1:9">
      <c r="A442" s="22" t="s">
        <v>1138</v>
      </c>
      <c r="B442" s="30"/>
      <c r="C442" s="30"/>
      <c r="D442" s="30" t="s">
        <v>404</v>
      </c>
      <c r="E442" s="30" t="s">
        <v>115</v>
      </c>
      <c r="F442" s="30" t="s">
        <v>178</v>
      </c>
      <c r="G442" s="30" t="s">
        <v>1192</v>
      </c>
      <c r="H442" s="30" t="s">
        <v>241</v>
      </c>
      <c r="I442" s="30" t="s">
        <v>114</v>
      </c>
    </row>
    <row r="443" spans="1:9">
      <c r="A443" s="22" t="s">
        <v>1138</v>
      </c>
      <c r="B443" s="30"/>
      <c r="C443" s="30"/>
      <c r="D443" s="30" t="s">
        <v>1161</v>
      </c>
      <c r="E443" s="30" t="s">
        <v>112</v>
      </c>
      <c r="F443" s="30" t="s">
        <v>178</v>
      </c>
      <c r="G443" s="30" t="s">
        <v>571</v>
      </c>
      <c r="H443" s="30" t="s">
        <v>241</v>
      </c>
      <c r="I443" s="30" t="s">
        <v>572</v>
      </c>
    </row>
    <row r="444" spans="1:9">
      <c r="A444" s="22" t="s">
        <v>1138</v>
      </c>
      <c r="B444" s="30"/>
      <c r="C444" s="30"/>
      <c r="D444" s="30" t="s">
        <v>659</v>
      </c>
      <c r="E444" s="30" t="s">
        <v>115</v>
      </c>
      <c r="F444" s="30" t="s">
        <v>179</v>
      </c>
      <c r="G444" s="30" t="s">
        <v>1193</v>
      </c>
      <c r="H444" s="30" t="s">
        <v>241</v>
      </c>
      <c r="I444" s="30" t="s">
        <v>114</v>
      </c>
    </row>
    <row r="445" spans="1:9">
      <c r="A445" s="22" t="s">
        <v>1138</v>
      </c>
      <c r="B445" s="30"/>
      <c r="C445" s="30"/>
      <c r="D445" s="30" t="s">
        <v>405</v>
      </c>
      <c r="E445" s="30" t="s">
        <v>115</v>
      </c>
      <c r="F445" s="30" t="s">
        <v>179</v>
      </c>
      <c r="G445" s="30" t="s">
        <v>1194</v>
      </c>
      <c r="H445" s="30" t="s">
        <v>241</v>
      </c>
      <c r="I445" s="30" t="s">
        <v>114</v>
      </c>
    </row>
    <row r="446" spans="1:9">
      <c r="A446" s="22" t="s">
        <v>1138</v>
      </c>
      <c r="B446" s="30"/>
      <c r="C446" s="30"/>
      <c r="D446" s="30" t="s">
        <v>997</v>
      </c>
      <c r="E446" s="30" t="s">
        <v>112</v>
      </c>
      <c r="F446" s="30" t="s">
        <v>179</v>
      </c>
      <c r="G446" s="30" t="s">
        <v>571</v>
      </c>
      <c r="H446" s="30" t="s">
        <v>241</v>
      </c>
      <c r="I446" s="30" t="s">
        <v>572</v>
      </c>
    </row>
    <row r="447" spans="1:9">
      <c r="A447" s="22" t="s">
        <v>1138</v>
      </c>
      <c r="B447" s="30"/>
      <c r="C447" s="30"/>
      <c r="D447" s="30" t="s">
        <v>1162</v>
      </c>
      <c r="E447" s="30" t="s">
        <v>115</v>
      </c>
      <c r="F447" s="30" t="s">
        <v>169</v>
      </c>
      <c r="G447" s="30" t="s">
        <v>1195</v>
      </c>
      <c r="H447" s="30" t="s">
        <v>241</v>
      </c>
      <c r="I447" s="30" t="s">
        <v>114</v>
      </c>
    </row>
    <row r="448" spans="1:9">
      <c r="A448" s="22" t="s">
        <v>1138</v>
      </c>
      <c r="B448" s="30"/>
      <c r="C448" s="30"/>
      <c r="D448" s="30" t="s">
        <v>406</v>
      </c>
      <c r="E448" s="30" t="s">
        <v>115</v>
      </c>
      <c r="F448" s="30" t="s">
        <v>169</v>
      </c>
      <c r="G448" s="30" t="s">
        <v>1196</v>
      </c>
      <c r="H448" s="30" t="s">
        <v>241</v>
      </c>
      <c r="I448" s="30" t="s">
        <v>114</v>
      </c>
    </row>
    <row r="449" spans="1:9">
      <c r="A449" s="22" t="s">
        <v>1138</v>
      </c>
      <c r="B449" s="30"/>
      <c r="C449" s="30"/>
      <c r="D449" s="30" t="s">
        <v>998</v>
      </c>
      <c r="E449" s="30" t="s">
        <v>112</v>
      </c>
      <c r="F449" s="30" t="s">
        <v>169</v>
      </c>
      <c r="G449" s="30" t="s">
        <v>571</v>
      </c>
      <c r="H449" s="30" t="s">
        <v>241</v>
      </c>
      <c r="I449" s="30" t="s">
        <v>572</v>
      </c>
    </row>
    <row r="450" spans="1:9">
      <c r="A450" s="22" t="s">
        <v>1138</v>
      </c>
      <c r="B450" s="30"/>
      <c r="C450" s="30"/>
      <c r="D450" s="30" t="s">
        <v>660</v>
      </c>
      <c r="E450" s="30" t="s">
        <v>115</v>
      </c>
      <c r="F450" s="30" t="s">
        <v>180</v>
      </c>
      <c r="G450" s="30" t="s">
        <v>1202</v>
      </c>
      <c r="H450" s="30" t="s">
        <v>241</v>
      </c>
      <c r="I450" s="30" t="s">
        <v>114</v>
      </c>
    </row>
    <row r="451" spans="1:9">
      <c r="A451" s="22" t="s">
        <v>1138</v>
      </c>
      <c r="B451" s="30"/>
      <c r="C451" s="30"/>
      <c r="D451" s="30" t="s">
        <v>407</v>
      </c>
      <c r="E451" s="30" t="s">
        <v>115</v>
      </c>
      <c r="F451" s="30" t="s">
        <v>180</v>
      </c>
      <c r="G451" s="30" t="s">
        <v>1203</v>
      </c>
      <c r="H451" s="30" t="s">
        <v>241</v>
      </c>
      <c r="I451" s="30" t="s">
        <v>114</v>
      </c>
    </row>
    <row r="452" spans="1:9">
      <c r="A452" s="22" t="s">
        <v>1138</v>
      </c>
      <c r="B452" s="30"/>
      <c r="C452" s="30"/>
      <c r="D452" s="30" t="s">
        <v>999</v>
      </c>
      <c r="E452" s="30" t="s">
        <v>112</v>
      </c>
      <c r="F452" s="30" t="s">
        <v>180</v>
      </c>
      <c r="G452" s="30" t="s">
        <v>571</v>
      </c>
      <c r="H452" s="30" t="s">
        <v>241</v>
      </c>
      <c r="I452" s="30" t="s">
        <v>572</v>
      </c>
    </row>
    <row r="453" spans="1:9">
      <c r="A453" s="22" t="s">
        <v>1138</v>
      </c>
      <c r="B453" s="30"/>
      <c r="C453" s="30"/>
      <c r="D453" s="30" t="s">
        <v>661</v>
      </c>
      <c r="E453" s="30" t="s">
        <v>115</v>
      </c>
      <c r="F453" s="30" t="s">
        <v>181</v>
      </c>
      <c r="G453" s="30" t="s">
        <v>1197</v>
      </c>
      <c r="H453" s="30" t="s">
        <v>241</v>
      </c>
      <c r="I453" s="30" t="s">
        <v>114</v>
      </c>
    </row>
    <row r="454" spans="1:9">
      <c r="A454" s="22" t="s">
        <v>1138</v>
      </c>
      <c r="B454" s="30"/>
      <c r="C454" s="30"/>
      <c r="D454" s="30" t="s">
        <v>1000</v>
      </c>
      <c r="E454" s="30" t="s">
        <v>115</v>
      </c>
      <c r="F454" s="30" t="s">
        <v>181</v>
      </c>
      <c r="G454" s="30" t="s">
        <v>1198</v>
      </c>
      <c r="H454" s="30" t="s">
        <v>241</v>
      </c>
      <c r="I454" s="30" t="s">
        <v>114</v>
      </c>
    </row>
    <row r="455" spans="1:9">
      <c r="A455" s="22" t="s">
        <v>1138</v>
      </c>
      <c r="B455" s="30"/>
      <c r="C455" s="30"/>
      <c r="D455" s="30" t="s">
        <v>1001</v>
      </c>
      <c r="E455" s="30" t="s">
        <v>112</v>
      </c>
      <c r="F455" s="30" t="s">
        <v>181</v>
      </c>
      <c r="G455" s="30" t="s">
        <v>571</v>
      </c>
      <c r="H455" s="30" t="s">
        <v>241</v>
      </c>
      <c r="I455" s="30" t="s">
        <v>572</v>
      </c>
    </row>
    <row r="456" spans="1:9">
      <c r="A456" s="22" t="s">
        <v>1138</v>
      </c>
      <c r="B456" s="30"/>
      <c r="C456" s="30"/>
      <c r="D456" s="30" t="s">
        <v>662</v>
      </c>
      <c r="E456" s="30" t="s">
        <v>115</v>
      </c>
      <c r="F456" s="30" t="s">
        <v>182</v>
      </c>
      <c r="G456" s="30" t="s">
        <v>1199</v>
      </c>
      <c r="H456" s="30" t="s">
        <v>241</v>
      </c>
      <c r="I456" s="30" t="s">
        <v>114</v>
      </c>
    </row>
    <row r="457" spans="1:9">
      <c r="A457" s="22" t="s">
        <v>1138</v>
      </c>
      <c r="B457" s="30"/>
      <c r="C457" s="30"/>
      <c r="D457" s="30" t="s">
        <v>1002</v>
      </c>
      <c r="E457" s="30" t="s">
        <v>115</v>
      </c>
      <c r="F457" s="30" t="s">
        <v>182</v>
      </c>
      <c r="G457" s="30" t="s">
        <v>1200</v>
      </c>
      <c r="H457" s="30" t="s">
        <v>241</v>
      </c>
      <c r="I457" s="30" t="s">
        <v>114</v>
      </c>
    </row>
    <row r="458" spans="1:9">
      <c r="A458" s="22" t="s">
        <v>1138</v>
      </c>
      <c r="B458" s="30"/>
      <c r="C458" s="30"/>
      <c r="D458" s="30" t="s">
        <v>1003</v>
      </c>
      <c r="E458" s="30" t="s">
        <v>112</v>
      </c>
      <c r="F458" s="30" t="s">
        <v>182</v>
      </c>
      <c r="G458" s="30" t="s">
        <v>571</v>
      </c>
      <c r="H458" s="30" t="s">
        <v>241</v>
      </c>
      <c r="I458" s="30" t="s">
        <v>572</v>
      </c>
    </row>
    <row r="459" spans="1:9">
      <c r="A459" s="22" t="s">
        <v>1138</v>
      </c>
      <c r="B459" s="30"/>
      <c r="C459" s="30"/>
      <c r="D459" s="30" t="s">
        <v>663</v>
      </c>
      <c r="E459" s="30" t="s">
        <v>115</v>
      </c>
      <c r="F459" s="30" t="s">
        <v>183</v>
      </c>
      <c r="G459" s="30" t="s">
        <v>1204</v>
      </c>
      <c r="H459" s="30" t="s">
        <v>241</v>
      </c>
      <c r="I459" s="30" t="s">
        <v>114</v>
      </c>
    </row>
    <row r="460" spans="1:9">
      <c r="A460" s="22" t="s">
        <v>1138</v>
      </c>
      <c r="B460" s="30"/>
      <c r="C460" s="30"/>
      <c r="D460" s="30" t="s">
        <v>1004</v>
      </c>
      <c r="E460" s="30" t="s">
        <v>115</v>
      </c>
      <c r="F460" s="30" t="s">
        <v>183</v>
      </c>
      <c r="G460" s="30" t="s">
        <v>1205</v>
      </c>
      <c r="H460" s="30" t="s">
        <v>241</v>
      </c>
      <c r="I460" s="30" t="s">
        <v>114</v>
      </c>
    </row>
    <row r="461" spans="1:9">
      <c r="A461" s="22" t="s">
        <v>1138</v>
      </c>
      <c r="B461" s="30"/>
      <c r="C461" s="30"/>
      <c r="D461" s="30" t="s">
        <v>1005</v>
      </c>
      <c r="E461" s="30" t="s">
        <v>112</v>
      </c>
      <c r="F461" s="30" t="s">
        <v>183</v>
      </c>
      <c r="G461" s="30" t="s">
        <v>571</v>
      </c>
      <c r="H461" s="30" t="s">
        <v>241</v>
      </c>
      <c r="I461" s="30" t="s">
        <v>572</v>
      </c>
    </row>
    <row r="462" spans="1:9">
      <c r="A462" s="22" t="s">
        <v>1138</v>
      </c>
      <c r="B462" s="30"/>
      <c r="C462" s="30"/>
      <c r="D462" s="30" t="s">
        <v>664</v>
      </c>
      <c r="E462" s="30" t="s">
        <v>115</v>
      </c>
      <c r="F462" s="30" t="s">
        <v>184</v>
      </c>
      <c r="G462" s="30" t="s">
        <v>1189</v>
      </c>
      <c r="H462" s="30" t="s">
        <v>241</v>
      </c>
      <c r="I462" s="30" t="s">
        <v>114</v>
      </c>
    </row>
    <row r="463" spans="1:9">
      <c r="A463" s="22" t="s">
        <v>1138</v>
      </c>
      <c r="B463" s="30"/>
      <c r="C463" s="30"/>
      <c r="D463" s="30" t="s">
        <v>1006</v>
      </c>
      <c r="E463" s="30" t="s">
        <v>115</v>
      </c>
      <c r="F463" s="30" t="s">
        <v>184</v>
      </c>
      <c r="G463" s="30" t="s">
        <v>1190</v>
      </c>
      <c r="H463" s="30" t="s">
        <v>241</v>
      </c>
      <c r="I463" s="30" t="s">
        <v>114</v>
      </c>
    </row>
    <row r="464" spans="1:9">
      <c r="A464" s="22" t="s">
        <v>1138</v>
      </c>
      <c r="B464" s="30"/>
      <c r="C464" s="30"/>
      <c r="D464" s="30" t="s">
        <v>1163</v>
      </c>
      <c r="E464" s="30" t="s">
        <v>112</v>
      </c>
      <c r="F464" s="30" t="s">
        <v>184</v>
      </c>
      <c r="G464" s="30" t="s">
        <v>571</v>
      </c>
      <c r="H464" s="30" t="s">
        <v>241</v>
      </c>
      <c r="I464" s="30" t="s">
        <v>572</v>
      </c>
    </row>
    <row r="465" spans="1:9">
      <c r="A465" s="22" t="s">
        <v>1139</v>
      </c>
      <c r="B465" s="30"/>
      <c r="C465" s="30"/>
      <c r="D465" s="30" t="s">
        <v>826</v>
      </c>
      <c r="E465" s="30" t="s">
        <v>822</v>
      </c>
      <c r="F465" s="30" t="s">
        <v>111</v>
      </c>
      <c r="G465" s="30" t="s">
        <v>865</v>
      </c>
      <c r="H465" s="30" t="s">
        <v>241</v>
      </c>
      <c r="I465" s="30" t="s">
        <v>823</v>
      </c>
    </row>
    <row r="466" spans="1:9">
      <c r="A466" s="22" t="s">
        <v>1139</v>
      </c>
      <c r="B466" s="30"/>
      <c r="C466" s="30"/>
      <c r="D466" s="30" t="s">
        <v>827</v>
      </c>
      <c r="E466" s="30" t="s">
        <v>822</v>
      </c>
      <c r="F466" s="30" t="s">
        <v>111</v>
      </c>
      <c r="G466" s="30" t="s">
        <v>865</v>
      </c>
      <c r="H466" s="30" t="s">
        <v>241</v>
      </c>
      <c r="I466" s="30" t="s">
        <v>232</v>
      </c>
    </row>
    <row r="467" spans="1:9">
      <c r="A467" s="28"/>
      <c r="B467" s="28"/>
      <c r="C467" s="28"/>
      <c r="D467" s="28"/>
      <c r="E467" s="29" t="s">
        <v>772</v>
      </c>
      <c r="F467" s="28"/>
      <c r="G467" s="28"/>
      <c r="H467" s="28"/>
      <c r="I467" s="28"/>
    </row>
    <row r="468" spans="1:9">
      <c r="A468" s="22" t="s">
        <v>1138</v>
      </c>
      <c r="B468" s="30"/>
      <c r="C468" s="30"/>
      <c r="D468" s="22" t="s">
        <v>408</v>
      </c>
      <c r="E468" s="30" t="s">
        <v>115</v>
      </c>
      <c r="F468" s="30" t="s">
        <v>111</v>
      </c>
      <c r="G468" s="30" t="s">
        <v>863</v>
      </c>
      <c r="H468" s="30" t="s">
        <v>241</v>
      </c>
      <c r="I468" s="30" t="s">
        <v>114</v>
      </c>
    </row>
    <row r="469" spans="1:9">
      <c r="A469" s="22" t="s">
        <v>1138</v>
      </c>
      <c r="B469" s="30"/>
      <c r="C469" s="30"/>
      <c r="D469" s="22" t="s">
        <v>409</v>
      </c>
      <c r="E469" s="30" t="s">
        <v>120</v>
      </c>
      <c r="F469" s="30" t="s">
        <v>111</v>
      </c>
      <c r="G469" s="30" t="s">
        <v>863</v>
      </c>
      <c r="H469" s="30" t="s">
        <v>241</v>
      </c>
      <c r="I469" s="30" t="s">
        <v>114</v>
      </c>
    </row>
    <row r="470" spans="1:9">
      <c r="A470" s="22" t="s">
        <v>1138</v>
      </c>
      <c r="B470" s="30"/>
      <c r="C470" s="30"/>
      <c r="D470" s="30" t="s">
        <v>410</v>
      </c>
      <c r="E470" s="30" t="s">
        <v>112</v>
      </c>
      <c r="F470" s="30" t="s">
        <v>111</v>
      </c>
      <c r="G470" s="30" t="s">
        <v>113</v>
      </c>
      <c r="H470" s="30" t="s">
        <v>241</v>
      </c>
      <c r="I470" s="30" t="s">
        <v>114</v>
      </c>
    </row>
    <row r="471" spans="1:9">
      <c r="A471" s="22" t="s">
        <v>1138</v>
      </c>
      <c r="C471" s="30"/>
      <c r="D471" s="30" t="s">
        <v>411</v>
      </c>
      <c r="E471" s="30" t="s">
        <v>115</v>
      </c>
      <c r="F471" s="30" t="s">
        <v>111</v>
      </c>
      <c r="G471" s="30" t="s">
        <v>863</v>
      </c>
      <c r="H471" s="30" t="s">
        <v>241</v>
      </c>
      <c r="I471" s="30" t="s">
        <v>204</v>
      </c>
    </row>
    <row r="472" spans="1:9">
      <c r="A472" s="22" t="s">
        <v>1138</v>
      </c>
      <c r="C472" s="30"/>
      <c r="D472" s="30" t="s">
        <v>412</v>
      </c>
      <c r="E472" s="30" t="s">
        <v>115</v>
      </c>
      <c r="F472" s="30" t="s">
        <v>111</v>
      </c>
      <c r="G472" s="30" t="s">
        <v>863</v>
      </c>
      <c r="H472" s="30" t="s">
        <v>241</v>
      </c>
      <c r="I472" s="30" t="s">
        <v>232</v>
      </c>
    </row>
    <row r="473" spans="1:9">
      <c r="A473" s="22" t="s">
        <v>1138</v>
      </c>
      <c r="B473" s="30"/>
      <c r="C473" s="30"/>
      <c r="D473" s="30" t="s">
        <v>413</v>
      </c>
      <c r="E473" s="30" t="s">
        <v>115</v>
      </c>
      <c r="F473" s="30" t="s">
        <v>111</v>
      </c>
      <c r="G473" s="30" t="s">
        <v>863</v>
      </c>
      <c r="H473" s="30" t="s">
        <v>241</v>
      </c>
      <c r="I473" s="30" t="s">
        <v>118</v>
      </c>
    </row>
    <row r="474" spans="1:9">
      <c r="A474" s="22" t="s">
        <v>1138</v>
      </c>
      <c r="B474" s="30"/>
      <c r="C474" s="30"/>
      <c r="D474" s="30" t="s">
        <v>414</v>
      </c>
      <c r="E474" s="30" t="s">
        <v>115</v>
      </c>
      <c r="F474" s="30" t="s">
        <v>111</v>
      </c>
      <c r="G474" s="30" t="s">
        <v>864</v>
      </c>
      <c r="H474" s="30" t="s">
        <v>241</v>
      </c>
      <c r="I474" s="30" t="s">
        <v>118</v>
      </c>
    </row>
    <row r="475" spans="1:9">
      <c r="A475" s="22" t="s">
        <v>1138</v>
      </c>
      <c r="C475" s="30"/>
      <c r="D475" s="30" t="s">
        <v>1007</v>
      </c>
      <c r="E475" s="30" t="s">
        <v>112</v>
      </c>
      <c r="F475" s="30" t="s">
        <v>247</v>
      </c>
      <c r="G475" s="30"/>
      <c r="H475" s="30" t="s">
        <v>241</v>
      </c>
      <c r="I475" s="30" t="s">
        <v>118</v>
      </c>
    </row>
    <row r="476" spans="1:9">
      <c r="A476" s="22" t="s">
        <v>1138</v>
      </c>
      <c r="C476" s="30"/>
      <c r="D476" s="30" t="s">
        <v>1008</v>
      </c>
      <c r="E476" s="30" t="s">
        <v>127</v>
      </c>
      <c r="F476" s="30" t="s">
        <v>247</v>
      </c>
      <c r="G476" s="30"/>
      <c r="H476" s="30" t="s">
        <v>241</v>
      </c>
      <c r="I476" s="30" t="s">
        <v>118</v>
      </c>
    </row>
    <row r="477" spans="1:9">
      <c r="A477" s="22" t="s">
        <v>1138</v>
      </c>
      <c r="B477" s="30"/>
      <c r="C477" s="30"/>
      <c r="D477" s="30" t="s">
        <v>1009</v>
      </c>
      <c r="E477" s="30" t="s">
        <v>112</v>
      </c>
      <c r="F477" s="30" t="s">
        <v>123</v>
      </c>
      <c r="G477" s="30"/>
      <c r="H477" s="30" t="s">
        <v>241</v>
      </c>
      <c r="I477" s="30" t="s">
        <v>240</v>
      </c>
    </row>
    <row r="478" spans="1:9">
      <c r="A478" s="22" t="s">
        <v>1138</v>
      </c>
      <c r="B478" s="30"/>
      <c r="C478" s="30"/>
      <c r="D478" s="30" t="s">
        <v>1010</v>
      </c>
      <c r="E478" s="30" t="s">
        <v>127</v>
      </c>
      <c r="F478" s="30" t="s">
        <v>123</v>
      </c>
      <c r="G478" s="30"/>
      <c r="H478" s="30" t="s">
        <v>241</v>
      </c>
      <c r="I478" s="30" t="s">
        <v>240</v>
      </c>
    </row>
    <row r="479" spans="1:9">
      <c r="A479" s="22" t="s">
        <v>1138</v>
      </c>
      <c r="B479" s="30"/>
      <c r="C479" s="30"/>
      <c r="D479" s="30" t="s">
        <v>415</v>
      </c>
      <c r="E479" s="30" t="s">
        <v>112</v>
      </c>
      <c r="F479" s="30" t="s">
        <v>866</v>
      </c>
      <c r="G479" s="30"/>
      <c r="H479" s="30" t="s">
        <v>241</v>
      </c>
      <c r="I479" s="30" t="s">
        <v>126</v>
      </c>
    </row>
    <row r="480" spans="1:9">
      <c r="A480" s="22" t="s">
        <v>1138</v>
      </c>
      <c r="B480" s="30"/>
      <c r="C480" s="30"/>
      <c r="D480" s="30" t="s">
        <v>416</v>
      </c>
      <c r="E480" s="30" t="s">
        <v>127</v>
      </c>
      <c r="F480" s="30" t="s">
        <v>866</v>
      </c>
      <c r="G480" s="30"/>
      <c r="H480" s="30" t="s">
        <v>241</v>
      </c>
      <c r="I480" s="30" t="s">
        <v>126</v>
      </c>
    </row>
    <row r="481" spans="1:9">
      <c r="A481" s="22" t="s">
        <v>1138</v>
      </c>
      <c r="B481" s="30"/>
      <c r="C481" s="30"/>
      <c r="D481" s="30" t="s">
        <v>1011</v>
      </c>
      <c r="E481" s="30" t="s">
        <v>112</v>
      </c>
      <c r="F481" s="30" t="s">
        <v>866</v>
      </c>
      <c r="G481" s="30"/>
      <c r="H481" s="30" t="s">
        <v>241</v>
      </c>
      <c r="I481" s="30" t="s">
        <v>128</v>
      </c>
    </row>
    <row r="482" spans="1:9">
      <c r="A482" s="22" t="s">
        <v>1138</v>
      </c>
      <c r="B482" s="30"/>
      <c r="C482" s="30"/>
      <c r="D482" s="30" t="s">
        <v>1012</v>
      </c>
      <c r="E482" s="30" t="s">
        <v>127</v>
      </c>
      <c r="F482" s="30" t="s">
        <v>866</v>
      </c>
      <c r="G482" s="30"/>
      <c r="H482" s="30" t="s">
        <v>241</v>
      </c>
      <c r="I482" s="30" t="s">
        <v>128</v>
      </c>
    </row>
    <row r="483" spans="1:9">
      <c r="A483" s="22" t="s">
        <v>1138</v>
      </c>
      <c r="B483" s="30"/>
      <c r="C483" s="30"/>
      <c r="D483" s="22" t="s">
        <v>417</v>
      </c>
      <c r="E483" s="30" t="s">
        <v>120</v>
      </c>
      <c r="F483" s="30" t="s">
        <v>111</v>
      </c>
      <c r="G483" s="30"/>
      <c r="H483" s="30" t="s">
        <v>241</v>
      </c>
      <c r="I483" s="30" t="s">
        <v>213</v>
      </c>
    </row>
    <row r="484" spans="1:9">
      <c r="A484" s="22" t="s">
        <v>1138</v>
      </c>
      <c r="B484" s="30"/>
      <c r="C484" s="30"/>
      <c r="D484" s="30" t="s">
        <v>665</v>
      </c>
      <c r="E484" s="30" t="s">
        <v>115</v>
      </c>
      <c r="F484" s="30" t="s">
        <v>178</v>
      </c>
      <c r="G484" s="30" t="s">
        <v>1191</v>
      </c>
      <c r="H484" s="30" t="s">
        <v>241</v>
      </c>
      <c r="I484" s="30" t="s">
        <v>114</v>
      </c>
    </row>
    <row r="485" spans="1:9">
      <c r="A485" s="22" t="s">
        <v>1138</v>
      </c>
      <c r="B485" s="30"/>
      <c r="C485" s="30"/>
      <c r="D485" s="30" t="s">
        <v>418</v>
      </c>
      <c r="E485" s="30" t="s">
        <v>115</v>
      </c>
      <c r="F485" s="30" t="s">
        <v>178</v>
      </c>
      <c r="G485" s="30" t="s">
        <v>1192</v>
      </c>
      <c r="H485" s="30" t="s">
        <v>241</v>
      </c>
      <c r="I485" s="30" t="s">
        <v>114</v>
      </c>
    </row>
    <row r="486" spans="1:9">
      <c r="A486" s="22" t="s">
        <v>1138</v>
      </c>
      <c r="B486" s="30"/>
      <c r="C486" s="30"/>
      <c r="D486" s="30" t="s">
        <v>1164</v>
      </c>
      <c r="E486" s="30" t="s">
        <v>112</v>
      </c>
      <c r="F486" s="30" t="s">
        <v>178</v>
      </c>
      <c r="G486" s="30" t="s">
        <v>571</v>
      </c>
      <c r="H486" s="30" t="s">
        <v>241</v>
      </c>
      <c r="I486" s="30" t="s">
        <v>572</v>
      </c>
    </row>
    <row r="487" spans="1:9">
      <c r="A487" s="22" t="s">
        <v>1138</v>
      </c>
      <c r="B487" s="30"/>
      <c r="C487" s="30"/>
      <c r="D487" s="30" t="s">
        <v>666</v>
      </c>
      <c r="E487" s="30" t="s">
        <v>115</v>
      </c>
      <c r="F487" s="30" t="s">
        <v>179</v>
      </c>
      <c r="G487" s="30" t="s">
        <v>1193</v>
      </c>
      <c r="H487" s="30" t="s">
        <v>241</v>
      </c>
      <c r="I487" s="30" t="s">
        <v>114</v>
      </c>
    </row>
    <row r="488" spans="1:9">
      <c r="A488" s="22" t="s">
        <v>1138</v>
      </c>
      <c r="B488" s="30"/>
      <c r="C488" s="30"/>
      <c r="D488" s="30" t="s">
        <v>419</v>
      </c>
      <c r="E488" s="30" t="s">
        <v>115</v>
      </c>
      <c r="F488" s="30" t="s">
        <v>179</v>
      </c>
      <c r="G488" s="30" t="s">
        <v>1194</v>
      </c>
      <c r="H488" s="30" t="s">
        <v>241</v>
      </c>
      <c r="I488" s="30" t="s">
        <v>114</v>
      </c>
    </row>
    <row r="489" spans="1:9">
      <c r="A489" s="22" t="s">
        <v>1138</v>
      </c>
      <c r="B489" s="30"/>
      <c r="C489" s="30"/>
      <c r="D489" s="30" t="s">
        <v>1013</v>
      </c>
      <c r="E489" s="30" t="s">
        <v>112</v>
      </c>
      <c r="F489" s="30" t="s">
        <v>179</v>
      </c>
      <c r="G489" s="30" t="s">
        <v>571</v>
      </c>
      <c r="H489" s="30" t="s">
        <v>241</v>
      </c>
      <c r="I489" s="30" t="s">
        <v>572</v>
      </c>
    </row>
    <row r="490" spans="1:9">
      <c r="A490" s="22" t="s">
        <v>1138</v>
      </c>
      <c r="B490" s="30"/>
      <c r="C490" s="30"/>
      <c r="D490" s="30" t="s">
        <v>1165</v>
      </c>
      <c r="E490" s="30" t="s">
        <v>115</v>
      </c>
      <c r="F490" s="30" t="s">
        <v>169</v>
      </c>
      <c r="G490" s="30" t="s">
        <v>1195</v>
      </c>
      <c r="H490" s="30" t="s">
        <v>241</v>
      </c>
      <c r="I490" s="30" t="s">
        <v>114</v>
      </c>
    </row>
    <row r="491" spans="1:9">
      <c r="A491" s="22" t="s">
        <v>1138</v>
      </c>
      <c r="B491" s="30"/>
      <c r="C491" s="30"/>
      <c r="D491" s="30" t="s">
        <v>420</v>
      </c>
      <c r="E491" s="30" t="s">
        <v>115</v>
      </c>
      <c r="F491" s="30" t="s">
        <v>169</v>
      </c>
      <c r="G491" s="30" t="s">
        <v>1196</v>
      </c>
      <c r="H491" s="30" t="s">
        <v>241</v>
      </c>
      <c r="I491" s="30" t="s">
        <v>114</v>
      </c>
    </row>
    <row r="492" spans="1:9">
      <c r="A492" s="22" t="s">
        <v>1138</v>
      </c>
      <c r="B492" s="30"/>
      <c r="C492" s="30"/>
      <c r="D492" s="30" t="s">
        <v>1014</v>
      </c>
      <c r="E492" s="30" t="s">
        <v>112</v>
      </c>
      <c r="F492" s="30" t="s">
        <v>169</v>
      </c>
      <c r="G492" s="30" t="s">
        <v>571</v>
      </c>
      <c r="H492" s="30" t="s">
        <v>241</v>
      </c>
      <c r="I492" s="30" t="s">
        <v>572</v>
      </c>
    </row>
    <row r="493" spans="1:9">
      <c r="A493" s="22" t="s">
        <v>1138</v>
      </c>
      <c r="B493" s="30"/>
      <c r="C493" s="30"/>
      <c r="D493" s="30" t="s">
        <v>667</v>
      </c>
      <c r="E493" s="30" t="s">
        <v>115</v>
      </c>
      <c r="F493" s="30" t="s">
        <v>180</v>
      </c>
      <c r="G493" s="30" t="s">
        <v>1202</v>
      </c>
      <c r="H493" s="30" t="s">
        <v>241</v>
      </c>
      <c r="I493" s="30" t="s">
        <v>114</v>
      </c>
    </row>
    <row r="494" spans="1:9">
      <c r="A494" s="22" t="s">
        <v>1138</v>
      </c>
      <c r="B494" s="30"/>
      <c r="C494" s="30"/>
      <c r="D494" s="30" t="s">
        <v>421</v>
      </c>
      <c r="E494" s="30" t="s">
        <v>115</v>
      </c>
      <c r="F494" s="30" t="s">
        <v>180</v>
      </c>
      <c r="G494" s="30" t="s">
        <v>1203</v>
      </c>
      <c r="H494" s="30" t="s">
        <v>241</v>
      </c>
      <c r="I494" s="30" t="s">
        <v>114</v>
      </c>
    </row>
    <row r="495" spans="1:9">
      <c r="A495" s="22" t="s">
        <v>1138</v>
      </c>
      <c r="B495" s="30"/>
      <c r="C495" s="30"/>
      <c r="D495" s="30" t="s">
        <v>1015</v>
      </c>
      <c r="E495" s="30" t="s">
        <v>112</v>
      </c>
      <c r="F495" s="30" t="s">
        <v>180</v>
      </c>
      <c r="G495" s="30" t="s">
        <v>571</v>
      </c>
      <c r="H495" s="30" t="s">
        <v>241</v>
      </c>
      <c r="I495" s="30" t="s">
        <v>572</v>
      </c>
    </row>
    <row r="496" spans="1:9">
      <c r="A496" s="22" t="s">
        <v>1138</v>
      </c>
      <c r="B496" s="30"/>
      <c r="C496" s="30"/>
      <c r="D496" s="30" t="s">
        <v>668</v>
      </c>
      <c r="E496" s="30" t="s">
        <v>115</v>
      </c>
      <c r="F496" s="30" t="s">
        <v>181</v>
      </c>
      <c r="G496" s="30" t="s">
        <v>1197</v>
      </c>
      <c r="H496" s="30" t="s">
        <v>241</v>
      </c>
      <c r="I496" s="30" t="s">
        <v>114</v>
      </c>
    </row>
    <row r="497" spans="1:9">
      <c r="A497" s="22" t="s">
        <v>1138</v>
      </c>
      <c r="B497" s="30"/>
      <c r="C497" s="30"/>
      <c r="D497" s="30" t="s">
        <v>1016</v>
      </c>
      <c r="E497" s="30" t="s">
        <v>115</v>
      </c>
      <c r="F497" s="30" t="s">
        <v>181</v>
      </c>
      <c r="G497" s="30" t="s">
        <v>1198</v>
      </c>
      <c r="H497" s="30" t="s">
        <v>241</v>
      </c>
      <c r="I497" s="30" t="s">
        <v>114</v>
      </c>
    </row>
    <row r="498" spans="1:9">
      <c r="A498" s="22" t="s">
        <v>1138</v>
      </c>
      <c r="B498" s="30"/>
      <c r="C498" s="30"/>
      <c r="D498" s="30" t="s">
        <v>1017</v>
      </c>
      <c r="E498" s="30" t="s">
        <v>112</v>
      </c>
      <c r="F498" s="30" t="s">
        <v>181</v>
      </c>
      <c r="G498" s="30" t="s">
        <v>571</v>
      </c>
      <c r="H498" s="30" t="s">
        <v>241</v>
      </c>
      <c r="I498" s="30" t="s">
        <v>572</v>
      </c>
    </row>
    <row r="499" spans="1:9">
      <c r="A499" s="22" t="s">
        <v>1138</v>
      </c>
      <c r="B499" s="30"/>
      <c r="C499" s="30"/>
      <c r="D499" s="30" t="s">
        <v>669</v>
      </c>
      <c r="E499" s="30" t="s">
        <v>115</v>
      </c>
      <c r="F499" s="30" t="s">
        <v>182</v>
      </c>
      <c r="G499" s="30" t="s">
        <v>1199</v>
      </c>
      <c r="H499" s="30" t="s">
        <v>241</v>
      </c>
      <c r="I499" s="30" t="s">
        <v>114</v>
      </c>
    </row>
    <row r="500" spans="1:9">
      <c r="A500" s="22" t="s">
        <v>1138</v>
      </c>
      <c r="B500" s="30"/>
      <c r="C500" s="30"/>
      <c r="D500" s="30" t="s">
        <v>1018</v>
      </c>
      <c r="E500" s="30" t="s">
        <v>115</v>
      </c>
      <c r="F500" s="30" t="s">
        <v>182</v>
      </c>
      <c r="G500" s="30" t="s">
        <v>1200</v>
      </c>
      <c r="H500" s="30" t="s">
        <v>241</v>
      </c>
      <c r="I500" s="30" t="s">
        <v>114</v>
      </c>
    </row>
    <row r="501" spans="1:9">
      <c r="A501" s="22" t="s">
        <v>1138</v>
      </c>
      <c r="B501" s="30"/>
      <c r="C501" s="30"/>
      <c r="D501" s="30" t="s">
        <v>1019</v>
      </c>
      <c r="E501" s="30" t="s">
        <v>112</v>
      </c>
      <c r="F501" s="30" t="s">
        <v>182</v>
      </c>
      <c r="G501" s="30" t="s">
        <v>571</v>
      </c>
      <c r="H501" s="30" t="s">
        <v>241</v>
      </c>
      <c r="I501" s="30" t="s">
        <v>572</v>
      </c>
    </row>
    <row r="502" spans="1:9">
      <c r="A502" s="22" t="s">
        <v>1138</v>
      </c>
      <c r="B502" s="30"/>
      <c r="C502" s="30"/>
      <c r="D502" s="30" t="s">
        <v>670</v>
      </c>
      <c r="E502" s="30" t="s">
        <v>115</v>
      </c>
      <c r="F502" s="30" t="s">
        <v>183</v>
      </c>
      <c r="G502" s="30" t="s">
        <v>1204</v>
      </c>
      <c r="H502" s="30" t="s">
        <v>241</v>
      </c>
      <c r="I502" s="30" t="s">
        <v>114</v>
      </c>
    </row>
    <row r="503" spans="1:9">
      <c r="A503" s="22" t="s">
        <v>1138</v>
      </c>
      <c r="B503" s="30"/>
      <c r="C503" s="30"/>
      <c r="D503" s="30" t="s">
        <v>1020</v>
      </c>
      <c r="E503" s="30" t="s">
        <v>115</v>
      </c>
      <c r="F503" s="30" t="s">
        <v>183</v>
      </c>
      <c r="G503" s="30" t="s">
        <v>1205</v>
      </c>
      <c r="H503" s="30" t="s">
        <v>241</v>
      </c>
      <c r="I503" s="30" t="s">
        <v>114</v>
      </c>
    </row>
    <row r="504" spans="1:9">
      <c r="A504" s="22" t="s">
        <v>1138</v>
      </c>
      <c r="B504" s="30"/>
      <c r="C504" s="30"/>
      <c r="D504" s="30" t="s">
        <v>1021</v>
      </c>
      <c r="E504" s="30" t="s">
        <v>112</v>
      </c>
      <c r="F504" s="30" t="s">
        <v>183</v>
      </c>
      <c r="G504" s="30" t="s">
        <v>571</v>
      </c>
      <c r="H504" s="30" t="s">
        <v>241</v>
      </c>
      <c r="I504" s="30" t="s">
        <v>572</v>
      </c>
    </row>
    <row r="505" spans="1:9">
      <c r="A505" s="22" t="s">
        <v>1138</v>
      </c>
      <c r="B505" s="30"/>
      <c r="C505" s="30"/>
      <c r="D505" s="30" t="s">
        <v>671</v>
      </c>
      <c r="E505" s="30" t="s">
        <v>115</v>
      </c>
      <c r="F505" s="30" t="s">
        <v>184</v>
      </c>
      <c r="G505" s="30" t="s">
        <v>1189</v>
      </c>
      <c r="H505" s="30" t="s">
        <v>241</v>
      </c>
      <c r="I505" s="30" t="s">
        <v>114</v>
      </c>
    </row>
    <row r="506" spans="1:9">
      <c r="A506" s="22" t="s">
        <v>1138</v>
      </c>
      <c r="B506" s="30"/>
      <c r="C506" s="30"/>
      <c r="D506" s="30" t="s">
        <v>1022</v>
      </c>
      <c r="E506" s="30" t="s">
        <v>115</v>
      </c>
      <c r="F506" s="30" t="s">
        <v>184</v>
      </c>
      <c r="G506" s="30" t="s">
        <v>1190</v>
      </c>
      <c r="H506" s="30" t="s">
        <v>241</v>
      </c>
      <c r="I506" s="30" t="s">
        <v>114</v>
      </c>
    </row>
    <row r="507" spans="1:9">
      <c r="A507" s="22" t="s">
        <v>1138</v>
      </c>
      <c r="B507" s="30"/>
      <c r="C507" s="30"/>
      <c r="D507" s="30" t="s">
        <v>1166</v>
      </c>
      <c r="E507" s="30" t="s">
        <v>112</v>
      </c>
      <c r="F507" s="30" t="s">
        <v>184</v>
      </c>
      <c r="G507" s="30" t="s">
        <v>571</v>
      </c>
      <c r="H507" s="30" t="s">
        <v>241</v>
      </c>
      <c r="I507" s="30" t="s">
        <v>572</v>
      </c>
    </row>
    <row r="508" spans="1:9">
      <c r="A508" s="22" t="s">
        <v>1139</v>
      </c>
      <c r="B508" s="30"/>
      <c r="C508" s="30"/>
      <c r="D508" s="30" t="s">
        <v>828</v>
      </c>
      <c r="E508" s="30" t="s">
        <v>822</v>
      </c>
      <c r="F508" s="30" t="s">
        <v>111</v>
      </c>
      <c r="G508" s="30" t="s">
        <v>865</v>
      </c>
      <c r="H508" s="30" t="s">
        <v>241</v>
      </c>
      <c r="I508" s="30" t="s">
        <v>823</v>
      </c>
    </row>
    <row r="509" spans="1:9">
      <c r="A509" s="22" t="s">
        <v>1139</v>
      </c>
      <c r="B509" s="30"/>
      <c r="C509" s="30"/>
      <c r="D509" s="30" t="s">
        <v>829</v>
      </c>
      <c r="E509" s="30" t="s">
        <v>822</v>
      </c>
      <c r="F509" s="30" t="s">
        <v>111</v>
      </c>
      <c r="G509" s="30" t="s">
        <v>865</v>
      </c>
      <c r="H509" s="30" t="s">
        <v>241</v>
      </c>
      <c r="I509" s="30" t="s">
        <v>232</v>
      </c>
    </row>
    <row r="510" spans="1:9">
      <c r="A510" s="28"/>
      <c r="B510" s="28"/>
      <c r="C510" s="28"/>
      <c r="D510" s="28"/>
      <c r="E510" s="29" t="s">
        <v>771</v>
      </c>
      <c r="F510" s="28"/>
      <c r="G510" s="28"/>
      <c r="H510" s="28"/>
      <c r="I510" s="28"/>
    </row>
    <row r="511" spans="1:9">
      <c r="A511" s="22" t="s">
        <v>1138</v>
      </c>
      <c r="B511" s="30"/>
      <c r="C511" s="30"/>
      <c r="D511" s="22" t="s">
        <v>448</v>
      </c>
      <c r="E511" s="30" t="s">
        <v>115</v>
      </c>
      <c r="F511" s="30" t="s">
        <v>111</v>
      </c>
      <c r="G511" s="30" t="s">
        <v>863</v>
      </c>
      <c r="H511" s="30" t="s">
        <v>241</v>
      </c>
      <c r="I511" s="30" t="s">
        <v>114</v>
      </c>
    </row>
    <row r="512" spans="1:9">
      <c r="A512" s="22" t="s">
        <v>1138</v>
      </c>
      <c r="B512" s="30"/>
      <c r="C512" s="30"/>
      <c r="D512" s="22" t="s">
        <v>449</v>
      </c>
      <c r="E512" s="30" t="s">
        <v>120</v>
      </c>
      <c r="F512" s="30" t="s">
        <v>111</v>
      </c>
      <c r="G512" s="30" t="s">
        <v>863</v>
      </c>
      <c r="H512" s="30" t="s">
        <v>241</v>
      </c>
      <c r="I512" s="30" t="s">
        <v>114</v>
      </c>
    </row>
    <row r="513" spans="1:9">
      <c r="A513" s="22" t="s">
        <v>1138</v>
      </c>
      <c r="B513" s="30"/>
      <c r="C513" s="30"/>
      <c r="D513" s="30" t="s">
        <v>450</v>
      </c>
      <c r="E513" s="30" t="s">
        <v>112</v>
      </c>
      <c r="F513" s="30" t="s">
        <v>111</v>
      </c>
      <c r="G513" s="30" t="s">
        <v>113</v>
      </c>
      <c r="H513" s="30" t="s">
        <v>241</v>
      </c>
      <c r="I513" s="30" t="s">
        <v>114</v>
      </c>
    </row>
    <row r="514" spans="1:9">
      <c r="A514" s="22" t="s">
        <v>1138</v>
      </c>
      <c r="C514" s="30"/>
      <c r="D514" s="30" t="s">
        <v>451</v>
      </c>
      <c r="E514" s="30" t="s">
        <v>115</v>
      </c>
      <c r="F514" s="30" t="s">
        <v>111</v>
      </c>
      <c r="G514" s="30" t="s">
        <v>863</v>
      </c>
      <c r="H514" s="30" t="s">
        <v>241</v>
      </c>
      <c r="I514" s="30" t="s">
        <v>204</v>
      </c>
    </row>
    <row r="515" spans="1:9">
      <c r="A515" s="22" t="s">
        <v>1138</v>
      </c>
      <c r="C515" s="30"/>
      <c r="D515" s="30" t="s">
        <v>452</v>
      </c>
      <c r="E515" s="30" t="s">
        <v>115</v>
      </c>
      <c r="F515" s="30" t="s">
        <v>111</v>
      </c>
      <c r="G515" s="30" t="s">
        <v>863</v>
      </c>
      <c r="H515" s="30" t="s">
        <v>241</v>
      </c>
      <c r="I515" s="30" t="s">
        <v>232</v>
      </c>
    </row>
    <row r="516" spans="1:9">
      <c r="A516" s="22" t="s">
        <v>1138</v>
      </c>
      <c r="B516" s="30"/>
      <c r="C516" s="30"/>
      <c r="D516" s="30" t="s">
        <v>453</v>
      </c>
      <c r="E516" s="30" t="s">
        <v>115</v>
      </c>
      <c r="F516" s="30" t="s">
        <v>111</v>
      </c>
      <c r="G516" s="30" t="s">
        <v>863</v>
      </c>
      <c r="H516" s="30" t="s">
        <v>241</v>
      </c>
      <c r="I516" s="30" t="s">
        <v>118</v>
      </c>
    </row>
    <row r="517" spans="1:9">
      <c r="A517" s="22" t="s">
        <v>1138</v>
      </c>
      <c r="B517" s="30"/>
      <c r="C517" s="30"/>
      <c r="D517" s="30" t="s">
        <v>454</v>
      </c>
      <c r="E517" s="30" t="s">
        <v>115</v>
      </c>
      <c r="F517" s="30" t="s">
        <v>111</v>
      </c>
      <c r="G517" s="30" t="s">
        <v>864</v>
      </c>
      <c r="H517" s="30" t="s">
        <v>241</v>
      </c>
      <c r="I517" s="30" t="s">
        <v>118</v>
      </c>
    </row>
    <row r="518" spans="1:9">
      <c r="A518" s="22" t="s">
        <v>1138</v>
      </c>
      <c r="C518" s="30"/>
      <c r="D518" s="30" t="s">
        <v>1023</v>
      </c>
      <c r="E518" s="30" t="s">
        <v>112</v>
      </c>
      <c r="F518" s="30" t="s">
        <v>247</v>
      </c>
      <c r="G518" s="30"/>
      <c r="H518" s="30" t="s">
        <v>241</v>
      </c>
      <c r="I518" s="30" t="s">
        <v>118</v>
      </c>
    </row>
    <row r="519" spans="1:9">
      <c r="A519" s="22" t="s">
        <v>1138</v>
      </c>
      <c r="C519" s="30"/>
      <c r="D519" s="30" t="s">
        <v>1024</v>
      </c>
      <c r="E519" s="30" t="s">
        <v>127</v>
      </c>
      <c r="F519" s="30" t="s">
        <v>247</v>
      </c>
      <c r="G519" s="30"/>
      <c r="H519" s="30" t="s">
        <v>241</v>
      </c>
      <c r="I519" s="30" t="s">
        <v>118</v>
      </c>
    </row>
    <row r="520" spans="1:9">
      <c r="A520" s="22" t="s">
        <v>1138</v>
      </c>
      <c r="B520" s="30"/>
      <c r="C520" s="30"/>
      <c r="D520" s="30" t="s">
        <v>1025</v>
      </c>
      <c r="E520" s="30" t="s">
        <v>112</v>
      </c>
      <c r="F520" s="30" t="s">
        <v>123</v>
      </c>
      <c r="G520" s="30"/>
      <c r="H520" s="30" t="s">
        <v>241</v>
      </c>
      <c r="I520" s="30" t="s">
        <v>240</v>
      </c>
    </row>
    <row r="521" spans="1:9">
      <c r="A521" s="22" t="s">
        <v>1138</v>
      </c>
      <c r="B521" s="30"/>
      <c r="C521" s="30"/>
      <c r="D521" s="30" t="s">
        <v>1026</v>
      </c>
      <c r="E521" s="30" t="s">
        <v>127</v>
      </c>
      <c r="F521" s="30" t="s">
        <v>123</v>
      </c>
      <c r="G521" s="30"/>
      <c r="H521" s="30" t="s">
        <v>241</v>
      </c>
      <c r="I521" s="30" t="s">
        <v>240</v>
      </c>
    </row>
    <row r="522" spans="1:9">
      <c r="A522" s="22" t="s">
        <v>1138</v>
      </c>
      <c r="B522" s="30"/>
      <c r="C522" s="30"/>
      <c r="D522" s="30" t="s">
        <v>455</v>
      </c>
      <c r="E522" s="30" t="s">
        <v>112</v>
      </c>
      <c r="F522" s="30" t="s">
        <v>866</v>
      </c>
      <c r="G522" s="30"/>
      <c r="H522" s="30" t="s">
        <v>241</v>
      </c>
      <c r="I522" s="30" t="s">
        <v>126</v>
      </c>
    </row>
    <row r="523" spans="1:9">
      <c r="A523" s="22" t="s">
        <v>1138</v>
      </c>
      <c r="B523" s="30"/>
      <c r="C523" s="30"/>
      <c r="D523" s="30" t="s">
        <v>456</v>
      </c>
      <c r="E523" s="30" t="s">
        <v>127</v>
      </c>
      <c r="F523" s="30" t="s">
        <v>866</v>
      </c>
      <c r="G523" s="30"/>
      <c r="H523" s="30" t="s">
        <v>241</v>
      </c>
      <c r="I523" s="30" t="s">
        <v>126</v>
      </c>
    </row>
    <row r="524" spans="1:9">
      <c r="A524" s="22" t="s">
        <v>1138</v>
      </c>
      <c r="B524" s="30"/>
      <c r="C524" s="30"/>
      <c r="D524" s="30" t="s">
        <v>1027</v>
      </c>
      <c r="E524" s="30" t="s">
        <v>112</v>
      </c>
      <c r="F524" s="30" t="s">
        <v>866</v>
      </c>
      <c r="G524" s="30"/>
      <c r="H524" s="30" t="s">
        <v>241</v>
      </c>
      <c r="I524" s="30" t="s">
        <v>128</v>
      </c>
    </row>
    <row r="525" spans="1:9">
      <c r="A525" s="22" t="s">
        <v>1138</v>
      </c>
      <c r="B525" s="30"/>
      <c r="C525" s="30"/>
      <c r="D525" s="30" t="s">
        <v>1028</v>
      </c>
      <c r="E525" s="30" t="s">
        <v>127</v>
      </c>
      <c r="F525" s="30" t="s">
        <v>866</v>
      </c>
      <c r="G525" s="30"/>
      <c r="H525" s="30" t="s">
        <v>241</v>
      </c>
      <c r="I525" s="30" t="s">
        <v>128</v>
      </c>
    </row>
    <row r="526" spans="1:9">
      <c r="A526" s="22" t="s">
        <v>1138</v>
      </c>
      <c r="B526" s="30"/>
      <c r="C526" s="30"/>
      <c r="D526" s="22" t="s">
        <v>458</v>
      </c>
      <c r="E526" s="30" t="s">
        <v>120</v>
      </c>
      <c r="F526" s="30" t="s">
        <v>111</v>
      </c>
      <c r="G526" s="30"/>
      <c r="H526" s="30" t="s">
        <v>241</v>
      </c>
      <c r="I526" s="30" t="s">
        <v>213</v>
      </c>
    </row>
    <row r="527" spans="1:9">
      <c r="A527" s="22" t="s">
        <v>1138</v>
      </c>
      <c r="B527" s="30"/>
      <c r="C527" s="30"/>
      <c r="D527" s="30" t="s">
        <v>672</v>
      </c>
      <c r="E527" s="30" t="s">
        <v>115</v>
      </c>
      <c r="F527" s="30" t="s">
        <v>178</v>
      </c>
      <c r="G527" s="30" t="s">
        <v>1191</v>
      </c>
      <c r="H527" s="30" t="s">
        <v>241</v>
      </c>
      <c r="I527" s="30" t="s">
        <v>114</v>
      </c>
    </row>
    <row r="528" spans="1:9">
      <c r="A528" s="22" t="s">
        <v>1138</v>
      </c>
      <c r="B528" s="30"/>
      <c r="C528" s="30"/>
      <c r="D528" s="30" t="s">
        <v>459</v>
      </c>
      <c r="E528" s="30" t="s">
        <v>115</v>
      </c>
      <c r="F528" s="30" t="s">
        <v>178</v>
      </c>
      <c r="G528" s="30" t="s">
        <v>1192</v>
      </c>
      <c r="H528" s="30" t="s">
        <v>241</v>
      </c>
      <c r="I528" s="30" t="s">
        <v>114</v>
      </c>
    </row>
    <row r="529" spans="1:9">
      <c r="A529" s="22" t="s">
        <v>1138</v>
      </c>
      <c r="B529" s="30"/>
      <c r="C529" s="30"/>
      <c r="D529" s="30" t="s">
        <v>1167</v>
      </c>
      <c r="E529" s="30" t="s">
        <v>112</v>
      </c>
      <c r="F529" s="30" t="s">
        <v>178</v>
      </c>
      <c r="G529" s="30" t="s">
        <v>571</v>
      </c>
      <c r="H529" s="30" t="s">
        <v>241</v>
      </c>
      <c r="I529" s="30" t="s">
        <v>572</v>
      </c>
    </row>
    <row r="530" spans="1:9">
      <c r="A530" s="22" t="s">
        <v>1138</v>
      </c>
      <c r="B530" s="30"/>
      <c r="C530" s="30"/>
      <c r="D530" s="30" t="s">
        <v>673</v>
      </c>
      <c r="E530" s="30" t="s">
        <v>115</v>
      </c>
      <c r="F530" s="30" t="s">
        <v>179</v>
      </c>
      <c r="G530" s="30" t="s">
        <v>1193</v>
      </c>
      <c r="H530" s="30" t="s">
        <v>241</v>
      </c>
      <c r="I530" s="30" t="s">
        <v>114</v>
      </c>
    </row>
    <row r="531" spans="1:9">
      <c r="A531" s="22" t="s">
        <v>1138</v>
      </c>
      <c r="B531" s="30"/>
      <c r="C531" s="30"/>
      <c r="D531" s="30" t="s">
        <v>460</v>
      </c>
      <c r="E531" s="30" t="s">
        <v>115</v>
      </c>
      <c r="F531" s="30" t="s">
        <v>179</v>
      </c>
      <c r="G531" s="30" t="s">
        <v>1194</v>
      </c>
      <c r="H531" s="30" t="s">
        <v>241</v>
      </c>
      <c r="I531" s="30" t="s">
        <v>114</v>
      </c>
    </row>
    <row r="532" spans="1:9">
      <c r="A532" s="22" t="s">
        <v>1138</v>
      </c>
      <c r="B532" s="30"/>
      <c r="C532" s="30"/>
      <c r="D532" s="30" t="s">
        <v>1029</v>
      </c>
      <c r="E532" s="30" t="s">
        <v>112</v>
      </c>
      <c r="F532" s="30" t="s">
        <v>179</v>
      </c>
      <c r="G532" s="30" t="s">
        <v>571</v>
      </c>
      <c r="H532" s="30" t="s">
        <v>241</v>
      </c>
      <c r="I532" s="30" t="s">
        <v>572</v>
      </c>
    </row>
    <row r="533" spans="1:9">
      <c r="A533" s="22" t="s">
        <v>1138</v>
      </c>
      <c r="B533" s="30"/>
      <c r="C533" s="30"/>
      <c r="D533" s="30" t="s">
        <v>1168</v>
      </c>
      <c r="E533" s="30" t="s">
        <v>115</v>
      </c>
      <c r="F533" s="30" t="s">
        <v>169</v>
      </c>
      <c r="G533" s="30" t="s">
        <v>1195</v>
      </c>
      <c r="H533" s="30" t="s">
        <v>241</v>
      </c>
      <c r="I533" s="30" t="s">
        <v>114</v>
      </c>
    </row>
    <row r="534" spans="1:9">
      <c r="A534" s="22" t="s">
        <v>1138</v>
      </c>
      <c r="B534" s="30"/>
      <c r="C534" s="30"/>
      <c r="D534" s="30" t="s">
        <v>461</v>
      </c>
      <c r="E534" s="30" t="s">
        <v>115</v>
      </c>
      <c r="F534" s="30" t="s">
        <v>169</v>
      </c>
      <c r="G534" s="30" t="s">
        <v>1196</v>
      </c>
      <c r="H534" s="30" t="s">
        <v>241</v>
      </c>
      <c r="I534" s="30" t="s">
        <v>114</v>
      </c>
    </row>
    <row r="535" spans="1:9">
      <c r="A535" s="22" t="s">
        <v>1138</v>
      </c>
      <c r="B535" s="30"/>
      <c r="C535" s="30"/>
      <c r="D535" s="30" t="s">
        <v>1030</v>
      </c>
      <c r="E535" s="30" t="s">
        <v>112</v>
      </c>
      <c r="F535" s="30" t="s">
        <v>169</v>
      </c>
      <c r="G535" s="30" t="s">
        <v>571</v>
      </c>
      <c r="H535" s="30" t="s">
        <v>241</v>
      </c>
      <c r="I535" s="30" t="s">
        <v>572</v>
      </c>
    </row>
    <row r="536" spans="1:9">
      <c r="A536" s="22" t="s">
        <v>1138</v>
      </c>
      <c r="B536" s="30"/>
      <c r="C536" s="30"/>
      <c r="D536" s="30" t="s">
        <v>674</v>
      </c>
      <c r="E536" s="30" t="s">
        <v>115</v>
      </c>
      <c r="F536" s="30" t="s">
        <v>180</v>
      </c>
      <c r="G536" s="30" t="s">
        <v>1202</v>
      </c>
      <c r="H536" s="30" t="s">
        <v>241</v>
      </c>
      <c r="I536" s="30" t="s">
        <v>114</v>
      </c>
    </row>
    <row r="537" spans="1:9">
      <c r="A537" s="22" t="s">
        <v>1138</v>
      </c>
      <c r="B537" s="30"/>
      <c r="C537" s="30"/>
      <c r="D537" s="30" t="s">
        <v>462</v>
      </c>
      <c r="E537" s="30" t="s">
        <v>115</v>
      </c>
      <c r="F537" s="30" t="s">
        <v>180</v>
      </c>
      <c r="G537" s="30" t="s">
        <v>1203</v>
      </c>
      <c r="H537" s="30" t="s">
        <v>241</v>
      </c>
      <c r="I537" s="30" t="s">
        <v>114</v>
      </c>
    </row>
    <row r="538" spans="1:9">
      <c r="A538" s="22" t="s">
        <v>1138</v>
      </c>
      <c r="B538" s="30"/>
      <c r="C538" s="30"/>
      <c r="D538" s="30" t="s">
        <v>1031</v>
      </c>
      <c r="E538" s="30" t="s">
        <v>112</v>
      </c>
      <c r="F538" s="30" t="s">
        <v>180</v>
      </c>
      <c r="G538" s="30" t="s">
        <v>571</v>
      </c>
      <c r="H538" s="30" t="s">
        <v>241</v>
      </c>
      <c r="I538" s="30" t="s">
        <v>572</v>
      </c>
    </row>
    <row r="539" spans="1:9">
      <c r="A539" s="22" t="s">
        <v>1138</v>
      </c>
      <c r="B539" s="30"/>
      <c r="C539" s="30"/>
      <c r="D539" s="30" t="s">
        <v>675</v>
      </c>
      <c r="E539" s="30" t="s">
        <v>115</v>
      </c>
      <c r="F539" s="30" t="s">
        <v>181</v>
      </c>
      <c r="G539" s="30" t="s">
        <v>1197</v>
      </c>
      <c r="H539" s="30" t="s">
        <v>241</v>
      </c>
      <c r="I539" s="30" t="s">
        <v>114</v>
      </c>
    </row>
    <row r="540" spans="1:9">
      <c r="A540" s="22" t="s">
        <v>1138</v>
      </c>
      <c r="B540" s="30"/>
      <c r="C540" s="30"/>
      <c r="D540" s="30" t="s">
        <v>1032</v>
      </c>
      <c r="E540" s="30" t="s">
        <v>115</v>
      </c>
      <c r="F540" s="30" t="s">
        <v>181</v>
      </c>
      <c r="G540" s="30" t="s">
        <v>1198</v>
      </c>
      <c r="H540" s="30" t="s">
        <v>241</v>
      </c>
      <c r="I540" s="30" t="s">
        <v>114</v>
      </c>
    </row>
    <row r="541" spans="1:9">
      <c r="A541" s="22" t="s">
        <v>1138</v>
      </c>
      <c r="B541" s="30"/>
      <c r="C541" s="30"/>
      <c r="D541" s="30" t="s">
        <v>1033</v>
      </c>
      <c r="E541" s="30" t="s">
        <v>112</v>
      </c>
      <c r="F541" s="30" t="s">
        <v>181</v>
      </c>
      <c r="G541" s="30" t="s">
        <v>571</v>
      </c>
      <c r="H541" s="30" t="s">
        <v>241</v>
      </c>
      <c r="I541" s="30" t="s">
        <v>572</v>
      </c>
    </row>
    <row r="542" spans="1:9">
      <c r="A542" s="22" t="s">
        <v>1138</v>
      </c>
      <c r="B542" s="30"/>
      <c r="C542" s="30"/>
      <c r="D542" s="30" t="s">
        <v>676</v>
      </c>
      <c r="E542" s="30" t="s">
        <v>115</v>
      </c>
      <c r="F542" s="30" t="s">
        <v>182</v>
      </c>
      <c r="G542" s="30" t="s">
        <v>1199</v>
      </c>
      <c r="H542" s="30" t="s">
        <v>241</v>
      </c>
      <c r="I542" s="30" t="s">
        <v>114</v>
      </c>
    </row>
    <row r="543" spans="1:9">
      <c r="A543" s="22" t="s">
        <v>1138</v>
      </c>
      <c r="B543" s="30"/>
      <c r="C543" s="30"/>
      <c r="D543" s="30" t="s">
        <v>1034</v>
      </c>
      <c r="E543" s="30" t="s">
        <v>115</v>
      </c>
      <c r="F543" s="30" t="s">
        <v>182</v>
      </c>
      <c r="G543" s="30" t="s">
        <v>1200</v>
      </c>
      <c r="H543" s="30" t="s">
        <v>241</v>
      </c>
      <c r="I543" s="30" t="s">
        <v>114</v>
      </c>
    </row>
    <row r="544" spans="1:9">
      <c r="A544" s="22" t="s">
        <v>1138</v>
      </c>
      <c r="B544" s="30"/>
      <c r="C544" s="30"/>
      <c r="D544" s="30" t="s">
        <v>1035</v>
      </c>
      <c r="E544" s="30" t="s">
        <v>112</v>
      </c>
      <c r="F544" s="30" t="s">
        <v>182</v>
      </c>
      <c r="G544" s="30" t="s">
        <v>571</v>
      </c>
      <c r="H544" s="30" t="s">
        <v>241</v>
      </c>
      <c r="I544" s="30" t="s">
        <v>572</v>
      </c>
    </row>
    <row r="545" spans="1:9">
      <c r="A545" s="22" t="s">
        <v>1138</v>
      </c>
      <c r="B545" s="30"/>
      <c r="C545" s="30"/>
      <c r="D545" s="30" t="s">
        <v>677</v>
      </c>
      <c r="E545" s="30" t="s">
        <v>115</v>
      </c>
      <c r="F545" s="30" t="s">
        <v>183</v>
      </c>
      <c r="G545" s="30" t="s">
        <v>1204</v>
      </c>
      <c r="H545" s="30" t="s">
        <v>241</v>
      </c>
      <c r="I545" s="30" t="s">
        <v>114</v>
      </c>
    </row>
    <row r="546" spans="1:9">
      <c r="A546" s="22" t="s">
        <v>1138</v>
      </c>
      <c r="B546" s="30"/>
      <c r="C546" s="30"/>
      <c r="D546" s="30" t="s">
        <v>1036</v>
      </c>
      <c r="E546" s="30" t="s">
        <v>115</v>
      </c>
      <c r="F546" s="30" t="s">
        <v>183</v>
      </c>
      <c r="G546" s="30" t="s">
        <v>1205</v>
      </c>
      <c r="H546" s="30" t="s">
        <v>241</v>
      </c>
      <c r="I546" s="30" t="s">
        <v>114</v>
      </c>
    </row>
    <row r="547" spans="1:9">
      <c r="A547" s="22" t="s">
        <v>1138</v>
      </c>
      <c r="B547" s="30"/>
      <c r="C547" s="30"/>
      <c r="D547" s="30" t="s">
        <v>1037</v>
      </c>
      <c r="E547" s="30" t="s">
        <v>112</v>
      </c>
      <c r="F547" s="30" t="s">
        <v>183</v>
      </c>
      <c r="G547" s="30" t="s">
        <v>571</v>
      </c>
      <c r="H547" s="30" t="s">
        <v>241</v>
      </c>
      <c r="I547" s="30" t="s">
        <v>572</v>
      </c>
    </row>
    <row r="548" spans="1:9">
      <c r="A548" s="22" t="s">
        <v>1138</v>
      </c>
      <c r="B548" s="30"/>
      <c r="C548" s="30"/>
      <c r="D548" s="30" t="s">
        <v>678</v>
      </c>
      <c r="E548" s="30" t="s">
        <v>115</v>
      </c>
      <c r="F548" s="30" t="s">
        <v>184</v>
      </c>
      <c r="G548" s="30" t="s">
        <v>1189</v>
      </c>
      <c r="H548" s="30" t="s">
        <v>241</v>
      </c>
      <c r="I548" s="30" t="s">
        <v>114</v>
      </c>
    </row>
    <row r="549" spans="1:9">
      <c r="A549" s="22" t="s">
        <v>1138</v>
      </c>
      <c r="B549" s="30"/>
      <c r="C549" s="30"/>
      <c r="D549" s="30" t="s">
        <v>1038</v>
      </c>
      <c r="E549" s="30" t="s">
        <v>115</v>
      </c>
      <c r="F549" s="30" t="s">
        <v>184</v>
      </c>
      <c r="G549" s="30" t="s">
        <v>1190</v>
      </c>
      <c r="H549" s="30" t="s">
        <v>241</v>
      </c>
      <c r="I549" s="30" t="s">
        <v>114</v>
      </c>
    </row>
    <row r="550" spans="1:9">
      <c r="A550" s="22" t="s">
        <v>1138</v>
      </c>
      <c r="B550" s="30"/>
      <c r="C550" s="30"/>
      <c r="D550" s="30" t="s">
        <v>1169</v>
      </c>
      <c r="E550" s="30" t="s">
        <v>112</v>
      </c>
      <c r="F550" s="30" t="s">
        <v>184</v>
      </c>
      <c r="G550" s="30" t="s">
        <v>571</v>
      </c>
      <c r="H550" s="30" t="s">
        <v>241</v>
      </c>
      <c r="I550" s="30" t="s">
        <v>572</v>
      </c>
    </row>
    <row r="551" spans="1:9">
      <c r="A551" s="22" t="s">
        <v>1139</v>
      </c>
      <c r="B551" s="30"/>
      <c r="C551" s="30"/>
      <c r="D551" s="30" t="s">
        <v>830</v>
      </c>
      <c r="E551" s="30" t="s">
        <v>822</v>
      </c>
      <c r="F551" s="30" t="s">
        <v>111</v>
      </c>
      <c r="G551" s="30" t="s">
        <v>865</v>
      </c>
      <c r="H551" s="30" t="s">
        <v>241</v>
      </c>
      <c r="I551" s="30" t="s">
        <v>823</v>
      </c>
    </row>
    <row r="552" spans="1:9">
      <c r="A552" s="22" t="s">
        <v>1139</v>
      </c>
      <c r="B552" s="30"/>
      <c r="C552" s="30"/>
      <c r="D552" s="30" t="s">
        <v>831</v>
      </c>
      <c r="E552" s="30" t="s">
        <v>822</v>
      </c>
      <c r="F552" s="30" t="s">
        <v>111</v>
      </c>
      <c r="G552" s="30" t="s">
        <v>865</v>
      </c>
      <c r="H552" s="30" t="s">
        <v>241</v>
      </c>
      <c r="I552" s="30" t="s">
        <v>232</v>
      </c>
    </row>
    <row r="553" spans="1:9">
      <c r="A553" s="28"/>
      <c r="B553" s="28"/>
      <c r="C553" s="28"/>
      <c r="D553" s="28"/>
      <c r="E553" s="29" t="s">
        <v>770</v>
      </c>
      <c r="F553" s="28"/>
      <c r="G553" s="28"/>
      <c r="H553" s="28"/>
      <c r="I553" s="28"/>
    </row>
    <row r="554" spans="1:9">
      <c r="A554" s="22" t="s">
        <v>1138</v>
      </c>
      <c r="B554" s="30"/>
      <c r="C554" s="30"/>
      <c r="D554" s="22" t="s">
        <v>463</v>
      </c>
      <c r="E554" s="30" t="s">
        <v>115</v>
      </c>
      <c r="F554" s="30" t="s">
        <v>111</v>
      </c>
      <c r="G554" s="30" t="s">
        <v>863</v>
      </c>
      <c r="H554" s="30" t="s">
        <v>241</v>
      </c>
      <c r="I554" s="30" t="s">
        <v>114</v>
      </c>
    </row>
    <row r="555" spans="1:9">
      <c r="A555" s="22" t="s">
        <v>1138</v>
      </c>
      <c r="B555" s="30"/>
      <c r="C555" s="30"/>
      <c r="D555" s="22" t="s">
        <v>464</v>
      </c>
      <c r="E555" s="30" t="s">
        <v>120</v>
      </c>
      <c r="F555" s="30" t="s">
        <v>111</v>
      </c>
      <c r="G555" s="30" t="s">
        <v>863</v>
      </c>
      <c r="H555" s="30" t="s">
        <v>241</v>
      </c>
      <c r="I555" s="30" t="s">
        <v>114</v>
      </c>
    </row>
    <row r="556" spans="1:9">
      <c r="A556" s="22" t="s">
        <v>1138</v>
      </c>
      <c r="B556" s="30"/>
      <c r="C556" s="30"/>
      <c r="D556" s="30" t="s">
        <v>465</v>
      </c>
      <c r="E556" s="30" t="s">
        <v>112</v>
      </c>
      <c r="F556" s="30" t="s">
        <v>111</v>
      </c>
      <c r="G556" s="30" t="s">
        <v>113</v>
      </c>
      <c r="H556" s="30" t="s">
        <v>241</v>
      </c>
      <c r="I556" s="30" t="s">
        <v>114</v>
      </c>
    </row>
    <row r="557" spans="1:9">
      <c r="A557" s="22" t="s">
        <v>1138</v>
      </c>
      <c r="C557" s="30"/>
      <c r="D557" s="30" t="s">
        <v>466</v>
      </c>
      <c r="E557" s="30" t="s">
        <v>115</v>
      </c>
      <c r="F557" s="30" t="s">
        <v>111</v>
      </c>
      <c r="G557" s="30" t="s">
        <v>863</v>
      </c>
      <c r="H557" s="30" t="s">
        <v>241</v>
      </c>
      <c r="I557" s="30" t="s">
        <v>204</v>
      </c>
    </row>
    <row r="558" spans="1:9">
      <c r="A558" s="22" t="s">
        <v>1138</v>
      </c>
      <c r="C558" s="30"/>
      <c r="D558" s="30" t="s">
        <v>467</v>
      </c>
      <c r="E558" s="30" t="s">
        <v>115</v>
      </c>
      <c r="F558" s="30" t="s">
        <v>111</v>
      </c>
      <c r="G558" s="30" t="s">
        <v>863</v>
      </c>
      <c r="H558" s="30" t="s">
        <v>241</v>
      </c>
      <c r="I558" s="30" t="s">
        <v>232</v>
      </c>
    </row>
    <row r="559" spans="1:9">
      <c r="A559" s="22" t="s">
        <v>1138</v>
      </c>
      <c r="B559" s="30"/>
      <c r="C559" s="30"/>
      <c r="D559" s="30" t="s">
        <v>468</v>
      </c>
      <c r="E559" s="30" t="s">
        <v>115</v>
      </c>
      <c r="F559" s="30" t="s">
        <v>111</v>
      </c>
      <c r="G559" s="30" t="s">
        <v>863</v>
      </c>
      <c r="H559" s="30" t="s">
        <v>241</v>
      </c>
      <c r="I559" s="30" t="s">
        <v>118</v>
      </c>
    </row>
    <row r="560" spans="1:9">
      <c r="A560" s="22" t="s">
        <v>1138</v>
      </c>
      <c r="B560" s="30"/>
      <c r="C560" s="30"/>
      <c r="D560" s="30" t="s">
        <v>469</v>
      </c>
      <c r="E560" s="30" t="s">
        <v>115</v>
      </c>
      <c r="F560" s="30" t="s">
        <v>111</v>
      </c>
      <c r="G560" s="30" t="s">
        <v>864</v>
      </c>
      <c r="H560" s="30" t="s">
        <v>241</v>
      </c>
      <c r="I560" s="30" t="s">
        <v>118</v>
      </c>
    </row>
    <row r="561" spans="1:9">
      <c r="A561" s="22" t="s">
        <v>1138</v>
      </c>
      <c r="C561" s="30"/>
      <c r="D561" s="30" t="s">
        <v>1039</v>
      </c>
      <c r="E561" s="30" t="s">
        <v>112</v>
      </c>
      <c r="F561" s="30" t="s">
        <v>247</v>
      </c>
      <c r="G561" s="30"/>
      <c r="H561" s="30" t="s">
        <v>241</v>
      </c>
      <c r="I561" s="30" t="s">
        <v>118</v>
      </c>
    </row>
    <row r="562" spans="1:9">
      <c r="A562" s="22" t="s">
        <v>1138</v>
      </c>
      <c r="C562" s="30"/>
      <c r="D562" s="30" t="s">
        <v>1040</v>
      </c>
      <c r="E562" s="30" t="s">
        <v>127</v>
      </c>
      <c r="F562" s="30" t="s">
        <v>247</v>
      </c>
      <c r="G562" s="30"/>
      <c r="H562" s="30" t="s">
        <v>241</v>
      </c>
      <c r="I562" s="30" t="s">
        <v>118</v>
      </c>
    </row>
    <row r="563" spans="1:9">
      <c r="A563" s="22" t="s">
        <v>1138</v>
      </c>
      <c r="B563" s="30"/>
      <c r="C563" s="30"/>
      <c r="D563" s="30" t="s">
        <v>1041</v>
      </c>
      <c r="E563" s="30" t="s">
        <v>112</v>
      </c>
      <c r="F563" s="30" t="s">
        <v>123</v>
      </c>
      <c r="G563" s="30"/>
      <c r="H563" s="30" t="s">
        <v>241</v>
      </c>
      <c r="I563" s="30" t="s">
        <v>240</v>
      </c>
    </row>
    <row r="564" spans="1:9">
      <c r="A564" s="22" t="s">
        <v>1138</v>
      </c>
      <c r="B564" s="30"/>
      <c r="C564" s="30"/>
      <c r="D564" s="30" t="s">
        <v>1042</v>
      </c>
      <c r="E564" s="30" t="s">
        <v>127</v>
      </c>
      <c r="F564" s="30" t="s">
        <v>123</v>
      </c>
      <c r="G564" s="30"/>
      <c r="H564" s="30" t="s">
        <v>241</v>
      </c>
      <c r="I564" s="30" t="s">
        <v>240</v>
      </c>
    </row>
    <row r="565" spans="1:9">
      <c r="A565" s="22" t="s">
        <v>1138</v>
      </c>
      <c r="B565" s="30"/>
      <c r="C565" s="30"/>
      <c r="D565" s="30" t="s">
        <v>470</v>
      </c>
      <c r="E565" s="30" t="s">
        <v>112</v>
      </c>
      <c r="F565" s="30" t="s">
        <v>866</v>
      </c>
      <c r="G565" s="30"/>
      <c r="H565" s="30" t="s">
        <v>241</v>
      </c>
      <c r="I565" s="30" t="s">
        <v>126</v>
      </c>
    </row>
    <row r="566" spans="1:9">
      <c r="A566" s="22" t="s">
        <v>1138</v>
      </c>
      <c r="B566" s="30"/>
      <c r="C566" s="30"/>
      <c r="D566" s="30" t="s">
        <v>471</v>
      </c>
      <c r="E566" s="30" t="s">
        <v>127</v>
      </c>
      <c r="F566" s="30" t="s">
        <v>866</v>
      </c>
      <c r="G566" s="30"/>
      <c r="H566" s="30" t="s">
        <v>241</v>
      </c>
      <c r="I566" s="30" t="s">
        <v>126</v>
      </c>
    </row>
    <row r="567" spans="1:9">
      <c r="A567" s="22" t="s">
        <v>1138</v>
      </c>
      <c r="B567" s="30"/>
      <c r="C567" s="30"/>
      <c r="D567" s="30" t="s">
        <v>1043</v>
      </c>
      <c r="E567" s="30" t="s">
        <v>112</v>
      </c>
      <c r="F567" s="30" t="s">
        <v>866</v>
      </c>
      <c r="G567" s="30"/>
      <c r="H567" s="30" t="s">
        <v>241</v>
      </c>
      <c r="I567" s="30" t="s">
        <v>128</v>
      </c>
    </row>
    <row r="568" spans="1:9">
      <c r="A568" s="22" t="s">
        <v>1138</v>
      </c>
      <c r="B568" s="30"/>
      <c r="C568" s="30"/>
      <c r="D568" s="30" t="s">
        <v>1044</v>
      </c>
      <c r="E568" s="30" t="s">
        <v>127</v>
      </c>
      <c r="F568" s="30" t="s">
        <v>866</v>
      </c>
      <c r="G568" s="30"/>
      <c r="H568" s="30" t="s">
        <v>241</v>
      </c>
      <c r="I568" s="30" t="s">
        <v>128</v>
      </c>
    </row>
    <row r="569" spans="1:9">
      <c r="A569" s="22" t="s">
        <v>1138</v>
      </c>
      <c r="B569" s="30"/>
      <c r="C569" s="30"/>
      <c r="D569" s="22" t="s">
        <v>472</v>
      </c>
      <c r="E569" s="30" t="s">
        <v>120</v>
      </c>
      <c r="F569" s="30" t="s">
        <v>111</v>
      </c>
      <c r="G569" s="30"/>
      <c r="H569" s="30" t="s">
        <v>241</v>
      </c>
      <c r="I569" s="30" t="s">
        <v>213</v>
      </c>
    </row>
    <row r="570" spans="1:9">
      <c r="A570" s="22" t="s">
        <v>1138</v>
      </c>
      <c r="B570" s="30"/>
      <c r="C570" s="30"/>
      <c r="D570" s="30" t="s">
        <v>679</v>
      </c>
      <c r="E570" s="30" t="s">
        <v>115</v>
      </c>
      <c r="F570" s="30" t="s">
        <v>178</v>
      </c>
      <c r="G570" s="30" t="s">
        <v>1191</v>
      </c>
      <c r="H570" s="30" t="s">
        <v>241</v>
      </c>
      <c r="I570" s="30" t="s">
        <v>114</v>
      </c>
    </row>
    <row r="571" spans="1:9">
      <c r="A571" s="22" t="s">
        <v>1138</v>
      </c>
      <c r="B571" s="30"/>
      <c r="C571" s="30"/>
      <c r="D571" s="30" t="s">
        <v>473</v>
      </c>
      <c r="E571" s="30" t="s">
        <v>115</v>
      </c>
      <c r="F571" s="30" t="s">
        <v>178</v>
      </c>
      <c r="G571" s="30" t="s">
        <v>1192</v>
      </c>
      <c r="H571" s="30" t="s">
        <v>241</v>
      </c>
      <c r="I571" s="30" t="s">
        <v>114</v>
      </c>
    </row>
    <row r="572" spans="1:9">
      <c r="A572" s="22" t="s">
        <v>1138</v>
      </c>
      <c r="B572" s="30"/>
      <c r="C572" s="30"/>
      <c r="D572" s="30" t="s">
        <v>1170</v>
      </c>
      <c r="E572" s="30" t="s">
        <v>112</v>
      </c>
      <c r="F572" s="30" t="s">
        <v>178</v>
      </c>
      <c r="G572" s="30" t="s">
        <v>571</v>
      </c>
      <c r="H572" s="30" t="s">
        <v>241</v>
      </c>
      <c r="I572" s="30" t="s">
        <v>572</v>
      </c>
    </row>
    <row r="573" spans="1:9">
      <c r="A573" s="22" t="s">
        <v>1138</v>
      </c>
      <c r="B573" s="30"/>
      <c r="C573" s="30"/>
      <c r="D573" s="30" t="s">
        <v>680</v>
      </c>
      <c r="E573" s="30" t="s">
        <v>115</v>
      </c>
      <c r="F573" s="30" t="s">
        <v>179</v>
      </c>
      <c r="G573" s="30" t="s">
        <v>1193</v>
      </c>
      <c r="H573" s="30" t="s">
        <v>241</v>
      </c>
      <c r="I573" s="30" t="s">
        <v>114</v>
      </c>
    </row>
    <row r="574" spans="1:9">
      <c r="A574" s="22" t="s">
        <v>1138</v>
      </c>
      <c r="B574" s="30"/>
      <c r="C574" s="30"/>
      <c r="D574" s="30" t="s">
        <v>474</v>
      </c>
      <c r="E574" s="30" t="s">
        <v>115</v>
      </c>
      <c r="F574" s="30" t="s">
        <v>179</v>
      </c>
      <c r="G574" s="30" t="s">
        <v>1194</v>
      </c>
      <c r="H574" s="30" t="s">
        <v>241</v>
      </c>
      <c r="I574" s="30" t="s">
        <v>114</v>
      </c>
    </row>
    <row r="575" spans="1:9">
      <c r="A575" s="22" t="s">
        <v>1138</v>
      </c>
      <c r="B575" s="30"/>
      <c r="C575" s="30"/>
      <c r="D575" s="30" t="s">
        <v>1045</v>
      </c>
      <c r="E575" s="30" t="s">
        <v>112</v>
      </c>
      <c r="F575" s="30" t="s">
        <v>179</v>
      </c>
      <c r="G575" s="30" t="s">
        <v>571</v>
      </c>
      <c r="H575" s="30" t="s">
        <v>241</v>
      </c>
      <c r="I575" s="30" t="s">
        <v>572</v>
      </c>
    </row>
    <row r="576" spans="1:9">
      <c r="A576" s="22" t="s">
        <v>1138</v>
      </c>
      <c r="B576" s="30"/>
      <c r="C576" s="30"/>
      <c r="D576" s="30" t="s">
        <v>1171</v>
      </c>
      <c r="E576" s="30" t="s">
        <v>115</v>
      </c>
      <c r="F576" s="30" t="s">
        <v>169</v>
      </c>
      <c r="G576" s="30" t="s">
        <v>1195</v>
      </c>
      <c r="H576" s="30" t="s">
        <v>241</v>
      </c>
      <c r="I576" s="30" t="s">
        <v>114</v>
      </c>
    </row>
    <row r="577" spans="1:9">
      <c r="A577" s="22" t="s">
        <v>1138</v>
      </c>
      <c r="B577" s="30"/>
      <c r="C577" s="30"/>
      <c r="D577" s="30" t="s">
        <v>475</v>
      </c>
      <c r="E577" s="30" t="s">
        <v>115</v>
      </c>
      <c r="F577" s="30" t="s">
        <v>169</v>
      </c>
      <c r="G577" s="30" t="s">
        <v>1196</v>
      </c>
      <c r="H577" s="30" t="s">
        <v>241</v>
      </c>
      <c r="I577" s="30" t="s">
        <v>114</v>
      </c>
    </row>
    <row r="578" spans="1:9">
      <c r="A578" s="22" t="s">
        <v>1138</v>
      </c>
      <c r="B578" s="30"/>
      <c r="C578" s="30"/>
      <c r="D578" s="30" t="s">
        <v>1046</v>
      </c>
      <c r="E578" s="30" t="s">
        <v>112</v>
      </c>
      <c r="F578" s="30" t="s">
        <v>169</v>
      </c>
      <c r="G578" s="30" t="s">
        <v>571</v>
      </c>
      <c r="H578" s="30" t="s">
        <v>241</v>
      </c>
      <c r="I578" s="30" t="s">
        <v>572</v>
      </c>
    </row>
    <row r="579" spans="1:9">
      <c r="A579" s="22" t="s">
        <v>1138</v>
      </c>
      <c r="B579" s="30"/>
      <c r="C579" s="30"/>
      <c r="D579" s="30" t="s">
        <v>681</v>
      </c>
      <c r="E579" s="30" t="s">
        <v>115</v>
      </c>
      <c r="F579" s="30" t="s">
        <v>180</v>
      </c>
      <c r="G579" s="30" t="s">
        <v>1202</v>
      </c>
      <c r="H579" s="30" t="s">
        <v>241</v>
      </c>
      <c r="I579" s="30" t="s">
        <v>114</v>
      </c>
    </row>
    <row r="580" spans="1:9">
      <c r="A580" s="22" t="s">
        <v>1138</v>
      </c>
      <c r="B580" s="30"/>
      <c r="C580" s="30"/>
      <c r="D580" s="30" t="s">
        <v>476</v>
      </c>
      <c r="E580" s="30" t="s">
        <v>115</v>
      </c>
      <c r="F580" s="30" t="s">
        <v>180</v>
      </c>
      <c r="G580" s="30" t="s">
        <v>1203</v>
      </c>
      <c r="H580" s="30" t="s">
        <v>241</v>
      </c>
      <c r="I580" s="30" t="s">
        <v>114</v>
      </c>
    </row>
    <row r="581" spans="1:9">
      <c r="A581" s="22" t="s">
        <v>1138</v>
      </c>
      <c r="B581" s="30"/>
      <c r="C581" s="30"/>
      <c r="D581" s="30" t="s">
        <v>1047</v>
      </c>
      <c r="E581" s="30" t="s">
        <v>112</v>
      </c>
      <c r="F581" s="30" t="s">
        <v>180</v>
      </c>
      <c r="G581" s="30" t="s">
        <v>571</v>
      </c>
      <c r="H581" s="30" t="s">
        <v>241</v>
      </c>
      <c r="I581" s="30" t="s">
        <v>572</v>
      </c>
    </row>
    <row r="582" spans="1:9">
      <c r="A582" s="22" t="s">
        <v>1138</v>
      </c>
      <c r="B582" s="30"/>
      <c r="C582" s="30"/>
      <c r="D582" s="30" t="s">
        <v>682</v>
      </c>
      <c r="E582" s="30" t="s">
        <v>115</v>
      </c>
      <c r="F582" s="30" t="s">
        <v>181</v>
      </c>
      <c r="G582" s="30" t="s">
        <v>1197</v>
      </c>
      <c r="H582" s="30" t="s">
        <v>241</v>
      </c>
      <c r="I582" s="30" t="s">
        <v>114</v>
      </c>
    </row>
    <row r="583" spans="1:9">
      <c r="A583" s="22" t="s">
        <v>1138</v>
      </c>
      <c r="B583" s="30"/>
      <c r="C583" s="30"/>
      <c r="D583" s="30" t="s">
        <v>1048</v>
      </c>
      <c r="E583" s="30" t="s">
        <v>115</v>
      </c>
      <c r="F583" s="30" t="s">
        <v>181</v>
      </c>
      <c r="G583" s="30" t="s">
        <v>1198</v>
      </c>
      <c r="H583" s="30" t="s">
        <v>241</v>
      </c>
      <c r="I583" s="30" t="s">
        <v>114</v>
      </c>
    </row>
    <row r="584" spans="1:9">
      <c r="A584" s="22" t="s">
        <v>1138</v>
      </c>
      <c r="B584" s="30"/>
      <c r="C584" s="30"/>
      <c r="D584" s="30" t="s">
        <v>1049</v>
      </c>
      <c r="E584" s="30" t="s">
        <v>112</v>
      </c>
      <c r="F584" s="30" t="s">
        <v>181</v>
      </c>
      <c r="G584" s="30" t="s">
        <v>571</v>
      </c>
      <c r="H584" s="30" t="s">
        <v>241</v>
      </c>
      <c r="I584" s="30" t="s">
        <v>572</v>
      </c>
    </row>
    <row r="585" spans="1:9">
      <c r="A585" s="22" t="s">
        <v>1138</v>
      </c>
      <c r="B585" s="30"/>
      <c r="C585" s="30"/>
      <c r="D585" s="30" t="s">
        <v>683</v>
      </c>
      <c r="E585" s="30" t="s">
        <v>115</v>
      </c>
      <c r="F585" s="30" t="s">
        <v>182</v>
      </c>
      <c r="G585" s="30" t="s">
        <v>1199</v>
      </c>
      <c r="H585" s="30" t="s">
        <v>241</v>
      </c>
      <c r="I585" s="30" t="s">
        <v>114</v>
      </c>
    </row>
    <row r="586" spans="1:9">
      <c r="A586" s="22" t="s">
        <v>1138</v>
      </c>
      <c r="B586" s="30"/>
      <c r="C586" s="30"/>
      <c r="D586" s="30" t="s">
        <v>1050</v>
      </c>
      <c r="E586" s="30" t="s">
        <v>115</v>
      </c>
      <c r="F586" s="30" t="s">
        <v>182</v>
      </c>
      <c r="G586" s="30" t="s">
        <v>1200</v>
      </c>
      <c r="H586" s="30" t="s">
        <v>241</v>
      </c>
      <c r="I586" s="30" t="s">
        <v>114</v>
      </c>
    </row>
    <row r="587" spans="1:9">
      <c r="A587" s="22" t="s">
        <v>1138</v>
      </c>
      <c r="B587" s="30"/>
      <c r="C587" s="30"/>
      <c r="D587" s="30" t="s">
        <v>1051</v>
      </c>
      <c r="E587" s="30" t="s">
        <v>112</v>
      </c>
      <c r="F587" s="30" t="s">
        <v>182</v>
      </c>
      <c r="G587" s="30" t="s">
        <v>571</v>
      </c>
      <c r="H587" s="30" t="s">
        <v>241</v>
      </c>
      <c r="I587" s="30" t="s">
        <v>572</v>
      </c>
    </row>
    <row r="588" spans="1:9">
      <c r="A588" s="22" t="s">
        <v>1138</v>
      </c>
      <c r="B588" s="30"/>
      <c r="C588" s="30"/>
      <c r="D588" s="30" t="s">
        <v>684</v>
      </c>
      <c r="E588" s="30" t="s">
        <v>115</v>
      </c>
      <c r="F588" s="30" t="s">
        <v>183</v>
      </c>
      <c r="G588" s="30" t="s">
        <v>1204</v>
      </c>
      <c r="H588" s="30" t="s">
        <v>241</v>
      </c>
      <c r="I588" s="30" t="s">
        <v>114</v>
      </c>
    </row>
    <row r="589" spans="1:9">
      <c r="A589" s="22" t="s">
        <v>1138</v>
      </c>
      <c r="B589" s="30"/>
      <c r="C589" s="30"/>
      <c r="D589" s="30" t="s">
        <v>1052</v>
      </c>
      <c r="E589" s="30" t="s">
        <v>115</v>
      </c>
      <c r="F589" s="30" t="s">
        <v>183</v>
      </c>
      <c r="G589" s="30" t="s">
        <v>1205</v>
      </c>
      <c r="H589" s="30" t="s">
        <v>241</v>
      </c>
      <c r="I589" s="30" t="s">
        <v>114</v>
      </c>
    </row>
    <row r="590" spans="1:9">
      <c r="A590" s="22" t="s">
        <v>1138</v>
      </c>
      <c r="B590" s="30"/>
      <c r="C590" s="30"/>
      <c r="D590" s="30" t="s">
        <v>1053</v>
      </c>
      <c r="E590" s="30" t="s">
        <v>112</v>
      </c>
      <c r="F590" s="30" t="s">
        <v>183</v>
      </c>
      <c r="G590" s="30" t="s">
        <v>571</v>
      </c>
      <c r="H590" s="30" t="s">
        <v>241</v>
      </c>
      <c r="I590" s="30" t="s">
        <v>572</v>
      </c>
    </row>
    <row r="591" spans="1:9">
      <c r="A591" s="22" t="s">
        <v>1138</v>
      </c>
      <c r="B591" s="30"/>
      <c r="C591" s="30"/>
      <c r="D591" s="30" t="s">
        <v>685</v>
      </c>
      <c r="E591" s="30" t="s">
        <v>115</v>
      </c>
      <c r="F591" s="30" t="s">
        <v>184</v>
      </c>
      <c r="G591" s="30" t="s">
        <v>1189</v>
      </c>
      <c r="H591" s="30" t="s">
        <v>241</v>
      </c>
      <c r="I591" s="30" t="s">
        <v>114</v>
      </c>
    </row>
    <row r="592" spans="1:9">
      <c r="A592" s="22" t="s">
        <v>1138</v>
      </c>
      <c r="B592" s="30"/>
      <c r="C592" s="30"/>
      <c r="D592" s="30" t="s">
        <v>1054</v>
      </c>
      <c r="E592" s="30" t="s">
        <v>115</v>
      </c>
      <c r="F592" s="30" t="s">
        <v>184</v>
      </c>
      <c r="G592" s="30" t="s">
        <v>1190</v>
      </c>
      <c r="H592" s="30" t="s">
        <v>241</v>
      </c>
      <c r="I592" s="30" t="s">
        <v>114</v>
      </c>
    </row>
    <row r="593" spans="1:9">
      <c r="A593" s="22" t="s">
        <v>1138</v>
      </c>
      <c r="B593" s="30"/>
      <c r="C593" s="30"/>
      <c r="D593" s="30" t="s">
        <v>1172</v>
      </c>
      <c r="E593" s="30" t="s">
        <v>112</v>
      </c>
      <c r="F593" s="30" t="s">
        <v>184</v>
      </c>
      <c r="G593" s="30" t="s">
        <v>571</v>
      </c>
      <c r="H593" s="30" t="s">
        <v>241</v>
      </c>
      <c r="I593" s="30" t="s">
        <v>572</v>
      </c>
    </row>
    <row r="594" spans="1:9">
      <c r="A594" s="22" t="s">
        <v>1139</v>
      </c>
      <c r="B594" s="30"/>
      <c r="C594" s="30"/>
      <c r="D594" s="30" t="s">
        <v>832</v>
      </c>
      <c r="E594" s="30" t="s">
        <v>822</v>
      </c>
      <c r="F594" s="30" t="s">
        <v>111</v>
      </c>
      <c r="G594" s="30" t="s">
        <v>865</v>
      </c>
      <c r="H594" s="30" t="s">
        <v>241</v>
      </c>
      <c r="I594" s="30" t="s">
        <v>823</v>
      </c>
    </row>
    <row r="595" spans="1:9">
      <c r="A595" s="22" t="s">
        <v>1139</v>
      </c>
      <c r="B595" s="30"/>
      <c r="C595" s="30"/>
      <c r="D595" s="30" t="s">
        <v>833</v>
      </c>
      <c r="E595" s="30" t="s">
        <v>822</v>
      </c>
      <c r="F595" s="30" t="s">
        <v>111</v>
      </c>
      <c r="G595" s="30" t="s">
        <v>865</v>
      </c>
      <c r="H595" s="30" t="s">
        <v>241</v>
      </c>
      <c r="I595" s="30" t="s">
        <v>232</v>
      </c>
    </row>
    <row r="596" spans="1:9">
      <c r="A596" s="28"/>
      <c r="B596" s="28"/>
      <c r="C596" s="28"/>
      <c r="D596" s="28"/>
      <c r="E596" s="29" t="s">
        <v>769</v>
      </c>
      <c r="F596" s="28"/>
      <c r="G596" s="28"/>
      <c r="H596" s="28"/>
      <c r="I596" s="28"/>
    </row>
    <row r="597" spans="1:9">
      <c r="A597" s="22" t="s">
        <v>1138</v>
      </c>
      <c r="B597" s="30"/>
      <c r="C597" s="30"/>
      <c r="D597" s="22" t="s">
        <v>183</v>
      </c>
      <c r="E597" s="30" t="s">
        <v>115</v>
      </c>
      <c r="F597" s="30" t="s">
        <v>111</v>
      </c>
      <c r="G597" s="30" t="s">
        <v>863</v>
      </c>
      <c r="H597" s="30" t="s">
        <v>241</v>
      </c>
      <c r="I597" s="30" t="s">
        <v>114</v>
      </c>
    </row>
    <row r="598" spans="1:9">
      <c r="A598" s="22" t="s">
        <v>1138</v>
      </c>
      <c r="B598" s="30"/>
      <c r="C598" s="30"/>
      <c r="D598" s="22" t="s">
        <v>491</v>
      </c>
      <c r="E598" s="30" t="s">
        <v>120</v>
      </c>
      <c r="F598" s="30" t="s">
        <v>111</v>
      </c>
      <c r="G598" s="30" t="s">
        <v>863</v>
      </c>
      <c r="H598" s="30" t="s">
        <v>241</v>
      </c>
      <c r="I598" s="30" t="s">
        <v>114</v>
      </c>
    </row>
    <row r="599" spans="1:9">
      <c r="A599" s="22" t="s">
        <v>1138</v>
      </c>
      <c r="B599" s="30"/>
      <c r="C599" s="30"/>
      <c r="D599" s="30" t="s">
        <v>492</v>
      </c>
      <c r="E599" s="30" t="s">
        <v>112</v>
      </c>
      <c r="F599" s="30" t="s">
        <v>111</v>
      </c>
      <c r="G599" s="30" t="s">
        <v>113</v>
      </c>
      <c r="H599" s="30" t="s">
        <v>241</v>
      </c>
      <c r="I599" s="30" t="s">
        <v>114</v>
      </c>
    </row>
    <row r="600" spans="1:9">
      <c r="A600" s="22" t="s">
        <v>1138</v>
      </c>
      <c r="C600" s="30"/>
      <c r="D600" s="30" t="s">
        <v>493</v>
      </c>
      <c r="E600" s="30" t="s">
        <v>115</v>
      </c>
      <c r="F600" s="30" t="s">
        <v>111</v>
      </c>
      <c r="G600" s="30" t="s">
        <v>863</v>
      </c>
      <c r="H600" s="30" t="s">
        <v>241</v>
      </c>
      <c r="I600" s="30" t="s">
        <v>204</v>
      </c>
    </row>
    <row r="601" spans="1:9">
      <c r="A601" s="22" t="s">
        <v>1138</v>
      </c>
      <c r="C601" s="30"/>
      <c r="D601" s="30" t="s">
        <v>494</v>
      </c>
      <c r="E601" s="30" t="s">
        <v>115</v>
      </c>
      <c r="F601" s="30" t="s">
        <v>111</v>
      </c>
      <c r="G601" s="30" t="s">
        <v>863</v>
      </c>
      <c r="H601" s="30" t="s">
        <v>241</v>
      </c>
      <c r="I601" s="30" t="s">
        <v>232</v>
      </c>
    </row>
    <row r="602" spans="1:9">
      <c r="A602" s="22" t="s">
        <v>1138</v>
      </c>
      <c r="B602" s="30"/>
      <c r="C602" s="30"/>
      <c r="D602" s="30" t="s">
        <v>495</v>
      </c>
      <c r="E602" s="30" t="s">
        <v>115</v>
      </c>
      <c r="F602" s="30" t="s">
        <v>111</v>
      </c>
      <c r="G602" s="30" t="s">
        <v>863</v>
      </c>
      <c r="H602" s="30" t="s">
        <v>241</v>
      </c>
      <c r="I602" s="30" t="s">
        <v>118</v>
      </c>
    </row>
    <row r="603" spans="1:9">
      <c r="A603" s="22" t="s">
        <v>1138</v>
      </c>
      <c r="B603" s="30"/>
      <c r="C603" s="30"/>
      <c r="D603" s="30" t="s">
        <v>496</v>
      </c>
      <c r="E603" s="30" t="s">
        <v>115</v>
      </c>
      <c r="F603" s="30" t="s">
        <v>111</v>
      </c>
      <c r="G603" s="30" t="s">
        <v>864</v>
      </c>
      <c r="H603" s="30" t="s">
        <v>241</v>
      </c>
      <c r="I603" s="30" t="s">
        <v>118</v>
      </c>
    </row>
    <row r="604" spans="1:9">
      <c r="A604" s="22" t="s">
        <v>1138</v>
      </c>
      <c r="C604" s="30"/>
      <c r="D604" s="30" t="s">
        <v>1055</v>
      </c>
      <c r="E604" s="30" t="s">
        <v>112</v>
      </c>
      <c r="F604" s="30" t="s">
        <v>247</v>
      </c>
      <c r="G604" s="30"/>
      <c r="H604" s="30" t="s">
        <v>241</v>
      </c>
      <c r="I604" s="30" t="s">
        <v>118</v>
      </c>
    </row>
    <row r="605" spans="1:9">
      <c r="A605" s="22" t="s">
        <v>1138</v>
      </c>
      <c r="C605" s="30"/>
      <c r="D605" s="30" t="s">
        <v>1056</v>
      </c>
      <c r="E605" s="30" t="s">
        <v>127</v>
      </c>
      <c r="F605" s="30" t="s">
        <v>247</v>
      </c>
      <c r="G605" s="30"/>
      <c r="H605" s="30" t="s">
        <v>241</v>
      </c>
      <c r="I605" s="30" t="s">
        <v>118</v>
      </c>
    </row>
    <row r="606" spans="1:9">
      <c r="A606" s="22" t="s">
        <v>1138</v>
      </c>
      <c r="B606" s="30"/>
      <c r="C606" s="30"/>
      <c r="D606" s="30" t="s">
        <v>1057</v>
      </c>
      <c r="E606" s="30" t="s">
        <v>112</v>
      </c>
      <c r="F606" s="30" t="s">
        <v>123</v>
      </c>
      <c r="G606" s="30"/>
      <c r="H606" s="30" t="s">
        <v>241</v>
      </c>
      <c r="I606" s="30" t="s">
        <v>240</v>
      </c>
    </row>
    <row r="607" spans="1:9">
      <c r="A607" s="22" t="s">
        <v>1138</v>
      </c>
      <c r="B607" s="30"/>
      <c r="C607" s="30"/>
      <c r="D607" s="30" t="s">
        <v>1058</v>
      </c>
      <c r="E607" s="30" t="s">
        <v>127</v>
      </c>
      <c r="F607" s="30" t="s">
        <v>123</v>
      </c>
      <c r="G607" s="30"/>
      <c r="H607" s="30" t="s">
        <v>241</v>
      </c>
      <c r="I607" s="30" t="s">
        <v>240</v>
      </c>
    </row>
    <row r="608" spans="1:9">
      <c r="A608" s="22" t="s">
        <v>1138</v>
      </c>
      <c r="B608" s="30"/>
      <c r="C608" s="30"/>
      <c r="D608" s="30" t="s">
        <v>497</v>
      </c>
      <c r="E608" s="30" t="s">
        <v>112</v>
      </c>
      <c r="F608" s="30" t="s">
        <v>866</v>
      </c>
      <c r="G608" s="30"/>
      <c r="H608" s="30" t="s">
        <v>241</v>
      </c>
      <c r="I608" s="30" t="s">
        <v>126</v>
      </c>
    </row>
    <row r="609" spans="1:9">
      <c r="A609" s="22" t="s">
        <v>1138</v>
      </c>
      <c r="B609" s="30"/>
      <c r="C609" s="30"/>
      <c r="D609" s="30" t="s">
        <v>498</v>
      </c>
      <c r="E609" s="30" t="s">
        <v>127</v>
      </c>
      <c r="F609" s="30" t="s">
        <v>866</v>
      </c>
      <c r="G609" s="30"/>
      <c r="H609" s="30" t="s">
        <v>241</v>
      </c>
      <c r="I609" s="30" t="s">
        <v>126</v>
      </c>
    </row>
    <row r="610" spans="1:9">
      <c r="A610" s="22" t="s">
        <v>1138</v>
      </c>
      <c r="B610" s="30"/>
      <c r="C610" s="30"/>
      <c r="D610" s="30" t="s">
        <v>1059</v>
      </c>
      <c r="E610" s="30" t="s">
        <v>112</v>
      </c>
      <c r="F610" s="30" t="s">
        <v>866</v>
      </c>
      <c r="G610" s="30"/>
      <c r="H610" s="30" t="s">
        <v>241</v>
      </c>
      <c r="I610" s="30" t="s">
        <v>128</v>
      </c>
    </row>
    <row r="611" spans="1:9">
      <c r="A611" s="22" t="s">
        <v>1138</v>
      </c>
      <c r="B611" s="30"/>
      <c r="C611" s="30"/>
      <c r="D611" s="30" t="s">
        <v>1060</v>
      </c>
      <c r="E611" s="30" t="s">
        <v>127</v>
      </c>
      <c r="F611" s="30" t="s">
        <v>866</v>
      </c>
      <c r="G611" s="30"/>
      <c r="H611" s="30" t="s">
        <v>241</v>
      </c>
      <c r="I611" s="30" t="s">
        <v>128</v>
      </c>
    </row>
    <row r="612" spans="1:9">
      <c r="A612" s="22" t="s">
        <v>1138</v>
      </c>
      <c r="B612" s="30"/>
      <c r="C612" s="30"/>
      <c r="D612" s="22" t="s">
        <v>500</v>
      </c>
      <c r="E612" s="30" t="s">
        <v>120</v>
      </c>
      <c r="F612" s="30" t="s">
        <v>111</v>
      </c>
      <c r="G612" s="30"/>
      <c r="H612" s="30" t="s">
        <v>241</v>
      </c>
      <c r="I612" s="30" t="s">
        <v>213</v>
      </c>
    </row>
    <row r="613" spans="1:9">
      <c r="A613" s="22" t="s">
        <v>1138</v>
      </c>
      <c r="B613" s="30"/>
      <c r="C613" s="30"/>
      <c r="D613" s="30" t="s">
        <v>693</v>
      </c>
      <c r="E613" s="30" t="s">
        <v>115</v>
      </c>
      <c r="F613" s="30" t="s">
        <v>178</v>
      </c>
      <c r="G613" s="30" t="s">
        <v>1191</v>
      </c>
      <c r="H613" s="30" t="s">
        <v>241</v>
      </c>
      <c r="I613" s="30" t="s">
        <v>114</v>
      </c>
    </row>
    <row r="614" spans="1:9">
      <c r="A614" s="22" t="s">
        <v>1138</v>
      </c>
      <c r="B614" s="30"/>
      <c r="C614" s="30"/>
      <c r="D614" s="30" t="s">
        <v>501</v>
      </c>
      <c r="E614" s="30" t="s">
        <v>115</v>
      </c>
      <c r="F614" s="30" t="s">
        <v>178</v>
      </c>
      <c r="G614" s="30" t="s">
        <v>1192</v>
      </c>
      <c r="H614" s="30" t="s">
        <v>241</v>
      </c>
      <c r="I614" s="30" t="s">
        <v>114</v>
      </c>
    </row>
    <row r="615" spans="1:9">
      <c r="A615" s="22" t="s">
        <v>1138</v>
      </c>
      <c r="B615" s="30"/>
      <c r="C615" s="30"/>
      <c r="D615" s="30" t="s">
        <v>1173</v>
      </c>
      <c r="E615" s="30" t="s">
        <v>112</v>
      </c>
      <c r="F615" s="30" t="s">
        <v>178</v>
      </c>
      <c r="G615" s="30" t="s">
        <v>571</v>
      </c>
      <c r="H615" s="30" t="s">
        <v>241</v>
      </c>
      <c r="I615" s="30" t="s">
        <v>572</v>
      </c>
    </row>
    <row r="616" spans="1:9">
      <c r="A616" s="22" t="s">
        <v>1138</v>
      </c>
      <c r="B616" s="30"/>
      <c r="C616" s="30"/>
      <c r="D616" s="30" t="s">
        <v>694</v>
      </c>
      <c r="E616" s="30" t="s">
        <v>115</v>
      </c>
      <c r="F616" s="30" t="s">
        <v>179</v>
      </c>
      <c r="G616" s="30" t="s">
        <v>1193</v>
      </c>
      <c r="H616" s="30" t="s">
        <v>241</v>
      </c>
      <c r="I616" s="30" t="s">
        <v>114</v>
      </c>
    </row>
    <row r="617" spans="1:9">
      <c r="A617" s="22" t="s">
        <v>1138</v>
      </c>
      <c r="B617" s="30"/>
      <c r="C617" s="30"/>
      <c r="D617" s="30" t="s">
        <v>502</v>
      </c>
      <c r="E617" s="30" t="s">
        <v>115</v>
      </c>
      <c r="F617" s="30" t="s">
        <v>179</v>
      </c>
      <c r="G617" s="30" t="s">
        <v>1194</v>
      </c>
      <c r="H617" s="30" t="s">
        <v>241</v>
      </c>
      <c r="I617" s="30" t="s">
        <v>114</v>
      </c>
    </row>
    <row r="618" spans="1:9">
      <c r="A618" s="22" t="s">
        <v>1138</v>
      </c>
      <c r="B618" s="30"/>
      <c r="C618" s="30"/>
      <c r="D618" s="30" t="s">
        <v>1061</v>
      </c>
      <c r="E618" s="30" t="s">
        <v>112</v>
      </c>
      <c r="F618" s="30" t="s">
        <v>179</v>
      </c>
      <c r="G618" s="30" t="s">
        <v>571</v>
      </c>
      <c r="H618" s="30" t="s">
        <v>241</v>
      </c>
      <c r="I618" s="30" t="s">
        <v>572</v>
      </c>
    </row>
    <row r="619" spans="1:9">
      <c r="A619" s="22" t="s">
        <v>1138</v>
      </c>
      <c r="B619" s="30"/>
      <c r="C619" s="30"/>
      <c r="D619" s="30" t="s">
        <v>1174</v>
      </c>
      <c r="E619" s="30" t="s">
        <v>115</v>
      </c>
      <c r="F619" s="30" t="s">
        <v>169</v>
      </c>
      <c r="G619" s="30" t="s">
        <v>1195</v>
      </c>
      <c r="H619" s="30" t="s">
        <v>241</v>
      </c>
      <c r="I619" s="30" t="s">
        <v>114</v>
      </c>
    </row>
    <row r="620" spans="1:9">
      <c r="A620" s="22" t="s">
        <v>1138</v>
      </c>
      <c r="B620" s="30"/>
      <c r="C620" s="30"/>
      <c r="D620" s="30" t="s">
        <v>503</v>
      </c>
      <c r="E620" s="30" t="s">
        <v>115</v>
      </c>
      <c r="F620" s="30" t="s">
        <v>169</v>
      </c>
      <c r="G620" s="30" t="s">
        <v>1196</v>
      </c>
      <c r="H620" s="30" t="s">
        <v>241</v>
      </c>
      <c r="I620" s="30" t="s">
        <v>114</v>
      </c>
    </row>
    <row r="621" spans="1:9">
      <c r="A621" s="22" t="s">
        <v>1138</v>
      </c>
      <c r="B621" s="30"/>
      <c r="C621" s="30"/>
      <c r="D621" s="30" t="s">
        <v>1062</v>
      </c>
      <c r="E621" s="30" t="s">
        <v>112</v>
      </c>
      <c r="F621" s="30" t="s">
        <v>169</v>
      </c>
      <c r="G621" s="30" t="s">
        <v>571</v>
      </c>
      <c r="H621" s="30" t="s">
        <v>241</v>
      </c>
      <c r="I621" s="30" t="s">
        <v>572</v>
      </c>
    </row>
    <row r="622" spans="1:9">
      <c r="A622" s="22" t="s">
        <v>1138</v>
      </c>
      <c r="B622" s="30"/>
      <c r="C622" s="30"/>
      <c r="D622" s="30" t="s">
        <v>695</v>
      </c>
      <c r="E622" s="30" t="s">
        <v>115</v>
      </c>
      <c r="F622" s="30" t="s">
        <v>180</v>
      </c>
      <c r="G622" s="30" t="s">
        <v>1202</v>
      </c>
      <c r="H622" s="30" t="s">
        <v>241</v>
      </c>
      <c r="I622" s="30" t="s">
        <v>114</v>
      </c>
    </row>
    <row r="623" spans="1:9">
      <c r="A623" s="22" t="s">
        <v>1138</v>
      </c>
      <c r="B623" s="30"/>
      <c r="C623" s="30"/>
      <c r="D623" s="30" t="s">
        <v>504</v>
      </c>
      <c r="E623" s="30" t="s">
        <v>115</v>
      </c>
      <c r="F623" s="30" t="s">
        <v>180</v>
      </c>
      <c r="G623" s="30" t="s">
        <v>1203</v>
      </c>
      <c r="H623" s="30" t="s">
        <v>241</v>
      </c>
      <c r="I623" s="30" t="s">
        <v>114</v>
      </c>
    </row>
    <row r="624" spans="1:9">
      <c r="A624" s="22" t="s">
        <v>1138</v>
      </c>
      <c r="B624" s="30"/>
      <c r="C624" s="30"/>
      <c r="D624" s="30" t="s">
        <v>1063</v>
      </c>
      <c r="E624" s="30" t="s">
        <v>112</v>
      </c>
      <c r="F624" s="30" t="s">
        <v>180</v>
      </c>
      <c r="G624" s="30" t="s">
        <v>571</v>
      </c>
      <c r="H624" s="30" t="s">
        <v>241</v>
      </c>
      <c r="I624" s="30" t="s">
        <v>572</v>
      </c>
    </row>
    <row r="625" spans="1:9">
      <c r="A625" s="22" t="s">
        <v>1138</v>
      </c>
      <c r="B625" s="30"/>
      <c r="C625" s="30"/>
      <c r="D625" s="30" t="s">
        <v>696</v>
      </c>
      <c r="E625" s="30" t="s">
        <v>115</v>
      </c>
      <c r="F625" s="30" t="s">
        <v>181</v>
      </c>
      <c r="G625" s="30" t="s">
        <v>1197</v>
      </c>
      <c r="H625" s="30" t="s">
        <v>241</v>
      </c>
      <c r="I625" s="30" t="s">
        <v>114</v>
      </c>
    </row>
    <row r="626" spans="1:9">
      <c r="A626" s="22" t="s">
        <v>1138</v>
      </c>
      <c r="B626" s="30"/>
      <c r="C626" s="30"/>
      <c r="D626" s="30" t="s">
        <v>1064</v>
      </c>
      <c r="E626" s="30" t="s">
        <v>115</v>
      </c>
      <c r="F626" s="30" t="s">
        <v>181</v>
      </c>
      <c r="G626" s="30" t="s">
        <v>1198</v>
      </c>
      <c r="H626" s="30" t="s">
        <v>241</v>
      </c>
      <c r="I626" s="30" t="s">
        <v>114</v>
      </c>
    </row>
    <row r="627" spans="1:9">
      <c r="A627" s="22" t="s">
        <v>1138</v>
      </c>
      <c r="B627" s="30"/>
      <c r="C627" s="30"/>
      <c r="D627" s="30" t="s">
        <v>1065</v>
      </c>
      <c r="E627" s="30" t="s">
        <v>112</v>
      </c>
      <c r="F627" s="30" t="s">
        <v>181</v>
      </c>
      <c r="G627" s="30" t="s">
        <v>571</v>
      </c>
      <c r="H627" s="30" t="s">
        <v>241</v>
      </c>
      <c r="I627" s="30" t="s">
        <v>572</v>
      </c>
    </row>
    <row r="628" spans="1:9">
      <c r="A628" s="22" t="s">
        <v>1138</v>
      </c>
      <c r="B628" s="30"/>
      <c r="C628" s="30"/>
      <c r="D628" s="30" t="s">
        <v>697</v>
      </c>
      <c r="E628" s="30" t="s">
        <v>115</v>
      </c>
      <c r="F628" s="30" t="s">
        <v>182</v>
      </c>
      <c r="G628" s="30" t="s">
        <v>1199</v>
      </c>
      <c r="H628" s="30" t="s">
        <v>241</v>
      </c>
      <c r="I628" s="30" t="s">
        <v>114</v>
      </c>
    </row>
    <row r="629" spans="1:9">
      <c r="A629" s="22" t="s">
        <v>1138</v>
      </c>
      <c r="B629" s="30"/>
      <c r="C629" s="30"/>
      <c r="D629" s="30" t="s">
        <v>1066</v>
      </c>
      <c r="E629" s="30" t="s">
        <v>115</v>
      </c>
      <c r="F629" s="30" t="s">
        <v>182</v>
      </c>
      <c r="G629" s="30" t="s">
        <v>1200</v>
      </c>
      <c r="H629" s="30" t="s">
        <v>241</v>
      </c>
      <c r="I629" s="30" t="s">
        <v>114</v>
      </c>
    </row>
    <row r="630" spans="1:9">
      <c r="A630" s="22" t="s">
        <v>1138</v>
      </c>
      <c r="B630" s="30"/>
      <c r="C630" s="30"/>
      <c r="D630" s="30" t="s">
        <v>1067</v>
      </c>
      <c r="E630" s="30" t="s">
        <v>112</v>
      </c>
      <c r="F630" s="30" t="s">
        <v>182</v>
      </c>
      <c r="G630" s="30" t="s">
        <v>571</v>
      </c>
      <c r="H630" s="30" t="s">
        <v>241</v>
      </c>
      <c r="I630" s="30" t="s">
        <v>572</v>
      </c>
    </row>
    <row r="631" spans="1:9">
      <c r="A631" s="22" t="s">
        <v>1138</v>
      </c>
      <c r="B631" s="30"/>
      <c r="C631" s="30"/>
      <c r="D631" s="30" t="s">
        <v>698</v>
      </c>
      <c r="E631" s="30" t="s">
        <v>115</v>
      </c>
      <c r="F631" s="30" t="s">
        <v>183</v>
      </c>
      <c r="G631" s="30" t="s">
        <v>1204</v>
      </c>
      <c r="H631" s="30" t="s">
        <v>241</v>
      </c>
      <c r="I631" s="30" t="s">
        <v>114</v>
      </c>
    </row>
    <row r="632" spans="1:9">
      <c r="A632" s="22" t="s">
        <v>1138</v>
      </c>
      <c r="B632" s="30"/>
      <c r="C632" s="30"/>
      <c r="D632" s="30" t="s">
        <v>1068</v>
      </c>
      <c r="E632" s="30" t="s">
        <v>115</v>
      </c>
      <c r="F632" s="30" t="s">
        <v>183</v>
      </c>
      <c r="G632" s="30" t="s">
        <v>1205</v>
      </c>
      <c r="H632" s="30" t="s">
        <v>241</v>
      </c>
      <c r="I632" s="30" t="s">
        <v>114</v>
      </c>
    </row>
    <row r="633" spans="1:9">
      <c r="A633" s="22" t="s">
        <v>1138</v>
      </c>
      <c r="B633" s="30"/>
      <c r="C633" s="30"/>
      <c r="D633" s="30" t="s">
        <v>1069</v>
      </c>
      <c r="E633" s="30" t="s">
        <v>112</v>
      </c>
      <c r="F633" s="30" t="s">
        <v>183</v>
      </c>
      <c r="G633" s="30" t="s">
        <v>571</v>
      </c>
      <c r="H633" s="30" t="s">
        <v>241</v>
      </c>
      <c r="I633" s="30" t="s">
        <v>572</v>
      </c>
    </row>
    <row r="634" spans="1:9">
      <c r="A634" s="22" t="s">
        <v>1138</v>
      </c>
      <c r="B634" s="30"/>
      <c r="C634" s="30"/>
      <c r="D634" s="30" t="s">
        <v>699</v>
      </c>
      <c r="E634" s="30" t="s">
        <v>115</v>
      </c>
      <c r="F634" s="30" t="s">
        <v>184</v>
      </c>
      <c r="G634" s="30" t="s">
        <v>1189</v>
      </c>
      <c r="H634" s="30" t="s">
        <v>241</v>
      </c>
      <c r="I634" s="30" t="s">
        <v>114</v>
      </c>
    </row>
    <row r="635" spans="1:9">
      <c r="A635" s="22" t="s">
        <v>1138</v>
      </c>
      <c r="B635" s="30"/>
      <c r="C635" s="30"/>
      <c r="D635" s="30" t="s">
        <v>1070</v>
      </c>
      <c r="E635" s="30" t="s">
        <v>115</v>
      </c>
      <c r="F635" s="30" t="s">
        <v>184</v>
      </c>
      <c r="G635" s="30" t="s">
        <v>1190</v>
      </c>
      <c r="H635" s="30" t="s">
        <v>241</v>
      </c>
      <c r="I635" s="30" t="s">
        <v>114</v>
      </c>
    </row>
    <row r="636" spans="1:9">
      <c r="A636" s="22" t="s">
        <v>1138</v>
      </c>
      <c r="B636" s="30"/>
      <c r="C636" s="30"/>
      <c r="D636" s="30" t="s">
        <v>1175</v>
      </c>
      <c r="E636" s="30" t="s">
        <v>112</v>
      </c>
      <c r="F636" s="30" t="s">
        <v>184</v>
      </c>
      <c r="G636" s="30" t="s">
        <v>571</v>
      </c>
      <c r="H636" s="30" t="s">
        <v>241</v>
      </c>
      <c r="I636" s="30" t="s">
        <v>572</v>
      </c>
    </row>
    <row r="637" spans="1:9">
      <c r="A637" s="22" t="s">
        <v>1139</v>
      </c>
      <c r="B637" s="30"/>
      <c r="C637" s="30"/>
      <c r="D637" s="30" t="s">
        <v>834</v>
      </c>
      <c r="E637" s="30" t="s">
        <v>822</v>
      </c>
      <c r="F637" s="30" t="s">
        <v>111</v>
      </c>
      <c r="G637" s="30" t="s">
        <v>865</v>
      </c>
      <c r="H637" s="30" t="s">
        <v>241</v>
      </c>
      <c r="I637" s="30" t="s">
        <v>823</v>
      </c>
    </row>
    <row r="638" spans="1:9">
      <c r="A638" s="22" t="s">
        <v>1139</v>
      </c>
      <c r="B638" s="30"/>
      <c r="C638" s="30"/>
      <c r="D638" s="30" t="s">
        <v>835</v>
      </c>
      <c r="E638" s="30" t="s">
        <v>822</v>
      </c>
      <c r="F638" s="30" t="s">
        <v>111</v>
      </c>
      <c r="G638" s="30" t="s">
        <v>865</v>
      </c>
      <c r="H638" s="30" t="s">
        <v>241</v>
      </c>
      <c r="I638" s="30" t="s">
        <v>232</v>
      </c>
    </row>
    <row r="639" spans="1:9">
      <c r="A639" s="28"/>
      <c r="B639" s="28"/>
      <c r="C639" s="28"/>
      <c r="D639" s="28"/>
      <c r="E639" s="29" t="s">
        <v>768</v>
      </c>
      <c r="F639" s="28"/>
      <c r="G639" s="28"/>
      <c r="H639" s="28"/>
      <c r="I639" s="28"/>
    </row>
    <row r="640" spans="1:9">
      <c r="A640" s="22" t="s">
        <v>1138</v>
      </c>
      <c r="B640" s="30"/>
      <c r="C640" s="30"/>
      <c r="D640" s="22" t="s">
        <v>700</v>
      </c>
      <c r="E640" s="30" t="s">
        <v>115</v>
      </c>
      <c r="F640" s="30" t="s">
        <v>111</v>
      </c>
      <c r="G640" s="30" t="s">
        <v>863</v>
      </c>
      <c r="H640" s="30" t="s">
        <v>241</v>
      </c>
      <c r="I640" s="30" t="s">
        <v>114</v>
      </c>
    </row>
    <row r="641" spans="1:9">
      <c r="A641" s="22" t="s">
        <v>1138</v>
      </c>
      <c r="B641" s="30"/>
      <c r="C641" s="30"/>
      <c r="D641" s="22" t="s">
        <v>701</v>
      </c>
      <c r="E641" s="30" t="s">
        <v>120</v>
      </c>
      <c r="F641" s="30" t="s">
        <v>111</v>
      </c>
      <c r="G641" s="30" t="s">
        <v>863</v>
      </c>
      <c r="H641" s="30" t="s">
        <v>241</v>
      </c>
      <c r="I641" s="30" t="s">
        <v>114</v>
      </c>
    </row>
    <row r="642" spans="1:9">
      <c r="A642" s="22" t="s">
        <v>1138</v>
      </c>
      <c r="B642" s="30"/>
      <c r="C642" s="30"/>
      <c r="D642" s="30" t="s">
        <v>702</v>
      </c>
      <c r="E642" s="30" t="s">
        <v>112</v>
      </c>
      <c r="F642" s="30" t="s">
        <v>111</v>
      </c>
      <c r="G642" s="30" t="s">
        <v>113</v>
      </c>
      <c r="H642" s="30" t="s">
        <v>241</v>
      </c>
      <c r="I642" s="30" t="s">
        <v>114</v>
      </c>
    </row>
    <row r="643" spans="1:9">
      <c r="A643" s="22" t="s">
        <v>1138</v>
      </c>
      <c r="C643" s="30"/>
      <c r="D643" s="30" t="s">
        <v>703</v>
      </c>
      <c r="E643" s="30" t="s">
        <v>115</v>
      </c>
      <c r="F643" s="30" t="s">
        <v>111</v>
      </c>
      <c r="G643" s="30" t="s">
        <v>863</v>
      </c>
      <c r="H643" s="30" t="s">
        <v>241</v>
      </c>
      <c r="I643" s="30" t="s">
        <v>204</v>
      </c>
    </row>
    <row r="644" spans="1:9">
      <c r="A644" s="22" t="s">
        <v>1138</v>
      </c>
      <c r="C644" s="30"/>
      <c r="D644" s="30" t="s">
        <v>704</v>
      </c>
      <c r="E644" s="30" t="s">
        <v>115</v>
      </c>
      <c r="F644" s="30" t="s">
        <v>111</v>
      </c>
      <c r="G644" s="30" t="s">
        <v>863</v>
      </c>
      <c r="H644" s="30" t="s">
        <v>241</v>
      </c>
      <c r="I644" s="30" t="s">
        <v>232</v>
      </c>
    </row>
    <row r="645" spans="1:9">
      <c r="A645" s="22" t="s">
        <v>1138</v>
      </c>
      <c r="B645" s="30"/>
      <c r="C645" s="30"/>
      <c r="D645" s="30" t="s">
        <v>705</v>
      </c>
      <c r="E645" s="30" t="s">
        <v>115</v>
      </c>
      <c r="F645" s="30" t="s">
        <v>111</v>
      </c>
      <c r="G645" s="30" t="s">
        <v>863</v>
      </c>
      <c r="H645" s="30" t="s">
        <v>241</v>
      </c>
      <c r="I645" s="30" t="s">
        <v>118</v>
      </c>
    </row>
    <row r="646" spans="1:9">
      <c r="A646" s="22" t="s">
        <v>1138</v>
      </c>
      <c r="B646" s="30"/>
      <c r="C646" s="30"/>
      <c r="D646" s="30" t="s">
        <v>706</v>
      </c>
      <c r="E646" s="30" t="s">
        <v>115</v>
      </c>
      <c r="F646" s="30" t="s">
        <v>111</v>
      </c>
      <c r="G646" s="30" t="s">
        <v>864</v>
      </c>
      <c r="H646" s="30" t="s">
        <v>241</v>
      </c>
      <c r="I646" s="30" t="s">
        <v>118</v>
      </c>
    </row>
    <row r="647" spans="1:9">
      <c r="A647" s="22" t="s">
        <v>1138</v>
      </c>
      <c r="C647" s="30"/>
      <c r="D647" s="30" t="s">
        <v>1071</v>
      </c>
      <c r="E647" s="30" t="s">
        <v>112</v>
      </c>
      <c r="F647" s="30" t="s">
        <v>247</v>
      </c>
      <c r="G647" s="30"/>
      <c r="H647" s="30" t="s">
        <v>241</v>
      </c>
      <c r="I647" s="30" t="s">
        <v>118</v>
      </c>
    </row>
    <row r="648" spans="1:9">
      <c r="A648" s="22" t="s">
        <v>1138</v>
      </c>
      <c r="C648" s="30"/>
      <c r="D648" s="30" t="s">
        <v>1072</v>
      </c>
      <c r="E648" s="30" t="s">
        <v>127</v>
      </c>
      <c r="F648" s="30" t="s">
        <v>247</v>
      </c>
      <c r="G648" s="30"/>
      <c r="H648" s="30" t="s">
        <v>241</v>
      </c>
      <c r="I648" s="30" t="s">
        <v>118</v>
      </c>
    </row>
    <row r="649" spans="1:9">
      <c r="A649" s="22" t="s">
        <v>1138</v>
      </c>
      <c r="B649" s="30"/>
      <c r="C649" s="30"/>
      <c r="D649" s="30" t="s">
        <v>1073</v>
      </c>
      <c r="E649" s="30" t="s">
        <v>112</v>
      </c>
      <c r="F649" s="30" t="s">
        <v>123</v>
      </c>
      <c r="G649" s="30"/>
      <c r="H649" s="30" t="s">
        <v>241</v>
      </c>
      <c r="I649" s="30" t="s">
        <v>240</v>
      </c>
    </row>
    <row r="650" spans="1:9">
      <c r="A650" s="22" t="s">
        <v>1138</v>
      </c>
      <c r="B650" s="30"/>
      <c r="C650" s="30"/>
      <c r="D650" s="30" t="s">
        <v>1074</v>
      </c>
      <c r="E650" s="30" t="s">
        <v>127</v>
      </c>
      <c r="F650" s="30" t="s">
        <v>123</v>
      </c>
      <c r="G650" s="30"/>
      <c r="H650" s="30" t="s">
        <v>241</v>
      </c>
      <c r="I650" s="30" t="s">
        <v>240</v>
      </c>
    </row>
    <row r="651" spans="1:9">
      <c r="A651" s="22" t="s">
        <v>1138</v>
      </c>
      <c r="B651" s="30"/>
      <c r="C651" s="30"/>
      <c r="D651" s="30" t="s">
        <v>707</v>
      </c>
      <c r="E651" s="30" t="s">
        <v>112</v>
      </c>
      <c r="F651" s="30" t="s">
        <v>866</v>
      </c>
      <c r="G651" s="30"/>
      <c r="H651" s="30" t="s">
        <v>241</v>
      </c>
      <c r="I651" s="30" t="s">
        <v>126</v>
      </c>
    </row>
    <row r="652" spans="1:9">
      <c r="A652" s="22" t="s">
        <v>1138</v>
      </c>
      <c r="B652" s="30"/>
      <c r="C652" s="30"/>
      <c r="D652" s="30" t="s">
        <v>708</v>
      </c>
      <c r="E652" s="30" t="s">
        <v>127</v>
      </c>
      <c r="F652" s="30" t="s">
        <v>866</v>
      </c>
      <c r="G652" s="30"/>
      <c r="H652" s="30" t="s">
        <v>241</v>
      </c>
      <c r="I652" s="30" t="s">
        <v>126</v>
      </c>
    </row>
    <row r="653" spans="1:9">
      <c r="A653" s="22" t="s">
        <v>1138</v>
      </c>
      <c r="B653" s="30"/>
      <c r="C653" s="30"/>
      <c r="D653" s="30" t="s">
        <v>1075</v>
      </c>
      <c r="E653" s="30" t="s">
        <v>112</v>
      </c>
      <c r="F653" s="30" t="s">
        <v>866</v>
      </c>
      <c r="G653" s="30"/>
      <c r="H653" s="30" t="s">
        <v>241</v>
      </c>
      <c r="I653" s="30" t="s">
        <v>128</v>
      </c>
    </row>
    <row r="654" spans="1:9">
      <c r="A654" s="22" t="s">
        <v>1138</v>
      </c>
      <c r="B654" s="30"/>
      <c r="C654" s="30"/>
      <c r="D654" s="30" t="s">
        <v>1076</v>
      </c>
      <c r="E654" s="30" t="s">
        <v>127</v>
      </c>
      <c r="F654" s="30" t="s">
        <v>866</v>
      </c>
      <c r="G654" s="30"/>
      <c r="H654" s="30" t="s">
        <v>241</v>
      </c>
      <c r="I654" s="30" t="s">
        <v>128</v>
      </c>
    </row>
    <row r="655" spans="1:9">
      <c r="A655" s="22" t="s">
        <v>1138</v>
      </c>
      <c r="B655" s="30"/>
      <c r="C655" s="30"/>
      <c r="D655" s="22" t="s">
        <v>1077</v>
      </c>
      <c r="E655" s="30" t="s">
        <v>120</v>
      </c>
      <c r="F655" s="30" t="s">
        <v>111</v>
      </c>
      <c r="G655" s="30"/>
      <c r="H655" s="30" t="s">
        <v>241</v>
      </c>
      <c r="I655" s="30" t="s">
        <v>213</v>
      </c>
    </row>
    <row r="656" spans="1:9">
      <c r="A656" s="22" t="s">
        <v>1138</v>
      </c>
      <c r="B656" s="30"/>
      <c r="C656" s="30"/>
      <c r="D656" s="30" t="s">
        <v>709</v>
      </c>
      <c r="E656" s="30" t="s">
        <v>115</v>
      </c>
      <c r="F656" s="30" t="s">
        <v>178</v>
      </c>
      <c r="G656" s="30" t="s">
        <v>1191</v>
      </c>
      <c r="H656" s="30" t="s">
        <v>241</v>
      </c>
      <c r="I656" s="30" t="s">
        <v>114</v>
      </c>
    </row>
    <row r="657" spans="1:9">
      <c r="A657" s="22" t="s">
        <v>1138</v>
      </c>
      <c r="B657" s="30"/>
      <c r="C657" s="30"/>
      <c r="D657" s="30" t="s">
        <v>1078</v>
      </c>
      <c r="E657" s="30" t="s">
        <v>115</v>
      </c>
      <c r="F657" s="30" t="s">
        <v>178</v>
      </c>
      <c r="G657" s="30" t="s">
        <v>1192</v>
      </c>
      <c r="H657" s="30" t="s">
        <v>241</v>
      </c>
      <c r="I657" s="30" t="s">
        <v>114</v>
      </c>
    </row>
    <row r="658" spans="1:9">
      <c r="A658" s="22" t="s">
        <v>1138</v>
      </c>
      <c r="B658" s="30"/>
      <c r="C658" s="30"/>
      <c r="D658" s="30" t="s">
        <v>1176</v>
      </c>
      <c r="E658" s="30" t="s">
        <v>112</v>
      </c>
      <c r="F658" s="30" t="s">
        <v>178</v>
      </c>
      <c r="G658" s="30" t="s">
        <v>571</v>
      </c>
      <c r="H658" s="30" t="s">
        <v>241</v>
      </c>
      <c r="I658" s="30" t="s">
        <v>572</v>
      </c>
    </row>
    <row r="659" spans="1:9">
      <c r="A659" s="22" t="s">
        <v>1138</v>
      </c>
      <c r="B659" s="30"/>
      <c r="C659" s="30"/>
      <c r="D659" s="30" t="s">
        <v>710</v>
      </c>
      <c r="E659" s="30" t="s">
        <v>115</v>
      </c>
      <c r="F659" s="30" t="s">
        <v>179</v>
      </c>
      <c r="G659" s="30" t="s">
        <v>1193</v>
      </c>
      <c r="H659" s="30" t="s">
        <v>241</v>
      </c>
      <c r="I659" s="30" t="s">
        <v>114</v>
      </c>
    </row>
    <row r="660" spans="1:9">
      <c r="A660" s="22" t="s">
        <v>1138</v>
      </c>
      <c r="B660" s="30"/>
      <c r="C660" s="30"/>
      <c r="D660" s="30" t="s">
        <v>1079</v>
      </c>
      <c r="E660" s="30" t="s">
        <v>115</v>
      </c>
      <c r="F660" s="30" t="s">
        <v>179</v>
      </c>
      <c r="G660" s="30" t="s">
        <v>1194</v>
      </c>
      <c r="H660" s="30" t="s">
        <v>241</v>
      </c>
      <c r="I660" s="30" t="s">
        <v>114</v>
      </c>
    </row>
    <row r="661" spans="1:9">
      <c r="A661" s="22" t="s">
        <v>1138</v>
      </c>
      <c r="B661" s="30"/>
      <c r="C661" s="30"/>
      <c r="D661" s="30" t="s">
        <v>1080</v>
      </c>
      <c r="E661" s="30" t="s">
        <v>112</v>
      </c>
      <c r="F661" s="30" t="s">
        <v>179</v>
      </c>
      <c r="G661" s="30" t="s">
        <v>571</v>
      </c>
      <c r="H661" s="30" t="s">
        <v>241</v>
      </c>
      <c r="I661" s="30" t="s">
        <v>572</v>
      </c>
    </row>
    <row r="662" spans="1:9">
      <c r="A662" s="22" t="s">
        <v>1138</v>
      </c>
      <c r="B662" s="30"/>
      <c r="C662" s="30"/>
      <c r="D662" s="30" t="s">
        <v>1177</v>
      </c>
      <c r="E662" s="30" t="s">
        <v>115</v>
      </c>
      <c r="F662" s="30" t="s">
        <v>169</v>
      </c>
      <c r="G662" s="30" t="s">
        <v>1195</v>
      </c>
      <c r="H662" s="30" t="s">
        <v>241</v>
      </c>
      <c r="I662" s="30" t="s">
        <v>114</v>
      </c>
    </row>
    <row r="663" spans="1:9">
      <c r="A663" s="22" t="s">
        <v>1138</v>
      </c>
      <c r="B663" s="30"/>
      <c r="C663" s="30"/>
      <c r="D663" s="30" t="s">
        <v>1081</v>
      </c>
      <c r="E663" s="30" t="s">
        <v>115</v>
      </c>
      <c r="F663" s="30" t="s">
        <v>169</v>
      </c>
      <c r="G663" s="30" t="s">
        <v>1196</v>
      </c>
      <c r="H663" s="30" t="s">
        <v>241</v>
      </c>
      <c r="I663" s="30" t="s">
        <v>114</v>
      </c>
    </row>
    <row r="664" spans="1:9">
      <c r="A664" s="22" t="s">
        <v>1138</v>
      </c>
      <c r="B664" s="30"/>
      <c r="C664" s="30"/>
      <c r="D664" s="30" t="s">
        <v>1082</v>
      </c>
      <c r="E664" s="30" t="s">
        <v>112</v>
      </c>
      <c r="F664" s="30" t="s">
        <v>169</v>
      </c>
      <c r="G664" s="30" t="s">
        <v>571</v>
      </c>
      <c r="H664" s="30" t="s">
        <v>241</v>
      </c>
      <c r="I664" s="30" t="s">
        <v>572</v>
      </c>
    </row>
    <row r="665" spans="1:9">
      <c r="A665" s="22" t="s">
        <v>1138</v>
      </c>
      <c r="B665" s="30"/>
      <c r="C665" s="30"/>
      <c r="D665" s="30" t="s">
        <v>711</v>
      </c>
      <c r="E665" s="30" t="s">
        <v>115</v>
      </c>
      <c r="F665" s="30" t="s">
        <v>180</v>
      </c>
      <c r="G665" s="30" t="s">
        <v>1202</v>
      </c>
      <c r="H665" s="30" t="s">
        <v>241</v>
      </c>
      <c r="I665" s="30" t="s">
        <v>114</v>
      </c>
    </row>
    <row r="666" spans="1:9">
      <c r="A666" s="22" t="s">
        <v>1138</v>
      </c>
      <c r="B666" s="30"/>
      <c r="C666" s="30"/>
      <c r="D666" s="30" t="s">
        <v>1083</v>
      </c>
      <c r="E666" s="30" t="s">
        <v>115</v>
      </c>
      <c r="F666" s="30" t="s">
        <v>180</v>
      </c>
      <c r="G666" s="30" t="s">
        <v>1203</v>
      </c>
      <c r="H666" s="30" t="s">
        <v>241</v>
      </c>
      <c r="I666" s="30" t="s">
        <v>114</v>
      </c>
    </row>
    <row r="667" spans="1:9">
      <c r="A667" s="22" t="s">
        <v>1138</v>
      </c>
      <c r="B667" s="30"/>
      <c r="C667" s="30"/>
      <c r="D667" s="30" t="s">
        <v>1084</v>
      </c>
      <c r="E667" s="30" t="s">
        <v>112</v>
      </c>
      <c r="F667" s="30" t="s">
        <v>180</v>
      </c>
      <c r="G667" s="30" t="s">
        <v>571</v>
      </c>
      <c r="H667" s="30" t="s">
        <v>241</v>
      </c>
      <c r="I667" s="30" t="s">
        <v>572</v>
      </c>
    </row>
    <row r="668" spans="1:9">
      <c r="A668" s="22" t="s">
        <v>1138</v>
      </c>
      <c r="B668" s="30"/>
      <c r="C668" s="30"/>
      <c r="D668" s="30" t="s">
        <v>712</v>
      </c>
      <c r="E668" s="30" t="s">
        <v>115</v>
      </c>
      <c r="F668" s="30" t="s">
        <v>181</v>
      </c>
      <c r="G668" s="30" t="s">
        <v>1197</v>
      </c>
      <c r="H668" s="30" t="s">
        <v>241</v>
      </c>
      <c r="I668" s="30" t="s">
        <v>114</v>
      </c>
    </row>
    <row r="669" spans="1:9">
      <c r="A669" s="22" t="s">
        <v>1138</v>
      </c>
      <c r="B669" s="30"/>
      <c r="C669" s="30"/>
      <c r="D669" s="30" t="s">
        <v>1085</v>
      </c>
      <c r="E669" s="30" t="s">
        <v>115</v>
      </c>
      <c r="F669" s="30" t="s">
        <v>181</v>
      </c>
      <c r="G669" s="30" t="s">
        <v>1198</v>
      </c>
      <c r="H669" s="30" t="s">
        <v>241</v>
      </c>
      <c r="I669" s="30" t="s">
        <v>114</v>
      </c>
    </row>
    <row r="670" spans="1:9">
      <c r="A670" s="22" t="s">
        <v>1138</v>
      </c>
      <c r="B670" s="30"/>
      <c r="C670" s="30"/>
      <c r="D670" s="30" t="s">
        <v>1086</v>
      </c>
      <c r="E670" s="30" t="s">
        <v>112</v>
      </c>
      <c r="F670" s="30" t="s">
        <v>181</v>
      </c>
      <c r="G670" s="30" t="s">
        <v>571</v>
      </c>
      <c r="H670" s="30" t="s">
        <v>241</v>
      </c>
      <c r="I670" s="30" t="s">
        <v>572</v>
      </c>
    </row>
    <row r="671" spans="1:9">
      <c r="A671" s="22" t="s">
        <v>1138</v>
      </c>
      <c r="B671" s="30"/>
      <c r="C671" s="30"/>
      <c r="D671" s="30" t="s">
        <v>713</v>
      </c>
      <c r="E671" s="30" t="s">
        <v>115</v>
      </c>
      <c r="F671" s="30" t="s">
        <v>182</v>
      </c>
      <c r="G671" s="30" t="s">
        <v>1199</v>
      </c>
      <c r="H671" s="30" t="s">
        <v>241</v>
      </c>
      <c r="I671" s="30" t="s">
        <v>114</v>
      </c>
    </row>
    <row r="672" spans="1:9">
      <c r="A672" s="22" t="s">
        <v>1138</v>
      </c>
      <c r="B672" s="30"/>
      <c r="C672" s="30"/>
      <c r="D672" s="30" t="s">
        <v>1087</v>
      </c>
      <c r="E672" s="30" t="s">
        <v>115</v>
      </c>
      <c r="F672" s="30" t="s">
        <v>182</v>
      </c>
      <c r="G672" s="30" t="s">
        <v>1200</v>
      </c>
      <c r="H672" s="30" t="s">
        <v>241</v>
      </c>
      <c r="I672" s="30" t="s">
        <v>114</v>
      </c>
    </row>
    <row r="673" spans="1:9">
      <c r="A673" s="22" t="s">
        <v>1138</v>
      </c>
      <c r="B673" s="30"/>
      <c r="C673" s="30"/>
      <c r="D673" s="30" t="s">
        <v>1088</v>
      </c>
      <c r="E673" s="30" t="s">
        <v>112</v>
      </c>
      <c r="F673" s="30" t="s">
        <v>182</v>
      </c>
      <c r="G673" s="30" t="s">
        <v>571</v>
      </c>
      <c r="H673" s="30" t="s">
        <v>241</v>
      </c>
      <c r="I673" s="30" t="s">
        <v>572</v>
      </c>
    </row>
    <row r="674" spans="1:9">
      <c r="A674" s="22" t="s">
        <v>1138</v>
      </c>
      <c r="B674" s="30"/>
      <c r="C674" s="30"/>
      <c r="D674" s="30" t="s">
        <v>714</v>
      </c>
      <c r="E674" s="30" t="s">
        <v>115</v>
      </c>
      <c r="F674" s="30" t="s">
        <v>183</v>
      </c>
      <c r="G674" s="30" t="s">
        <v>1204</v>
      </c>
      <c r="H674" s="30" t="s">
        <v>241</v>
      </c>
      <c r="I674" s="30" t="s">
        <v>114</v>
      </c>
    </row>
    <row r="675" spans="1:9">
      <c r="A675" s="22" t="s">
        <v>1138</v>
      </c>
      <c r="B675" s="30"/>
      <c r="C675" s="30"/>
      <c r="D675" s="30" t="s">
        <v>1089</v>
      </c>
      <c r="E675" s="30" t="s">
        <v>115</v>
      </c>
      <c r="F675" s="30" t="s">
        <v>183</v>
      </c>
      <c r="G675" s="30" t="s">
        <v>1205</v>
      </c>
      <c r="H675" s="30" t="s">
        <v>241</v>
      </c>
      <c r="I675" s="30" t="s">
        <v>114</v>
      </c>
    </row>
    <row r="676" spans="1:9">
      <c r="A676" s="22" t="s">
        <v>1138</v>
      </c>
      <c r="B676" s="30"/>
      <c r="C676" s="30"/>
      <c r="D676" s="30" t="s">
        <v>1090</v>
      </c>
      <c r="E676" s="30" t="s">
        <v>112</v>
      </c>
      <c r="F676" s="30" t="s">
        <v>183</v>
      </c>
      <c r="G676" s="30" t="s">
        <v>571</v>
      </c>
      <c r="H676" s="30" t="s">
        <v>241</v>
      </c>
      <c r="I676" s="30" t="s">
        <v>572</v>
      </c>
    </row>
    <row r="677" spans="1:9">
      <c r="A677" s="22" t="s">
        <v>1138</v>
      </c>
      <c r="B677" s="30"/>
      <c r="C677" s="30"/>
      <c r="D677" s="30" t="s">
        <v>715</v>
      </c>
      <c r="E677" s="30" t="s">
        <v>115</v>
      </c>
      <c r="F677" s="30" t="s">
        <v>184</v>
      </c>
      <c r="G677" s="30" t="s">
        <v>1189</v>
      </c>
      <c r="H677" s="30" t="s">
        <v>241</v>
      </c>
      <c r="I677" s="30" t="s">
        <v>114</v>
      </c>
    </row>
    <row r="678" spans="1:9">
      <c r="A678" s="22" t="s">
        <v>1138</v>
      </c>
      <c r="B678" s="30"/>
      <c r="C678" s="30"/>
      <c r="D678" s="30" t="s">
        <v>1091</v>
      </c>
      <c r="E678" s="30" t="s">
        <v>115</v>
      </c>
      <c r="F678" s="30" t="s">
        <v>184</v>
      </c>
      <c r="G678" s="30" t="s">
        <v>1190</v>
      </c>
      <c r="H678" s="30" t="s">
        <v>241</v>
      </c>
      <c r="I678" s="30" t="s">
        <v>114</v>
      </c>
    </row>
    <row r="679" spans="1:9">
      <c r="A679" s="22" t="s">
        <v>1138</v>
      </c>
      <c r="B679" s="30"/>
      <c r="C679" s="30"/>
      <c r="D679" s="30" t="s">
        <v>1178</v>
      </c>
      <c r="E679" s="30" t="s">
        <v>112</v>
      </c>
      <c r="F679" s="30" t="s">
        <v>184</v>
      </c>
      <c r="G679" s="30" t="s">
        <v>571</v>
      </c>
      <c r="H679" s="30" t="s">
        <v>241</v>
      </c>
      <c r="I679" s="30" t="s">
        <v>572</v>
      </c>
    </row>
    <row r="680" spans="1:9">
      <c r="A680" s="22" t="s">
        <v>1139</v>
      </c>
      <c r="B680" s="30"/>
      <c r="C680" s="30"/>
      <c r="D680" s="30" t="s">
        <v>836</v>
      </c>
      <c r="E680" s="30" t="s">
        <v>822</v>
      </c>
      <c r="F680" s="30" t="s">
        <v>111</v>
      </c>
      <c r="G680" s="30" t="s">
        <v>865</v>
      </c>
      <c r="H680" s="30" t="s">
        <v>241</v>
      </c>
      <c r="I680" s="30" t="s">
        <v>823</v>
      </c>
    </row>
    <row r="681" spans="1:9">
      <c r="A681" s="22" t="s">
        <v>1139</v>
      </c>
      <c r="B681" s="30"/>
      <c r="C681" s="30"/>
      <c r="D681" s="30" t="s">
        <v>837</v>
      </c>
      <c r="E681" s="30" t="s">
        <v>822</v>
      </c>
      <c r="F681" s="30" t="s">
        <v>111</v>
      </c>
      <c r="G681" s="30" t="s">
        <v>865</v>
      </c>
      <c r="H681" s="30" t="s">
        <v>241</v>
      </c>
      <c r="I681" s="30" t="s">
        <v>232</v>
      </c>
    </row>
    <row r="682" spans="1:9">
      <c r="A682" s="28"/>
      <c r="B682" s="28"/>
      <c r="C682" s="28"/>
      <c r="D682" s="28"/>
      <c r="E682" s="29" t="s">
        <v>767</v>
      </c>
      <c r="F682" s="28"/>
      <c r="G682" s="28"/>
      <c r="H682" s="28"/>
      <c r="I682" s="28"/>
    </row>
    <row r="683" spans="1:9">
      <c r="A683" s="22" t="s">
        <v>1138</v>
      </c>
      <c r="B683" s="30"/>
      <c r="C683" s="30"/>
      <c r="D683" s="22" t="s">
        <v>716</v>
      </c>
      <c r="E683" s="30" t="s">
        <v>115</v>
      </c>
      <c r="F683" s="30" t="s">
        <v>111</v>
      </c>
      <c r="G683" s="30" t="s">
        <v>863</v>
      </c>
      <c r="H683" s="30" t="s">
        <v>241</v>
      </c>
      <c r="I683" s="30" t="s">
        <v>114</v>
      </c>
    </row>
    <row r="684" spans="1:9">
      <c r="A684" s="22" t="s">
        <v>1138</v>
      </c>
      <c r="B684" s="30"/>
      <c r="C684" s="30"/>
      <c r="D684" s="22" t="s">
        <v>717</v>
      </c>
      <c r="E684" s="30" t="s">
        <v>120</v>
      </c>
      <c r="F684" s="30" t="s">
        <v>111</v>
      </c>
      <c r="G684" s="30" t="s">
        <v>863</v>
      </c>
      <c r="H684" s="30" t="s">
        <v>241</v>
      </c>
      <c r="I684" s="30" t="s">
        <v>114</v>
      </c>
    </row>
    <row r="685" spans="1:9">
      <c r="A685" s="22" t="s">
        <v>1138</v>
      </c>
      <c r="B685" s="30"/>
      <c r="C685" s="30"/>
      <c r="D685" s="30" t="s">
        <v>718</v>
      </c>
      <c r="E685" s="30" t="s">
        <v>112</v>
      </c>
      <c r="F685" s="30" t="s">
        <v>111</v>
      </c>
      <c r="G685" s="30" t="s">
        <v>113</v>
      </c>
      <c r="H685" s="30" t="s">
        <v>241</v>
      </c>
      <c r="I685" s="30" t="s">
        <v>114</v>
      </c>
    </row>
    <row r="686" spans="1:9">
      <c r="A686" s="22" t="s">
        <v>1138</v>
      </c>
      <c r="C686" s="30"/>
      <c r="D686" s="30" t="s">
        <v>719</v>
      </c>
      <c r="E686" s="30" t="s">
        <v>115</v>
      </c>
      <c r="F686" s="30" t="s">
        <v>111</v>
      </c>
      <c r="G686" s="30" t="s">
        <v>863</v>
      </c>
      <c r="H686" s="30" t="s">
        <v>241</v>
      </c>
      <c r="I686" s="30" t="s">
        <v>204</v>
      </c>
    </row>
    <row r="687" spans="1:9">
      <c r="A687" s="22" t="s">
        <v>1138</v>
      </c>
      <c r="C687" s="30"/>
      <c r="D687" s="30" t="s">
        <v>720</v>
      </c>
      <c r="E687" s="30" t="s">
        <v>115</v>
      </c>
      <c r="F687" s="30" t="s">
        <v>111</v>
      </c>
      <c r="G687" s="30" t="s">
        <v>863</v>
      </c>
      <c r="H687" s="30" t="s">
        <v>241</v>
      </c>
      <c r="I687" s="30" t="s">
        <v>232</v>
      </c>
    </row>
    <row r="688" spans="1:9">
      <c r="A688" s="22" t="s">
        <v>1138</v>
      </c>
      <c r="B688" s="30"/>
      <c r="C688" s="30"/>
      <c r="D688" s="30" t="s">
        <v>721</v>
      </c>
      <c r="E688" s="30" t="s">
        <v>115</v>
      </c>
      <c r="F688" s="30" t="s">
        <v>111</v>
      </c>
      <c r="G688" s="30" t="s">
        <v>863</v>
      </c>
      <c r="H688" s="30" t="s">
        <v>241</v>
      </c>
      <c r="I688" s="30" t="s">
        <v>118</v>
      </c>
    </row>
    <row r="689" spans="1:9">
      <c r="A689" s="22" t="s">
        <v>1138</v>
      </c>
      <c r="B689" s="30"/>
      <c r="C689" s="30"/>
      <c r="D689" s="30" t="s">
        <v>722</v>
      </c>
      <c r="E689" s="30" t="s">
        <v>115</v>
      </c>
      <c r="F689" s="30" t="s">
        <v>111</v>
      </c>
      <c r="G689" s="30" t="s">
        <v>864</v>
      </c>
      <c r="H689" s="30" t="s">
        <v>241</v>
      </c>
      <c r="I689" s="30" t="s">
        <v>118</v>
      </c>
    </row>
    <row r="690" spans="1:9">
      <c r="A690" s="22" t="s">
        <v>1138</v>
      </c>
      <c r="C690" s="30"/>
      <c r="D690" s="30" t="s">
        <v>1092</v>
      </c>
      <c r="E690" s="30" t="s">
        <v>112</v>
      </c>
      <c r="F690" s="30" t="s">
        <v>247</v>
      </c>
      <c r="G690" s="30"/>
      <c r="H690" s="30" t="s">
        <v>241</v>
      </c>
      <c r="I690" s="30" t="s">
        <v>118</v>
      </c>
    </row>
    <row r="691" spans="1:9">
      <c r="A691" s="22" t="s">
        <v>1138</v>
      </c>
      <c r="C691" s="30"/>
      <c r="D691" s="30" t="s">
        <v>1093</v>
      </c>
      <c r="E691" s="30" t="s">
        <v>127</v>
      </c>
      <c r="F691" s="30" t="s">
        <v>247</v>
      </c>
      <c r="G691" s="30"/>
      <c r="H691" s="30" t="s">
        <v>241</v>
      </c>
      <c r="I691" s="30" t="s">
        <v>118</v>
      </c>
    </row>
    <row r="692" spans="1:9">
      <c r="A692" s="22" t="s">
        <v>1138</v>
      </c>
      <c r="B692" s="30"/>
      <c r="C692" s="30"/>
      <c r="D692" s="30" t="s">
        <v>1094</v>
      </c>
      <c r="E692" s="30" t="s">
        <v>112</v>
      </c>
      <c r="F692" s="30" t="s">
        <v>123</v>
      </c>
      <c r="G692" s="30"/>
      <c r="H692" s="30" t="s">
        <v>241</v>
      </c>
      <c r="I692" s="30" t="s">
        <v>240</v>
      </c>
    </row>
    <row r="693" spans="1:9">
      <c r="A693" s="22" t="s">
        <v>1138</v>
      </c>
      <c r="B693" s="30"/>
      <c r="C693" s="30"/>
      <c r="D693" s="30" t="s">
        <v>1095</v>
      </c>
      <c r="E693" s="30" t="s">
        <v>127</v>
      </c>
      <c r="F693" s="30" t="s">
        <v>123</v>
      </c>
      <c r="G693" s="30"/>
      <c r="H693" s="30" t="s">
        <v>241</v>
      </c>
      <c r="I693" s="30" t="s">
        <v>240</v>
      </c>
    </row>
    <row r="694" spans="1:9">
      <c r="A694" s="22" t="s">
        <v>1138</v>
      </c>
      <c r="B694" s="30"/>
      <c r="C694" s="30"/>
      <c r="D694" s="30" t="s">
        <v>723</v>
      </c>
      <c r="E694" s="30" t="s">
        <v>112</v>
      </c>
      <c r="F694" s="30" t="s">
        <v>866</v>
      </c>
      <c r="G694" s="30"/>
      <c r="H694" s="30" t="s">
        <v>241</v>
      </c>
      <c r="I694" s="30" t="s">
        <v>126</v>
      </c>
    </row>
    <row r="695" spans="1:9">
      <c r="A695" s="22" t="s">
        <v>1138</v>
      </c>
      <c r="B695" s="30"/>
      <c r="C695" s="30"/>
      <c r="D695" s="30" t="s">
        <v>724</v>
      </c>
      <c r="E695" s="30" t="s">
        <v>127</v>
      </c>
      <c r="F695" s="30" t="s">
        <v>866</v>
      </c>
      <c r="G695" s="30"/>
      <c r="H695" s="30" t="s">
        <v>241</v>
      </c>
      <c r="I695" s="30" t="s">
        <v>126</v>
      </c>
    </row>
    <row r="696" spans="1:9">
      <c r="A696" s="22" t="s">
        <v>1138</v>
      </c>
      <c r="B696" s="30"/>
      <c r="C696" s="30"/>
      <c r="D696" s="30" t="s">
        <v>1096</v>
      </c>
      <c r="E696" s="30" t="s">
        <v>112</v>
      </c>
      <c r="F696" s="30" t="s">
        <v>866</v>
      </c>
      <c r="G696" s="30"/>
      <c r="H696" s="30" t="s">
        <v>241</v>
      </c>
      <c r="I696" s="30" t="s">
        <v>128</v>
      </c>
    </row>
    <row r="697" spans="1:9">
      <c r="A697" s="22" t="s">
        <v>1138</v>
      </c>
      <c r="B697" s="30"/>
      <c r="C697" s="30"/>
      <c r="D697" s="30" t="s">
        <v>1097</v>
      </c>
      <c r="E697" s="30" t="s">
        <v>127</v>
      </c>
      <c r="F697" s="30" t="s">
        <v>866</v>
      </c>
      <c r="G697" s="30"/>
      <c r="H697" s="30" t="s">
        <v>241</v>
      </c>
      <c r="I697" s="30" t="s">
        <v>128</v>
      </c>
    </row>
    <row r="698" spans="1:9">
      <c r="A698" s="22" t="s">
        <v>1138</v>
      </c>
      <c r="B698" s="30"/>
      <c r="C698" s="30"/>
      <c r="D698" s="22" t="s">
        <v>1098</v>
      </c>
      <c r="E698" s="30" t="s">
        <v>120</v>
      </c>
      <c r="F698" s="30" t="s">
        <v>111</v>
      </c>
      <c r="G698" s="30"/>
      <c r="H698" s="30" t="s">
        <v>241</v>
      </c>
      <c r="I698" s="30" t="s">
        <v>213</v>
      </c>
    </row>
    <row r="699" spans="1:9">
      <c r="A699" s="22" t="s">
        <v>1138</v>
      </c>
      <c r="B699" s="30"/>
      <c r="C699" s="30"/>
      <c r="D699" s="30" t="s">
        <v>725</v>
      </c>
      <c r="E699" s="30" t="s">
        <v>115</v>
      </c>
      <c r="F699" s="30" t="s">
        <v>178</v>
      </c>
      <c r="G699" s="30" t="s">
        <v>1191</v>
      </c>
      <c r="H699" s="30" t="s">
        <v>241</v>
      </c>
      <c r="I699" s="30" t="s">
        <v>114</v>
      </c>
    </row>
    <row r="700" spans="1:9">
      <c r="A700" s="22" t="s">
        <v>1138</v>
      </c>
      <c r="B700" s="30"/>
      <c r="C700" s="30"/>
      <c r="D700" s="30" t="s">
        <v>1099</v>
      </c>
      <c r="E700" s="30" t="s">
        <v>115</v>
      </c>
      <c r="F700" s="30" t="s">
        <v>178</v>
      </c>
      <c r="G700" s="30" t="s">
        <v>1192</v>
      </c>
      <c r="H700" s="30" t="s">
        <v>241</v>
      </c>
      <c r="I700" s="30" t="s">
        <v>114</v>
      </c>
    </row>
    <row r="701" spans="1:9">
      <c r="A701" s="22" t="s">
        <v>1138</v>
      </c>
      <c r="B701" s="30"/>
      <c r="C701" s="30"/>
      <c r="D701" s="30" t="s">
        <v>1179</v>
      </c>
      <c r="E701" s="30" t="s">
        <v>112</v>
      </c>
      <c r="F701" s="30" t="s">
        <v>178</v>
      </c>
      <c r="G701" s="30" t="s">
        <v>571</v>
      </c>
      <c r="H701" s="30" t="s">
        <v>241</v>
      </c>
      <c r="I701" s="30" t="s">
        <v>572</v>
      </c>
    </row>
    <row r="702" spans="1:9">
      <c r="A702" s="22" t="s">
        <v>1138</v>
      </c>
      <c r="B702" s="30"/>
      <c r="C702" s="30"/>
      <c r="D702" s="30" t="s">
        <v>726</v>
      </c>
      <c r="E702" s="30" t="s">
        <v>115</v>
      </c>
      <c r="F702" s="30" t="s">
        <v>179</v>
      </c>
      <c r="G702" s="30" t="s">
        <v>1193</v>
      </c>
      <c r="H702" s="30" t="s">
        <v>241</v>
      </c>
      <c r="I702" s="30" t="s">
        <v>114</v>
      </c>
    </row>
    <row r="703" spans="1:9">
      <c r="A703" s="22" t="s">
        <v>1138</v>
      </c>
      <c r="B703" s="30"/>
      <c r="C703" s="30"/>
      <c r="D703" s="30" t="s">
        <v>1100</v>
      </c>
      <c r="E703" s="30" t="s">
        <v>115</v>
      </c>
      <c r="F703" s="30" t="s">
        <v>179</v>
      </c>
      <c r="G703" s="30" t="s">
        <v>1194</v>
      </c>
      <c r="H703" s="30" t="s">
        <v>241</v>
      </c>
      <c r="I703" s="30" t="s">
        <v>114</v>
      </c>
    </row>
    <row r="704" spans="1:9">
      <c r="A704" s="22" t="s">
        <v>1138</v>
      </c>
      <c r="B704" s="30"/>
      <c r="C704" s="30"/>
      <c r="D704" s="30" t="s">
        <v>1101</v>
      </c>
      <c r="E704" s="30" t="s">
        <v>112</v>
      </c>
      <c r="F704" s="30" t="s">
        <v>179</v>
      </c>
      <c r="G704" s="30" t="s">
        <v>571</v>
      </c>
      <c r="H704" s="30" t="s">
        <v>241</v>
      </c>
      <c r="I704" s="30" t="s">
        <v>572</v>
      </c>
    </row>
    <row r="705" spans="1:9">
      <c r="A705" s="22" t="s">
        <v>1138</v>
      </c>
      <c r="B705" s="30"/>
      <c r="C705" s="30"/>
      <c r="D705" s="30" t="s">
        <v>1180</v>
      </c>
      <c r="E705" s="30" t="s">
        <v>115</v>
      </c>
      <c r="F705" s="30" t="s">
        <v>169</v>
      </c>
      <c r="G705" s="30" t="s">
        <v>1195</v>
      </c>
      <c r="H705" s="30" t="s">
        <v>241</v>
      </c>
      <c r="I705" s="30" t="s">
        <v>114</v>
      </c>
    </row>
    <row r="706" spans="1:9">
      <c r="A706" s="22" t="s">
        <v>1138</v>
      </c>
      <c r="B706" s="30"/>
      <c r="C706" s="30"/>
      <c r="D706" s="30" t="s">
        <v>1102</v>
      </c>
      <c r="E706" s="30" t="s">
        <v>115</v>
      </c>
      <c r="F706" s="30" t="s">
        <v>169</v>
      </c>
      <c r="G706" s="30" t="s">
        <v>1196</v>
      </c>
      <c r="H706" s="30" t="s">
        <v>241</v>
      </c>
      <c r="I706" s="30" t="s">
        <v>114</v>
      </c>
    </row>
    <row r="707" spans="1:9">
      <c r="A707" s="22" t="s">
        <v>1138</v>
      </c>
      <c r="B707" s="30"/>
      <c r="C707" s="30"/>
      <c r="D707" s="30" t="s">
        <v>1103</v>
      </c>
      <c r="E707" s="30" t="s">
        <v>112</v>
      </c>
      <c r="F707" s="30" t="s">
        <v>169</v>
      </c>
      <c r="G707" s="30" t="s">
        <v>571</v>
      </c>
      <c r="H707" s="30" t="s">
        <v>241</v>
      </c>
      <c r="I707" s="30" t="s">
        <v>572</v>
      </c>
    </row>
    <row r="708" spans="1:9">
      <c r="A708" s="22" t="s">
        <v>1138</v>
      </c>
      <c r="B708" s="30"/>
      <c r="C708" s="30"/>
      <c r="D708" s="30" t="s">
        <v>727</v>
      </c>
      <c r="E708" s="30" t="s">
        <v>115</v>
      </c>
      <c r="F708" s="30" t="s">
        <v>180</v>
      </c>
      <c r="G708" s="30" t="s">
        <v>1202</v>
      </c>
      <c r="H708" s="30" t="s">
        <v>241</v>
      </c>
      <c r="I708" s="30" t="s">
        <v>114</v>
      </c>
    </row>
    <row r="709" spans="1:9">
      <c r="A709" s="22" t="s">
        <v>1138</v>
      </c>
      <c r="B709" s="30"/>
      <c r="C709" s="30"/>
      <c r="D709" s="30" t="s">
        <v>1104</v>
      </c>
      <c r="E709" s="30" t="s">
        <v>115</v>
      </c>
      <c r="F709" s="30" t="s">
        <v>180</v>
      </c>
      <c r="G709" s="30" t="s">
        <v>1203</v>
      </c>
      <c r="H709" s="30" t="s">
        <v>241</v>
      </c>
      <c r="I709" s="30" t="s">
        <v>114</v>
      </c>
    </row>
    <row r="710" spans="1:9">
      <c r="A710" s="22" t="s">
        <v>1138</v>
      </c>
      <c r="B710" s="30"/>
      <c r="C710" s="30"/>
      <c r="D710" s="30" t="s">
        <v>1105</v>
      </c>
      <c r="E710" s="30" t="s">
        <v>112</v>
      </c>
      <c r="F710" s="30" t="s">
        <v>180</v>
      </c>
      <c r="G710" s="30" t="s">
        <v>571</v>
      </c>
      <c r="H710" s="30" t="s">
        <v>241</v>
      </c>
      <c r="I710" s="30" t="s">
        <v>572</v>
      </c>
    </row>
    <row r="711" spans="1:9">
      <c r="A711" s="22" t="s">
        <v>1138</v>
      </c>
      <c r="B711" s="30"/>
      <c r="C711" s="30"/>
      <c r="D711" s="30" t="s">
        <v>728</v>
      </c>
      <c r="E711" s="30" t="s">
        <v>115</v>
      </c>
      <c r="F711" s="30" t="s">
        <v>181</v>
      </c>
      <c r="G711" s="30" t="s">
        <v>1197</v>
      </c>
      <c r="H711" s="30" t="s">
        <v>241</v>
      </c>
      <c r="I711" s="30" t="s">
        <v>114</v>
      </c>
    </row>
    <row r="712" spans="1:9">
      <c r="A712" s="22" t="s">
        <v>1138</v>
      </c>
      <c r="B712" s="30"/>
      <c r="C712" s="30"/>
      <c r="D712" s="30" t="s">
        <v>1106</v>
      </c>
      <c r="E712" s="30" t="s">
        <v>115</v>
      </c>
      <c r="F712" s="30" t="s">
        <v>181</v>
      </c>
      <c r="G712" s="30" t="s">
        <v>1198</v>
      </c>
      <c r="H712" s="30" t="s">
        <v>241</v>
      </c>
      <c r="I712" s="30" t="s">
        <v>114</v>
      </c>
    </row>
    <row r="713" spans="1:9">
      <c r="A713" s="22" t="s">
        <v>1138</v>
      </c>
      <c r="B713" s="30"/>
      <c r="C713" s="30"/>
      <c r="D713" s="30" t="s">
        <v>1107</v>
      </c>
      <c r="E713" s="30" t="s">
        <v>112</v>
      </c>
      <c r="F713" s="30" t="s">
        <v>181</v>
      </c>
      <c r="G713" s="30" t="s">
        <v>571</v>
      </c>
      <c r="H713" s="30" t="s">
        <v>241</v>
      </c>
      <c r="I713" s="30" t="s">
        <v>572</v>
      </c>
    </row>
    <row r="714" spans="1:9">
      <c r="A714" s="22" t="s">
        <v>1138</v>
      </c>
      <c r="B714" s="30"/>
      <c r="C714" s="30"/>
      <c r="D714" s="30" t="s">
        <v>729</v>
      </c>
      <c r="E714" s="30" t="s">
        <v>115</v>
      </c>
      <c r="F714" s="30" t="s">
        <v>182</v>
      </c>
      <c r="G714" s="30" t="s">
        <v>1199</v>
      </c>
      <c r="H714" s="30" t="s">
        <v>241</v>
      </c>
      <c r="I714" s="30" t="s">
        <v>114</v>
      </c>
    </row>
    <row r="715" spans="1:9">
      <c r="A715" s="22" t="s">
        <v>1138</v>
      </c>
      <c r="B715" s="30"/>
      <c r="C715" s="30"/>
      <c r="D715" s="30" t="s">
        <v>1108</v>
      </c>
      <c r="E715" s="30" t="s">
        <v>115</v>
      </c>
      <c r="F715" s="30" t="s">
        <v>182</v>
      </c>
      <c r="G715" s="30" t="s">
        <v>1200</v>
      </c>
      <c r="H715" s="30" t="s">
        <v>241</v>
      </c>
      <c r="I715" s="30" t="s">
        <v>114</v>
      </c>
    </row>
    <row r="716" spans="1:9">
      <c r="A716" s="22" t="s">
        <v>1138</v>
      </c>
      <c r="B716" s="30"/>
      <c r="C716" s="30"/>
      <c r="D716" s="30" t="s">
        <v>1109</v>
      </c>
      <c r="E716" s="30" t="s">
        <v>112</v>
      </c>
      <c r="F716" s="30" t="s">
        <v>182</v>
      </c>
      <c r="G716" s="30" t="s">
        <v>571</v>
      </c>
      <c r="H716" s="30" t="s">
        <v>241</v>
      </c>
      <c r="I716" s="30" t="s">
        <v>572</v>
      </c>
    </row>
    <row r="717" spans="1:9">
      <c r="A717" s="22" t="s">
        <v>1138</v>
      </c>
      <c r="B717" s="30"/>
      <c r="C717" s="30"/>
      <c r="D717" s="30" t="s">
        <v>730</v>
      </c>
      <c r="E717" s="30" t="s">
        <v>115</v>
      </c>
      <c r="F717" s="30" t="s">
        <v>183</v>
      </c>
      <c r="G717" s="30" t="s">
        <v>1204</v>
      </c>
      <c r="H717" s="30" t="s">
        <v>241</v>
      </c>
      <c r="I717" s="30" t="s">
        <v>114</v>
      </c>
    </row>
    <row r="718" spans="1:9">
      <c r="A718" s="22" t="s">
        <v>1138</v>
      </c>
      <c r="B718" s="30"/>
      <c r="C718" s="30"/>
      <c r="D718" s="30" t="s">
        <v>1110</v>
      </c>
      <c r="E718" s="30" t="s">
        <v>115</v>
      </c>
      <c r="F718" s="30" t="s">
        <v>183</v>
      </c>
      <c r="G718" s="30" t="s">
        <v>1205</v>
      </c>
      <c r="H718" s="30" t="s">
        <v>241</v>
      </c>
      <c r="I718" s="30" t="s">
        <v>114</v>
      </c>
    </row>
    <row r="719" spans="1:9">
      <c r="A719" s="22" t="s">
        <v>1138</v>
      </c>
      <c r="B719" s="30"/>
      <c r="C719" s="30"/>
      <c r="D719" s="30" t="s">
        <v>1111</v>
      </c>
      <c r="E719" s="30" t="s">
        <v>112</v>
      </c>
      <c r="F719" s="30" t="s">
        <v>183</v>
      </c>
      <c r="G719" s="30" t="s">
        <v>571</v>
      </c>
      <c r="H719" s="30" t="s">
        <v>241</v>
      </c>
      <c r="I719" s="30" t="s">
        <v>572</v>
      </c>
    </row>
    <row r="720" spans="1:9">
      <c r="A720" s="22" t="s">
        <v>1138</v>
      </c>
      <c r="B720" s="30"/>
      <c r="C720" s="30"/>
      <c r="D720" s="30" t="s">
        <v>731</v>
      </c>
      <c r="E720" s="30" t="s">
        <v>115</v>
      </c>
      <c r="F720" s="30" t="s">
        <v>184</v>
      </c>
      <c r="G720" s="30" t="s">
        <v>1189</v>
      </c>
      <c r="H720" s="30" t="s">
        <v>241</v>
      </c>
      <c r="I720" s="30" t="s">
        <v>114</v>
      </c>
    </row>
    <row r="721" spans="1:9">
      <c r="A721" s="22" t="s">
        <v>1138</v>
      </c>
      <c r="B721" s="30"/>
      <c r="C721" s="30"/>
      <c r="D721" s="30" t="s">
        <v>1112</v>
      </c>
      <c r="E721" s="30" t="s">
        <v>115</v>
      </c>
      <c r="F721" s="30" t="s">
        <v>184</v>
      </c>
      <c r="G721" s="30" t="s">
        <v>1190</v>
      </c>
      <c r="H721" s="30" t="s">
        <v>241</v>
      </c>
      <c r="I721" s="30" t="s">
        <v>114</v>
      </c>
    </row>
    <row r="722" spans="1:9">
      <c r="A722" s="22" t="s">
        <v>1138</v>
      </c>
      <c r="B722" s="30"/>
      <c r="C722" s="30"/>
      <c r="D722" s="30" t="s">
        <v>1181</v>
      </c>
      <c r="E722" s="30" t="s">
        <v>112</v>
      </c>
      <c r="F722" s="30" t="s">
        <v>184</v>
      </c>
      <c r="G722" s="30" t="s">
        <v>571</v>
      </c>
      <c r="H722" s="30" t="s">
        <v>241</v>
      </c>
      <c r="I722" s="30" t="s">
        <v>572</v>
      </c>
    </row>
    <row r="723" spans="1:9">
      <c r="A723" s="22" t="s">
        <v>1139</v>
      </c>
      <c r="B723" s="30"/>
      <c r="C723" s="30"/>
      <c r="D723" s="30" t="s">
        <v>838</v>
      </c>
      <c r="E723" s="30" t="s">
        <v>822</v>
      </c>
      <c r="F723" s="30" t="s">
        <v>111</v>
      </c>
      <c r="G723" s="30" t="s">
        <v>865</v>
      </c>
      <c r="H723" s="30" t="s">
        <v>241</v>
      </c>
      <c r="I723" s="30" t="s">
        <v>823</v>
      </c>
    </row>
    <row r="724" spans="1:9">
      <c r="A724" s="22" t="s">
        <v>1139</v>
      </c>
      <c r="B724" s="30"/>
      <c r="C724" s="30"/>
      <c r="D724" s="30" t="s">
        <v>839</v>
      </c>
      <c r="E724" s="30" t="s">
        <v>822</v>
      </c>
      <c r="F724" s="30" t="s">
        <v>111</v>
      </c>
      <c r="G724" s="30" t="s">
        <v>865</v>
      </c>
      <c r="H724" s="30" t="s">
        <v>241</v>
      </c>
      <c r="I724" s="30" t="s">
        <v>232</v>
      </c>
    </row>
    <row r="725" spans="1:9">
      <c r="A725" s="28"/>
      <c r="B725" s="28"/>
      <c r="C725" s="28"/>
      <c r="D725" s="28"/>
      <c r="E725" s="29" t="s">
        <v>766</v>
      </c>
      <c r="F725" s="28"/>
      <c r="G725" s="28"/>
      <c r="H725" s="28"/>
      <c r="I725" s="28"/>
    </row>
    <row r="726" spans="1:9">
      <c r="A726" s="22" t="s">
        <v>1138</v>
      </c>
      <c r="B726" s="30"/>
      <c r="C726" s="30"/>
      <c r="D726" s="22" t="s">
        <v>732</v>
      </c>
      <c r="E726" s="30" t="s">
        <v>115</v>
      </c>
      <c r="F726" s="30" t="s">
        <v>111</v>
      </c>
      <c r="G726" s="30" t="s">
        <v>863</v>
      </c>
      <c r="H726" s="30" t="s">
        <v>241</v>
      </c>
      <c r="I726" s="30" t="s">
        <v>114</v>
      </c>
    </row>
    <row r="727" spans="1:9">
      <c r="A727" s="22" t="s">
        <v>1138</v>
      </c>
      <c r="B727" s="30"/>
      <c r="C727" s="30"/>
      <c r="D727" s="22" t="s">
        <v>733</v>
      </c>
      <c r="E727" s="30" t="s">
        <v>120</v>
      </c>
      <c r="F727" s="30" t="s">
        <v>111</v>
      </c>
      <c r="G727" s="30" t="s">
        <v>863</v>
      </c>
      <c r="H727" s="30" t="s">
        <v>241</v>
      </c>
      <c r="I727" s="30" t="s">
        <v>114</v>
      </c>
    </row>
    <row r="728" spans="1:9">
      <c r="A728" s="22" t="s">
        <v>1138</v>
      </c>
      <c r="B728" s="30"/>
      <c r="C728" s="30"/>
      <c r="D728" s="30" t="s">
        <v>734</v>
      </c>
      <c r="E728" s="30" t="s">
        <v>112</v>
      </c>
      <c r="F728" s="30" t="s">
        <v>111</v>
      </c>
      <c r="G728" s="30" t="s">
        <v>113</v>
      </c>
      <c r="H728" s="30" t="s">
        <v>241</v>
      </c>
      <c r="I728" s="30" t="s">
        <v>114</v>
      </c>
    </row>
    <row r="729" spans="1:9">
      <c r="A729" s="22" t="s">
        <v>1138</v>
      </c>
      <c r="C729" s="30"/>
      <c r="D729" s="30" t="s">
        <v>735</v>
      </c>
      <c r="E729" s="30" t="s">
        <v>115</v>
      </c>
      <c r="F729" s="30" t="s">
        <v>111</v>
      </c>
      <c r="G729" s="30" t="s">
        <v>863</v>
      </c>
      <c r="H729" s="30" t="s">
        <v>241</v>
      </c>
      <c r="I729" s="30" t="s">
        <v>204</v>
      </c>
    </row>
    <row r="730" spans="1:9">
      <c r="A730" s="22" t="s">
        <v>1138</v>
      </c>
      <c r="C730" s="30"/>
      <c r="D730" s="30" t="s">
        <v>736</v>
      </c>
      <c r="E730" s="30" t="s">
        <v>115</v>
      </c>
      <c r="F730" s="30" t="s">
        <v>111</v>
      </c>
      <c r="G730" s="30" t="s">
        <v>863</v>
      </c>
      <c r="H730" s="30" t="s">
        <v>241</v>
      </c>
      <c r="I730" s="30" t="s">
        <v>232</v>
      </c>
    </row>
    <row r="731" spans="1:9">
      <c r="A731" s="22" t="s">
        <v>1138</v>
      </c>
      <c r="B731" s="30"/>
      <c r="C731" s="30"/>
      <c r="D731" s="30" t="s">
        <v>737</v>
      </c>
      <c r="E731" s="30" t="s">
        <v>115</v>
      </c>
      <c r="F731" s="30" t="s">
        <v>111</v>
      </c>
      <c r="G731" s="30" t="s">
        <v>863</v>
      </c>
      <c r="H731" s="30" t="s">
        <v>241</v>
      </c>
      <c r="I731" s="30" t="s">
        <v>118</v>
      </c>
    </row>
    <row r="732" spans="1:9">
      <c r="A732" s="22" t="s">
        <v>1138</v>
      </c>
      <c r="B732" s="30"/>
      <c r="C732" s="30"/>
      <c r="D732" s="30" t="s">
        <v>738</v>
      </c>
      <c r="E732" s="30" t="s">
        <v>115</v>
      </c>
      <c r="F732" s="30" t="s">
        <v>111</v>
      </c>
      <c r="G732" s="30" t="s">
        <v>864</v>
      </c>
      <c r="H732" s="30" t="s">
        <v>241</v>
      </c>
      <c r="I732" s="30" t="s">
        <v>118</v>
      </c>
    </row>
    <row r="733" spans="1:9">
      <c r="A733" s="22" t="s">
        <v>1138</v>
      </c>
      <c r="C733" s="30"/>
      <c r="D733" s="30" t="s">
        <v>1113</v>
      </c>
      <c r="E733" s="30" t="s">
        <v>112</v>
      </c>
      <c r="F733" s="30" t="s">
        <v>247</v>
      </c>
      <c r="G733" s="30"/>
      <c r="H733" s="30" t="s">
        <v>241</v>
      </c>
      <c r="I733" s="30" t="s">
        <v>118</v>
      </c>
    </row>
    <row r="734" spans="1:9">
      <c r="A734" s="22" t="s">
        <v>1138</v>
      </c>
      <c r="C734" s="30"/>
      <c r="D734" s="30" t="s">
        <v>1114</v>
      </c>
      <c r="E734" s="30" t="s">
        <v>127</v>
      </c>
      <c r="F734" s="30" t="s">
        <v>247</v>
      </c>
      <c r="G734" s="30"/>
      <c r="H734" s="30" t="s">
        <v>241</v>
      </c>
      <c r="I734" s="30" t="s">
        <v>118</v>
      </c>
    </row>
    <row r="735" spans="1:9">
      <c r="A735" s="22" t="s">
        <v>1138</v>
      </c>
      <c r="B735" s="30"/>
      <c r="C735" s="30"/>
      <c r="D735" s="30" t="s">
        <v>1115</v>
      </c>
      <c r="E735" s="30" t="s">
        <v>112</v>
      </c>
      <c r="F735" s="30" t="s">
        <v>123</v>
      </c>
      <c r="G735" s="30"/>
      <c r="H735" s="30" t="s">
        <v>241</v>
      </c>
      <c r="I735" s="30" t="s">
        <v>240</v>
      </c>
    </row>
    <row r="736" spans="1:9">
      <c r="A736" s="22" t="s">
        <v>1138</v>
      </c>
      <c r="B736" s="30"/>
      <c r="C736" s="30"/>
      <c r="D736" s="30" t="s">
        <v>1116</v>
      </c>
      <c r="E736" s="30" t="s">
        <v>127</v>
      </c>
      <c r="F736" s="30" t="s">
        <v>123</v>
      </c>
      <c r="G736" s="30"/>
      <c r="H736" s="30" t="s">
        <v>241</v>
      </c>
      <c r="I736" s="30" t="s">
        <v>240</v>
      </c>
    </row>
    <row r="737" spans="1:9">
      <c r="A737" s="22" t="s">
        <v>1138</v>
      </c>
      <c r="B737" s="30"/>
      <c r="C737" s="30"/>
      <c r="D737" s="30" t="s">
        <v>739</v>
      </c>
      <c r="E737" s="30" t="s">
        <v>112</v>
      </c>
      <c r="F737" s="30" t="s">
        <v>866</v>
      </c>
      <c r="G737" s="30"/>
      <c r="H737" s="30" t="s">
        <v>241</v>
      </c>
      <c r="I737" s="30" t="s">
        <v>126</v>
      </c>
    </row>
    <row r="738" spans="1:9">
      <c r="A738" s="22" t="s">
        <v>1138</v>
      </c>
      <c r="B738" s="30"/>
      <c r="C738" s="30"/>
      <c r="D738" s="30" t="s">
        <v>740</v>
      </c>
      <c r="E738" s="30" t="s">
        <v>127</v>
      </c>
      <c r="F738" s="30" t="s">
        <v>866</v>
      </c>
      <c r="G738" s="30"/>
      <c r="H738" s="30" t="s">
        <v>241</v>
      </c>
      <c r="I738" s="30" t="s">
        <v>126</v>
      </c>
    </row>
    <row r="739" spans="1:9">
      <c r="A739" s="22" t="s">
        <v>1138</v>
      </c>
      <c r="B739" s="30"/>
      <c r="C739" s="30"/>
      <c r="D739" s="30" t="s">
        <v>1117</v>
      </c>
      <c r="E739" s="30" t="s">
        <v>112</v>
      </c>
      <c r="F739" s="30" t="s">
        <v>866</v>
      </c>
      <c r="G739" s="30"/>
      <c r="H739" s="30" t="s">
        <v>241</v>
      </c>
      <c r="I739" s="30" t="s">
        <v>128</v>
      </c>
    </row>
    <row r="740" spans="1:9">
      <c r="A740" s="22" t="s">
        <v>1138</v>
      </c>
      <c r="B740" s="30"/>
      <c r="C740" s="30"/>
      <c r="D740" s="30" t="s">
        <v>1118</v>
      </c>
      <c r="E740" s="30" t="s">
        <v>127</v>
      </c>
      <c r="F740" s="30" t="s">
        <v>866</v>
      </c>
      <c r="G740" s="30"/>
      <c r="H740" s="30" t="s">
        <v>241</v>
      </c>
      <c r="I740" s="30" t="s">
        <v>128</v>
      </c>
    </row>
    <row r="741" spans="1:9">
      <c r="A741" s="22" t="s">
        <v>1138</v>
      </c>
      <c r="B741" s="30"/>
      <c r="C741" s="30"/>
      <c r="D741" s="22" t="s">
        <v>1119</v>
      </c>
      <c r="E741" s="30" t="s">
        <v>120</v>
      </c>
      <c r="F741" s="30" t="s">
        <v>111</v>
      </c>
      <c r="G741" s="30"/>
      <c r="H741" s="30" t="s">
        <v>241</v>
      </c>
      <c r="I741" s="30" t="s">
        <v>213</v>
      </c>
    </row>
    <row r="742" spans="1:9">
      <c r="A742" s="22" t="s">
        <v>1138</v>
      </c>
      <c r="B742" s="30"/>
      <c r="C742" s="30"/>
      <c r="D742" s="30" t="s">
        <v>742</v>
      </c>
      <c r="E742" s="30" t="s">
        <v>115</v>
      </c>
      <c r="F742" s="30" t="s">
        <v>178</v>
      </c>
      <c r="G742" s="30" t="s">
        <v>1191</v>
      </c>
      <c r="H742" s="30" t="s">
        <v>241</v>
      </c>
      <c r="I742" s="30" t="s">
        <v>114</v>
      </c>
    </row>
    <row r="743" spans="1:9">
      <c r="A743" s="22" t="s">
        <v>1138</v>
      </c>
      <c r="B743" s="30"/>
      <c r="C743" s="30"/>
      <c r="D743" s="30" t="s">
        <v>1120</v>
      </c>
      <c r="E743" s="30" t="s">
        <v>115</v>
      </c>
      <c r="F743" s="30" t="s">
        <v>178</v>
      </c>
      <c r="G743" s="30" t="s">
        <v>1192</v>
      </c>
      <c r="H743" s="30" t="s">
        <v>241</v>
      </c>
      <c r="I743" s="30" t="s">
        <v>114</v>
      </c>
    </row>
    <row r="744" spans="1:9">
      <c r="A744" s="22" t="s">
        <v>1138</v>
      </c>
      <c r="B744" s="30"/>
      <c r="C744" s="30"/>
      <c r="D744" s="30" t="s">
        <v>1182</v>
      </c>
      <c r="E744" s="30" t="s">
        <v>112</v>
      </c>
      <c r="F744" s="30" t="s">
        <v>178</v>
      </c>
      <c r="G744" s="30" t="s">
        <v>571</v>
      </c>
      <c r="H744" s="30" t="s">
        <v>241</v>
      </c>
      <c r="I744" s="30" t="s">
        <v>572</v>
      </c>
    </row>
    <row r="745" spans="1:9">
      <c r="A745" s="22" t="s">
        <v>1138</v>
      </c>
      <c r="B745" s="30"/>
      <c r="C745" s="30"/>
      <c r="D745" s="30" t="s">
        <v>743</v>
      </c>
      <c r="E745" s="30" t="s">
        <v>115</v>
      </c>
      <c r="F745" s="30" t="s">
        <v>179</v>
      </c>
      <c r="G745" s="30" t="s">
        <v>1193</v>
      </c>
      <c r="H745" s="30" t="s">
        <v>241</v>
      </c>
      <c r="I745" s="30" t="s">
        <v>114</v>
      </c>
    </row>
    <row r="746" spans="1:9">
      <c r="A746" s="22" t="s">
        <v>1138</v>
      </c>
      <c r="B746" s="30"/>
      <c r="C746" s="30"/>
      <c r="D746" s="30" t="s">
        <v>1121</v>
      </c>
      <c r="E746" s="30" t="s">
        <v>115</v>
      </c>
      <c r="F746" s="30" t="s">
        <v>179</v>
      </c>
      <c r="G746" s="30" t="s">
        <v>1194</v>
      </c>
      <c r="H746" s="30" t="s">
        <v>241</v>
      </c>
      <c r="I746" s="30" t="s">
        <v>114</v>
      </c>
    </row>
    <row r="747" spans="1:9">
      <c r="A747" s="22" t="s">
        <v>1138</v>
      </c>
      <c r="B747" s="30"/>
      <c r="C747" s="30"/>
      <c r="D747" s="30" t="s">
        <v>1122</v>
      </c>
      <c r="E747" s="30" t="s">
        <v>112</v>
      </c>
      <c r="F747" s="30" t="s">
        <v>179</v>
      </c>
      <c r="G747" s="30" t="s">
        <v>571</v>
      </c>
      <c r="H747" s="30" t="s">
        <v>241</v>
      </c>
      <c r="I747" s="30" t="s">
        <v>572</v>
      </c>
    </row>
    <row r="748" spans="1:9">
      <c r="A748" s="22" t="s">
        <v>1138</v>
      </c>
      <c r="B748" s="30"/>
      <c r="C748" s="30"/>
      <c r="D748" s="30" t="s">
        <v>1183</v>
      </c>
      <c r="E748" s="30" t="s">
        <v>115</v>
      </c>
      <c r="F748" s="30" t="s">
        <v>169</v>
      </c>
      <c r="G748" s="30" t="s">
        <v>1195</v>
      </c>
      <c r="H748" s="30" t="s">
        <v>241</v>
      </c>
      <c r="I748" s="30" t="s">
        <v>114</v>
      </c>
    </row>
    <row r="749" spans="1:9">
      <c r="A749" s="22" t="s">
        <v>1138</v>
      </c>
      <c r="B749" s="30"/>
      <c r="C749" s="30"/>
      <c r="D749" s="30" t="s">
        <v>1123</v>
      </c>
      <c r="E749" s="30" t="s">
        <v>115</v>
      </c>
      <c r="F749" s="30" t="s">
        <v>169</v>
      </c>
      <c r="G749" s="30" t="s">
        <v>1196</v>
      </c>
      <c r="H749" s="30" t="s">
        <v>241</v>
      </c>
      <c r="I749" s="30" t="s">
        <v>114</v>
      </c>
    </row>
    <row r="750" spans="1:9">
      <c r="A750" s="22" t="s">
        <v>1138</v>
      </c>
      <c r="B750" s="30"/>
      <c r="C750" s="30"/>
      <c r="D750" s="30" t="s">
        <v>1124</v>
      </c>
      <c r="E750" s="30" t="s">
        <v>112</v>
      </c>
      <c r="F750" s="30" t="s">
        <v>169</v>
      </c>
      <c r="G750" s="30" t="s">
        <v>571</v>
      </c>
      <c r="H750" s="30" t="s">
        <v>241</v>
      </c>
      <c r="I750" s="30" t="s">
        <v>572</v>
      </c>
    </row>
    <row r="751" spans="1:9">
      <c r="A751" s="22" t="s">
        <v>1138</v>
      </c>
      <c r="B751" s="30"/>
      <c r="C751" s="30"/>
      <c r="D751" s="30" t="s">
        <v>744</v>
      </c>
      <c r="E751" s="30" t="s">
        <v>115</v>
      </c>
      <c r="F751" s="30" t="s">
        <v>180</v>
      </c>
      <c r="G751" s="30" t="s">
        <v>1202</v>
      </c>
      <c r="H751" s="30" t="s">
        <v>241</v>
      </c>
      <c r="I751" s="30" t="s">
        <v>114</v>
      </c>
    </row>
    <row r="752" spans="1:9">
      <c r="A752" s="22" t="s">
        <v>1138</v>
      </c>
      <c r="B752" s="30"/>
      <c r="C752" s="30"/>
      <c r="D752" s="30" t="s">
        <v>1125</v>
      </c>
      <c r="E752" s="30" t="s">
        <v>115</v>
      </c>
      <c r="F752" s="30" t="s">
        <v>180</v>
      </c>
      <c r="G752" s="30" t="s">
        <v>1203</v>
      </c>
      <c r="H752" s="30" t="s">
        <v>241</v>
      </c>
      <c r="I752" s="30" t="s">
        <v>114</v>
      </c>
    </row>
    <row r="753" spans="1:9">
      <c r="A753" s="22" t="s">
        <v>1138</v>
      </c>
      <c r="B753" s="30"/>
      <c r="C753" s="30"/>
      <c r="D753" s="30" t="s">
        <v>1126</v>
      </c>
      <c r="E753" s="30" t="s">
        <v>112</v>
      </c>
      <c r="F753" s="30" t="s">
        <v>180</v>
      </c>
      <c r="G753" s="30" t="s">
        <v>571</v>
      </c>
      <c r="H753" s="30" t="s">
        <v>241</v>
      </c>
      <c r="I753" s="30" t="s">
        <v>572</v>
      </c>
    </row>
    <row r="754" spans="1:9">
      <c r="A754" s="22" t="s">
        <v>1138</v>
      </c>
      <c r="B754" s="30"/>
      <c r="C754" s="30"/>
      <c r="D754" s="30" t="s">
        <v>745</v>
      </c>
      <c r="E754" s="30" t="s">
        <v>115</v>
      </c>
      <c r="F754" s="30" t="s">
        <v>181</v>
      </c>
      <c r="G754" s="30" t="s">
        <v>1197</v>
      </c>
      <c r="H754" s="30" t="s">
        <v>241</v>
      </c>
      <c r="I754" s="30" t="s">
        <v>114</v>
      </c>
    </row>
    <row r="755" spans="1:9">
      <c r="A755" s="22" t="s">
        <v>1138</v>
      </c>
      <c r="B755" s="30"/>
      <c r="C755" s="30"/>
      <c r="D755" s="30" t="s">
        <v>1127</v>
      </c>
      <c r="E755" s="30" t="s">
        <v>115</v>
      </c>
      <c r="F755" s="30" t="s">
        <v>181</v>
      </c>
      <c r="G755" s="30" t="s">
        <v>1198</v>
      </c>
      <c r="H755" s="30" t="s">
        <v>241</v>
      </c>
      <c r="I755" s="30" t="s">
        <v>114</v>
      </c>
    </row>
    <row r="756" spans="1:9">
      <c r="A756" s="22" t="s">
        <v>1138</v>
      </c>
      <c r="B756" s="30"/>
      <c r="C756" s="30"/>
      <c r="D756" s="30" t="s">
        <v>1128</v>
      </c>
      <c r="E756" s="30" t="s">
        <v>112</v>
      </c>
      <c r="F756" s="30" t="s">
        <v>181</v>
      </c>
      <c r="G756" s="30" t="s">
        <v>571</v>
      </c>
      <c r="H756" s="30" t="s">
        <v>241</v>
      </c>
      <c r="I756" s="30" t="s">
        <v>572</v>
      </c>
    </row>
    <row r="757" spans="1:9">
      <c r="A757" s="22" t="s">
        <v>1138</v>
      </c>
      <c r="B757" s="30"/>
      <c r="C757" s="30"/>
      <c r="D757" s="30" t="s">
        <v>746</v>
      </c>
      <c r="E757" s="30" t="s">
        <v>115</v>
      </c>
      <c r="F757" s="30" t="s">
        <v>182</v>
      </c>
      <c r="G757" s="30" t="s">
        <v>1199</v>
      </c>
      <c r="H757" s="30" t="s">
        <v>241</v>
      </c>
      <c r="I757" s="30" t="s">
        <v>114</v>
      </c>
    </row>
    <row r="758" spans="1:9">
      <c r="A758" s="22" t="s">
        <v>1138</v>
      </c>
      <c r="B758" s="30"/>
      <c r="C758" s="30"/>
      <c r="D758" s="30" t="s">
        <v>1129</v>
      </c>
      <c r="E758" s="30" t="s">
        <v>115</v>
      </c>
      <c r="F758" s="30" t="s">
        <v>182</v>
      </c>
      <c r="G758" s="30" t="s">
        <v>1200</v>
      </c>
      <c r="H758" s="30" t="s">
        <v>241</v>
      </c>
      <c r="I758" s="30" t="s">
        <v>114</v>
      </c>
    </row>
    <row r="759" spans="1:9">
      <c r="A759" s="22" t="s">
        <v>1138</v>
      </c>
      <c r="B759" s="30"/>
      <c r="C759" s="30"/>
      <c r="D759" s="30" t="s">
        <v>1130</v>
      </c>
      <c r="E759" s="30" t="s">
        <v>112</v>
      </c>
      <c r="F759" s="30" t="s">
        <v>182</v>
      </c>
      <c r="G759" s="30" t="s">
        <v>571</v>
      </c>
      <c r="H759" s="30" t="s">
        <v>241</v>
      </c>
      <c r="I759" s="30" t="s">
        <v>572</v>
      </c>
    </row>
    <row r="760" spans="1:9">
      <c r="A760" s="22" t="s">
        <v>1138</v>
      </c>
      <c r="B760" s="30"/>
      <c r="C760" s="30"/>
      <c r="D760" s="30" t="s">
        <v>747</v>
      </c>
      <c r="E760" s="30" t="s">
        <v>115</v>
      </c>
      <c r="F760" s="30" t="s">
        <v>183</v>
      </c>
      <c r="G760" s="30" t="s">
        <v>1204</v>
      </c>
      <c r="H760" s="30" t="s">
        <v>241</v>
      </c>
      <c r="I760" s="30" t="s">
        <v>114</v>
      </c>
    </row>
    <row r="761" spans="1:9">
      <c r="A761" s="22" t="s">
        <v>1138</v>
      </c>
      <c r="B761" s="30"/>
      <c r="C761" s="30"/>
      <c r="D761" s="30" t="s">
        <v>1131</v>
      </c>
      <c r="E761" s="30" t="s">
        <v>115</v>
      </c>
      <c r="F761" s="30" t="s">
        <v>183</v>
      </c>
      <c r="G761" s="30" t="s">
        <v>1205</v>
      </c>
      <c r="H761" s="30" t="s">
        <v>241</v>
      </c>
      <c r="I761" s="30" t="s">
        <v>114</v>
      </c>
    </row>
    <row r="762" spans="1:9">
      <c r="A762" s="22" t="s">
        <v>1138</v>
      </c>
      <c r="B762" s="30"/>
      <c r="C762" s="30"/>
      <c r="D762" s="30" t="s">
        <v>1132</v>
      </c>
      <c r="E762" s="30" t="s">
        <v>112</v>
      </c>
      <c r="F762" s="30" t="s">
        <v>183</v>
      </c>
      <c r="G762" s="30" t="s">
        <v>571</v>
      </c>
      <c r="H762" s="30" t="s">
        <v>241</v>
      </c>
      <c r="I762" s="30" t="s">
        <v>572</v>
      </c>
    </row>
    <row r="763" spans="1:9">
      <c r="A763" s="22" t="s">
        <v>1138</v>
      </c>
      <c r="B763" s="30"/>
      <c r="C763" s="30"/>
      <c r="D763" s="30" t="s">
        <v>748</v>
      </c>
      <c r="E763" s="30" t="s">
        <v>115</v>
      </c>
      <c r="F763" s="30" t="s">
        <v>184</v>
      </c>
      <c r="G763" s="30" t="s">
        <v>1189</v>
      </c>
      <c r="H763" s="30" t="s">
        <v>241</v>
      </c>
      <c r="I763" s="30" t="s">
        <v>114</v>
      </c>
    </row>
    <row r="764" spans="1:9">
      <c r="A764" s="22" t="s">
        <v>1138</v>
      </c>
      <c r="B764" s="30"/>
      <c r="C764" s="30"/>
      <c r="D764" s="30" t="s">
        <v>1133</v>
      </c>
      <c r="E764" s="30" t="s">
        <v>115</v>
      </c>
      <c r="F764" s="30" t="s">
        <v>184</v>
      </c>
      <c r="G764" s="30" t="s">
        <v>1190</v>
      </c>
      <c r="H764" s="30" t="s">
        <v>241</v>
      </c>
      <c r="I764" s="30" t="s">
        <v>114</v>
      </c>
    </row>
    <row r="765" spans="1:9">
      <c r="A765" s="22" t="s">
        <v>1138</v>
      </c>
      <c r="B765" s="30"/>
      <c r="C765" s="30"/>
      <c r="D765" s="30" t="s">
        <v>1184</v>
      </c>
      <c r="E765" s="30" t="s">
        <v>112</v>
      </c>
      <c r="F765" s="30" t="s">
        <v>184</v>
      </c>
      <c r="G765" s="30" t="s">
        <v>571</v>
      </c>
      <c r="H765" s="30" t="s">
        <v>241</v>
      </c>
      <c r="I765" s="30" t="s">
        <v>572</v>
      </c>
    </row>
    <row r="766" spans="1:9">
      <c r="A766" s="22" t="s">
        <v>1139</v>
      </c>
      <c r="B766" s="30"/>
      <c r="C766" s="30"/>
      <c r="D766" s="30" t="s">
        <v>840</v>
      </c>
      <c r="E766" s="30" t="s">
        <v>822</v>
      </c>
      <c r="F766" s="30" t="s">
        <v>111</v>
      </c>
      <c r="G766" s="30" t="s">
        <v>865</v>
      </c>
      <c r="H766" s="30" t="s">
        <v>241</v>
      </c>
      <c r="I766" s="30" t="s">
        <v>823</v>
      </c>
    </row>
    <row r="767" spans="1:9">
      <c r="A767" s="22" t="s">
        <v>1139</v>
      </c>
      <c r="B767" s="30"/>
      <c r="C767" s="30"/>
      <c r="D767" s="30" t="s">
        <v>841</v>
      </c>
      <c r="E767" s="30" t="s">
        <v>822</v>
      </c>
      <c r="F767" s="30" t="s">
        <v>111</v>
      </c>
      <c r="G767" s="30" t="s">
        <v>865</v>
      </c>
      <c r="H767" s="30" t="s">
        <v>241</v>
      </c>
      <c r="I767" s="30" t="s">
        <v>232</v>
      </c>
    </row>
    <row r="768" spans="1:9">
      <c r="A768" s="30"/>
      <c r="B768" s="30"/>
      <c r="C768" s="30"/>
      <c r="D768" s="30"/>
      <c r="E768" s="30"/>
      <c r="F768" s="30"/>
      <c r="G768" s="30" t="s">
        <v>435</v>
      </c>
      <c r="H768" s="30"/>
      <c r="I768" s="30"/>
    </row>
  </sheetData>
  <dataConsolidate/>
  <pageMargins left="0.75" right="0.75" top="1" bottom="1" header="0.5" footer="0.5"/>
  <pageSetup paperSize="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20"/>
  <dimension ref="A1:U665"/>
  <sheetViews>
    <sheetView topLeftCell="J90" zoomScale="85" zoomScaleNormal="85" workbookViewId="0">
      <selection activeCell="A748" sqref="A748"/>
    </sheetView>
  </sheetViews>
  <sheetFormatPr defaultRowHeight="12.75"/>
  <cols>
    <col min="1" max="1" width="61.7109375" customWidth="1"/>
    <col min="2" max="2" width="9.140625" customWidth="1"/>
    <col min="3" max="5" width="7.5703125" customWidth="1"/>
    <col min="6" max="6" width="8.7109375" customWidth="1"/>
    <col min="7" max="7" width="8.5703125" customWidth="1"/>
    <col min="8" max="9" width="7.5703125" customWidth="1"/>
    <col min="10" max="10" width="8.140625" customWidth="1"/>
    <col min="11" max="11" width="7.5703125" customWidth="1"/>
    <col min="12" max="12" width="8.28515625" customWidth="1"/>
    <col min="13" max="15" width="7.5703125" customWidth="1"/>
    <col min="16" max="16" width="8.28515625" customWidth="1"/>
    <col min="17" max="17" width="2.7109375" customWidth="1"/>
    <col min="18" max="18" width="9.5703125" style="139" customWidth="1"/>
    <col min="19" max="19" width="32.28515625" bestFit="1" customWidth="1"/>
    <col min="20" max="20" width="14.28515625" bestFit="1" customWidth="1"/>
  </cols>
  <sheetData>
    <row r="1" spans="1:21" ht="13.5" customHeight="1">
      <c r="A1" s="393" t="s">
        <v>1185</v>
      </c>
      <c r="B1" s="394" t="s">
        <v>325</v>
      </c>
      <c r="C1" s="394"/>
      <c r="D1" s="394"/>
      <c r="E1" s="394"/>
      <c r="F1" s="394"/>
      <c r="G1" s="394"/>
      <c r="H1" s="394"/>
      <c r="I1" s="394"/>
      <c r="J1" s="394"/>
      <c r="K1" s="394"/>
      <c r="L1" s="394"/>
      <c r="M1" s="394"/>
      <c r="N1" s="394"/>
      <c r="O1" s="394"/>
      <c r="P1" s="394"/>
      <c r="Q1" s="31"/>
      <c r="R1" s="163"/>
    </row>
    <row r="2" spans="1:21" ht="13.5" customHeight="1" thickBot="1">
      <c r="A2" s="393"/>
      <c r="B2" s="394"/>
      <c r="C2" s="394"/>
      <c r="D2" s="394"/>
      <c r="E2" s="394"/>
      <c r="F2" s="394"/>
      <c r="G2" s="394"/>
      <c r="H2" s="394"/>
      <c r="I2" s="394"/>
      <c r="J2" s="394"/>
      <c r="K2" s="394"/>
      <c r="L2" s="394"/>
      <c r="M2" s="394"/>
      <c r="N2" s="394"/>
      <c r="O2" s="394"/>
      <c r="P2" s="394"/>
    </row>
    <row r="3" spans="1:21" ht="30" customHeight="1" thickBot="1">
      <c r="B3" s="172" t="s">
        <v>310</v>
      </c>
      <c r="C3" s="172" t="s">
        <v>243</v>
      </c>
      <c r="D3" s="172" t="s">
        <v>259</v>
      </c>
      <c r="E3" s="172" t="s">
        <v>244</v>
      </c>
      <c r="F3" s="172" t="s">
        <v>524</v>
      </c>
      <c r="G3" s="172" t="s">
        <v>311</v>
      </c>
      <c r="H3" s="172" t="s">
        <v>245</v>
      </c>
      <c r="I3" s="172" t="s">
        <v>260</v>
      </c>
      <c r="J3" s="172" t="s">
        <v>246</v>
      </c>
      <c r="K3" s="172" t="s">
        <v>525</v>
      </c>
      <c r="L3" s="172" t="s">
        <v>440</v>
      </c>
      <c r="M3" s="172" t="s">
        <v>441</v>
      </c>
      <c r="N3" s="172" t="s">
        <v>442</v>
      </c>
      <c r="O3" s="172" t="s">
        <v>443</v>
      </c>
      <c r="P3" s="172" t="s">
        <v>526</v>
      </c>
      <c r="R3" s="196" t="s">
        <v>801</v>
      </c>
      <c r="S3" s="189" t="s">
        <v>258</v>
      </c>
      <c r="T3" s="189"/>
      <c r="U3" s="190"/>
    </row>
    <row r="4" spans="1:21">
      <c r="A4" s="144" t="s">
        <v>323</v>
      </c>
      <c r="B4" s="145">
        <v>512</v>
      </c>
      <c r="C4" s="145">
        <v>512</v>
      </c>
      <c r="D4" s="145">
        <v>512</v>
      </c>
      <c r="E4" s="145">
        <v>512</v>
      </c>
      <c r="F4" s="145">
        <v>512</v>
      </c>
      <c r="G4" s="145">
        <v>512</v>
      </c>
      <c r="H4" s="145">
        <v>512</v>
      </c>
      <c r="I4" s="145">
        <v>512</v>
      </c>
      <c r="J4" s="145">
        <v>512</v>
      </c>
      <c r="K4" s="145">
        <v>512</v>
      </c>
      <c r="L4" s="145">
        <v>512</v>
      </c>
      <c r="M4" s="145">
        <v>512</v>
      </c>
      <c r="N4" s="145">
        <v>512</v>
      </c>
      <c r="O4" s="145">
        <v>512</v>
      </c>
      <c r="P4" s="145">
        <v>512</v>
      </c>
      <c r="R4" s="163"/>
      <c r="S4" s="147" t="s">
        <v>269</v>
      </c>
      <c r="T4" s="131" t="e">
        <f>#REF!</f>
        <v>#REF!</v>
      </c>
      <c r="U4" s="130" t="s">
        <v>132</v>
      </c>
    </row>
    <row r="5" spans="1:21" ht="13.5" thickBot="1">
      <c r="A5" s="144" t="s">
        <v>324</v>
      </c>
      <c r="B5" s="145">
        <v>2277</v>
      </c>
      <c r="C5" s="145">
        <v>2277</v>
      </c>
      <c r="D5" s="145">
        <v>2277</v>
      </c>
      <c r="E5" s="145">
        <v>2277</v>
      </c>
      <c r="F5" s="145">
        <v>2277</v>
      </c>
      <c r="G5" s="145">
        <v>2277</v>
      </c>
      <c r="H5" s="145">
        <v>2277</v>
      </c>
      <c r="I5" s="145">
        <v>2277</v>
      </c>
      <c r="J5" s="145">
        <v>2277</v>
      </c>
      <c r="K5" s="145">
        <v>2277</v>
      </c>
      <c r="L5" s="145">
        <v>2277</v>
      </c>
      <c r="M5" s="145">
        <v>2277</v>
      </c>
      <c r="N5" s="145">
        <v>2277</v>
      </c>
      <c r="O5" s="145">
        <v>2277</v>
      </c>
      <c r="P5" s="145">
        <v>2277</v>
      </c>
      <c r="R5" s="163"/>
      <c r="S5" s="147" t="s">
        <v>254</v>
      </c>
      <c r="T5" s="131" t="e">
        <f>#REF!</f>
        <v>#REF!</v>
      </c>
      <c r="U5" s="130" t="s">
        <v>141</v>
      </c>
    </row>
    <row r="6" spans="1:21">
      <c r="A6" s="144" t="s">
        <v>326</v>
      </c>
      <c r="B6" s="146">
        <v>67.290000000000006</v>
      </c>
      <c r="C6" s="146">
        <v>67.290000000000006</v>
      </c>
      <c r="D6" s="146">
        <v>67.290000000000006</v>
      </c>
      <c r="E6" s="146">
        <v>67.290000000000006</v>
      </c>
      <c r="F6" s="146">
        <v>67.290000000000006</v>
      </c>
      <c r="G6" s="146">
        <v>67.290000000000006</v>
      </c>
      <c r="H6" s="146">
        <v>67.290000000000006</v>
      </c>
      <c r="I6" s="146">
        <v>67.290000000000006</v>
      </c>
      <c r="J6" s="146">
        <v>67.290000000000006</v>
      </c>
      <c r="K6" s="146">
        <v>67.290000000000006</v>
      </c>
      <c r="L6" s="146">
        <v>67.290000000000006</v>
      </c>
      <c r="M6" s="146">
        <v>67.290000000000006</v>
      </c>
      <c r="N6" s="146">
        <v>67.290000000000006</v>
      </c>
      <c r="O6" s="146">
        <v>67.290000000000006</v>
      </c>
      <c r="P6" s="146">
        <v>67.290000000000006</v>
      </c>
      <c r="R6" s="163"/>
      <c r="S6" s="148" t="s">
        <v>145</v>
      </c>
      <c r="T6" s="115"/>
      <c r="U6" s="116"/>
    </row>
    <row r="7" spans="1:21">
      <c r="A7" s="20" t="s">
        <v>850</v>
      </c>
      <c r="B7" s="173">
        <v>2380.832763671875</v>
      </c>
      <c r="C7" s="173">
        <v>2510.065185546875</v>
      </c>
      <c r="D7" s="173">
        <v>2531.77734375</v>
      </c>
      <c r="E7" s="173">
        <v>2551.734619140625</v>
      </c>
      <c r="F7" s="173">
        <v>2551.044921875</v>
      </c>
      <c r="G7" s="173">
        <v>2267.045654296875</v>
      </c>
      <c r="H7" s="173">
        <v>2412.533935546875</v>
      </c>
      <c r="I7" s="173">
        <v>2434.78466796875</v>
      </c>
      <c r="J7" s="173">
        <v>2454.610107421875</v>
      </c>
      <c r="K7" s="173">
        <v>2453.9150390625</v>
      </c>
      <c r="L7" s="173">
        <v>2248.84326171875</v>
      </c>
      <c r="M7" s="173">
        <v>2396.677490234375</v>
      </c>
      <c r="N7" s="173">
        <v>2418.896240234375</v>
      </c>
      <c r="O7" s="173">
        <v>2438.7509765625</v>
      </c>
      <c r="P7" s="173">
        <v>2438.04833984375</v>
      </c>
      <c r="R7" s="169"/>
      <c r="S7" s="149" t="e">
        <f>#REF!</f>
        <v>#REF!</v>
      </c>
      <c r="T7" s="118" t="s">
        <v>256</v>
      </c>
      <c r="U7" s="119"/>
    </row>
    <row r="8" spans="1:21">
      <c r="A8" s="20" t="s">
        <v>851</v>
      </c>
      <c r="B8" s="173">
        <f>B7*$T$20</f>
        <v>535.21120527343749</v>
      </c>
      <c r="C8" s="173">
        <f t="shared" ref="C8:P8" si="0">C7*$T$20</f>
        <v>564.26265371093746</v>
      </c>
      <c r="D8" s="173">
        <f t="shared" si="0"/>
        <v>569.14354687499997</v>
      </c>
      <c r="E8" s="173">
        <f t="shared" si="0"/>
        <v>573.62994238281249</v>
      </c>
      <c r="F8" s="173">
        <f t="shared" si="0"/>
        <v>573.47489843749997</v>
      </c>
      <c r="G8" s="173">
        <f t="shared" si="0"/>
        <v>509.63186308593748</v>
      </c>
      <c r="H8" s="173">
        <f t="shared" si="0"/>
        <v>542.33762871093745</v>
      </c>
      <c r="I8" s="173">
        <f t="shared" si="0"/>
        <v>547.33959335937504</v>
      </c>
      <c r="J8" s="173">
        <f t="shared" si="0"/>
        <v>551.79635214843745</v>
      </c>
      <c r="K8" s="173">
        <f t="shared" si="0"/>
        <v>551.64010078125</v>
      </c>
      <c r="L8" s="173">
        <f t="shared" si="0"/>
        <v>505.53996523437502</v>
      </c>
      <c r="M8" s="173">
        <f t="shared" si="0"/>
        <v>538.77309980468749</v>
      </c>
      <c r="N8" s="173">
        <f t="shared" si="0"/>
        <v>543.76787480468749</v>
      </c>
      <c r="O8" s="173">
        <f t="shared" si="0"/>
        <v>548.23121953124996</v>
      </c>
      <c r="P8" s="173">
        <f t="shared" si="0"/>
        <v>548.07326679687503</v>
      </c>
      <c r="R8" s="163">
        <f>MAX(B8:P8)</f>
        <v>573.62994238281249</v>
      </c>
      <c r="S8" s="150"/>
      <c r="T8" s="121"/>
      <c r="U8" s="122"/>
    </row>
    <row r="9" spans="1:21" ht="13.5" thickBot="1">
      <c r="A9" s="20" t="s">
        <v>852</v>
      </c>
      <c r="B9" s="173">
        <v>1955.8297119140625</v>
      </c>
      <c r="C9" s="173">
        <v>1753.6357421875</v>
      </c>
      <c r="D9" s="173">
        <v>1707.3916015625</v>
      </c>
      <c r="E9" s="173">
        <v>1658.940185546875</v>
      </c>
      <c r="F9" s="173">
        <v>1656.029541015625</v>
      </c>
      <c r="G9" s="173">
        <v>1660.1466064453125</v>
      </c>
      <c r="H9" s="173">
        <v>1457.8382568359375</v>
      </c>
      <c r="I9" s="173">
        <v>1412.5562744140625</v>
      </c>
      <c r="J9" s="173">
        <v>1365.052001953125</v>
      </c>
      <c r="K9" s="173">
        <v>1361.9029541015625</v>
      </c>
      <c r="L9" s="173">
        <v>1502.866943359375</v>
      </c>
      <c r="M9" s="173">
        <v>1300.792236328125</v>
      </c>
      <c r="N9" s="173">
        <v>1255.822265625</v>
      </c>
      <c r="O9" s="173">
        <v>1208.1822509765625</v>
      </c>
      <c r="P9" s="173">
        <v>1205.006103515625</v>
      </c>
      <c r="R9" s="169"/>
      <c r="S9" s="151"/>
      <c r="T9" s="124"/>
      <c r="U9" s="125"/>
    </row>
    <row r="10" spans="1:21" ht="13.5" thickBot="1">
      <c r="A10" s="20" t="s">
        <v>853</v>
      </c>
      <c r="B10" s="173">
        <f>B9*$T$20</f>
        <v>439.67051923828126</v>
      </c>
      <c r="C10" s="173">
        <f t="shared" ref="C10:P10" si="1">C9*$T$20</f>
        <v>394.21731484374999</v>
      </c>
      <c r="D10" s="173">
        <f t="shared" si="1"/>
        <v>383.82163203124998</v>
      </c>
      <c r="E10" s="173">
        <f t="shared" si="1"/>
        <v>372.92975371093752</v>
      </c>
      <c r="F10" s="173">
        <f t="shared" si="1"/>
        <v>372.2754408203125</v>
      </c>
      <c r="G10" s="173">
        <f t="shared" si="1"/>
        <v>373.20095712890623</v>
      </c>
      <c r="H10" s="173">
        <f t="shared" si="1"/>
        <v>327.72204013671876</v>
      </c>
      <c r="I10" s="173">
        <f t="shared" si="1"/>
        <v>317.54265048828125</v>
      </c>
      <c r="J10" s="173">
        <f t="shared" si="1"/>
        <v>306.86369003906248</v>
      </c>
      <c r="K10" s="173">
        <f t="shared" si="1"/>
        <v>306.15578408203123</v>
      </c>
      <c r="L10" s="173">
        <f t="shared" si="1"/>
        <v>337.84448886718752</v>
      </c>
      <c r="M10" s="173">
        <f t="shared" si="1"/>
        <v>292.41809472656252</v>
      </c>
      <c r="N10" s="173">
        <f t="shared" si="1"/>
        <v>282.30884531250001</v>
      </c>
      <c r="O10" s="173">
        <f t="shared" si="1"/>
        <v>271.59937001953125</v>
      </c>
      <c r="P10" s="173">
        <f t="shared" si="1"/>
        <v>270.88537207031248</v>
      </c>
      <c r="R10" s="163">
        <f>MIN(B10:P10)</f>
        <v>270.88537207031248</v>
      </c>
      <c r="S10" s="152" t="s">
        <v>142</v>
      </c>
      <c r="T10" s="128" t="e">
        <f>#REF!</f>
        <v>#REF!</v>
      </c>
      <c r="U10" s="129" t="s">
        <v>257</v>
      </c>
    </row>
    <row r="11" spans="1:21">
      <c r="A11" s="20" t="s">
        <v>188</v>
      </c>
      <c r="B11" s="31">
        <v>70.127685546875</v>
      </c>
      <c r="C11" s="31">
        <v>71.440521240234375</v>
      </c>
      <c r="D11" s="31">
        <v>71.602325439453125</v>
      </c>
      <c r="E11" s="31">
        <v>71.847946166992188</v>
      </c>
      <c r="F11" s="31">
        <v>71.848251342773438</v>
      </c>
      <c r="G11" s="31">
        <v>88.314704895019531</v>
      </c>
      <c r="H11" s="31">
        <v>89.915939331054688</v>
      </c>
      <c r="I11" s="31">
        <v>90.088546752929688</v>
      </c>
      <c r="J11" s="31">
        <v>90.402183532714844</v>
      </c>
      <c r="K11" s="31">
        <v>90.402580261230469</v>
      </c>
      <c r="L11" s="31">
        <v>97.987358093261719</v>
      </c>
      <c r="M11" s="31">
        <v>99.753684997558594</v>
      </c>
      <c r="N11" s="31">
        <v>99.932449340820313</v>
      </c>
      <c r="O11" s="31">
        <v>100.28182983398437</v>
      </c>
      <c r="P11" s="31">
        <v>100.283203125</v>
      </c>
      <c r="R11" s="163"/>
    </row>
    <row r="12" spans="1:21" ht="13.5" thickBot="1">
      <c r="A12" s="20"/>
      <c r="B12" s="31"/>
      <c r="C12" s="31"/>
      <c r="D12" s="31"/>
      <c r="E12" s="31"/>
      <c r="F12" s="31"/>
      <c r="G12" s="31"/>
      <c r="H12" s="31"/>
      <c r="I12" s="31"/>
      <c r="J12" s="31"/>
      <c r="K12" s="31"/>
      <c r="L12" s="31"/>
      <c r="M12" s="31"/>
      <c r="N12" s="31"/>
      <c r="O12" s="31"/>
      <c r="P12" s="31"/>
      <c r="R12" s="163"/>
    </row>
    <row r="13" spans="1:21">
      <c r="A13" s="20" t="s">
        <v>854</v>
      </c>
      <c r="B13" s="173">
        <v>96088.718345870511</v>
      </c>
      <c r="C13" s="173">
        <v>158488.73906043818</v>
      </c>
      <c r="D13" s="173">
        <v>138198.24243117799</v>
      </c>
      <c r="E13" s="173">
        <v>135367.11828904372</v>
      </c>
      <c r="F13" s="173">
        <v>134076.73471568251</v>
      </c>
      <c r="G13" s="173">
        <v>95959.301184635551</v>
      </c>
      <c r="H13" s="173">
        <v>159948.44401803854</v>
      </c>
      <c r="I13" s="173">
        <v>138968.94302951911</v>
      </c>
      <c r="J13" s="173">
        <v>132245.43591316795</v>
      </c>
      <c r="K13" s="173">
        <v>130920.85437667459</v>
      </c>
      <c r="L13" s="173">
        <v>95904.495932999052</v>
      </c>
      <c r="M13" s="173">
        <v>160715.79640266486</v>
      </c>
      <c r="N13" s="173">
        <v>139289.61990326649</v>
      </c>
      <c r="O13" s="173">
        <v>130459.80015674639</v>
      </c>
      <c r="P13" s="173">
        <v>130160.74612922713</v>
      </c>
      <c r="R13" s="169"/>
      <c r="S13" s="153" t="s">
        <v>225</v>
      </c>
      <c r="T13" s="78" t="s">
        <v>226</v>
      </c>
      <c r="U13" s="79"/>
    </row>
    <row r="14" spans="1:21">
      <c r="A14" s="20" t="s">
        <v>855</v>
      </c>
      <c r="B14" s="31">
        <f>B13*$T$15</f>
        <v>13.936515531448368</v>
      </c>
      <c r="C14" s="31">
        <f t="shared" ref="C14:P14" si="2">C13*$T$15</f>
        <v>22.986889735847832</v>
      </c>
      <c r="D14" s="31">
        <f t="shared" si="2"/>
        <v>20.043996685733195</v>
      </c>
      <c r="E14" s="31">
        <f t="shared" si="2"/>
        <v>19.633376102406324</v>
      </c>
      <c r="F14" s="31">
        <f t="shared" si="2"/>
        <v>19.446221449693162</v>
      </c>
      <c r="G14" s="31">
        <f t="shared" si="2"/>
        <v>13.917745125217172</v>
      </c>
      <c r="H14" s="31">
        <f t="shared" si="2"/>
        <v>23.198602423488275</v>
      </c>
      <c r="I14" s="31">
        <f t="shared" si="2"/>
        <v>20.155777559115393</v>
      </c>
      <c r="J14" s="31">
        <f t="shared" si="2"/>
        <v>19.180613533974054</v>
      </c>
      <c r="K14" s="31">
        <f t="shared" si="2"/>
        <v>18.98849887708413</v>
      </c>
      <c r="L14" s="31">
        <f t="shared" si="2"/>
        <v>13.909796281130317</v>
      </c>
      <c r="M14" s="31">
        <f t="shared" si="2"/>
        <v>23.309897678649705</v>
      </c>
      <c r="N14" s="31">
        <f t="shared" si="2"/>
        <v>20.202287891529966</v>
      </c>
      <c r="O14" s="31">
        <f t="shared" si="2"/>
        <v>18.921628495134183</v>
      </c>
      <c r="P14" s="31">
        <f t="shared" si="2"/>
        <v>18.878254297090844</v>
      </c>
      <c r="R14" s="163">
        <f>MAX(B14:P14)</f>
        <v>23.309897678649705</v>
      </c>
      <c r="S14" s="154" t="s">
        <v>231</v>
      </c>
      <c r="T14" s="80">
        <v>80</v>
      </c>
      <c r="U14" s="81" t="s">
        <v>227</v>
      </c>
    </row>
    <row r="15" spans="1:21">
      <c r="A15" s="20" t="s">
        <v>856</v>
      </c>
      <c r="B15" s="173">
        <v>94635.99499239595</v>
      </c>
      <c r="C15" s="173">
        <v>157260.71099528231</v>
      </c>
      <c r="D15" s="173">
        <v>136972.7592750919</v>
      </c>
      <c r="E15" s="173">
        <v>134141.63280271293</v>
      </c>
      <c r="F15" s="173">
        <v>132851.50862756267</v>
      </c>
      <c r="G15" s="173">
        <v>91047.821607458667</v>
      </c>
      <c r="H15" s="173">
        <v>157742.7886083129</v>
      </c>
      <c r="I15" s="173">
        <v>136770.64215249848</v>
      </c>
      <c r="J15" s="173">
        <v>130045.68308780318</v>
      </c>
      <c r="K15" s="173">
        <v>128722.66260086303</v>
      </c>
      <c r="L15" s="173">
        <v>89514.203357919774</v>
      </c>
      <c r="M15" s="173">
        <v>157997.7152082765</v>
      </c>
      <c r="N15" s="173">
        <v>136582.60208226001</v>
      </c>
      <c r="O15" s="173">
        <v>127749.13849561555</v>
      </c>
      <c r="P15" s="173">
        <v>127452.1696468689</v>
      </c>
      <c r="R15" s="169"/>
      <c r="S15" s="155" t="s">
        <v>230</v>
      </c>
      <c r="T15" s="107">
        <v>1.45038E-4</v>
      </c>
      <c r="U15" s="113" t="s">
        <v>227</v>
      </c>
    </row>
    <row r="16" spans="1:21" ht="13.5" thickBot="1">
      <c r="A16" s="20" t="s">
        <v>857</v>
      </c>
      <c r="B16" s="31">
        <f>B15*$T$15</f>
        <v>13.725815441707125</v>
      </c>
      <c r="C16" s="31">
        <f t="shared" ref="C16:P16" si="3">C15*$T$15</f>
        <v>22.808779001333757</v>
      </c>
      <c r="D16" s="31">
        <f t="shared" si="3"/>
        <v>19.86625505974078</v>
      </c>
      <c r="E16" s="31">
        <f t="shared" si="3"/>
        <v>19.45563413843988</v>
      </c>
      <c r="F16" s="31">
        <f t="shared" si="3"/>
        <v>19.268517108324435</v>
      </c>
      <c r="G16" s="31">
        <f t="shared" si="3"/>
        <v>13.205393950302591</v>
      </c>
      <c r="H16" s="31">
        <f t="shared" si="3"/>
        <v>22.878698574172486</v>
      </c>
      <c r="I16" s="31">
        <f t="shared" si="3"/>
        <v>19.836940396514073</v>
      </c>
      <c r="J16" s="31">
        <f t="shared" si="3"/>
        <v>18.861565783688796</v>
      </c>
      <c r="K16" s="31">
        <f t="shared" si="3"/>
        <v>18.669677538303972</v>
      </c>
      <c r="L16" s="31">
        <f t="shared" si="3"/>
        <v>12.982961026625969</v>
      </c>
      <c r="M16" s="31">
        <f t="shared" si="3"/>
        <v>22.915672618378007</v>
      </c>
      <c r="N16" s="31">
        <f t="shared" si="3"/>
        <v>19.809667440806827</v>
      </c>
      <c r="O16" s="31">
        <f t="shared" si="3"/>
        <v>18.528479549127088</v>
      </c>
      <c r="P16" s="31">
        <f t="shared" si="3"/>
        <v>18.485407781242571</v>
      </c>
      <c r="R16" s="163">
        <f>MAX(B16:P16)</f>
        <v>22.915672618378007</v>
      </c>
      <c r="S16" s="156" t="s">
        <v>228</v>
      </c>
      <c r="T16" s="82">
        <f xml:space="preserve"> 80/0.000145038</f>
        <v>551579.58603952068</v>
      </c>
      <c r="U16" s="83" t="s">
        <v>229</v>
      </c>
    </row>
    <row r="17" spans="1:21">
      <c r="A17" s="20" t="s">
        <v>861</v>
      </c>
      <c r="B17" s="195" t="e">
        <f>#REF!</f>
        <v>#REF!</v>
      </c>
      <c r="C17" s="31" t="e">
        <f>#REF!</f>
        <v>#REF!</v>
      </c>
      <c r="D17" s="31" t="e">
        <f>#REF!</f>
        <v>#REF!</v>
      </c>
      <c r="E17" s="31" t="e">
        <f>#REF!</f>
        <v>#REF!</v>
      </c>
      <c r="F17" s="31" t="e">
        <f>#REF!</f>
        <v>#REF!</v>
      </c>
      <c r="G17" s="31" t="e">
        <f>#REF!</f>
        <v>#REF!</v>
      </c>
      <c r="H17" s="31" t="e">
        <f>#REF!</f>
        <v>#REF!</v>
      </c>
      <c r="I17" s="31" t="e">
        <f>#REF!</f>
        <v>#REF!</v>
      </c>
      <c r="J17" s="31" t="e">
        <f>#REF!</f>
        <v>#REF!</v>
      </c>
      <c r="K17" s="31" t="e">
        <f>#REF!</f>
        <v>#REF!</v>
      </c>
      <c r="L17" s="31" t="e">
        <f>#REF!</f>
        <v>#REF!</v>
      </c>
      <c r="M17" s="31" t="e">
        <f>#REF!</f>
        <v>#REF!</v>
      </c>
      <c r="N17" s="31" t="e">
        <f>#REF!</f>
        <v>#REF!</v>
      </c>
      <c r="O17" s="31" t="e">
        <f>#REF!</f>
        <v>#REF!</v>
      </c>
      <c r="P17" s="31" t="e">
        <f>#REF!</f>
        <v>#REF!</v>
      </c>
      <c r="R17" s="163"/>
      <c r="S17" s="154"/>
      <c r="T17" s="80"/>
      <c r="U17" s="227"/>
    </row>
    <row r="18" spans="1:21">
      <c r="A18" s="20" t="s">
        <v>862</v>
      </c>
      <c r="B18" s="195" t="e">
        <f>B17*$T$15</f>
        <v>#REF!</v>
      </c>
      <c r="C18" s="195" t="e">
        <f t="shared" ref="C18:P18" si="4">C17*$T$15</f>
        <v>#REF!</v>
      </c>
      <c r="D18" s="195" t="e">
        <f t="shared" si="4"/>
        <v>#REF!</v>
      </c>
      <c r="E18" s="195" t="e">
        <f t="shared" si="4"/>
        <v>#REF!</v>
      </c>
      <c r="F18" s="195" t="e">
        <f t="shared" si="4"/>
        <v>#REF!</v>
      </c>
      <c r="G18" s="195" t="e">
        <f t="shared" si="4"/>
        <v>#REF!</v>
      </c>
      <c r="H18" s="195" t="e">
        <f t="shared" si="4"/>
        <v>#REF!</v>
      </c>
      <c r="I18" s="195" t="e">
        <f t="shared" si="4"/>
        <v>#REF!</v>
      </c>
      <c r="J18" s="195" t="e">
        <f t="shared" si="4"/>
        <v>#REF!</v>
      </c>
      <c r="K18" s="195" t="e">
        <f t="shared" si="4"/>
        <v>#REF!</v>
      </c>
      <c r="L18" s="195" t="e">
        <f t="shared" si="4"/>
        <v>#REF!</v>
      </c>
      <c r="M18" s="195" t="e">
        <f t="shared" si="4"/>
        <v>#REF!</v>
      </c>
      <c r="N18" s="195" t="e">
        <f t="shared" si="4"/>
        <v>#REF!</v>
      </c>
      <c r="O18" s="195" t="e">
        <f t="shared" si="4"/>
        <v>#REF!</v>
      </c>
      <c r="P18" s="195" t="e">
        <f t="shared" si="4"/>
        <v>#REF!</v>
      </c>
      <c r="R18" s="163" t="e">
        <f>MAX(B18:P18)</f>
        <v>#REF!</v>
      </c>
      <c r="S18" s="154"/>
      <c r="T18" s="80"/>
      <c r="U18" s="227"/>
    </row>
    <row r="19" spans="1:21" ht="13.5" thickBot="1">
      <c r="A19" s="20"/>
      <c r="B19" s="31"/>
      <c r="C19" s="31"/>
      <c r="D19" s="31"/>
      <c r="E19" s="31"/>
      <c r="F19" s="31"/>
      <c r="G19" s="31"/>
      <c r="H19" s="31"/>
      <c r="I19" s="31"/>
      <c r="J19" s="31"/>
      <c r="K19" s="31"/>
      <c r="L19" s="31"/>
      <c r="M19" s="31"/>
      <c r="N19" s="31"/>
      <c r="O19" s="31"/>
      <c r="P19" s="31"/>
      <c r="R19" s="163"/>
      <c r="S19" s="32"/>
      <c r="T19" s="32"/>
      <c r="U19" s="32"/>
    </row>
    <row r="20" spans="1:21" ht="13.5" thickBot="1">
      <c r="A20" s="20" t="s">
        <v>187</v>
      </c>
      <c r="B20" s="31">
        <v>3.5067301378228759</v>
      </c>
      <c r="C20" s="31">
        <v>204.53608912334761</v>
      </c>
      <c r="D20" s="31">
        <v>136.4746389659972</v>
      </c>
      <c r="E20" s="31">
        <v>174.13990979446359</v>
      </c>
      <c r="F20" s="31">
        <v>172.34326005252862</v>
      </c>
      <c r="G20" s="31">
        <v>3.7748659100797219</v>
      </c>
      <c r="H20" s="31">
        <v>209.65947447563903</v>
      </c>
      <c r="I20" s="31">
        <v>138.15587658603181</v>
      </c>
      <c r="J20" s="31">
        <v>171.03044432612762</v>
      </c>
      <c r="K20" s="31">
        <v>169.55682056946642</v>
      </c>
      <c r="L20" s="31">
        <v>3.9544868332809044</v>
      </c>
      <c r="M20" s="31">
        <v>212.17588527974965</v>
      </c>
      <c r="N20" s="31">
        <v>139.0287023603413</v>
      </c>
      <c r="O20" s="31">
        <v>170.35415825220531</v>
      </c>
      <c r="P20" s="31">
        <v>168.88625952899108</v>
      </c>
      <c r="R20" s="163"/>
      <c r="S20" s="157" t="s">
        <v>275</v>
      </c>
      <c r="T20" s="134">
        <v>0.2248</v>
      </c>
      <c r="U20" s="135" t="s">
        <v>276</v>
      </c>
    </row>
    <row r="21" spans="1:21" ht="13.5" thickBot="1">
      <c r="A21" s="20" t="s">
        <v>858</v>
      </c>
      <c r="B21" s="31">
        <v>53.967770362729752</v>
      </c>
      <c r="C21" s="31">
        <v>562.80813221664289</v>
      </c>
      <c r="D21" s="31">
        <v>963.36118136443201</v>
      </c>
      <c r="E21" s="31">
        <v>1280.2936181596219</v>
      </c>
      <c r="F21" s="31">
        <v>1193.3455266296412</v>
      </c>
      <c r="G21" s="31">
        <v>50.873122661151271</v>
      </c>
      <c r="H21" s="31">
        <v>529.2801155385215</v>
      </c>
      <c r="I21" s="31">
        <v>916.56960804233427</v>
      </c>
      <c r="J21" s="31">
        <v>1259.4512236319622</v>
      </c>
      <c r="K21" s="31">
        <v>1172.7525154848886</v>
      </c>
      <c r="L21" s="31">
        <v>49.315806799319944</v>
      </c>
      <c r="M21" s="31">
        <v>506.92187216959235</v>
      </c>
      <c r="N21" s="31">
        <v>897.30411637150416</v>
      </c>
      <c r="O21" s="31">
        <v>1246.1952542591112</v>
      </c>
      <c r="P21" s="31">
        <v>1160.5798695110525</v>
      </c>
      <c r="R21" s="163"/>
      <c r="S21" s="20"/>
      <c r="T21" s="31"/>
      <c r="U21" s="31"/>
    </row>
    <row r="22" spans="1:21">
      <c r="A22" s="20" t="s">
        <v>859</v>
      </c>
      <c r="B22" s="31">
        <v>4.6435927949442686</v>
      </c>
      <c r="C22" s="31">
        <v>50.437366389265748</v>
      </c>
      <c r="D22" s="31">
        <v>92.600022460768344</v>
      </c>
      <c r="E22" s="31">
        <v>121.97827180212738</v>
      </c>
      <c r="F22" s="31">
        <v>114.48090817160819</v>
      </c>
      <c r="G22" s="31">
        <v>5.0115512877144699</v>
      </c>
      <c r="H22" s="31">
        <v>55.922767237337574</v>
      </c>
      <c r="I22" s="31">
        <v>101.26867039358071</v>
      </c>
      <c r="J22" s="31">
        <v>133.60706511707701</v>
      </c>
      <c r="K22" s="31">
        <v>125.47216489171362</v>
      </c>
      <c r="L22" s="31">
        <v>5.2627780836832567</v>
      </c>
      <c r="M22" s="31">
        <v>59.090960152077919</v>
      </c>
      <c r="N22" s="31">
        <v>106.92141125051181</v>
      </c>
      <c r="O22" s="31">
        <v>140.95596399195901</v>
      </c>
      <c r="P22" s="31">
        <v>132.41368339913527</v>
      </c>
      <c r="R22" s="163"/>
      <c r="S22" s="160" t="s">
        <v>202</v>
      </c>
      <c r="T22" s="109">
        <v>10</v>
      </c>
      <c r="U22" s="35" t="s">
        <v>131</v>
      </c>
    </row>
    <row r="23" spans="1:21" ht="13.5" thickBot="1">
      <c r="A23" s="20" t="s">
        <v>860</v>
      </c>
      <c r="B23" s="31">
        <v>4.5803463125563555</v>
      </c>
      <c r="C23" s="31">
        <v>8.9646500724101728</v>
      </c>
      <c r="D23" s="31">
        <v>10.460900203843716</v>
      </c>
      <c r="E23" s="31">
        <v>24.675866565727521</v>
      </c>
      <c r="F23" s="31">
        <v>17.188555369305789</v>
      </c>
      <c r="G23" s="31">
        <v>4.9572547640231575</v>
      </c>
      <c r="H23" s="31">
        <v>10.270109861456874</v>
      </c>
      <c r="I23" s="31">
        <v>11.554353115040415</v>
      </c>
      <c r="J23" s="31">
        <v>26.416386841175548</v>
      </c>
      <c r="K23" s="31">
        <v>18.398266345124984</v>
      </c>
      <c r="L23" s="31">
        <v>5.1814602178332878</v>
      </c>
      <c r="M23" s="31">
        <v>11.235761195176201</v>
      </c>
      <c r="N23" s="31">
        <v>12.351632215914584</v>
      </c>
      <c r="O23" s="31">
        <v>27.490437734598316</v>
      </c>
      <c r="P23" s="31">
        <v>19.142281801092874</v>
      </c>
      <c r="R23" s="163"/>
      <c r="S23" s="161" t="s">
        <v>203</v>
      </c>
      <c r="T23" s="110">
        <v>170</v>
      </c>
      <c r="U23" s="36" t="s">
        <v>131</v>
      </c>
    </row>
    <row r="24" spans="1:21">
      <c r="A24" s="20" t="s">
        <v>434</v>
      </c>
      <c r="B24" s="31">
        <f>B22/$T$26</f>
        <v>0.12219981039327023</v>
      </c>
      <c r="C24" s="31">
        <f t="shared" ref="C24:P24" si="5">C22/$T$26</f>
        <v>1.3272991155069933</v>
      </c>
      <c r="D24" s="31">
        <f t="shared" si="5"/>
        <v>2.4368426963360093</v>
      </c>
      <c r="E24" s="31">
        <f t="shared" si="5"/>
        <v>3.2099545211086151</v>
      </c>
      <c r="F24" s="31">
        <f t="shared" si="5"/>
        <v>3.0126554782002155</v>
      </c>
      <c r="G24" s="31">
        <f t="shared" si="5"/>
        <v>0.131882928624065</v>
      </c>
      <c r="H24" s="31">
        <f t="shared" si="5"/>
        <v>1.4716517694036204</v>
      </c>
      <c r="I24" s="31">
        <f t="shared" si="5"/>
        <v>2.664965010357387</v>
      </c>
      <c r="J24" s="31">
        <f t="shared" si="5"/>
        <v>3.5159753978178161</v>
      </c>
      <c r="K24" s="31">
        <f t="shared" si="5"/>
        <v>3.3018990760977269</v>
      </c>
      <c r="L24" s="31">
        <f t="shared" si="5"/>
        <v>0.1384941600969278</v>
      </c>
      <c r="M24" s="31">
        <f t="shared" si="5"/>
        <v>1.5550252671599452</v>
      </c>
      <c r="N24" s="31">
        <f t="shared" si="5"/>
        <v>2.8137213486976793</v>
      </c>
      <c r="O24" s="31">
        <f t="shared" si="5"/>
        <v>3.7093674734726054</v>
      </c>
      <c r="P24" s="31">
        <f t="shared" si="5"/>
        <v>3.4845706157667173</v>
      </c>
      <c r="R24" s="163">
        <f>MAX(B24:P24)</f>
        <v>3.7093674734726054</v>
      </c>
      <c r="S24" s="1"/>
      <c r="T24" s="1"/>
    </row>
    <row r="25" spans="1:21" ht="13.5" thickBot="1">
      <c r="A25" s="20"/>
      <c r="B25" s="31"/>
      <c r="C25" s="31"/>
      <c r="D25" s="31"/>
      <c r="E25" s="31"/>
      <c r="F25" s="31"/>
      <c r="G25" s="31"/>
      <c r="H25" s="31"/>
      <c r="I25" s="31"/>
      <c r="J25" s="31"/>
      <c r="K25" s="31"/>
      <c r="L25" s="31"/>
      <c r="M25" s="31"/>
      <c r="N25" s="31"/>
      <c r="O25" s="31"/>
      <c r="P25" s="31"/>
      <c r="R25" s="163"/>
      <c r="S25" s="1"/>
      <c r="T25" s="1"/>
    </row>
    <row r="26" spans="1:21" ht="13.5" thickBot="1">
      <c r="A26" s="20" t="s">
        <v>305</v>
      </c>
      <c r="B26" s="31">
        <v>4.8556108474731445</v>
      </c>
      <c r="C26" s="31">
        <v>7.9197354316711426</v>
      </c>
      <c r="D26" s="31">
        <v>8.5640687942504883</v>
      </c>
      <c r="E26" s="31">
        <v>9.1727895736694336</v>
      </c>
      <c r="F26" s="31">
        <v>9.1523351669311523</v>
      </c>
      <c r="G26" s="31">
        <v>4.8640146255493164</v>
      </c>
      <c r="H26" s="31">
        <v>7.9294161796569824</v>
      </c>
      <c r="I26" s="31">
        <v>8.5708780288696289</v>
      </c>
      <c r="J26" s="31">
        <v>9.1762228012084961</v>
      </c>
      <c r="K26" s="31">
        <v>9.1563453674316406</v>
      </c>
      <c r="L26" s="31">
        <v>4.8684878349304199</v>
      </c>
      <c r="M26" s="31">
        <v>7.9350552558898926</v>
      </c>
      <c r="N26" s="31">
        <v>8.5733194351196289</v>
      </c>
      <c r="O26" s="31">
        <v>9.1780939102172852</v>
      </c>
      <c r="P26" s="31">
        <v>9.1578006744384766</v>
      </c>
      <c r="R26" s="163">
        <f>MAX(B26:P26)</f>
        <v>9.1780939102172852</v>
      </c>
      <c r="S26" s="158" t="s">
        <v>248</v>
      </c>
      <c r="T26" s="111">
        <v>38</v>
      </c>
      <c r="U26" s="38" t="s">
        <v>249</v>
      </c>
    </row>
    <row r="27" spans="1:21" ht="13.5" thickBot="1">
      <c r="A27" s="20" t="s">
        <v>306</v>
      </c>
      <c r="B27" s="31">
        <v>4.8555974960327148</v>
      </c>
      <c r="C27" s="31">
        <v>1.8449463844299316</v>
      </c>
      <c r="D27" s="31">
        <v>1.3787670135498047</v>
      </c>
      <c r="E27" s="31">
        <v>0.90784657001495361</v>
      </c>
      <c r="F27" s="31">
        <v>0.88303691148757935</v>
      </c>
      <c r="G27" s="31">
        <v>4.8640012741088867</v>
      </c>
      <c r="H27" s="31">
        <v>1.8610870838165283</v>
      </c>
      <c r="I27" s="31">
        <v>1.4020093679428101</v>
      </c>
      <c r="J27" s="31">
        <v>0.9267992377281189</v>
      </c>
      <c r="K27" s="31">
        <v>0.9017072319984436</v>
      </c>
      <c r="L27" s="31">
        <v>4.8684735298156738</v>
      </c>
      <c r="M27" s="31">
        <v>1.8691070079803467</v>
      </c>
      <c r="N27" s="31">
        <v>1.4112745523452759</v>
      </c>
      <c r="O27" s="31">
        <v>0.93358659744262695</v>
      </c>
      <c r="P27" s="31">
        <v>0.90822654962539673</v>
      </c>
      <c r="R27" s="163"/>
    </row>
    <row r="28" spans="1:21" ht="13.5" thickBot="1">
      <c r="A28" s="20" t="s">
        <v>277</v>
      </c>
      <c r="B28" s="31">
        <f>B26-B27</f>
        <v>1.33514404296875E-5</v>
      </c>
      <c r="C28" s="31">
        <f t="shared" ref="C28:P28" si="6">C26-C27</f>
        <v>6.0747890472412109</v>
      </c>
      <c r="D28" s="31">
        <f t="shared" si="6"/>
        <v>7.1853017807006836</v>
      </c>
      <c r="E28" s="31">
        <f t="shared" si="6"/>
        <v>8.26494300365448</v>
      </c>
      <c r="F28" s="31">
        <f t="shared" si="6"/>
        <v>8.269298255443573</v>
      </c>
      <c r="G28" s="31">
        <f t="shared" si="6"/>
        <v>1.33514404296875E-5</v>
      </c>
      <c r="H28" s="31">
        <f t="shared" si="6"/>
        <v>6.0683290958404541</v>
      </c>
      <c r="I28" s="31">
        <f t="shared" si="6"/>
        <v>7.1688686609268188</v>
      </c>
      <c r="J28" s="31">
        <f t="shared" si="6"/>
        <v>8.2494235634803772</v>
      </c>
      <c r="K28" s="31">
        <f t="shared" si="6"/>
        <v>8.254638135433197</v>
      </c>
      <c r="L28" s="31">
        <f t="shared" si="6"/>
        <v>1.430511474609375E-5</v>
      </c>
      <c r="M28" s="31">
        <f t="shared" si="6"/>
        <v>6.0659482479095459</v>
      </c>
      <c r="N28" s="31">
        <f t="shared" si="6"/>
        <v>7.162044882774353</v>
      </c>
      <c r="O28" s="31">
        <f t="shared" si="6"/>
        <v>8.2445073127746582</v>
      </c>
      <c r="P28" s="31">
        <f t="shared" si="6"/>
        <v>8.2495741248130798</v>
      </c>
      <c r="R28" s="163">
        <f>MAX(B28:P28)</f>
        <v>8.269298255443573</v>
      </c>
      <c r="S28" s="159" t="s">
        <v>123</v>
      </c>
      <c r="T28" s="111">
        <v>16</v>
      </c>
      <c r="U28" s="38" t="s">
        <v>132</v>
      </c>
    </row>
    <row r="29" spans="1:21">
      <c r="A29" s="20" t="s">
        <v>321</v>
      </c>
      <c r="B29" s="31"/>
      <c r="C29" s="31"/>
      <c r="D29" s="31"/>
      <c r="E29" s="31"/>
      <c r="F29" s="31"/>
      <c r="G29" s="31"/>
      <c r="H29" s="31"/>
      <c r="I29" s="31"/>
      <c r="J29" s="31"/>
      <c r="K29" s="31"/>
      <c r="L29" s="31"/>
      <c r="M29" s="31"/>
      <c r="N29" s="31"/>
      <c r="O29" s="31"/>
      <c r="P29" s="31"/>
      <c r="R29" s="163"/>
      <c r="S29" s="1"/>
      <c r="T29" s="1"/>
    </row>
    <row r="30" spans="1:21">
      <c r="A30" s="20"/>
      <c r="B30" s="31"/>
      <c r="C30" s="31"/>
      <c r="D30" s="31"/>
      <c r="E30" s="31"/>
      <c r="F30" s="31"/>
      <c r="G30" s="31"/>
      <c r="H30" s="31"/>
      <c r="I30" s="31"/>
      <c r="J30" s="31"/>
      <c r="K30" s="31"/>
      <c r="L30" s="31"/>
      <c r="M30" s="31"/>
      <c r="N30" s="31"/>
      <c r="O30" s="31"/>
      <c r="P30" s="31"/>
      <c r="R30" s="163"/>
    </row>
    <row r="31" spans="1:21" ht="13.5" thickBot="1">
      <c r="A31" s="20" t="s">
        <v>173</v>
      </c>
      <c r="B31" s="31">
        <v>-0.29237386584281921</v>
      </c>
      <c r="C31" s="31">
        <v>5.6783032417297363</v>
      </c>
      <c r="D31" s="31">
        <v>4.0968952178955078</v>
      </c>
      <c r="E31" s="31">
        <v>4.5130331069231033E-2</v>
      </c>
      <c r="F31" s="31">
        <v>-0.50465631484985352</v>
      </c>
      <c r="G31" s="31">
        <v>-0.293447345495224</v>
      </c>
      <c r="H31" s="31">
        <v>5.7008142471313477</v>
      </c>
      <c r="I31" s="31">
        <v>4.1056456565856934</v>
      </c>
      <c r="J31" s="31">
        <v>4.5335281640291214E-2</v>
      </c>
      <c r="K31" s="31">
        <v>-0.50736081600189209</v>
      </c>
      <c r="L31" s="31">
        <v>-0.29405298829078674</v>
      </c>
      <c r="M31" s="31">
        <v>5.7141499519348145</v>
      </c>
      <c r="N31" s="31">
        <v>4.1107931137084961</v>
      </c>
      <c r="O31" s="31">
        <v>4.5316733419895172E-2</v>
      </c>
      <c r="P31" s="31">
        <v>-0.50898486375808716</v>
      </c>
      <c r="R31" s="163"/>
    </row>
    <row r="32" spans="1:21">
      <c r="A32" s="20" t="s">
        <v>189</v>
      </c>
      <c r="B32" s="31">
        <v>-0.29364317655563354</v>
      </c>
      <c r="C32" s="31">
        <v>-0.89558684825897217</v>
      </c>
      <c r="D32" s="31">
        <v>-0.91236662864685059</v>
      </c>
      <c r="E32" s="31">
        <v>-6.1789657920598984E-2</v>
      </c>
      <c r="F32" s="31">
        <v>-0.65182363986968994</v>
      </c>
      <c r="G32" s="31">
        <v>-0.29467681050300598</v>
      </c>
      <c r="H32" s="31">
        <v>-0.87881374359130859</v>
      </c>
      <c r="I32" s="31">
        <v>-0.90263074636459351</v>
      </c>
      <c r="J32" s="31">
        <v>-6.1857201159000397E-2</v>
      </c>
      <c r="K32" s="31">
        <v>-0.65449410676956177</v>
      </c>
      <c r="L32" s="31">
        <v>-0.29525512456893921</v>
      </c>
      <c r="M32" s="31">
        <v>-0.86968404054641724</v>
      </c>
      <c r="N32" s="31">
        <v>-0.89723485708236694</v>
      </c>
      <c r="O32" s="31">
        <v>-6.181037425994873E-2</v>
      </c>
      <c r="P32" s="31">
        <v>-0.65669482946395874</v>
      </c>
      <c r="R32" s="163"/>
      <c r="S32" s="160" t="s">
        <v>200</v>
      </c>
      <c r="T32" s="109">
        <v>322</v>
      </c>
      <c r="U32" s="35" t="s">
        <v>132</v>
      </c>
    </row>
    <row r="33" spans="1:21" ht="13.5" thickBot="1">
      <c r="A33" s="20" t="s">
        <v>190</v>
      </c>
      <c r="B33" s="31">
        <v>0.62833327054977417</v>
      </c>
      <c r="C33" s="31">
        <v>0.71232050657272339</v>
      </c>
      <c r="D33" s="31">
        <v>8.0983133316040039</v>
      </c>
      <c r="E33" s="31">
        <v>13.134422302246094</v>
      </c>
      <c r="F33" s="31">
        <v>-0.95604652166366577</v>
      </c>
      <c r="G33" s="31">
        <v>0.62995815277099609</v>
      </c>
      <c r="H33" s="31">
        <v>0.71516293287277222</v>
      </c>
      <c r="I33" s="31">
        <v>8.1153783798217773</v>
      </c>
      <c r="J33" s="31">
        <v>13.154463768005371</v>
      </c>
      <c r="K33" s="31">
        <v>-0.97016161680221558</v>
      </c>
      <c r="L33" s="31">
        <v>0.63090717792510986</v>
      </c>
      <c r="M33" s="31">
        <v>0.71627867221832275</v>
      </c>
      <c r="N33" s="31">
        <v>8.1238250732421875</v>
      </c>
      <c r="O33" s="31">
        <v>13.165139198303223</v>
      </c>
      <c r="P33" s="31">
        <v>-0.97930121421813965</v>
      </c>
      <c r="R33" s="163"/>
      <c r="S33" s="161" t="s">
        <v>201</v>
      </c>
      <c r="T33" s="110">
        <f>T32*0.05</f>
        <v>16.100000000000001</v>
      </c>
      <c r="U33" s="36" t="s">
        <v>132</v>
      </c>
    </row>
    <row r="34" spans="1:21">
      <c r="A34" s="20" t="s">
        <v>191</v>
      </c>
      <c r="B34" s="31">
        <v>0.62208032608032227</v>
      </c>
      <c r="C34" s="31">
        <v>0.63840192556381226</v>
      </c>
      <c r="D34" s="31">
        <v>0.98933881521224976</v>
      </c>
      <c r="E34" s="31">
        <v>2.0565507411956787</v>
      </c>
      <c r="F34" s="31">
        <v>-11.938735961914063</v>
      </c>
      <c r="G34" s="31">
        <v>0.62355780601501465</v>
      </c>
      <c r="H34" s="31">
        <v>0.63981658220291138</v>
      </c>
      <c r="I34" s="31">
        <v>0.99735361337661743</v>
      </c>
      <c r="J34" s="31">
        <v>2.0721440315246582</v>
      </c>
      <c r="K34" s="31">
        <v>-11.957368850708008</v>
      </c>
      <c r="L34" s="31">
        <v>0.6243901252746582</v>
      </c>
      <c r="M34" s="31">
        <v>0.64076554775238037</v>
      </c>
      <c r="N34" s="31">
        <v>1.0020239353179932</v>
      </c>
      <c r="O34" s="31">
        <v>2.0825614929199219</v>
      </c>
      <c r="P34" s="31">
        <v>-11.966775894165039</v>
      </c>
      <c r="R34" s="163"/>
      <c r="S34" s="1"/>
      <c r="T34" s="1"/>
    </row>
    <row r="35" spans="1:21" ht="13.5" thickBot="1">
      <c r="A35" s="20" t="s">
        <v>212</v>
      </c>
      <c r="B35" s="31">
        <f>SQRT(MAX(ABS(B31),ABS(B32))^2+(MAX(ABS(B33),ABS(B34))^2))</f>
        <v>0.6935625523465484</v>
      </c>
      <c r="C35" s="31">
        <f>SQRT(MAX(ABS(C31),ABS(C32))^2+(MAX(ABS(C33),ABS(C34))^2))</f>
        <v>5.7228077207890227</v>
      </c>
      <c r="D35" s="31">
        <f t="shared" ref="D35:P35" si="7">SQRT(MAX(ABS(D31),ABS(D32))^2+(MAX(ABS(D33),ABS(D34))^2))</f>
        <v>9.0756393297249431</v>
      </c>
      <c r="E35" s="31">
        <f t="shared" si="7"/>
        <v>13.134567643267346</v>
      </c>
      <c r="F35" s="31">
        <f t="shared" si="7"/>
        <v>11.956516651006389</v>
      </c>
      <c r="G35" s="31">
        <f t="shared" si="7"/>
        <v>0.69547228333763966</v>
      </c>
      <c r="H35" s="31">
        <f t="shared" si="7"/>
        <v>5.7454974633055871</v>
      </c>
      <c r="I35" s="31">
        <f t="shared" si="7"/>
        <v>9.0948167933785076</v>
      </c>
      <c r="J35" s="31">
        <f t="shared" si="7"/>
        <v>13.154609205031569</v>
      </c>
      <c r="K35" s="31">
        <f t="shared" si="7"/>
        <v>11.975267528021169</v>
      </c>
      <c r="L35" s="31">
        <f t="shared" si="7"/>
        <v>0.69657695607997694</v>
      </c>
      <c r="M35" s="31">
        <f t="shared" si="7"/>
        <v>5.7588683618807854</v>
      </c>
      <c r="N35" s="31">
        <f t="shared" si="7"/>
        <v>9.1046775804721189</v>
      </c>
      <c r="O35" s="31">
        <f t="shared" si="7"/>
        <v>13.165284297464531</v>
      </c>
      <c r="P35" s="31">
        <f t="shared" si="7"/>
        <v>11.984780907476539</v>
      </c>
      <c r="R35" s="163">
        <f>MAX(B35:P35)</f>
        <v>13.165284297464531</v>
      </c>
      <c r="S35" s="1"/>
      <c r="T35" s="1"/>
    </row>
    <row r="36" spans="1:21">
      <c r="A36" s="20" t="s">
        <v>322</v>
      </c>
      <c r="B36" s="193">
        <f>T33</f>
        <v>16.100000000000001</v>
      </c>
      <c r="C36" s="31"/>
      <c r="D36" s="31"/>
      <c r="E36" s="31"/>
      <c r="F36" s="31"/>
      <c r="G36" s="31"/>
      <c r="H36" s="31"/>
      <c r="I36" s="31"/>
      <c r="J36" s="31"/>
      <c r="K36" s="31"/>
      <c r="L36" s="31"/>
      <c r="M36" s="31"/>
      <c r="N36" s="31"/>
      <c r="O36" s="31"/>
      <c r="P36" s="31"/>
      <c r="R36" s="163"/>
      <c r="S36" s="162" t="s">
        <v>205</v>
      </c>
      <c r="T36" s="109">
        <v>4621</v>
      </c>
      <c r="U36" s="40" t="s">
        <v>206</v>
      </c>
    </row>
    <row r="37" spans="1:21" ht="13.5" thickBot="1">
      <c r="A37" s="20" t="s">
        <v>431</v>
      </c>
      <c r="B37" s="171">
        <v>3.6391161095116802</v>
      </c>
      <c r="C37" s="171">
        <v>1.246222210183479</v>
      </c>
      <c r="D37" s="171">
        <v>1.9003451380720899</v>
      </c>
      <c r="E37" s="171">
        <v>1.4587394052463356</v>
      </c>
      <c r="F37" s="171">
        <v>1.4069968832532651</v>
      </c>
      <c r="G37" s="171">
        <v>3.642483618019793</v>
      </c>
      <c r="H37" s="171">
        <v>1.1689550589225095</v>
      </c>
      <c r="I37" s="171">
        <v>1.8770053687709547</v>
      </c>
      <c r="J37" s="171">
        <v>1.4014649299601254</v>
      </c>
      <c r="K37" s="171">
        <v>1.3541615050661746</v>
      </c>
      <c r="L37" s="171">
        <v>3.6443576232341797</v>
      </c>
      <c r="M37" s="171">
        <v>1.1216248134308358</v>
      </c>
      <c r="N37" s="171">
        <v>1.8637694331016408</v>
      </c>
      <c r="O37" s="171">
        <v>1.385251828402301</v>
      </c>
      <c r="P37" s="171">
        <v>1.3406529668679035</v>
      </c>
      <c r="R37" s="163">
        <f>MIN(B37:P37)</f>
        <v>1.1216248134308358</v>
      </c>
      <c r="S37" s="167" t="s">
        <v>207</v>
      </c>
      <c r="T37" s="110">
        <v>3066</v>
      </c>
      <c r="U37" s="42" t="s">
        <v>206</v>
      </c>
    </row>
    <row r="38" spans="1:21">
      <c r="A38" s="20" t="s">
        <v>554</v>
      </c>
      <c r="B38" s="173">
        <v>1026.98193359375</v>
      </c>
      <c r="C38" s="173">
        <v>1134.293701171875</v>
      </c>
      <c r="D38" s="173">
        <v>1399.8642578125</v>
      </c>
      <c r="E38" s="173">
        <v>1593.8802490234375</v>
      </c>
      <c r="F38" s="173">
        <v>1236.59033203125</v>
      </c>
      <c r="G38" s="173">
        <v>1027.05517578125</v>
      </c>
      <c r="H38" s="173">
        <v>1133.5677490234375</v>
      </c>
      <c r="I38" s="173">
        <v>1399.721923828125</v>
      </c>
      <c r="J38" s="173">
        <v>1594.480224609375</v>
      </c>
      <c r="K38" s="173">
        <v>1236.5391845703125</v>
      </c>
      <c r="L38" s="173">
        <v>1027.095458984375</v>
      </c>
      <c r="M38" s="173">
        <v>1133.25146484375</v>
      </c>
      <c r="N38" s="173">
        <v>1399.61572265625</v>
      </c>
      <c r="O38" s="173">
        <v>1594.6717529296875</v>
      </c>
      <c r="P38" s="173">
        <v>1236.4564208984375</v>
      </c>
      <c r="R38" s="163">
        <f>MAX(B38:P38)</f>
        <v>1594.6717529296875</v>
      </c>
      <c r="S38" s="166" t="s">
        <v>749</v>
      </c>
      <c r="T38" s="141">
        <f>T36*0.9</f>
        <v>4158.9000000000005</v>
      </c>
      <c r="U38" s="40" t="s">
        <v>206</v>
      </c>
    </row>
    <row r="39" spans="1:21">
      <c r="A39" s="20" t="s">
        <v>530</v>
      </c>
      <c r="B39" s="31">
        <f>$T$41/B38</f>
        <v>3.7157420935795353</v>
      </c>
      <c r="C39" s="31">
        <f t="shared" ref="C39:P39" si="8">$T$41/C38</f>
        <v>3.3642080495180116</v>
      </c>
      <c r="D39" s="31">
        <f t="shared" si="8"/>
        <v>2.7259785930695011</v>
      </c>
      <c r="E39" s="31">
        <f t="shared" si="8"/>
        <v>2.3941572789662486</v>
      </c>
      <c r="F39" s="31">
        <f t="shared" si="8"/>
        <v>3.0859047666430937</v>
      </c>
      <c r="G39" s="31">
        <f t="shared" si="8"/>
        <v>3.7154771135808584</v>
      </c>
      <c r="H39" s="31">
        <f t="shared" si="8"/>
        <v>3.3663625339442333</v>
      </c>
      <c r="I39" s="31">
        <f t="shared" si="8"/>
        <v>2.7262557905527065</v>
      </c>
      <c r="J39" s="31">
        <f t="shared" si="8"/>
        <v>2.3932563986078068</v>
      </c>
      <c r="K39" s="31">
        <f t="shared" si="8"/>
        <v>3.0860324101464118</v>
      </c>
      <c r="L39" s="31">
        <f t="shared" si="8"/>
        <v>3.715331390690193</v>
      </c>
      <c r="M39" s="31">
        <f t="shared" si="8"/>
        <v>3.3673020670007614</v>
      </c>
      <c r="N39" s="31">
        <f t="shared" si="8"/>
        <v>2.7264626555908027</v>
      </c>
      <c r="O39" s="31">
        <f t="shared" si="8"/>
        <v>2.3929689561437009</v>
      </c>
      <c r="P39" s="31">
        <f t="shared" si="8"/>
        <v>3.0862389773731023</v>
      </c>
      <c r="R39" s="163">
        <f>MIN(B39:P39)</f>
        <v>2.3929689561437009</v>
      </c>
      <c r="S39" s="166"/>
      <c r="T39" s="140"/>
      <c r="U39" s="140"/>
    </row>
    <row r="40" spans="1:21">
      <c r="A40" s="20" t="s">
        <v>555</v>
      </c>
      <c r="B40" s="173">
        <v>921.3017578125</v>
      </c>
      <c r="C40" s="173">
        <v>1029.6324462890625</v>
      </c>
      <c r="D40" s="173">
        <v>1308.4307861328125</v>
      </c>
      <c r="E40" s="173">
        <v>1514.9002685546875</v>
      </c>
      <c r="F40" s="173">
        <v>1130.6444091796875</v>
      </c>
      <c r="G40" s="173">
        <v>921.3800048828125</v>
      </c>
      <c r="H40" s="173">
        <v>1028.8837890625</v>
      </c>
      <c r="I40" s="173">
        <v>1308.2353515625</v>
      </c>
      <c r="J40" s="173">
        <v>1515.5172119140625</v>
      </c>
      <c r="K40" s="173">
        <v>1130.5762939453125</v>
      </c>
      <c r="L40" s="173">
        <v>921.42327880859375</v>
      </c>
      <c r="M40" s="173">
        <v>1028.563720703125</v>
      </c>
      <c r="N40" s="173">
        <v>1308.1219482421875</v>
      </c>
      <c r="O40" s="173">
        <v>1515.7060546875</v>
      </c>
      <c r="P40" s="173">
        <v>1130.482177734375</v>
      </c>
      <c r="R40" s="163">
        <f>MAX(B40:P40)</f>
        <v>1515.7060546875</v>
      </c>
      <c r="S40" s="165" t="s">
        <v>208</v>
      </c>
      <c r="T40" s="141" t="s">
        <v>209</v>
      </c>
      <c r="U40" s="44"/>
    </row>
    <row r="41" spans="1:21" ht="13.5" thickBot="1">
      <c r="A41" s="20" t="s">
        <v>531</v>
      </c>
      <c r="B41" s="31">
        <f>$T$38/B40</f>
        <v>4.5141561543035769</v>
      </c>
      <c r="C41" s="31">
        <f t="shared" ref="C41:P41" si="9">$T$38/C40</f>
        <v>4.0392083747838861</v>
      </c>
      <c r="D41" s="31">
        <f t="shared" si="9"/>
        <v>3.1785403126228875</v>
      </c>
      <c r="E41" s="31">
        <f t="shared" si="9"/>
        <v>2.7453292380546341</v>
      </c>
      <c r="F41" s="31">
        <f t="shared" si="9"/>
        <v>3.6783448148984283</v>
      </c>
      <c r="G41" s="31">
        <f t="shared" si="9"/>
        <v>4.513772795111783</v>
      </c>
      <c r="H41" s="31">
        <f t="shared" si="9"/>
        <v>4.0421474652540823</v>
      </c>
      <c r="I41" s="31">
        <f t="shared" si="9"/>
        <v>3.1790151481786433</v>
      </c>
      <c r="J41" s="31">
        <f t="shared" si="9"/>
        <v>2.7442116574495437</v>
      </c>
      <c r="K41" s="31">
        <f t="shared" si="9"/>
        <v>3.6785664287077049</v>
      </c>
      <c r="L41" s="31">
        <f t="shared" si="9"/>
        <v>4.5135608092922128</v>
      </c>
      <c r="M41" s="31">
        <f t="shared" si="9"/>
        <v>4.0434053003123438</v>
      </c>
      <c r="N41" s="31">
        <f t="shared" si="9"/>
        <v>3.1792907424178591</v>
      </c>
      <c r="O41" s="31">
        <f t="shared" si="9"/>
        <v>2.7438697543881356</v>
      </c>
      <c r="P41" s="31">
        <f t="shared" si="9"/>
        <v>3.6788726809784356</v>
      </c>
      <c r="R41" s="163">
        <f>MIN(B41:P41)</f>
        <v>2.7438697543881356</v>
      </c>
      <c r="S41" s="167"/>
      <c r="T41" s="110">
        <v>3816</v>
      </c>
      <c r="U41" s="42" t="s">
        <v>210</v>
      </c>
    </row>
    <row r="42" spans="1:21" ht="13.5" thickBot="1">
      <c r="A42" s="20" t="s">
        <v>574</v>
      </c>
      <c r="B42" s="194">
        <v>1832</v>
      </c>
      <c r="C42" s="31"/>
      <c r="D42" s="31"/>
      <c r="E42" s="31"/>
      <c r="F42" s="31"/>
      <c r="G42" s="31"/>
      <c r="H42" s="31"/>
      <c r="I42" s="31"/>
      <c r="J42" s="31"/>
      <c r="K42" s="31"/>
      <c r="L42" s="31"/>
      <c r="M42" s="31"/>
      <c r="N42" s="31"/>
      <c r="O42" s="31"/>
      <c r="P42" s="31"/>
      <c r="R42" s="163"/>
      <c r="S42" s="166" t="s">
        <v>422</v>
      </c>
      <c r="T42" s="141">
        <f>T41*0.9</f>
        <v>3434.4</v>
      </c>
      <c r="U42" s="42" t="s">
        <v>206</v>
      </c>
    </row>
    <row r="43" spans="1:21" ht="13.5" thickBot="1">
      <c r="A43" s="20" t="s">
        <v>579</v>
      </c>
      <c r="B43" s="173">
        <v>1541.9130434782576</v>
      </c>
      <c r="C43" s="173">
        <v>1541.9130434782576</v>
      </c>
      <c r="D43" s="173">
        <v>1581.962732919251</v>
      </c>
      <c r="E43" s="173">
        <v>1621.9999999999961</v>
      </c>
      <c r="F43" s="173">
        <v>1531.9006211180092</v>
      </c>
      <c r="G43" s="173">
        <v>1541.9130434782576</v>
      </c>
      <c r="H43" s="173">
        <v>1541.9130434782576</v>
      </c>
      <c r="I43" s="173">
        <v>1581.962732919251</v>
      </c>
      <c r="J43" s="173">
        <v>1621.9999999999961</v>
      </c>
      <c r="K43" s="173">
        <v>1531.9006211180092</v>
      </c>
      <c r="L43" s="173">
        <v>1541.9130434782576</v>
      </c>
      <c r="M43" s="173">
        <v>1541.9130434782576</v>
      </c>
      <c r="N43" s="173">
        <v>1581.962732919251</v>
      </c>
      <c r="O43" s="173">
        <v>1621.9999999999961</v>
      </c>
      <c r="P43" s="173">
        <v>1531.9006211180092</v>
      </c>
      <c r="R43" s="163"/>
      <c r="S43" s="31"/>
      <c r="T43" s="31"/>
      <c r="U43" s="31"/>
    </row>
    <row r="44" spans="1:21" ht="13.5" thickBot="1">
      <c r="A44" s="20" t="s">
        <v>573</v>
      </c>
      <c r="B44" s="173">
        <f>$B$42-B43</f>
        <v>290.08695652174242</v>
      </c>
      <c r="C44" s="173">
        <f t="shared" ref="C44:P44" si="10">$B$42-C43</f>
        <v>290.08695652174242</v>
      </c>
      <c r="D44" s="173">
        <f t="shared" si="10"/>
        <v>250.03726708074896</v>
      </c>
      <c r="E44" s="173">
        <f t="shared" si="10"/>
        <v>210.00000000000387</v>
      </c>
      <c r="F44" s="173">
        <f t="shared" si="10"/>
        <v>300.09937888199079</v>
      </c>
      <c r="G44" s="173">
        <f t="shared" si="10"/>
        <v>290.08695652174242</v>
      </c>
      <c r="H44" s="173">
        <f t="shared" si="10"/>
        <v>290.08695652174242</v>
      </c>
      <c r="I44" s="173">
        <f t="shared" si="10"/>
        <v>250.03726708074896</v>
      </c>
      <c r="J44" s="173">
        <f t="shared" si="10"/>
        <v>210.00000000000387</v>
      </c>
      <c r="K44" s="173">
        <f t="shared" si="10"/>
        <v>300.09937888199079</v>
      </c>
      <c r="L44" s="173">
        <f t="shared" si="10"/>
        <v>290.08695652174242</v>
      </c>
      <c r="M44" s="173">
        <f t="shared" si="10"/>
        <v>290.08695652174242</v>
      </c>
      <c r="N44" s="173">
        <f t="shared" si="10"/>
        <v>250.03726708074896</v>
      </c>
      <c r="O44" s="173">
        <f t="shared" si="10"/>
        <v>210.00000000000387</v>
      </c>
      <c r="P44" s="173">
        <f t="shared" si="10"/>
        <v>300.09937888199079</v>
      </c>
      <c r="R44" s="163">
        <f>MIN(B44:P44)</f>
        <v>210.00000000000387</v>
      </c>
      <c r="S44" s="168" t="s">
        <v>223</v>
      </c>
      <c r="T44" s="112">
        <v>10</v>
      </c>
      <c r="U44" s="46" t="s">
        <v>131</v>
      </c>
    </row>
    <row r="45" spans="1:21" ht="13.5" thickBot="1">
      <c r="A45" s="20"/>
      <c r="B45" s="31"/>
      <c r="C45" s="31"/>
      <c r="D45" s="31"/>
      <c r="E45" s="31"/>
      <c r="F45" s="31"/>
      <c r="G45" s="31"/>
      <c r="H45" s="31"/>
      <c r="I45" s="31"/>
      <c r="J45" s="31"/>
      <c r="K45" s="31"/>
      <c r="L45" s="31"/>
      <c r="M45" s="31"/>
      <c r="N45" s="31"/>
      <c r="O45" s="31"/>
      <c r="P45" s="31"/>
      <c r="R45" s="163"/>
      <c r="S45" s="168" t="s">
        <v>224</v>
      </c>
      <c r="T45" s="112">
        <v>100</v>
      </c>
      <c r="U45" s="46" t="s">
        <v>131</v>
      </c>
    </row>
    <row r="46" spans="1:21">
      <c r="A46" s="20" t="s">
        <v>556</v>
      </c>
      <c r="B46" s="31">
        <v>1066.628662109375</v>
      </c>
      <c r="C46" s="31">
        <v>1199.2423095703125</v>
      </c>
      <c r="D46" s="31">
        <v>1806.6561279296875</v>
      </c>
      <c r="E46" s="31">
        <v>2039.697265625</v>
      </c>
      <c r="F46" s="31">
        <v>1333.1378173828125</v>
      </c>
      <c r="G46" s="31">
        <v>1066.7110595703125</v>
      </c>
      <c r="H46" s="31">
        <v>1198.89208984375</v>
      </c>
      <c r="I46" s="31">
        <v>1807.60595703125</v>
      </c>
      <c r="J46" s="31">
        <v>2041.1099853515625</v>
      </c>
      <c r="K46" s="31">
        <v>1332.89501953125</v>
      </c>
      <c r="L46" s="31">
        <v>1066.7564697265625</v>
      </c>
      <c r="M46" s="31">
        <v>1198.7073974609375</v>
      </c>
      <c r="N46" s="31">
        <v>1807.891845703125</v>
      </c>
      <c r="O46" s="31">
        <v>2041.6390380859375</v>
      </c>
      <c r="P46" s="31">
        <v>1332.658447265625</v>
      </c>
      <c r="R46" s="163">
        <f>MAX(B46:P46)</f>
        <v>2041.6390380859375</v>
      </c>
      <c r="S46" s="20"/>
      <c r="T46" s="31"/>
      <c r="U46" s="31"/>
    </row>
    <row r="47" spans="1:21">
      <c r="A47" s="20" t="s">
        <v>533</v>
      </c>
      <c r="B47" s="31">
        <f>$T$41/B46</f>
        <v>3.5776274682638305</v>
      </c>
      <c r="C47" s="31">
        <f t="shared" ref="C47:P47" si="11">$T$41/C46</f>
        <v>3.1820091482323281</v>
      </c>
      <c r="D47" s="31">
        <f t="shared" si="11"/>
        <v>2.1121894426987011</v>
      </c>
      <c r="E47" s="31">
        <f t="shared" si="11"/>
        <v>1.8708658702989969</v>
      </c>
      <c r="F47" s="31">
        <f t="shared" si="11"/>
        <v>2.8624197365366841</v>
      </c>
      <c r="G47" s="31">
        <f t="shared" si="11"/>
        <v>3.5773511165592895</v>
      </c>
      <c r="H47" s="31">
        <f t="shared" si="11"/>
        <v>3.1829386750706932</v>
      </c>
      <c r="I47" s="31">
        <f t="shared" si="11"/>
        <v>2.1110795664046536</v>
      </c>
      <c r="J47" s="31">
        <f t="shared" si="11"/>
        <v>1.8695709821549518</v>
      </c>
      <c r="K47" s="31">
        <f t="shared" si="11"/>
        <v>2.8629411499654367</v>
      </c>
      <c r="L47" s="31">
        <f t="shared" si="11"/>
        <v>3.5771988343113965</v>
      </c>
      <c r="M47" s="31">
        <f t="shared" si="11"/>
        <v>3.1834290904376878</v>
      </c>
      <c r="N47" s="31">
        <f t="shared" si="11"/>
        <v>2.1107457335291437</v>
      </c>
      <c r="O47" s="31">
        <f t="shared" si="11"/>
        <v>1.869086517652772</v>
      </c>
      <c r="P47" s="31">
        <f t="shared" si="11"/>
        <v>2.8634493765673752</v>
      </c>
      <c r="R47" s="163">
        <f>MIN(B47:P47)</f>
        <v>1.869086517652772</v>
      </c>
      <c r="S47" s="20"/>
      <c r="T47" s="31"/>
      <c r="U47" s="31"/>
    </row>
    <row r="48" spans="1:21">
      <c r="A48" s="20" t="s">
        <v>557</v>
      </c>
      <c r="B48" s="31">
        <v>967.32330322265625</v>
      </c>
      <c r="C48" s="31">
        <v>1104.5303955078125</v>
      </c>
      <c r="D48" s="31">
        <v>1737.163818359375</v>
      </c>
      <c r="E48" s="31">
        <v>1976.26171875</v>
      </c>
      <c r="F48" s="31">
        <v>1230.6192626953125</v>
      </c>
      <c r="G48" s="31">
        <v>967.410400390625</v>
      </c>
      <c r="H48" s="31">
        <v>1104.1712646484375</v>
      </c>
      <c r="I48" s="31">
        <v>1738.13818359375</v>
      </c>
      <c r="J48" s="31">
        <v>1977.73876953125</v>
      </c>
      <c r="K48" s="31">
        <v>1230.2724609375</v>
      </c>
      <c r="L48" s="31">
        <v>967.45849609375</v>
      </c>
      <c r="M48" s="31">
        <v>1103.982177734375</v>
      </c>
      <c r="N48" s="31">
        <v>1738.4273681640625</v>
      </c>
      <c r="O48" s="31">
        <v>1978.2938232421875</v>
      </c>
      <c r="P48" s="31">
        <v>1230.0013427734375</v>
      </c>
      <c r="R48" s="163">
        <f>MAX(B48:P48)</f>
        <v>1978.2938232421875</v>
      </c>
      <c r="S48" s="20"/>
      <c r="T48" s="31"/>
      <c r="U48" s="31"/>
    </row>
    <row r="49" spans="1:21">
      <c r="A49" s="20" t="s">
        <v>534</v>
      </c>
      <c r="B49" s="31">
        <f>$T$38/B48</f>
        <v>4.2993898587416899</v>
      </c>
      <c r="C49" s="31">
        <f t="shared" ref="C49:P49" si="12">$T$38/C48</f>
        <v>3.7653105943616234</v>
      </c>
      <c r="D49" s="31">
        <f t="shared" si="12"/>
        <v>2.3940747303428065</v>
      </c>
      <c r="E49" s="31">
        <f t="shared" si="12"/>
        <v>2.1044277488866885</v>
      </c>
      <c r="F49" s="31">
        <f t="shared" si="12"/>
        <v>3.3795180410967594</v>
      </c>
      <c r="G49" s="31">
        <f t="shared" si="12"/>
        <v>4.2990027792968757</v>
      </c>
      <c r="H49" s="31">
        <f t="shared" si="12"/>
        <v>3.7665352587527923</v>
      </c>
      <c r="I49" s="31">
        <f t="shared" si="12"/>
        <v>2.3927326603004127</v>
      </c>
      <c r="J49" s="31">
        <f t="shared" si="12"/>
        <v>2.1028560819413546</v>
      </c>
      <c r="K49" s="31">
        <f t="shared" si="12"/>
        <v>3.3804706941345408</v>
      </c>
      <c r="L49" s="31">
        <f t="shared" si="12"/>
        <v>4.2987890610213721</v>
      </c>
      <c r="M49" s="31">
        <f t="shared" si="12"/>
        <v>3.7671803801534356</v>
      </c>
      <c r="N49" s="31">
        <f t="shared" si="12"/>
        <v>2.3923346331070348</v>
      </c>
      <c r="O49" s="31">
        <f t="shared" si="12"/>
        <v>2.1022660795574137</v>
      </c>
      <c r="P49" s="31">
        <f t="shared" si="12"/>
        <v>3.3812158209700893</v>
      </c>
      <c r="R49" s="163">
        <f>MIN(B49:P49)</f>
        <v>2.1022660795574137</v>
      </c>
      <c r="S49" s="20"/>
      <c r="T49" s="31"/>
      <c r="U49" s="31"/>
    </row>
    <row r="50" spans="1:21">
      <c r="A50" s="20" t="s">
        <v>575</v>
      </c>
      <c r="B50" s="194">
        <v>1820</v>
      </c>
      <c r="C50" s="173"/>
      <c r="D50" s="173"/>
      <c r="E50" s="173"/>
      <c r="F50" s="173"/>
      <c r="G50" s="173"/>
      <c r="H50" s="173"/>
      <c r="I50" s="173"/>
      <c r="J50" s="173"/>
      <c r="K50" s="173"/>
      <c r="L50" s="173"/>
      <c r="M50" s="173"/>
      <c r="N50" s="173"/>
      <c r="O50" s="173"/>
      <c r="P50" s="173"/>
      <c r="R50" s="163"/>
      <c r="S50" s="20"/>
      <c r="T50" s="31"/>
      <c r="U50" s="31"/>
    </row>
    <row r="51" spans="1:21">
      <c r="A51" s="20" t="s">
        <v>580</v>
      </c>
      <c r="B51" s="173">
        <v>1560</v>
      </c>
      <c r="C51" s="173">
        <v>1560</v>
      </c>
      <c r="D51" s="173">
        <v>1600</v>
      </c>
      <c r="E51" s="173">
        <v>1620</v>
      </c>
      <c r="F51" s="173">
        <v>1540</v>
      </c>
      <c r="G51" s="173">
        <v>1560</v>
      </c>
      <c r="H51" s="173">
        <v>1560</v>
      </c>
      <c r="I51" s="173">
        <v>1600</v>
      </c>
      <c r="J51" s="173">
        <v>1620</v>
      </c>
      <c r="K51" s="173">
        <v>1540</v>
      </c>
      <c r="L51" s="173">
        <v>1560</v>
      </c>
      <c r="M51" s="173">
        <v>1560</v>
      </c>
      <c r="N51" s="173">
        <v>1600</v>
      </c>
      <c r="O51" s="173">
        <v>1620</v>
      </c>
      <c r="P51" s="173">
        <v>1540</v>
      </c>
      <c r="R51" s="163"/>
      <c r="S51" s="20"/>
      <c r="T51" s="31"/>
      <c r="U51" s="31"/>
    </row>
    <row r="52" spans="1:21">
      <c r="A52" s="20" t="s">
        <v>576</v>
      </c>
      <c r="B52" s="173">
        <f>$B$50-B51</f>
        <v>260</v>
      </c>
      <c r="C52" s="173">
        <f t="shared" ref="C52:P52" si="13">$B$50-C51</f>
        <v>260</v>
      </c>
      <c r="D52" s="173">
        <f t="shared" si="13"/>
        <v>220</v>
      </c>
      <c r="E52" s="173">
        <f t="shared" si="13"/>
        <v>200</v>
      </c>
      <c r="F52" s="173">
        <f t="shared" si="13"/>
        <v>280</v>
      </c>
      <c r="G52" s="173">
        <f t="shared" si="13"/>
        <v>260</v>
      </c>
      <c r="H52" s="173">
        <f t="shared" si="13"/>
        <v>260</v>
      </c>
      <c r="I52" s="173">
        <f t="shared" si="13"/>
        <v>220</v>
      </c>
      <c r="J52" s="173">
        <f t="shared" si="13"/>
        <v>200</v>
      </c>
      <c r="K52" s="173">
        <f t="shared" si="13"/>
        <v>280</v>
      </c>
      <c r="L52" s="173">
        <f t="shared" si="13"/>
        <v>260</v>
      </c>
      <c r="M52" s="173">
        <f t="shared" si="13"/>
        <v>260</v>
      </c>
      <c r="N52" s="173">
        <f t="shared" si="13"/>
        <v>220</v>
      </c>
      <c r="O52" s="173">
        <f t="shared" si="13"/>
        <v>200</v>
      </c>
      <c r="P52" s="173">
        <f t="shared" si="13"/>
        <v>280</v>
      </c>
      <c r="R52" s="163">
        <f>MIN(B52:P52)</f>
        <v>200</v>
      </c>
      <c r="T52" s="31"/>
    </row>
    <row r="53" spans="1:21">
      <c r="A53" s="20"/>
      <c r="B53" s="31"/>
      <c r="C53" s="31"/>
      <c r="D53" s="31"/>
      <c r="E53" s="31"/>
      <c r="F53" s="31"/>
      <c r="G53" s="31"/>
      <c r="H53" s="31"/>
      <c r="I53" s="31"/>
      <c r="J53" s="31"/>
      <c r="K53" s="31"/>
      <c r="L53" s="31"/>
      <c r="M53" s="31"/>
      <c r="N53" s="31"/>
      <c r="O53" s="31"/>
      <c r="P53" s="31"/>
      <c r="R53" s="163"/>
      <c r="T53" s="20"/>
      <c r="U53" s="20"/>
    </row>
    <row r="54" spans="1:21">
      <c r="A54" s="20" t="s">
        <v>558</v>
      </c>
      <c r="B54" s="31">
        <v>1013.456787109375</v>
      </c>
      <c r="C54" s="31">
        <v>1178.83984375</v>
      </c>
      <c r="D54" s="31">
        <v>1535.3424072265625</v>
      </c>
      <c r="E54" s="31">
        <v>2023.543212890625</v>
      </c>
      <c r="F54" s="31">
        <v>1384.67822265625</v>
      </c>
      <c r="G54" s="31">
        <v>1013.5030517578125</v>
      </c>
      <c r="H54" s="31">
        <v>1179.010009765625</v>
      </c>
      <c r="I54" s="31">
        <v>1536.6461181640625</v>
      </c>
      <c r="J54" s="31">
        <v>2024.7337646484375</v>
      </c>
      <c r="K54" s="31">
        <v>1384.67724609375</v>
      </c>
      <c r="L54" s="31">
        <v>1013.5342407226562</v>
      </c>
      <c r="M54" s="31">
        <v>1179.0872802734375</v>
      </c>
      <c r="N54" s="31">
        <v>1537.12646484375</v>
      </c>
      <c r="O54" s="31">
        <v>2025.112548828125</v>
      </c>
      <c r="P54" s="31">
        <v>1384.4871826171875</v>
      </c>
      <c r="R54" s="163">
        <f>MAX(B54:P54)</f>
        <v>2025.112548828125</v>
      </c>
      <c r="S54" s="20"/>
      <c r="T54" s="31"/>
      <c r="U54" s="31"/>
    </row>
    <row r="55" spans="1:21">
      <c r="A55" s="20" t="s">
        <v>535</v>
      </c>
      <c r="B55" s="31">
        <f>$T$41/B54</f>
        <v>3.765330745757951</v>
      </c>
      <c r="C55" s="31">
        <f t="shared" ref="C55:P55" si="14">$T$41/C54</f>
        <v>3.2370809488937415</v>
      </c>
      <c r="D55" s="31">
        <f t="shared" si="14"/>
        <v>2.4854390669070425</v>
      </c>
      <c r="E55" s="31">
        <f t="shared" si="14"/>
        <v>1.8858010917141999</v>
      </c>
      <c r="F55" s="31">
        <f t="shared" si="14"/>
        <v>2.7558749300467129</v>
      </c>
      <c r="G55" s="31">
        <f t="shared" si="14"/>
        <v>3.7651588649699246</v>
      </c>
      <c r="H55" s="31">
        <f t="shared" si="14"/>
        <v>3.2366137423706705</v>
      </c>
      <c r="I55" s="31">
        <f t="shared" si="14"/>
        <v>2.4833303874539698</v>
      </c>
      <c r="J55" s="31">
        <f t="shared" si="14"/>
        <v>1.8846922329378881</v>
      </c>
      <c r="K55" s="31">
        <f t="shared" si="14"/>
        <v>2.7558768736650681</v>
      </c>
      <c r="L55" s="31">
        <f t="shared" si="14"/>
        <v>3.7650430016840559</v>
      </c>
      <c r="M55" s="31">
        <f t="shared" si="14"/>
        <v>3.2364016335712198</v>
      </c>
      <c r="N55" s="31">
        <f t="shared" si="14"/>
        <v>2.4825543553359477</v>
      </c>
      <c r="O55" s="31">
        <f t="shared" si="14"/>
        <v>1.8843397134683753</v>
      </c>
      <c r="P55" s="31">
        <f t="shared" si="14"/>
        <v>2.7562552025843701</v>
      </c>
      <c r="R55" s="163">
        <f>MIN(B55:P55)</f>
        <v>1.8843397134683753</v>
      </c>
      <c r="S55" s="20"/>
      <c r="T55" s="31"/>
      <c r="U55" s="31"/>
    </row>
    <row r="56" spans="1:21">
      <c r="A56" s="20" t="s">
        <v>559</v>
      </c>
      <c r="B56" s="31">
        <v>954.5400390625</v>
      </c>
      <c r="C56" s="31">
        <v>1122.1529541015625</v>
      </c>
      <c r="D56" s="31">
        <v>1486.224853515625</v>
      </c>
      <c r="E56" s="31">
        <v>1982.1361083984375</v>
      </c>
      <c r="F56" s="31">
        <v>1336.678466796875</v>
      </c>
      <c r="G56" s="31">
        <v>954.5863037109375</v>
      </c>
      <c r="H56" s="31">
        <v>1122.3328857421875</v>
      </c>
      <c r="I56" s="31">
        <v>1487.5120849609375</v>
      </c>
      <c r="J56" s="31">
        <v>1983.3233642578125</v>
      </c>
      <c r="K56" s="31">
        <v>1336.6322021484375</v>
      </c>
      <c r="L56" s="31">
        <v>954.616943359375</v>
      </c>
      <c r="M56" s="31">
        <v>1122.4168701171875</v>
      </c>
      <c r="N56" s="31">
        <v>1487.9891357421875</v>
      </c>
      <c r="O56" s="31">
        <v>1983.6990966796875</v>
      </c>
      <c r="P56" s="31">
        <v>1336.417236328125</v>
      </c>
      <c r="R56" s="163">
        <f>MAX(B56:P56)</f>
        <v>1983.6990966796875</v>
      </c>
      <c r="T56" s="32"/>
      <c r="U56" s="32"/>
    </row>
    <row r="57" spans="1:21">
      <c r="A57" s="20" t="s">
        <v>536</v>
      </c>
      <c r="B57" s="31">
        <f>$T$38/B56</f>
        <v>4.3569675758019093</v>
      </c>
      <c r="C57" s="31">
        <f t="shared" ref="C57:P57" si="15">$T$38/C56</f>
        <v>3.7061792555095763</v>
      </c>
      <c r="D57" s="31">
        <f t="shared" si="15"/>
        <v>2.7982979763541391</v>
      </c>
      <c r="E57" s="31">
        <f t="shared" si="15"/>
        <v>2.0981909276454203</v>
      </c>
      <c r="F57" s="31">
        <f t="shared" si="15"/>
        <v>3.1113690414764474</v>
      </c>
      <c r="G57" s="31">
        <f t="shared" si="15"/>
        <v>4.3567564125237812</v>
      </c>
      <c r="H57" s="31">
        <f t="shared" si="15"/>
        <v>3.7055850833861661</v>
      </c>
      <c r="I57" s="31">
        <f t="shared" si="15"/>
        <v>2.7958764450032785</v>
      </c>
      <c r="J57" s="31">
        <f t="shared" si="15"/>
        <v>2.0969349098331826</v>
      </c>
      <c r="K57" s="31">
        <f t="shared" si="15"/>
        <v>3.1114767348229284</v>
      </c>
      <c r="L57" s="31">
        <f t="shared" si="15"/>
        <v>4.3566165768695573</v>
      </c>
      <c r="M57" s="31">
        <f t="shared" si="15"/>
        <v>3.7053078145250837</v>
      </c>
      <c r="N57" s="31">
        <f t="shared" si="15"/>
        <v>2.7949800842635866</v>
      </c>
      <c r="O57" s="31">
        <f t="shared" si="15"/>
        <v>2.0965377294173098</v>
      </c>
      <c r="P57" s="31">
        <f t="shared" si="15"/>
        <v>3.1119772230914888</v>
      </c>
      <c r="R57" s="163">
        <f>MIN(B57:P57)</f>
        <v>2.0965377294173098</v>
      </c>
      <c r="S57" s="20"/>
      <c r="T57" s="31"/>
      <c r="U57" s="31"/>
    </row>
    <row r="58" spans="1:21">
      <c r="A58" s="20" t="s">
        <v>577</v>
      </c>
      <c r="B58" s="194">
        <v>1805</v>
      </c>
      <c r="C58" s="173"/>
      <c r="D58" s="173"/>
      <c r="E58" s="173"/>
      <c r="F58" s="173"/>
      <c r="G58" s="173"/>
      <c r="H58" s="173"/>
      <c r="I58" s="173"/>
      <c r="J58" s="173"/>
      <c r="K58" s="173"/>
      <c r="L58" s="173"/>
      <c r="M58" s="173"/>
      <c r="N58" s="173"/>
      <c r="O58" s="173"/>
      <c r="P58" s="173"/>
      <c r="R58" s="163"/>
      <c r="T58" s="32"/>
      <c r="U58" s="32"/>
    </row>
    <row r="59" spans="1:21">
      <c r="A59" s="20" t="s">
        <v>581</v>
      </c>
      <c r="B59" s="173">
        <v>1604.999999999995</v>
      </c>
      <c r="C59" s="173">
        <v>1624.999999999995</v>
      </c>
      <c r="D59" s="173">
        <v>1674.999999999995</v>
      </c>
      <c r="E59" s="173">
        <v>1734.999999999995</v>
      </c>
      <c r="F59" s="173">
        <v>1594.999999999995</v>
      </c>
      <c r="G59" s="173">
        <v>1604.999999999995</v>
      </c>
      <c r="H59" s="173">
        <v>1624.999999999995</v>
      </c>
      <c r="I59" s="173">
        <v>1674.999999999995</v>
      </c>
      <c r="J59" s="173">
        <v>1734.999999999995</v>
      </c>
      <c r="K59" s="173">
        <v>1594.999999999995</v>
      </c>
      <c r="L59" s="173">
        <v>1604.999999999995</v>
      </c>
      <c r="M59" s="173">
        <v>1624.999999999995</v>
      </c>
      <c r="N59" s="173">
        <v>1674.999999999995</v>
      </c>
      <c r="O59" s="173">
        <v>1734.999999999995</v>
      </c>
      <c r="P59" s="173">
        <v>1594.999999999995</v>
      </c>
      <c r="R59" s="163"/>
      <c r="S59" s="20"/>
      <c r="T59" s="31"/>
      <c r="U59" s="31"/>
    </row>
    <row r="60" spans="1:21">
      <c r="A60" s="20" t="s">
        <v>578</v>
      </c>
      <c r="B60" s="173">
        <f>$B$58-B59</f>
        <v>200.000000000005</v>
      </c>
      <c r="C60" s="173">
        <f t="shared" ref="C60:P60" si="16">$B$58-C59</f>
        <v>180.000000000005</v>
      </c>
      <c r="D60" s="173">
        <f t="shared" si="16"/>
        <v>130.000000000005</v>
      </c>
      <c r="E60" s="173">
        <f t="shared" si="16"/>
        <v>70.000000000005002</v>
      </c>
      <c r="F60" s="173">
        <f t="shared" si="16"/>
        <v>210.000000000005</v>
      </c>
      <c r="G60" s="173">
        <f t="shared" si="16"/>
        <v>200.000000000005</v>
      </c>
      <c r="H60" s="173">
        <f t="shared" si="16"/>
        <v>180.000000000005</v>
      </c>
      <c r="I60" s="173">
        <f t="shared" si="16"/>
        <v>130.000000000005</v>
      </c>
      <c r="J60" s="173">
        <f t="shared" si="16"/>
        <v>70.000000000005002</v>
      </c>
      <c r="K60" s="173">
        <f t="shared" si="16"/>
        <v>210.000000000005</v>
      </c>
      <c r="L60" s="173">
        <f t="shared" si="16"/>
        <v>200.000000000005</v>
      </c>
      <c r="M60" s="173">
        <f t="shared" si="16"/>
        <v>180.000000000005</v>
      </c>
      <c r="N60" s="173">
        <f t="shared" si="16"/>
        <v>130.000000000005</v>
      </c>
      <c r="O60" s="173">
        <f t="shared" si="16"/>
        <v>70.000000000005002</v>
      </c>
      <c r="P60" s="173">
        <f t="shared" si="16"/>
        <v>210.000000000005</v>
      </c>
      <c r="R60" s="163">
        <f>MIN(B60:P60)</f>
        <v>70.000000000005002</v>
      </c>
      <c r="T60" s="32"/>
      <c r="U60" s="32"/>
    </row>
    <row r="61" spans="1:21">
      <c r="A61" s="20"/>
      <c r="B61" s="31"/>
      <c r="C61" s="31"/>
      <c r="D61" s="31"/>
      <c r="E61" s="31"/>
      <c r="F61" s="31"/>
      <c r="G61" s="31"/>
      <c r="H61" s="31"/>
      <c r="I61" s="31"/>
      <c r="J61" s="31"/>
      <c r="K61" s="31"/>
      <c r="L61" s="31"/>
      <c r="M61" s="31"/>
      <c r="N61" s="31"/>
      <c r="O61" s="31"/>
      <c r="P61" s="31"/>
      <c r="R61" s="163"/>
      <c r="S61" s="20"/>
      <c r="T61" s="31"/>
      <c r="U61" s="31"/>
    </row>
    <row r="62" spans="1:21">
      <c r="A62" s="20" t="s">
        <v>560</v>
      </c>
      <c r="B62" s="31">
        <v>980.705322265625</v>
      </c>
      <c r="C62" s="31">
        <v>1155.792724609375</v>
      </c>
      <c r="D62" s="31">
        <v>1448.3677978515625</v>
      </c>
      <c r="E62" s="31">
        <v>1590.94970703125</v>
      </c>
      <c r="F62" s="31">
        <v>1227.6495361328125</v>
      </c>
      <c r="G62" s="31">
        <v>980.70855712890625</v>
      </c>
      <c r="H62" s="31">
        <v>1157.05322265625</v>
      </c>
      <c r="I62" s="31">
        <v>1449.3499755859375</v>
      </c>
      <c r="J62" s="31">
        <v>1591.42529296875</v>
      </c>
      <c r="K62" s="31">
        <v>1227.623046875</v>
      </c>
      <c r="L62" s="31">
        <v>980.71270751953125</v>
      </c>
      <c r="M62" s="31">
        <v>1157.6875</v>
      </c>
      <c r="N62" s="31">
        <v>1449.7470703125</v>
      </c>
      <c r="O62" s="31">
        <v>1591.5198974609375</v>
      </c>
      <c r="P62" s="31">
        <v>1227.51416015625</v>
      </c>
      <c r="R62" s="163">
        <f>MAX(B62:P62)</f>
        <v>1591.5198974609375</v>
      </c>
    </row>
    <row r="63" spans="1:21">
      <c r="A63" s="20" t="s">
        <v>538</v>
      </c>
      <c r="B63" s="31">
        <f>$T$41/B62</f>
        <v>3.8910770782647313</v>
      </c>
      <c r="C63" s="31">
        <f t="shared" ref="C63:P63" si="17">$T$41/C62</f>
        <v>3.3016300576642745</v>
      </c>
      <c r="D63" s="31">
        <f t="shared" si="17"/>
        <v>2.6346898941418515</v>
      </c>
      <c r="E63" s="31">
        <f t="shared" si="17"/>
        <v>2.3985673356832549</v>
      </c>
      <c r="F63" s="31">
        <f t="shared" si="17"/>
        <v>3.1083789694742072</v>
      </c>
      <c r="G63" s="31">
        <f t="shared" si="17"/>
        <v>3.8910642435624405</v>
      </c>
      <c r="H63" s="31">
        <f t="shared" si="17"/>
        <v>3.2980332497061795</v>
      </c>
      <c r="I63" s="31">
        <f t="shared" si="17"/>
        <v>2.6329044497739633</v>
      </c>
      <c r="J63" s="31">
        <f t="shared" si="17"/>
        <v>2.397850541184614</v>
      </c>
      <c r="K63" s="31">
        <f t="shared" si="17"/>
        <v>3.1084460410823125</v>
      </c>
      <c r="L63" s="31">
        <f t="shared" si="17"/>
        <v>3.8910477765212428</v>
      </c>
      <c r="M63" s="31">
        <f t="shared" si="17"/>
        <v>3.2962263132321978</v>
      </c>
      <c r="N63" s="31">
        <f t="shared" si="17"/>
        <v>2.6321832808928822</v>
      </c>
      <c r="O63" s="31">
        <f t="shared" si="17"/>
        <v>2.397708006094005</v>
      </c>
      <c r="P63" s="31">
        <f t="shared" si="17"/>
        <v>3.1087217759787489</v>
      </c>
      <c r="R63" s="163">
        <f>MIN(B63:P63)</f>
        <v>2.397708006094005</v>
      </c>
    </row>
    <row r="64" spans="1:21">
      <c r="A64" s="20" t="s">
        <v>561</v>
      </c>
      <c r="B64" s="31">
        <v>923.420166015625</v>
      </c>
      <c r="C64" s="31">
        <v>1102.2174072265625</v>
      </c>
      <c r="D64" s="31">
        <v>1400.5146484375</v>
      </c>
      <c r="E64" s="31">
        <v>1544.6082763671875</v>
      </c>
      <c r="F64" s="31">
        <v>1179.607666015625</v>
      </c>
      <c r="G64" s="31">
        <v>923.42413330078125</v>
      </c>
      <c r="H64" s="31">
        <v>1103.511962890625</v>
      </c>
      <c r="I64" s="31">
        <v>1401.589111328125</v>
      </c>
      <c r="J64" s="31">
        <v>1545.0406494140625</v>
      </c>
      <c r="K64" s="31">
        <v>1179.576171875</v>
      </c>
      <c r="L64" s="31">
        <v>923.43048095703125</v>
      </c>
      <c r="M64" s="31">
        <v>1104.1485595703125</v>
      </c>
      <c r="N64" s="31">
        <v>1402.0333251953125</v>
      </c>
      <c r="O64" s="31">
        <v>1545.110595703125</v>
      </c>
      <c r="P64" s="31">
        <v>1179.4610595703125</v>
      </c>
      <c r="R64" s="163">
        <f>MAX(B64:P64)</f>
        <v>1545.110595703125</v>
      </c>
    </row>
    <row r="65" spans="1:18">
      <c r="A65" s="20" t="s">
        <v>539</v>
      </c>
      <c r="B65" s="31">
        <f>$T$38/B64</f>
        <v>4.5038002775538573</v>
      </c>
      <c r="C65" s="31">
        <f t="shared" ref="C65:P65" si="18">$T$38/C64</f>
        <v>3.7732120475803121</v>
      </c>
      <c r="D65" s="31">
        <f t="shared" si="18"/>
        <v>2.9695512322130471</v>
      </c>
      <c r="E65" s="31">
        <f t="shared" si="18"/>
        <v>2.6925273311246576</v>
      </c>
      <c r="F65" s="31">
        <f t="shared" si="18"/>
        <v>3.5256637607718906</v>
      </c>
      <c r="G65" s="31">
        <f t="shared" si="18"/>
        <v>4.5037809279837697</v>
      </c>
      <c r="H65" s="31">
        <f t="shared" si="18"/>
        <v>3.768785604377006</v>
      </c>
      <c r="I65" s="31">
        <f t="shared" si="18"/>
        <v>2.9672747643273918</v>
      </c>
      <c r="J65" s="31">
        <f t="shared" si="18"/>
        <v>2.6917738388159638</v>
      </c>
      <c r="K65" s="31">
        <f t="shared" si="18"/>
        <v>3.5257578943708268</v>
      </c>
      <c r="L65" s="31">
        <f t="shared" si="18"/>
        <v>4.5037499690174521</v>
      </c>
      <c r="M65" s="31">
        <f t="shared" si="18"/>
        <v>3.7666127116250254</v>
      </c>
      <c r="N65" s="31">
        <f t="shared" si="18"/>
        <v>2.9663346264758994</v>
      </c>
      <c r="O65" s="31">
        <f t="shared" si="18"/>
        <v>2.6916519837257558</v>
      </c>
      <c r="P65" s="31">
        <f t="shared" si="18"/>
        <v>3.5261019990902644</v>
      </c>
      <c r="R65" s="163">
        <f>MIN(B65:P65)</f>
        <v>2.6916519837257558</v>
      </c>
    </row>
    <row r="66" spans="1:18">
      <c r="A66" s="20" t="s">
        <v>582</v>
      </c>
      <c r="B66" s="194">
        <v>1803</v>
      </c>
      <c r="C66" s="173"/>
      <c r="D66" s="173"/>
      <c r="E66" s="173"/>
      <c r="F66" s="173"/>
      <c r="G66" s="173"/>
      <c r="H66" s="173"/>
      <c r="I66" s="173"/>
      <c r="J66" s="173"/>
      <c r="K66" s="173"/>
      <c r="L66" s="173"/>
      <c r="M66" s="173"/>
      <c r="N66" s="173"/>
      <c r="O66" s="173"/>
      <c r="P66" s="173"/>
      <c r="R66" s="163"/>
    </row>
    <row r="67" spans="1:18">
      <c r="A67" s="20" t="s">
        <v>583</v>
      </c>
      <c r="B67" s="173">
        <v>1592.9999999999968</v>
      </c>
      <c r="C67" s="173">
        <v>1622.9999999999968</v>
      </c>
      <c r="D67" s="173">
        <v>1662.9999999999968</v>
      </c>
      <c r="E67" s="173">
        <v>1672.9999999999968</v>
      </c>
      <c r="F67" s="173">
        <v>1592.9999999999968</v>
      </c>
      <c r="G67" s="173">
        <v>1592.9999999999968</v>
      </c>
      <c r="H67" s="173">
        <v>1622.9999999999968</v>
      </c>
      <c r="I67" s="173">
        <v>1662.9999999999968</v>
      </c>
      <c r="J67" s="173">
        <v>1672.9999999999968</v>
      </c>
      <c r="K67" s="173">
        <v>1592.9999999999968</v>
      </c>
      <c r="L67" s="173">
        <v>1592.9999999999968</v>
      </c>
      <c r="M67" s="173">
        <v>1622.9999999999968</v>
      </c>
      <c r="N67" s="173">
        <v>1662.9999999999968</v>
      </c>
      <c r="O67" s="173">
        <v>1672.9999999999968</v>
      </c>
      <c r="P67" s="173">
        <v>1592.9999999999968</v>
      </c>
      <c r="R67" s="163"/>
    </row>
    <row r="68" spans="1:18">
      <c r="A68" s="20" t="s">
        <v>584</v>
      </c>
      <c r="B68" s="173">
        <f>$B$66-B67</f>
        <v>210.00000000000318</v>
      </c>
      <c r="C68" s="173">
        <f t="shared" ref="C68:P68" si="19">$B$66-C67</f>
        <v>180.00000000000318</v>
      </c>
      <c r="D68" s="173">
        <f t="shared" si="19"/>
        <v>140.00000000000318</v>
      </c>
      <c r="E68" s="173">
        <f t="shared" si="19"/>
        <v>130.00000000000318</v>
      </c>
      <c r="F68" s="173">
        <f t="shared" si="19"/>
        <v>210.00000000000318</v>
      </c>
      <c r="G68" s="173">
        <f t="shared" si="19"/>
        <v>210.00000000000318</v>
      </c>
      <c r="H68" s="173">
        <f t="shared" si="19"/>
        <v>180.00000000000318</v>
      </c>
      <c r="I68" s="173">
        <f t="shared" si="19"/>
        <v>140.00000000000318</v>
      </c>
      <c r="J68" s="173">
        <f t="shared" si="19"/>
        <v>130.00000000000318</v>
      </c>
      <c r="K68" s="173">
        <f t="shared" si="19"/>
        <v>210.00000000000318</v>
      </c>
      <c r="L68" s="173">
        <f t="shared" si="19"/>
        <v>210.00000000000318</v>
      </c>
      <c r="M68" s="173">
        <f t="shared" si="19"/>
        <v>180.00000000000318</v>
      </c>
      <c r="N68" s="173">
        <f t="shared" si="19"/>
        <v>140.00000000000318</v>
      </c>
      <c r="O68" s="173">
        <f t="shared" si="19"/>
        <v>130.00000000000318</v>
      </c>
      <c r="P68" s="173">
        <f t="shared" si="19"/>
        <v>210.00000000000318</v>
      </c>
      <c r="R68" s="163">
        <f>MIN(B68:P68)</f>
        <v>130.00000000000318</v>
      </c>
    </row>
    <row r="69" spans="1:18">
      <c r="A69" s="20"/>
      <c r="B69" s="31"/>
      <c r="C69" s="31"/>
      <c r="D69" s="31"/>
      <c r="E69" s="31"/>
      <c r="F69" s="31"/>
      <c r="G69" s="31"/>
      <c r="H69" s="31"/>
      <c r="I69" s="31"/>
      <c r="J69" s="31"/>
      <c r="K69" s="31"/>
      <c r="L69" s="31"/>
      <c r="M69" s="31"/>
      <c r="N69" s="31"/>
      <c r="O69" s="31"/>
      <c r="P69" s="31"/>
      <c r="R69" s="163"/>
    </row>
    <row r="70" spans="1:18">
      <c r="A70" s="20" t="s">
        <v>562</v>
      </c>
      <c r="B70" s="173">
        <v>1040.7825927734375</v>
      </c>
      <c r="C70" s="31">
        <v>1217.9110107421875</v>
      </c>
      <c r="D70" s="31">
        <v>1188.6383056640625</v>
      </c>
      <c r="E70" s="31">
        <v>1306.2882080078125</v>
      </c>
      <c r="F70" s="31">
        <v>1630.8731689453125</v>
      </c>
      <c r="G70" s="31">
        <v>1040.7132568359375</v>
      </c>
      <c r="H70" s="31">
        <v>1219.0955810546875</v>
      </c>
      <c r="I70" s="31">
        <v>1189.18701171875</v>
      </c>
      <c r="J70" s="31">
        <v>1306.3016357421875</v>
      </c>
      <c r="K70" s="31">
        <v>1631.197265625</v>
      </c>
      <c r="L70" s="31">
        <v>1040.6739501953125</v>
      </c>
      <c r="M70" s="31">
        <v>1219.72998046875</v>
      </c>
      <c r="N70" s="31">
        <v>1189.5103759765625</v>
      </c>
      <c r="O70" s="31">
        <v>1306.2142333984375</v>
      </c>
      <c r="P70" s="31">
        <v>1631.2156982421875</v>
      </c>
      <c r="R70" s="163">
        <f>MAX(B70:P70)</f>
        <v>1631.2156982421875</v>
      </c>
    </row>
    <row r="71" spans="1:18">
      <c r="A71" s="20" t="s">
        <v>540</v>
      </c>
      <c r="B71" s="31">
        <f>$T$41/B70</f>
        <v>3.6664717746972206</v>
      </c>
      <c r="C71" s="31">
        <f t="shared" ref="C71:P71" si="20">$T$41/C70</f>
        <v>3.1332338457754423</v>
      </c>
      <c r="D71" s="31">
        <f t="shared" si="20"/>
        <v>3.2103962844004901</v>
      </c>
      <c r="E71" s="31">
        <f t="shared" si="20"/>
        <v>2.9212542657945955</v>
      </c>
      <c r="F71" s="31">
        <f t="shared" si="20"/>
        <v>2.3398508680278378</v>
      </c>
      <c r="G71" s="31">
        <f t="shared" si="20"/>
        <v>3.6667160478014078</v>
      </c>
      <c r="H71" s="31">
        <f t="shared" si="20"/>
        <v>3.1301893463502086</v>
      </c>
      <c r="I71" s="31">
        <f t="shared" si="20"/>
        <v>3.2089149666078822</v>
      </c>
      <c r="J71" s="31">
        <f t="shared" si="20"/>
        <v>2.9212242376408755</v>
      </c>
      <c r="K71" s="31">
        <f t="shared" si="20"/>
        <v>2.3393859715292522</v>
      </c>
      <c r="L71" s="31">
        <f t="shared" si="20"/>
        <v>3.6668545410248981</v>
      </c>
      <c r="M71" s="31">
        <f t="shared" si="20"/>
        <v>3.1285612890596384</v>
      </c>
      <c r="N71" s="31">
        <f t="shared" si="20"/>
        <v>3.2080426342369193</v>
      </c>
      <c r="O71" s="31">
        <f t="shared" si="20"/>
        <v>2.9214197046924975</v>
      </c>
      <c r="P71" s="31">
        <f t="shared" si="20"/>
        <v>2.3393595366401607</v>
      </c>
      <c r="R71" s="163">
        <f>MIN(B71:P71)</f>
        <v>2.3393595366401607</v>
      </c>
    </row>
    <row r="72" spans="1:18">
      <c r="A72" s="20" t="s">
        <v>563</v>
      </c>
      <c r="B72" s="31">
        <v>969.98046875</v>
      </c>
      <c r="C72" s="31">
        <v>1149.9696044921875</v>
      </c>
      <c r="D72" s="31">
        <v>1122.573486328125</v>
      </c>
      <c r="E72" s="31">
        <v>1245.9307861328125</v>
      </c>
      <c r="F72" s="31">
        <v>1570.849365234375</v>
      </c>
      <c r="G72" s="31">
        <v>969.91094970703125</v>
      </c>
      <c r="H72" s="31">
        <v>1151.1798095703125</v>
      </c>
      <c r="I72" s="31">
        <v>1123.1387939453125</v>
      </c>
      <c r="J72" s="31">
        <v>1245.9720458984375</v>
      </c>
      <c r="K72" s="31">
        <v>1571.1378173828125</v>
      </c>
      <c r="L72" s="31">
        <v>969.87109375</v>
      </c>
      <c r="M72" s="31">
        <v>1151.8240966796875</v>
      </c>
      <c r="N72" s="31">
        <v>1123.4754638671875</v>
      </c>
      <c r="O72" s="31">
        <v>1245.89892578125</v>
      </c>
      <c r="P72" s="31">
        <v>1571.1383056640625</v>
      </c>
      <c r="R72" s="163">
        <f>MAX(B72:P72)</f>
        <v>1571.1383056640625</v>
      </c>
    </row>
    <row r="73" spans="1:18">
      <c r="A73" s="20" t="s">
        <v>541</v>
      </c>
      <c r="B73" s="31">
        <f>$T$38/B72</f>
        <v>4.2876121055916885</v>
      </c>
      <c r="C73" s="31">
        <f t="shared" ref="C73:P73" si="21">$T$38/C72</f>
        <v>3.616530370675771</v>
      </c>
      <c r="D73" s="31">
        <f t="shared" si="21"/>
        <v>3.7047908672807957</v>
      </c>
      <c r="E73" s="31">
        <f t="shared" si="21"/>
        <v>3.3379863843870652</v>
      </c>
      <c r="F73" s="31">
        <f t="shared" si="21"/>
        <v>2.6475485759765904</v>
      </c>
      <c r="G73" s="31">
        <f t="shared" si="21"/>
        <v>4.2879194231761453</v>
      </c>
      <c r="H73" s="31">
        <f t="shared" si="21"/>
        <v>3.6127284073478885</v>
      </c>
      <c r="I73" s="31">
        <f t="shared" si="21"/>
        <v>3.7029261409365084</v>
      </c>
      <c r="J73" s="31">
        <f t="shared" si="21"/>
        <v>3.3378758485718096</v>
      </c>
      <c r="K73" s="31">
        <f t="shared" si="21"/>
        <v>2.647062500810947</v>
      </c>
      <c r="L73" s="31">
        <f t="shared" si="21"/>
        <v>4.2880956312654313</v>
      </c>
      <c r="M73" s="31">
        <f t="shared" si="21"/>
        <v>3.6107075828580752</v>
      </c>
      <c r="N73" s="31">
        <f t="shared" si="21"/>
        <v>3.7018164915541476</v>
      </c>
      <c r="O73" s="31">
        <f t="shared" si="21"/>
        <v>3.3380717439756453</v>
      </c>
      <c r="P73" s="31">
        <f t="shared" si="21"/>
        <v>2.6470616781519984</v>
      </c>
      <c r="R73" s="163">
        <f>MIN(B73:P73)</f>
        <v>2.6470616781519984</v>
      </c>
    </row>
    <row r="74" spans="1:18">
      <c r="A74" s="20" t="s">
        <v>585</v>
      </c>
      <c r="B74" s="194">
        <v>1809</v>
      </c>
      <c r="C74" s="173"/>
      <c r="D74" s="173"/>
      <c r="E74" s="173"/>
      <c r="F74" s="173"/>
      <c r="G74" s="173"/>
      <c r="H74" s="173"/>
      <c r="I74" s="173"/>
      <c r="J74" s="173"/>
      <c r="K74" s="173"/>
      <c r="L74" s="173"/>
      <c r="M74" s="173"/>
      <c r="N74" s="173"/>
      <c r="O74" s="173"/>
      <c r="P74" s="173"/>
    </row>
    <row r="75" spans="1:18">
      <c r="A75" s="20" t="s">
        <v>586</v>
      </c>
      <c r="B75" s="173">
        <v>1629.0000000000034</v>
      </c>
      <c r="C75" s="173">
        <v>1659.0000000000034</v>
      </c>
      <c r="D75" s="173">
        <v>1629.0000000000034</v>
      </c>
      <c r="E75" s="173">
        <v>1619.0000000000034</v>
      </c>
      <c r="F75" s="173">
        <v>1699.0000000000034</v>
      </c>
      <c r="G75" s="173">
        <v>1629.0000000000034</v>
      </c>
      <c r="H75" s="173">
        <v>1659.0000000000034</v>
      </c>
      <c r="I75" s="173">
        <v>1629.0000000000034</v>
      </c>
      <c r="J75" s="173">
        <v>1619.0000000000034</v>
      </c>
      <c r="K75" s="173">
        <v>1699.0000000000034</v>
      </c>
      <c r="L75" s="173">
        <v>1629.0000000000034</v>
      </c>
      <c r="M75" s="173">
        <v>1659.0000000000034</v>
      </c>
      <c r="N75" s="173">
        <v>1629.0000000000034</v>
      </c>
      <c r="O75" s="173">
        <v>1619.0000000000034</v>
      </c>
      <c r="P75" s="173">
        <v>1699.0000000000034</v>
      </c>
    </row>
    <row r="76" spans="1:18">
      <c r="A76" s="20" t="s">
        <v>587</v>
      </c>
      <c r="B76" s="173">
        <f>$B$74-B75</f>
        <v>179.99999999999659</v>
      </c>
      <c r="C76" s="173">
        <f t="shared" ref="C76:P76" si="22">$B$74-C75</f>
        <v>149.99999999999659</v>
      </c>
      <c r="D76" s="173">
        <f t="shared" si="22"/>
        <v>179.99999999999659</v>
      </c>
      <c r="E76" s="173">
        <f t="shared" si="22"/>
        <v>189.99999999999659</v>
      </c>
      <c r="F76" s="173">
        <f t="shared" si="22"/>
        <v>109.99999999999659</v>
      </c>
      <c r="G76" s="173">
        <f t="shared" si="22"/>
        <v>179.99999999999659</v>
      </c>
      <c r="H76" s="173">
        <f t="shared" si="22"/>
        <v>149.99999999999659</v>
      </c>
      <c r="I76" s="173">
        <f t="shared" si="22"/>
        <v>179.99999999999659</v>
      </c>
      <c r="J76" s="173">
        <f t="shared" si="22"/>
        <v>189.99999999999659</v>
      </c>
      <c r="K76" s="173">
        <f t="shared" si="22"/>
        <v>109.99999999999659</v>
      </c>
      <c r="L76" s="173">
        <f t="shared" si="22"/>
        <v>179.99999999999659</v>
      </c>
      <c r="M76" s="173">
        <f t="shared" si="22"/>
        <v>149.99999999999659</v>
      </c>
      <c r="N76" s="173">
        <f t="shared" si="22"/>
        <v>179.99999999999659</v>
      </c>
      <c r="O76" s="173">
        <f t="shared" si="22"/>
        <v>189.99999999999659</v>
      </c>
      <c r="P76" s="173">
        <f t="shared" si="22"/>
        <v>109.99999999999659</v>
      </c>
      <c r="R76" s="163">
        <f>MIN(B76:P76)</f>
        <v>109.99999999999659</v>
      </c>
    </row>
    <row r="77" spans="1:18">
      <c r="B77" s="191"/>
      <c r="C77" s="191"/>
      <c r="D77" s="191"/>
      <c r="E77" s="191"/>
      <c r="F77" s="191"/>
      <c r="G77" s="191"/>
      <c r="H77" s="191"/>
      <c r="I77" s="191"/>
      <c r="J77" s="191"/>
      <c r="K77" s="191"/>
      <c r="L77" s="191"/>
      <c r="M77" s="191"/>
      <c r="N77" s="191"/>
      <c r="O77" s="191"/>
      <c r="P77" s="191"/>
    </row>
    <row r="78" spans="1:18">
      <c r="A78" s="20" t="s">
        <v>564</v>
      </c>
      <c r="B78" s="31">
        <v>1029.802734375</v>
      </c>
      <c r="C78" s="31">
        <v>1210.72021484375</v>
      </c>
      <c r="D78" s="31">
        <v>1286.1322021484375</v>
      </c>
      <c r="E78" s="31">
        <v>1420.0106201171875</v>
      </c>
      <c r="F78" s="31">
        <v>1998.4468994140625</v>
      </c>
      <c r="G78" s="31">
        <v>1029.73388671875</v>
      </c>
      <c r="H78" s="31">
        <v>1210.9786376953125</v>
      </c>
      <c r="I78" s="31">
        <v>1286.70849609375</v>
      </c>
      <c r="J78" s="31">
        <v>1420.008056640625</v>
      </c>
      <c r="K78" s="31">
        <v>1999.407470703125</v>
      </c>
      <c r="L78" s="31">
        <v>1029.6944580078125</v>
      </c>
      <c r="M78" s="31">
        <v>1211.05029296875</v>
      </c>
      <c r="N78" s="31">
        <v>1286.9852294921875</v>
      </c>
      <c r="O78" s="31">
        <v>1419.8304443359375</v>
      </c>
      <c r="P78" s="31">
        <v>1999.671875</v>
      </c>
      <c r="R78" s="163">
        <f>MAX(B78:P78)</f>
        <v>1999.671875</v>
      </c>
    </row>
    <row r="79" spans="1:18">
      <c r="A79" s="20" t="s">
        <v>542</v>
      </c>
      <c r="B79" s="31">
        <f>$T$41/B78</f>
        <v>3.7055640586504923</v>
      </c>
      <c r="C79" s="31">
        <f t="shared" ref="C79:P79" si="23">$T$41/C78</f>
        <v>3.151842971823573</v>
      </c>
      <c r="D79" s="31">
        <f t="shared" si="23"/>
        <v>2.9670355766114165</v>
      </c>
      <c r="E79" s="31">
        <f t="shared" si="23"/>
        <v>2.6873038454353826</v>
      </c>
      <c r="F79" s="31">
        <f t="shared" si="23"/>
        <v>1.9094828094350855</v>
      </c>
      <c r="G79" s="31">
        <f t="shared" si="23"/>
        <v>3.7058118113988607</v>
      </c>
      <c r="H79" s="31">
        <f t="shared" si="23"/>
        <v>3.1511703685066346</v>
      </c>
      <c r="I79" s="31">
        <f t="shared" si="23"/>
        <v>2.9657066939285719</v>
      </c>
      <c r="J79" s="31">
        <f t="shared" si="23"/>
        <v>2.6873086967039312</v>
      </c>
      <c r="K79" s="31">
        <f t="shared" si="23"/>
        <v>1.9085654404692405</v>
      </c>
      <c r="L79" s="31">
        <f t="shared" si="23"/>
        <v>3.7059537130878168</v>
      </c>
      <c r="M79" s="31">
        <f t="shared" si="23"/>
        <v>3.1509839204493453</v>
      </c>
      <c r="N79" s="31">
        <f t="shared" si="23"/>
        <v>2.9650689942305704</v>
      </c>
      <c r="O79" s="31">
        <f t="shared" si="23"/>
        <v>2.6876448629644396</v>
      </c>
      <c r="P79" s="31">
        <f t="shared" si="23"/>
        <v>1.9083130826151165</v>
      </c>
      <c r="R79" s="163">
        <f>MIN(B79:P79)</f>
        <v>1.9083130826151165</v>
      </c>
    </row>
    <row r="80" spans="1:18">
      <c r="A80" s="20" t="s">
        <v>565</v>
      </c>
      <c r="B80" s="31">
        <v>950.28070068359375</v>
      </c>
      <c r="C80" s="31">
        <v>1133.938232421875</v>
      </c>
      <c r="D80" s="31">
        <v>1215.472412109375</v>
      </c>
      <c r="E80" s="31">
        <v>1355.5091552734375</v>
      </c>
      <c r="F80" s="31">
        <v>1936.7078857421875</v>
      </c>
      <c r="G80" s="31">
        <v>950.21173095703125</v>
      </c>
      <c r="H80" s="31">
        <v>1134.20703125</v>
      </c>
      <c r="I80" s="31">
        <v>1216.0618896484375</v>
      </c>
      <c r="J80" s="31">
        <v>1355.5003662109375</v>
      </c>
      <c r="K80" s="31">
        <v>1937.642578125</v>
      </c>
      <c r="L80" s="31">
        <v>950.17218017578125</v>
      </c>
      <c r="M80" s="31">
        <v>1134.2821044921875</v>
      </c>
      <c r="N80" s="31">
        <v>1216.350341796875</v>
      </c>
      <c r="O80" s="31">
        <v>1355.331787109375</v>
      </c>
      <c r="P80" s="31">
        <v>1937.88671875</v>
      </c>
      <c r="R80" s="163">
        <f>MAX(B80:P80)</f>
        <v>1937.88671875</v>
      </c>
    </row>
    <row r="81" spans="1:18">
      <c r="A81" s="20" t="s">
        <v>543</v>
      </c>
      <c r="B81" s="31">
        <f>$T$38/B80</f>
        <v>4.3764963310401388</v>
      </c>
      <c r="C81" s="31">
        <f t="shared" ref="C81:P81" si="24">$T$38/C80</f>
        <v>3.6676600903714007</v>
      </c>
      <c r="D81" s="31">
        <f t="shared" si="24"/>
        <v>3.4216325755863881</v>
      </c>
      <c r="E81" s="31">
        <f t="shared" si="24"/>
        <v>3.0681460053739396</v>
      </c>
      <c r="F81" s="31">
        <f t="shared" si="24"/>
        <v>2.1474069634441655</v>
      </c>
      <c r="G81" s="31">
        <f t="shared" si="24"/>
        <v>4.3768139926153644</v>
      </c>
      <c r="H81" s="31">
        <f t="shared" si="24"/>
        <v>3.6667908815699297</v>
      </c>
      <c r="I81" s="31">
        <f t="shared" si="24"/>
        <v>3.419973963004741</v>
      </c>
      <c r="J81" s="31">
        <f t="shared" si="24"/>
        <v>3.0681658992283958</v>
      </c>
      <c r="K81" s="31">
        <f t="shared" si="24"/>
        <v>2.1463710835795351</v>
      </c>
      <c r="L81" s="31">
        <f t="shared" si="24"/>
        <v>4.3769961768724981</v>
      </c>
      <c r="M81" s="31">
        <f t="shared" si="24"/>
        <v>3.6665481924903678</v>
      </c>
      <c r="N81" s="31">
        <f t="shared" si="24"/>
        <v>3.419162931180002</v>
      </c>
      <c r="O81" s="31">
        <f t="shared" si="24"/>
        <v>3.0685475243445892</v>
      </c>
      <c r="P81" s="31">
        <f t="shared" si="24"/>
        <v>2.1461006774857441</v>
      </c>
      <c r="R81" s="163">
        <f>MIN(B81:P81)</f>
        <v>2.1461006774857441</v>
      </c>
    </row>
    <row r="82" spans="1:18">
      <c r="A82" s="20" t="s">
        <v>588</v>
      </c>
      <c r="B82" s="194">
        <v>1817</v>
      </c>
      <c r="C82" s="173"/>
      <c r="D82" s="173"/>
      <c r="E82" s="173"/>
      <c r="F82" s="173"/>
      <c r="G82" s="173"/>
      <c r="H82" s="173"/>
      <c r="I82" s="173"/>
      <c r="J82" s="173"/>
      <c r="K82" s="173"/>
      <c r="L82" s="173"/>
      <c r="M82" s="173"/>
      <c r="N82" s="173"/>
      <c r="O82" s="173"/>
      <c r="P82" s="173"/>
    </row>
    <row r="83" spans="1:18">
      <c r="A83" s="20" t="s">
        <v>589</v>
      </c>
      <c r="B83" s="173">
        <v>1637.0000000000045</v>
      </c>
      <c r="C83" s="173">
        <v>1657.0000000000045</v>
      </c>
      <c r="D83" s="173">
        <v>1637.0000000000045</v>
      </c>
      <c r="E83" s="173">
        <v>1627.0000000000045</v>
      </c>
      <c r="F83" s="173">
        <v>1737.0000000000045</v>
      </c>
      <c r="G83" s="173">
        <v>1637.0000000000045</v>
      </c>
      <c r="H83" s="173">
        <v>1657.0000000000045</v>
      </c>
      <c r="I83" s="173">
        <v>1637.0000000000045</v>
      </c>
      <c r="J83" s="173">
        <v>1627.0000000000045</v>
      </c>
      <c r="K83" s="173">
        <v>1737.0000000000045</v>
      </c>
      <c r="L83" s="173">
        <v>1637.0000000000045</v>
      </c>
      <c r="M83" s="173">
        <v>1657.0000000000045</v>
      </c>
      <c r="N83" s="173">
        <v>1637.0000000000045</v>
      </c>
      <c r="O83" s="173">
        <v>1627.0000000000045</v>
      </c>
      <c r="P83" s="173">
        <v>1737.0000000000045</v>
      </c>
    </row>
    <row r="84" spans="1:18">
      <c r="A84" s="20" t="s">
        <v>590</v>
      </c>
      <c r="B84" s="173">
        <f>$B$82-B83</f>
        <v>179.99999999999545</v>
      </c>
      <c r="C84" s="173">
        <f t="shared" ref="C84:P84" si="25">$B$82-C83</f>
        <v>159.99999999999545</v>
      </c>
      <c r="D84" s="173">
        <f t="shared" si="25"/>
        <v>179.99999999999545</v>
      </c>
      <c r="E84" s="173">
        <f t="shared" si="25"/>
        <v>189.99999999999545</v>
      </c>
      <c r="F84" s="173">
        <f t="shared" si="25"/>
        <v>79.999999999995453</v>
      </c>
      <c r="G84" s="173">
        <f t="shared" si="25"/>
        <v>179.99999999999545</v>
      </c>
      <c r="H84" s="173">
        <f t="shared" si="25"/>
        <v>159.99999999999545</v>
      </c>
      <c r="I84" s="173">
        <f t="shared" si="25"/>
        <v>179.99999999999545</v>
      </c>
      <c r="J84" s="173">
        <f t="shared" si="25"/>
        <v>189.99999999999545</v>
      </c>
      <c r="K84" s="173">
        <f t="shared" si="25"/>
        <v>79.999999999995453</v>
      </c>
      <c r="L84" s="173">
        <f t="shared" si="25"/>
        <v>179.99999999999545</v>
      </c>
      <c r="M84" s="173">
        <f t="shared" si="25"/>
        <v>159.99999999999545</v>
      </c>
      <c r="N84" s="173">
        <f t="shared" si="25"/>
        <v>179.99999999999545</v>
      </c>
      <c r="O84" s="173">
        <f t="shared" si="25"/>
        <v>189.99999999999545</v>
      </c>
      <c r="P84" s="173">
        <f t="shared" si="25"/>
        <v>79.999999999995453</v>
      </c>
      <c r="R84" s="163">
        <f>MIN(B84:P84)</f>
        <v>79.999999999995453</v>
      </c>
    </row>
    <row r="85" spans="1:18">
      <c r="B85" s="191"/>
      <c r="C85" s="191"/>
      <c r="D85" s="191"/>
      <c r="E85" s="191"/>
      <c r="F85" s="191"/>
      <c r="G85" s="191"/>
      <c r="H85" s="191"/>
      <c r="I85" s="191"/>
      <c r="J85" s="191"/>
      <c r="K85" s="191"/>
      <c r="L85" s="191"/>
      <c r="M85" s="191"/>
      <c r="N85" s="191"/>
      <c r="O85" s="191"/>
      <c r="P85" s="191"/>
    </row>
    <row r="86" spans="1:18">
      <c r="A86" s="20" t="s">
        <v>566</v>
      </c>
      <c r="B86" s="31">
        <v>1068.7520751953125</v>
      </c>
      <c r="C86" s="31">
        <v>1205.498046875</v>
      </c>
      <c r="D86" s="31">
        <v>1280.1280517578125</v>
      </c>
      <c r="E86" s="31">
        <v>1363.87255859375</v>
      </c>
      <c r="F86" s="31">
        <v>1996.5238037109375</v>
      </c>
      <c r="G86" s="31">
        <v>1068.7115478515625</v>
      </c>
      <c r="H86" s="31">
        <v>1205.0400390625</v>
      </c>
      <c r="I86" s="31">
        <v>1279.97021484375</v>
      </c>
      <c r="J86" s="31">
        <v>1363.638427734375</v>
      </c>
      <c r="K86" s="31">
        <v>1997.5928955078125</v>
      </c>
      <c r="L86" s="31">
        <v>1068.6898193359375</v>
      </c>
      <c r="M86" s="31">
        <v>1204.844970703125</v>
      </c>
      <c r="N86" s="31">
        <v>1279.8214111328125</v>
      </c>
      <c r="O86" s="31">
        <v>1363.4169921875</v>
      </c>
      <c r="P86" s="31">
        <v>1997.9486083984375</v>
      </c>
      <c r="R86" s="163">
        <f>MAX(B86:P86)</f>
        <v>1997.9486083984375</v>
      </c>
    </row>
    <row r="87" spans="1:18">
      <c r="A87" s="20" t="s">
        <v>544</v>
      </c>
      <c r="B87" s="31">
        <f>$T$41/B86</f>
        <v>3.5705193829005037</v>
      </c>
      <c r="C87" s="31">
        <f t="shared" ref="C87:P87" si="26">$T$41/C86</f>
        <v>3.165496625973121</v>
      </c>
      <c r="D87" s="31">
        <f t="shared" si="26"/>
        <v>2.9809517842844282</v>
      </c>
      <c r="E87" s="31">
        <f t="shared" si="26"/>
        <v>2.797915374098126</v>
      </c>
      <c r="F87" s="31">
        <f t="shared" si="26"/>
        <v>1.9113220653353611</v>
      </c>
      <c r="G87" s="31">
        <f t="shared" si="26"/>
        <v>3.5706547830154252</v>
      </c>
      <c r="H87" s="31">
        <f t="shared" si="26"/>
        <v>3.1666997579340026</v>
      </c>
      <c r="I87" s="31">
        <f t="shared" si="26"/>
        <v>2.9813193742682764</v>
      </c>
      <c r="J87" s="31">
        <f t="shared" si="26"/>
        <v>2.7983957641470365</v>
      </c>
      <c r="K87" s="31">
        <f t="shared" si="26"/>
        <v>1.9102991448264668</v>
      </c>
      <c r="L87" s="31">
        <f t="shared" si="26"/>
        <v>3.5707273812818636</v>
      </c>
      <c r="M87" s="31">
        <f t="shared" si="26"/>
        <v>3.167212457029267</v>
      </c>
      <c r="N87" s="31">
        <f t="shared" si="26"/>
        <v>2.98166600965234</v>
      </c>
      <c r="O87" s="31">
        <f t="shared" si="26"/>
        <v>2.7988502577465426</v>
      </c>
      <c r="P87" s="31">
        <f t="shared" si="26"/>
        <v>1.9099590369638781</v>
      </c>
      <c r="R87" s="163">
        <f>MIN(B87:P87)</f>
        <v>1.9099590369638781</v>
      </c>
    </row>
    <row r="88" spans="1:18">
      <c r="A88" s="20" t="s">
        <v>567</v>
      </c>
      <c r="B88" s="31">
        <v>980.48876953125</v>
      </c>
      <c r="C88" s="31">
        <v>1120.9652099609375</v>
      </c>
      <c r="D88" s="31">
        <v>1203.9747314453125</v>
      </c>
      <c r="E88" s="31">
        <v>1288.5028076171875</v>
      </c>
      <c r="F88" s="31">
        <v>1924.9609375</v>
      </c>
      <c r="G88" s="31">
        <v>980.4482421875</v>
      </c>
      <c r="H88" s="31">
        <v>1120.53955078125</v>
      </c>
      <c r="I88" s="31">
        <v>1203.846923828125</v>
      </c>
      <c r="J88" s="31">
        <v>1288.2373046875</v>
      </c>
      <c r="K88" s="31">
        <v>1926.07958984375</v>
      </c>
      <c r="L88" s="31">
        <v>980.426513671875</v>
      </c>
      <c r="M88" s="31">
        <v>1120.3602294921875</v>
      </c>
      <c r="N88" s="31">
        <v>1203.71240234375</v>
      </c>
      <c r="O88" s="31">
        <v>1288.0018310546875</v>
      </c>
      <c r="P88" s="31">
        <v>1926.4439697265625</v>
      </c>
      <c r="R88" s="163">
        <f>MAX(B88:P88)</f>
        <v>1926.4439697265625</v>
      </c>
    </row>
    <row r="89" spans="1:18">
      <c r="A89" s="20" t="s">
        <v>545</v>
      </c>
      <c r="B89" s="31">
        <f>$T$38/B88</f>
        <v>4.2416600059460947</v>
      </c>
      <c r="C89" s="31">
        <f t="shared" ref="C89:P89" si="27">$T$38/C88</f>
        <v>3.7101062218915133</v>
      </c>
      <c r="D89" s="31">
        <f t="shared" si="27"/>
        <v>3.4543083765615625</v>
      </c>
      <c r="E89" s="31">
        <f t="shared" si="27"/>
        <v>3.2276996025262865</v>
      </c>
      <c r="F89" s="31">
        <f t="shared" si="27"/>
        <v>2.1605113740132715</v>
      </c>
      <c r="G89" s="31">
        <f t="shared" si="27"/>
        <v>4.241835337193308</v>
      </c>
      <c r="H89" s="31">
        <f t="shared" si="27"/>
        <v>3.7115155793478052</v>
      </c>
      <c r="I89" s="31">
        <f t="shared" si="27"/>
        <v>3.4546751066780752</v>
      </c>
      <c r="J89" s="31">
        <f t="shared" si="27"/>
        <v>3.2283648244520169</v>
      </c>
      <c r="K89" s="31">
        <f t="shared" si="27"/>
        <v>2.1592565654762921</v>
      </c>
      <c r="L89" s="31">
        <f t="shared" si="27"/>
        <v>4.2419293460599778</v>
      </c>
      <c r="M89" s="31">
        <f t="shared" si="27"/>
        <v>3.7121096327072021</v>
      </c>
      <c r="N89" s="31">
        <f t="shared" si="27"/>
        <v>3.4550611856305551</v>
      </c>
      <c r="O89" s="31">
        <f t="shared" si="27"/>
        <v>3.2289550369617581</v>
      </c>
      <c r="P89" s="31">
        <f t="shared" si="27"/>
        <v>2.1588481499362322</v>
      </c>
      <c r="R89" s="163">
        <f>MIN(B89:P89)</f>
        <v>2.1588481499362322</v>
      </c>
    </row>
    <row r="90" spans="1:18">
      <c r="A90" s="20" t="s">
        <v>591</v>
      </c>
      <c r="B90" s="194">
        <v>1827</v>
      </c>
      <c r="C90" s="173"/>
      <c r="D90" s="173"/>
      <c r="E90" s="173"/>
      <c r="F90" s="173"/>
      <c r="G90" s="173"/>
      <c r="H90" s="173"/>
      <c r="I90" s="173"/>
      <c r="J90" s="173"/>
      <c r="K90" s="173"/>
      <c r="L90" s="173"/>
      <c r="M90" s="173"/>
      <c r="N90" s="173"/>
      <c r="O90" s="173"/>
      <c r="P90" s="173"/>
    </row>
    <row r="91" spans="1:18">
      <c r="A91" s="20" t="s">
        <v>592</v>
      </c>
      <c r="B91" s="173">
        <v>1646.9999999999945</v>
      </c>
      <c r="C91" s="173">
        <v>1646.9999999999945</v>
      </c>
      <c r="D91" s="173">
        <v>1636.9999999999945</v>
      </c>
      <c r="E91" s="173">
        <v>1626.9999999999945</v>
      </c>
      <c r="F91" s="173">
        <v>1756.9999999999945</v>
      </c>
      <c r="G91" s="173">
        <v>1646.9999999999945</v>
      </c>
      <c r="H91" s="173">
        <v>1646.9999999999945</v>
      </c>
      <c r="I91" s="173">
        <v>1636.9999999999945</v>
      </c>
      <c r="J91" s="173">
        <v>1626.9999999999945</v>
      </c>
      <c r="K91" s="173">
        <v>1756.9999999999945</v>
      </c>
      <c r="L91" s="173">
        <v>1646.9999999999945</v>
      </c>
      <c r="M91" s="173">
        <v>1646.9999999999945</v>
      </c>
      <c r="N91" s="173">
        <v>1636.9999999999945</v>
      </c>
      <c r="O91" s="173">
        <v>1626.9999999999945</v>
      </c>
      <c r="P91" s="173">
        <v>1756.9999999999945</v>
      </c>
    </row>
    <row r="92" spans="1:18">
      <c r="A92" s="20" t="s">
        <v>593</v>
      </c>
      <c r="B92" s="173">
        <f>$B$90-B91</f>
        <v>180.00000000000546</v>
      </c>
      <c r="C92" s="173">
        <f t="shared" ref="C92:P92" si="28">$B$90-C91</f>
        <v>180.00000000000546</v>
      </c>
      <c r="D92" s="173">
        <f t="shared" si="28"/>
        <v>190.00000000000546</v>
      </c>
      <c r="E92" s="173">
        <f t="shared" si="28"/>
        <v>200.00000000000546</v>
      </c>
      <c r="F92" s="173">
        <f t="shared" si="28"/>
        <v>70.000000000005457</v>
      </c>
      <c r="G92" s="173">
        <f t="shared" si="28"/>
        <v>180.00000000000546</v>
      </c>
      <c r="H92" s="173">
        <f t="shared" si="28"/>
        <v>180.00000000000546</v>
      </c>
      <c r="I92" s="173">
        <f t="shared" si="28"/>
        <v>190.00000000000546</v>
      </c>
      <c r="J92" s="173">
        <f t="shared" si="28"/>
        <v>200.00000000000546</v>
      </c>
      <c r="K92" s="173">
        <f t="shared" si="28"/>
        <v>70.000000000005457</v>
      </c>
      <c r="L92" s="173">
        <f t="shared" si="28"/>
        <v>180.00000000000546</v>
      </c>
      <c r="M92" s="173">
        <f t="shared" si="28"/>
        <v>180.00000000000546</v>
      </c>
      <c r="N92" s="173">
        <f t="shared" si="28"/>
        <v>190.00000000000546</v>
      </c>
      <c r="O92" s="173">
        <f t="shared" si="28"/>
        <v>200.00000000000546</v>
      </c>
      <c r="P92" s="173">
        <f t="shared" si="28"/>
        <v>70.000000000005457</v>
      </c>
      <c r="R92" s="163">
        <f>MIN(B92:P92)</f>
        <v>70.000000000005457</v>
      </c>
    </row>
    <row r="93" spans="1:18">
      <c r="B93" s="191"/>
      <c r="C93" s="191"/>
      <c r="D93" s="191"/>
      <c r="E93" s="191"/>
      <c r="F93" s="191"/>
      <c r="G93" s="191"/>
      <c r="H93" s="191"/>
      <c r="I93" s="191"/>
      <c r="J93" s="191"/>
      <c r="K93" s="191"/>
      <c r="L93" s="192"/>
      <c r="M93" s="191"/>
      <c r="N93" s="191"/>
      <c r="O93" s="191"/>
      <c r="P93" s="191"/>
    </row>
    <row r="94" spans="1:18">
      <c r="A94" s="20" t="s">
        <v>568</v>
      </c>
      <c r="B94" s="31">
        <v>1022.8739013671875</v>
      </c>
      <c r="C94" s="31">
        <v>1144.8333740234375</v>
      </c>
      <c r="D94" s="31">
        <v>1209.33251953125</v>
      </c>
      <c r="E94" s="31">
        <v>1237.212890625</v>
      </c>
      <c r="F94" s="31">
        <v>1609.55615234375</v>
      </c>
      <c r="G94" s="31">
        <v>1022.8751831054687</v>
      </c>
      <c r="H94" s="31">
        <v>1144.155517578125</v>
      </c>
      <c r="I94" s="31">
        <v>1209.0743408203125</v>
      </c>
      <c r="J94" s="31">
        <v>1237.051025390625</v>
      </c>
      <c r="K94" s="31">
        <v>1610.1883544921875</v>
      </c>
      <c r="L94" s="31">
        <v>1022.8761596679687</v>
      </c>
      <c r="M94" s="31">
        <v>1143.8861083984375</v>
      </c>
      <c r="N94" s="31">
        <v>1208.9088134765625</v>
      </c>
      <c r="O94" s="31">
        <v>1236.9112548828125</v>
      </c>
      <c r="P94" s="31">
        <v>1610.3934326171875</v>
      </c>
      <c r="R94" s="163">
        <f>MAX(B94:P94)</f>
        <v>1610.3934326171875</v>
      </c>
    </row>
    <row r="95" spans="1:18">
      <c r="A95" s="20" t="s">
        <v>546</v>
      </c>
      <c r="B95" s="31">
        <f>$T$41/B94</f>
        <v>3.7306651336977912</v>
      </c>
      <c r="C95" s="31">
        <f t="shared" ref="C95:P95" si="29">$T$41/C94</f>
        <v>3.3332361604631884</v>
      </c>
      <c r="D95" s="31">
        <f t="shared" si="29"/>
        <v>3.1554596757880304</v>
      </c>
      <c r="E95" s="31">
        <f t="shared" si="29"/>
        <v>3.0843519566566107</v>
      </c>
      <c r="F95" s="31">
        <f t="shared" si="29"/>
        <v>2.3708399327624226</v>
      </c>
      <c r="G95" s="31">
        <f t="shared" si="29"/>
        <v>3.7306604588983676</v>
      </c>
      <c r="H95" s="31">
        <f t="shared" si="29"/>
        <v>3.3352109406223587</v>
      </c>
      <c r="I95" s="31">
        <f t="shared" si="29"/>
        <v>3.15613347431638</v>
      </c>
      <c r="J95" s="31">
        <f t="shared" si="29"/>
        <v>3.0847555368987445</v>
      </c>
      <c r="K95" s="31">
        <f t="shared" si="29"/>
        <v>2.3699090788688939</v>
      </c>
      <c r="L95" s="31">
        <f t="shared" si="29"/>
        <v>3.7306568971542897</v>
      </c>
      <c r="M95" s="31">
        <f t="shared" si="29"/>
        <v>3.3359964527786832</v>
      </c>
      <c r="N95" s="31">
        <f t="shared" si="29"/>
        <v>3.156565621377184</v>
      </c>
      <c r="O95" s="31">
        <f t="shared" si="29"/>
        <v>3.085104113117263</v>
      </c>
      <c r="P95" s="31">
        <f t="shared" si="29"/>
        <v>2.369607279010256</v>
      </c>
      <c r="R95" s="163">
        <f>MIN(B95:P95)</f>
        <v>2.369607279010256</v>
      </c>
    </row>
    <row r="96" spans="1:18">
      <c r="A96" s="20" t="s">
        <v>569</v>
      </c>
      <c r="B96" s="31">
        <v>928.99761962890625</v>
      </c>
      <c r="C96" s="31">
        <v>1055.8233642578125</v>
      </c>
      <c r="D96" s="31">
        <v>1123.4820556640625</v>
      </c>
      <c r="E96" s="31">
        <v>1149.1837158203125</v>
      </c>
      <c r="F96" s="31">
        <v>1527.3824462890625</v>
      </c>
      <c r="G96" s="31">
        <v>928.99908447265625</v>
      </c>
      <c r="H96" s="31">
        <v>1055.0797119140625</v>
      </c>
      <c r="I96" s="31">
        <v>1123.1783447265625</v>
      </c>
      <c r="J96" s="31">
        <v>1149.0450439453125</v>
      </c>
      <c r="K96" s="31">
        <v>1527.9879150390625</v>
      </c>
      <c r="L96" s="31">
        <v>929.00030517578125</v>
      </c>
      <c r="M96" s="31">
        <v>1054.7791748046875</v>
      </c>
      <c r="N96" s="31">
        <v>1122.9915771484375</v>
      </c>
      <c r="O96" s="31">
        <v>1148.908935546875</v>
      </c>
      <c r="P96" s="31">
        <v>1528.171875</v>
      </c>
      <c r="R96" s="163">
        <f>MAX(B96:P96)</f>
        <v>1528.171875</v>
      </c>
    </row>
    <row r="97" spans="1:19">
      <c r="A97" s="20" t="s">
        <v>547</v>
      </c>
      <c r="B97" s="31">
        <f>$T$38/B96</f>
        <v>4.4767606634571342</v>
      </c>
      <c r="C97" s="31">
        <f t="shared" ref="C97:P97" si="30">$T$38/C96</f>
        <v>3.9390111459822501</v>
      </c>
      <c r="D97" s="31">
        <f t="shared" si="30"/>
        <v>3.7017947719171871</v>
      </c>
      <c r="E97" s="31">
        <f t="shared" si="30"/>
        <v>3.6190035959840299</v>
      </c>
      <c r="F97" s="31">
        <f t="shared" si="30"/>
        <v>2.7228936734898905</v>
      </c>
      <c r="G97" s="31">
        <f t="shared" si="30"/>
        <v>4.4767536045105887</v>
      </c>
      <c r="H97" s="31">
        <f t="shared" si="30"/>
        <v>3.9417874811137947</v>
      </c>
      <c r="I97" s="31">
        <f t="shared" si="30"/>
        <v>3.7027957488020156</v>
      </c>
      <c r="J97" s="31">
        <f t="shared" si="30"/>
        <v>3.6194403534609725</v>
      </c>
      <c r="K97" s="31">
        <f t="shared" si="30"/>
        <v>2.7218147205658232</v>
      </c>
      <c r="L97" s="31">
        <f t="shared" si="30"/>
        <v>4.4767477220721386</v>
      </c>
      <c r="M97" s="31">
        <f t="shared" si="30"/>
        <v>3.9429106104318947</v>
      </c>
      <c r="N97" s="31">
        <f t="shared" si="30"/>
        <v>3.7034115701566614</v>
      </c>
      <c r="O97" s="31">
        <f t="shared" si="30"/>
        <v>3.6198691396027698</v>
      </c>
      <c r="P97" s="31">
        <f t="shared" si="30"/>
        <v>2.7214870709487444</v>
      </c>
      <c r="R97" s="163">
        <f>MIN(B97:P97)</f>
        <v>2.7214870709487444</v>
      </c>
    </row>
    <row r="98" spans="1:19">
      <c r="A98" s="20" t="s">
        <v>594</v>
      </c>
      <c r="B98" s="194">
        <v>1836</v>
      </c>
      <c r="C98" s="173"/>
      <c r="D98" s="173"/>
      <c r="E98" s="173"/>
      <c r="F98" s="173"/>
      <c r="G98" s="173"/>
      <c r="H98" s="173"/>
      <c r="I98" s="173"/>
      <c r="J98" s="173"/>
      <c r="K98" s="173"/>
      <c r="L98" s="173"/>
      <c r="M98" s="173"/>
      <c r="N98" s="173"/>
      <c r="O98" s="173"/>
      <c r="P98" s="173"/>
    </row>
    <row r="99" spans="1:19">
      <c r="A99" s="20" t="s">
        <v>595</v>
      </c>
      <c r="B99" s="173">
        <v>1625.9999999999975</v>
      </c>
      <c r="C99" s="173">
        <v>1625.9999999999975</v>
      </c>
      <c r="D99" s="173">
        <v>1615.9999999999975</v>
      </c>
      <c r="E99" s="173">
        <v>1615.9999999999975</v>
      </c>
      <c r="F99" s="173">
        <v>1695.9999999999975</v>
      </c>
      <c r="G99" s="173">
        <v>1625.9999999999975</v>
      </c>
      <c r="H99" s="173">
        <v>1625.9999999999975</v>
      </c>
      <c r="I99" s="173">
        <v>1615.9999999999975</v>
      </c>
      <c r="J99" s="173">
        <v>1615.9999999999975</v>
      </c>
      <c r="K99" s="173">
        <v>1695.9999999999975</v>
      </c>
      <c r="L99" s="173">
        <v>1625.9999999999975</v>
      </c>
      <c r="M99" s="173">
        <v>1625.9999999999975</v>
      </c>
      <c r="N99" s="173">
        <v>1615.9999999999975</v>
      </c>
      <c r="O99" s="173">
        <v>1615.9999999999975</v>
      </c>
      <c r="P99" s="173">
        <v>1695.9999999999975</v>
      </c>
    </row>
    <row r="100" spans="1:19">
      <c r="A100" s="20" t="s">
        <v>596</v>
      </c>
      <c r="B100" s="173">
        <f>$B$98-B99</f>
        <v>210.0000000000025</v>
      </c>
      <c r="C100" s="173">
        <f t="shared" ref="C100:P100" si="31">$B$98-C99</f>
        <v>210.0000000000025</v>
      </c>
      <c r="D100" s="173">
        <f t="shared" si="31"/>
        <v>220.0000000000025</v>
      </c>
      <c r="E100" s="173">
        <f t="shared" si="31"/>
        <v>220.0000000000025</v>
      </c>
      <c r="F100" s="173">
        <f t="shared" si="31"/>
        <v>140.0000000000025</v>
      </c>
      <c r="G100" s="173">
        <f t="shared" si="31"/>
        <v>210.0000000000025</v>
      </c>
      <c r="H100" s="173">
        <f t="shared" si="31"/>
        <v>210.0000000000025</v>
      </c>
      <c r="I100" s="173">
        <f t="shared" si="31"/>
        <v>220.0000000000025</v>
      </c>
      <c r="J100" s="173">
        <f t="shared" si="31"/>
        <v>220.0000000000025</v>
      </c>
      <c r="K100" s="173">
        <f t="shared" si="31"/>
        <v>140.0000000000025</v>
      </c>
      <c r="L100" s="173">
        <f t="shared" si="31"/>
        <v>210.0000000000025</v>
      </c>
      <c r="M100" s="173">
        <f t="shared" si="31"/>
        <v>210.0000000000025</v>
      </c>
      <c r="N100" s="173">
        <f t="shared" si="31"/>
        <v>220.0000000000025</v>
      </c>
      <c r="O100" s="173">
        <f t="shared" si="31"/>
        <v>220.0000000000025</v>
      </c>
      <c r="P100" s="173">
        <f t="shared" si="31"/>
        <v>140.0000000000025</v>
      </c>
      <c r="R100" s="163">
        <f>MIN(B100:P100)</f>
        <v>140.0000000000025</v>
      </c>
    </row>
    <row r="101" spans="1:19">
      <c r="B101" s="191"/>
      <c r="C101" s="191"/>
      <c r="D101" s="191"/>
      <c r="E101" s="191"/>
      <c r="F101" s="191"/>
      <c r="G101" s="191"/>
      <c r="H101" s="191"/>
      <c r="I101" s="191"/>
      <c r="J101" s="191"/>
      <c r="K101" s="191"/>
      <c r="L101" s="192"/>
      <c r="M101" s="191"/>
      <c r="N101" s="191"/>
      <c r="O101" s="191"/>
      <c r="P101" s="191"/>
    </row>
    <row r="102" spans="1:19">
      <c r="G102" s="2"/>
      <c r="L102" s="2"/>
    </row>
    <row r="103" spans="1:19">
      <c r="A103" s="20"/>
      <c r="B103" s="195"/>
      <c r="C103" s="195"/>
      <c r="D103" s="195"/>
      <c r="E103" s="195"/>
      <c r="F103" s="195"/>
      <c r="G103" s="195"/>
      <c r="H103" s="195"/>
      <c r="I103" s="195"/>
      <c r="J103" s="195"/>
      <c r="K103" s="195"/>
      <c r="L103" s="173"/>
      <c r="M103" s="195"/>
      <c r="N103" s="195"/>
      <c r="O103" s="195"/>
      <c r="P103" s="195"/>
    </row>
    <row r="104" spans="1:19">
      <c r="A104" s="20"/>
      <c r="B104" s="195"/>
      <c r="C104" s="195"/>
      <c r="D104" s="195"/>
      <c r="E104" s="195"/>
      <c r="F104" s="195"/>
      <c r="G104" s="195"/>
      <c r="H104" s="195"/>
      <c r="I104" s="195"/>
      <c r="J104" s="195"/>
      <c r="K104" s="195"/>
      <c r="L104" s="195"/>
      <c r="M104" s="195"/>
      <c r="N104" s="195"/>
      <c r="O104" s="195"/>
      <c r="P104" s="195"/>
    </row>
    <row r="105" spans="1:19">
      <c r="A105" s="20"/>
      <c r="B105" s="195"/>
      <c r="C105" s="195"/>
      <c r="D105" s="195"/>
      <c r="E105" s="195"/>
      <c r="F105" s="195"/>
      <c r="G105" s="195"/>
      <c r="H105" s="195"/>
      <c r="I105" s="195"/>
      <c r="J105" s="195"/>
      <c r="K105" s="195"/>
      <c r="L105" s="195"/>
      <c r="M105" s="195"/>
      <c r="N105" s="195"/>
      <c r="O105" s="195"/>
      <c r="P105" s="195"/>
    </row>
    <row r="106" spans="1:19">
      <c r="A106" s="20"/>
      <c r="B106" s="195"/>
      <c r="C106" s="195"/>
      <c r="D106" s="195"/>
      <c r="E106" s="195"/>
      <c r="F106" s="195"/>
      <c r="G106" s="195"/>
      <c r="H106" s="195"/>
      <c r="I106" s="195"/>
      <c r="J106" s="195"/>
      <c r="K106" s="195"/>
      <c r="L106" s="195"/>
      <c r="M106" s="195"/>
      <c r="N106" s="195"/>
      <c r="O106" s="195"/>
      <c r="P106" s="195"/>
    </row>
    <row r="107" spans="1:19">
      <c r="A107" s="20"/>
      <c r="B107" s="195"/>
      <c r="C107" s="195"/>
      <c r="D107" s="195"/>
      <c r="E107" s="195"/>
      <c r="F107" s="195"/>
      <c r="G107" s="195"/>
      <c r="H107" s="195"/>
      <c r="I107" s="195"/>
      <c r="J107" s="195"/>
      <c r="K107" s="195"/>
      <c r="L107" s="195"/>
      <c r="M107" s="195"/>
      <c r="N107" s="195"/>
      <c r="O107" s="195"/>
      <c r="P107" s="195"/>
    </row>
    <row r="108" spans="1:19" ht="15.75">
      <c r="A108" s="20"/>
      <c r="B108" s="195"/>
      <c r="C108" s="195"/>
      <c r="D108" s="195"/>
      <c r="E108" s="195"/>
      <c r="F108" s="195"/>
      <c r="G108" s="195"/>
      <c r="H108" s="195"/>
      <c r="I108" s="195"/>
      <c r="J108" s="195"/>
      <c r="K108" s="195"/>
      <c r="L108" s="195"/>
      <c r="M108" s="195"/>
      <c r="N108" s="395" t="s">
        <v>1201</v>
      </c>
      <c r="O108" s="396"/>
      <c r="P108" s="396"/>
      <c r="Q108" s="396"/>
      <c r="R108" s="396"/>
      <c r="S108" s="397"/>
    </row>
    <row r="109" spans="1:19">
      <c r="L109" s="2"/>
      <c r="N109" s="198"/>
      <c r="O109" s="139"/>
      <c r="P109" s="139"/>
      <c r="Q109" s="139"/>
      <c r="S109" s="199"/>
    </row>
    <row r="110" spans="1:19">
      <c r="G110" s="2"/>
      <c r="L110" s="2"/>
      <c r="N110" s="198" t="s">
        <v>794</v>
      </c>
      <c r="O110" s="139"/>
      <c r="P110" s="139"/>
      <c r="Q110" s="139"/>
      <c r="R110" s="197">
        <f>R8</f>
        <v>573.62994238281249</v>
      </c>
      <c r="S110" s="199" t="s">
        <v>206</v>
      </c>
    </row>
    <row r="111" spans="1:19">
      <c r="N111" s="198" t="s">
        <v>795</v>
      </c>
      <c r="O111" s="139"/>
      <c r="P111" s="139"/>
      <c r="Q111" s="139"/>
      <c r="R111" s="197">
        <f>R10</f>
        <v>270.88537207031248</v>
      </c>
      <c r="S111" s="199" t="s">
        <v>206</v>
      </c>
    </row>
    <row r="112" spans="1:19">
      <c r="N112" s="228" t="s">
        <v>1186</v>
      </c>
      <c r="O112" s="139"/>
      <c r="P112" s="139"/>
      <c r="Q112" s="139"/>
      <c r="R112" s="197" t="e">
        <f>R18</f>
        <v>#REF!</v>
      </c>
      <c r="S112" s="229" t="s">
        <v>227</v>
      </c>
    </row>
    <row r="113" spans="7:19">
      <c r="N113" s="228"/>
      <c r="O113" s="139"/>
      <c r="P113" s="139"/>
      <c r="Q113" s="139"/>
      <c r="R113" s="197"/>
      <c r="S113" s="229"/>
    </row>
    <row r="114" spans="7:19">
      <c r="G114" s="2"/>
      <c r="N114" s="198" t="s">
        <v>796</v>
      </c>
      <c r="O114" s="139"/>
      <c r="P114" s="139"/>
      <c r="Q114" s="139"/>
      <c r="R114" s="197">
        <f>R14</f>
        <v>23.309897678649705</v>
      </c>
      <c r="S114" s="199" t="s">
        <v>227</v>
      </c>
    </row>
    <row r="115" spans="7:19">
      <c r="L115" s="2"/>
      <c r="N115" s="198" t="s">
        <v>797</v>
      </c>
      <c r="O115" s="139"/>
      <c r="P115" s="139"/>
      <c r="Q115" s="139"/>
      <c r="R115" s="197">
        <f>R16</f>
        <v>22.915672618378007</v>
      </c>
      <c r="S115" s="199" t="s">
        <v>227</v>
      </c>
    </row>
    <row r="116" spans="7:19">
      <c r="G116" s="2"/>
      <c r="L116" s="2"/>
      <c r="N116" s="198"/>
      <c r="O116" s="139"/>
      <c r="P116" s="139"/>
      <c r="Q116" s="139"/>
      <c r="S116" s="199"/>
    </row>
    <row r="117" spans="7:19">
      <c r="L117" s="2"/>
      <c r="N117" s="198" t="s">
        <v>798</v>
      </c>
      <c r="O117" s="139"/>
      <c r="P117" s="139"/>
      <c r="Q117" s="139"/>
      <c r="R117" s="197">
        <f>R24</f>
        <v>3.7093674734726054</v>
      </c>
      <c r="S117" s="199" t="s">
        <v>131</v>
      </c>
    </row>
    <row r="118" spans="7:19">
      <c r="L118" s="2"/>
      <c r="N118" s="198"/>
      <c r="O118" s="139"/>
      <c r="P118" s="139"/>
      <c r="Q118" s="139"/>
      <c r="S118" s="199"/>
    </row>
    <row r="119" spans="7:19">
      <c r="G119" s="2"/>
      <c r="N119" s="198" t="s">
        <v>799</v>
      </c>
      <c r="O119" s="198"/>
      <c r="P119" s="198"/>
      <c r="Q119" s="198"/>
      <c r="R119" s="197">
        <f>R28</f>
        <v>8.269298255443573</v>
      </c>
      <c r="S119" s="199" t="s">
        <v>132</v>
      </c>
    </row>
    <row r="120" spans="7:19">
      <c r="N120" s="198"/>
      <c r="O120" s="139"/>
      <c r="P120" s="139"/>
      <c r="Q120" s="139"/>
      <c r="S120" s="199"/>
    </row>
    <row r="121" spans="7:19">
      <c r="N121" s="198" t="s">
        <v>800</v>
      </c>
      <c r="O121" s="139"/>
      <c r="P121" s="139"/>
      <c r="Q121" s="139"/>
      <c r="R121" s="197">
        <f>R35</f>
        <v>13.165284297464531</v>
      </c>
      <c r="S121" s="199" t="s">
        <v>132</v>
      </c>
    </row>
    <row r="122" spans="7:19">
      <c r="G122" s="2"/>
      <c r="L122" s="2"/>
      <c r="N122" s="198"/>
      <c r="O122" s="139"/>
      <c r="P122" s="139"/>
      <c r="Q122" s="139"/>
      <c r="S122" s="199"/>
    </row>
    <row r="123" spans="7:19">
      <c r="N123" s="198" t="s">
        <v>793</v>
      </c>
      <c r="O123" s="139"/>
      <c r="P123" s="139"/>
      <c r="Q123" s="139"/>
      <c r="R123" s="197">
        <f>R37</f>
        <v>1.1216248134308358</v>
      </c>
      <c r="S123" s="199" t="s">
        <v>132</v>
      </c>
    </row>
    <row r="124" spans="7:19">
      <c r="G124" s="2"/>
      <c r="L124" s="2"/>
      <c r="N124" s="198"/>
      <c r="O124" s="139"/>
      <c r="P124" s="139"/>
      <c r="Q124" s="139"/>
      <c r="S124" s="199"/>
    </row>
    <row r="125" spans="7:19">
      <c r="N125" s="198" t="s">
        <v>791</v>
      </c>
      <c r="O125" s="139"/>
      <c r="P125" s="139"/>
      <c r="Q125" s="139"/>
      <c r="R125" s="197">
        <f>MAX(R38,R46,R54,R62,R70,R78,R86,R94)</f>
        <v>2041.6390380859375</v>
      </c>
      <c r="S125" s="199" t="s">
        <v>206</v>
      </c>
    </row>
    <row r="126" spans="7:19">
      <c r="N126" s="228" t="s">
        <v>1187</v>
      </c>
      <c r="O126" s="139"/>
      <c r="P126" s="139"/>
      <c r="Q126" s="139"/>
      <c r="R126" s="197">
        <f>MIN(R39,R47,R55,R63,R71,R79,R87,R95)</f>
        <v>1.869086517652772</v>
      </c>
      <c r="S126" s="199"/>
    </row>
    <row r="127" spans="7:19">
      <c r="N127" s="228"/>
      <c r="O127" s="139"/>
      <c r="P127" s="139"/>
      <c r="Q127" s="139"/>
      <c r="R127" s="197"/>
      <c r="S127" s="199"/>
    </row>
    <row r="128" spans="7:19">
      <c r="G128" s="2"/>
      <c r="L128" s="2"/>
      <c r="N128" s="198" t="s">
        <v>792</v>
      </c>
      <c r="O128" s="139"/>
      <c r="P128" s="139"/>
      <c r="Q128" s="139"/>
      <c r="R128" s="197">
        <f>MAX(R40,R48,R56,R64,R72,R80,R88,R96)</f>
        <v>1983.6990966796875</v>
      </c>
      <c r="S128" s="199" t="s">
        <v>206</v>
      </c>
    </row>
    <row r="129" spans="3:19">
      <c r="N129" s="228" t="s">
        <v>1188</v>
      </c>
      <c r="O129" s="139"/>
      <c r="P129" s="139"/>
      <c r="Q129" s="139"/>
      <c r="R129" s="197">
        <f>MIN(R41,R49,R57,R65,R73,R81,R89,R97)</f>
        <v>2.0965377294173098</v>
      </c>
      <c r="S129" s="199"/>
    </row>
    <row r="130" spans="3:19">
      <c r="N130" s="228"/>
      <c r="O130" s="139"/>
      <c r="P130" s="139"/>
      <c r="Q130" s="139"/>
      <c r="S130" s="199"/>
    </row>
    <row r="131" spans="3:19">
      <c r="N131" s="198" t="s">
        <v>790</v>
      </c>
      <c r="O131" s="139"/>
      <c r="P131" s="139"/>
      <c r="Q131" s="139"/>
      <c r="R131" s="197">
        <f>MIN(R44,R52,R60,R68,R76,R84,R92,R100)</f>
        <v>70.000000000005002</v>
      </c>
      <c r="S131" s="199" t="s">
        <v>132</v>
      </c>
    </row>
    <row r="132" spans="3:19">
      <c r="G132" s="2"/>
      <c r="L132" s="2"/>
      <c r="N132" s="200"/>
      <c r="O132" s="201"/>
      <c r="P132" s="201"/>
      <c r="Q132" s="201"/>
      <c r="R132" s="201"/>
      <c r="S132" s="202"/>
    </row>
    <row r="134" spans="3:19">
      <c r="G134" s="2"/>
      <c r="L134" s="2"/>
    </row>
    <row r="135" spans="3:19">
      <c r="C135" s="2"/>
    </row>
    <row r="137" spans="3:19">
      <c r="C137" s="2"/>
      <c r="G137" s="2"/>
      <c r="L137" s="2"/>
    </row>
    <row r="139" spans="3:19">
      <c r="C139" s="2"/>
    </row>
    <row r="140" spans="3:19">
      <c r="G140" s="2"/>
      <c r="L140" s="2"/>
    </row>
    <row r="141" spans="3:19">
      <c r="C141" s="2"/>
    </row>
    <row r="142" spans="3:19">
      <c r="G142" s="2"/>
      <c r="L142" s="2"/>
    </row>
    <row r="143" spans="3:19">
      <c r="C143" s="2"/>
    </row>
    <row r="145" spans="3:12">
      <c r="G145" s="2"/>
      <c r="L145" s="2"/>
    </row>
    <row r="146" spans="3:12">
      <c r="C146" s="2"/>
    </row>
    <row r="147" spans="3:12">
      <c r="C147" s="2"/>
    </row>
    <row r="148" spans="3:12">
      <c r="C148" s="2"/>
      <c r="L148" s="2"/>
    </row>
    <row r="149" spans="3:12">
      <c r="C149" s="2"/>
    </row>
    <row r="150" spans="3:12">
      <c r="L150" s="2"/>
    </row>
    <row r="152" spans="3:12">
      <c r="C152" s="2"/>
    </row>
    <row r="153" spans="3:12">
      <c r="C153" s="2"/>
      <c r="L153" s="2"/>
    </row>
    <row r="156" spans="3:12">
      <c r="L156" s="2"/>
    </row>
    <row r="157" spans="3:12">
      <c r="C157" s="2"/>
    </row>
    <row r="158" spans="3:12">
      <c r="C158" s="2"/>
      <c r="L158" s="2"/>
    </row>
    <row r="159" spans="3:12">
      <c r="C159" s="2"/>
    </row>
    <row r="160" spans="3:12">
      <c r="C160" s="2"/>
    </row>
    <row r="161" spans="3:12">
      <c r="L161" s="2"/>
    </row>
    <row r="164" spans="3:12">
      <c r="C164" s="2"/>
      <c r="L164" s="2"/>
    </row>
    <row r="166" spans="3:12">
      <c r="C166" s="2"/>
      <c r="L166" s="2"/>
    </row>
    <row r="169" spans="3:12">
      <c r="C169" s="2"/>
      <c r="L169" s="2"/>
    </row>
    <row r="172" spans="3:12">
      <c r="C172" s="2"/>
      <c r="L172" s="2"/>
    </row>
    <row r="174" spans="3:12">
      <c r="C174" s="2"/>
      <c r="L174" s="2"/>
    </row>
    <row r="175" spans="3:12">
      <c r="D175" s="2"/>
    </row>
    <row r="177" spans="3:12">
      <c r="C177" s="2"/>
      <c r="D177" s="2"/>
      <c r="L177" s="2"/>
    </row>
    <row r="179" spans="3:12">
      <c r="D179" s="2"/>
    </row>
    <row r="180" spans="3:12">
      <c r="C180" s="2"/>
      <c r="L180" s="2"/>
    </row>
    <row r="181" spans="3:12">
      <c r="D181" s="2"/>
    </row>
    <row r="182" spans="3:12">
      <c r="C182" s="2"/>
      <c r="L182" s="2"/>
    </row>
    <row r="183" spans="3:12">
      <c r="D183" s="2"/>
    </row>
    <row r="185" spans="3:12">
      <c r="C185" s="2"/>
      <c r="L185" s="2"/>
    </row>
    <row r="186" spans="3:12">
      <c r="D186" s="2"/>
    </row>
    <row r="187" spans="3:12">
      <c r="D187" s="2"/>
    </row>
    <row r="188" spans="3:12">
      <c r="C188" s="2"/>
      <c r="D188" s="2"/>
    </row>
    <row r="189" spans="3:12">
      <c r="D189" s="2"/>
    </row>
    <row r="190" spans="3:12">
      <c r="C190" s="2"/>
    </row>
    <row r="192" spans="3:12">
      <c r="D192" s="2"/>
    </row>
    <row r="193" spans="3:4">
      <c r="C193" s="2"/>
      <c r="D193" s="2"/>
    </row>
    <row r="196" spans="3:4">
      <c r="C196" s="2"/>
    </row>
    <row r="197" spans="3:4">
      <c r="D197" s="2"/>
    </row>
    <row r="198" spans="3:4">
      <c r="C198" s="2"/>
      <c r="D198" s="2"/>
    </row>
    <row r="199" spans="3:4">
      <c r="D199" s="2"/>
    </row>
    <row r="200" spans="3:4">
      <c r="D200" s="2"/>
    </row>
    <row r="201" spans="3:4">
      <c r="C201" s="2"/>
    </row>
    <row r="204" spans="3:4">
      <c r="C204" s="2"/>
      <c r="D204" s="2"/>
    </row>
    <row r="206" spans="3:4">
      <c r="C206" s="2"/>
      <c r="D206" s="2"/>
    </row>
    <row r="209" spans="3:5">
      <c r="C209" s="2"/>
      <c r="D209" s="2"/>
    </row>
    <row r="212" spans="3:5">
      <c r="C212" s="2"/>
      <c r="D212" s="2"/>
    </row>
    <row r="214" spans="3:5">
      <c r="C214" s="2"/>
      <c r="D214" s="2"/>
    </row>
    <row r="215" spans="3:5">
      <c r="E215" s="2"/>
    </row>
    <row r="217" spans="3:5">
      <c r="C217" s="2"/>
      <c r="D217" s="2"/>
      <c r="E217" s="2"/>
    </row>
    <row r="219" spans="3:5">
      <c r="E219" s="2"/>
    </row>
    <row r="220" spans="3:5">
      <c r="C220" s="2"/>
      <c r="D220" s="2"/>
    </row>
    <row r="221" spans="3:5">
      <c r="E221" s="2"/>
    </row>
    <row r="222" spans="3:5">
      <c r="C222" s="2"/>
      <c r="D222" s="2"/>
    </row>
    <row r="223" spans="3:5">
      <c r="E223" s="2"/>
    </row>
    <row r="225" spans="3:5">
      <c r="C225" s="2"/>
      <c r="D225" s="2"/>
    </row>
    <row r="226" spans="3:5">
      <c r="E226" s="2"/>
    </row>
    <row r="227" spans="3:5">
      <c r="E227" s="2"/>
    </row>
    <row r="228" spans="3:5">
      <c r="D228" s="2"/>
      <c r="E228" s="2"/>
    </row>
    <row r="229" spans="3:5">
      <c r="E229" s="2"/>
    </row>
    <row r="230" spans="3:5">
      <c r="D230" s="2"/>
    </row>
    <row r="232" spans="3:5">
      <c r="E232" s="2"/>
    </row>
    <row r="233" spans="3:5">
      <c r="D233" s="2"/>
      <c r="E233" s="2"/>
    </row>
    <row r="236" spans="3:5">
      <c r="D236" s="2"/>
    </row>
    <row r="237" spans="3:5">
      <c r="E237" s="2"/>
    </row>
    <row r="238" spans="3:5">
      <c r="D238" s="2"/>
      <c r="E238" s="2"/>
    </row>
    <row r="239" spans="3:5">
      <c r="E239" s="2"/>
    </row>
    <row r="240" spans="3:5">
      <c r="E240" s="2"/>
    </row>
    <row r="241" spans="4:6">
      <c r="D241" s="2"/>
    </row>
    <row r="244" spans="4:6">
      <c r="D244" s="2"/>
      <c r="E244" s="2"/>
    </row>
    <row r="246" spans="4:6">
      <c r="D246" s="2"/>
      <c r="E246" s="2"/>
    </row>
    <row r="249" spans="4:6">
      <c r="D249" s="2"/>
      <c r="E249" s="2"/>
    </row>
    <row r="252" spans="4:6">
      <c r="D252" s="2"/>
      <c r="E252" s="2"/>
    </row>
    <row r="254" spans="4:6">
      <c r="D254" s="2"/>
      <c r="E254" s="2"/>
    </row>
    <row r="255" spans="4:6">
      <c r="F255" s="2"/>
    </row>
    <row r="257" spans="4:6">
      <c r="D257" s="2"/>
      <c r="E257" s="2"/>
      <c r="F257" s="2"/>
    </row>
    <row r="259" spans="4:6">
      <c r="F259" s="2"/>
    </row>
    <row r="260" spans="4:6">
      <c r="D260" s="2"/>
      <c r="E260" s="2"/>
    </row>
    <row r="261" spans="4:6">
      <c r="F261" s="2"/>
    </row>
    <row r="262" spans="4:6">
      <c r="D262" s="2"/>
      <c r="E262" s="2"/>
    </row>
    <row r="263" spans="4:6">
      <c r="F263" s="2"/>
    </row>
    <row r="265" spans="4:6">
      <c r="D265" s="2"/>
      <c r="E265" s="2"/>
    </row>
    <row r="266" spans="4:6">
      <c r="F266" s="2"/>
    </row>
    <row r="267" spans="4:6">
      <c r="F267" s="2"/>
    </row>
    <row r="268" spans="4:6">
      <c r="E268" s="2"/>
      <c r="F268" s="2"/>
    </row>
    <row r="269" spans="4:6">
      <c r="F269" s="2"/>
    </row>
    <row r="270" spans="4:6">
      <c r="E270" s="2"/>
    </row>
    <row r="272" spans="4:6">
      <c r="F272" s="2"/>
    </row>
    <row r="273" spans="5:6">
      <c r="E273" s="2"/>
      <c r="F273" s="2"/>
    </row>
    <row r="276" spans="5:6">
      <c r="E276" s="2"/>
    </row>
    <row r="277" spans="5:6">
      <c r="F277" s="2"/>
    </row>
    <row r="278" spans="5:6">
      <c r="E278" s="2"/>
      <c r="F278" s="2"/>
    </row>
    <row r="279" spans="5:6">
      <c r="F279" s="2"/>
    </row>
    <row r="280" spans="5:6">
      <c r="F280" s="2"/>
    </row>
    <row r="281" spans="5:6">
      <c r="E281" s="2"/>
    </row>
    <row r="284" spans="5:6">
      <c r="E284" s="2"/>
      <c r="F284" s="2"/>
    </row>
    <row r="286" spans="5:6">
      <c r="E286" s="2"/>
      <c r="F286" s="2"/>
    </row>
    <row r="289" spans="5:8">
      <c r="E289" s="2"/>
      <c r="F289" s="2"/>
    </row>
    <row r="292" spans="5:8">
      <c r="E292" s="2"/>
      <c r="F292" s="2"/>
    </row>
    <row r="294" spans="5:8">
      <c r="E294" s="2"/>
      <c r="F294" s="2"/>
    </row>
    <row r="295" spans="5:8">
      <c r="H295" s="2"/>
    </row>
    <row r="297" spans="5:8">
      <c r="E297" s="2"/>
      <c r="F297" s="2"/>
      <c r="H297" s="2"/>
    </row>
    <row r="299" spans="5:8">
      <c r="H299" s="2"/>
    </row>
    <row r="300" spans="5:8">
      <c r="E300" s="2"/>
      <c r="F300" s="2"/>
    </row>
    <row r="301" spans="5:8">
      <c r="H301" s="2"/>
    </row>
    <row r="302" spans="5:8">
      <c r="E302" s="2"/>
      <c r="F302" s="2"/>
    </row>
    <row r="303" spans="5:8">
      <c r="H303" s="2"/>
    </row>
    <row r="305" spans="5:8">
      <c r="E305" s="2"/>
      <c r="F305" s="2"/>
    </row>
    <row r="306" spans="5:8">
      <c r="H306" s="2"/>
    </row>
    <row r="307" spans="5:8">
      <c r="H307" s="2"/>
    </row>
    <row r="308" spans="5:8">
      <c r="F308" s="2"/>
      <c r="H308" s="2"/>
    </row>
    <row r="309" spans="5:8">
      <c r="H309" s="2"/>
    </row>
    <row r="310" spans="5:8">
      <c r="F310" s="2"/>
    </row>
    <row r="312" spans="5:8">
      <c r="H312" s="2"/>
    </row>
    <row r="313" spans="5:8">
      <c r="F313" s="2"/>
      <c r="H313" s="2"/>
    </row>
    <row r="316" spans="5:8">
      <c r="F316" s="2"/>
    </row>
    <row r="317" spans="5:8">
      <c r="H317" s="2"/>
    </row>
    <row r="318" spans="5:8">
      <c r="F318" s="2"/>
      <c r="H318" s="2"/>
    </row>
    <row r="319" spans="5:8">
      <c r="H319" s="2"/>
    </row>
    <row r="320" spans="5:8">
      <c r="H320" s="2"/>
    </row>
    <row r="321" spans="6:9">
      <c r="F321" s="2"/>
    </row>
    <row r="324" spans="6:9">
      <c r="F324" s="2"/>
      <c r="H324" s="2"/>
    </row>
    <row r="326" spans="6:9">
      <c r="F326" s="2"/>
      <c r="H326" s="2"/>
    </row>
    <row r="329" spans="6:9">
      <c r="F329" s="2"/>
      <c r="H329" s="2"/>
    </row>
    <row r="332" spans="6:9">
      <c r="F332" s="2"/>
      <c r="H332" s="2"/>
    </row>
    <row r="334" spans="6:9">
      <c r="F334" s="2"/>
      <c r="H334" s="2"/>
    </row>
    <row r="335" spans="6:9">
      <c r="I335" s="2"/>
    </row>
    <row r="337" spans="6:9">
      <c r="F337" s="2"/>
      <c r="H337" s="2"/>
      <c r="I337" s="2"/>
    </row>
    <row r="339" spans="6:9">
      <c r="I339" s="2"/>
    </row>
    <row r="340" spans="6:9">
      <c r="F340" s="2"/>
      <c r="H340" s="2"/>
    </row>
    <row r="341" spans="6:9">
      <c r="I341" s="2"/>
    </row>
    <row r="342" spans="6:9">
      <c r="F342" s="2"/>
      <c r="H342" s="2"/>
    </row>
    <row r="343" spans="6:9">
      <c r="I343" s="2"/>
    </row>
    <row r="345" spans="6:9">
      <c r="F345" s="2"/>
      <c r="H345" s="2"/>
    </row>
    <row r="346" spans="6:9">
      <c r="I346" s="2"/>
    </row>
    <row r="347" spans="6:9">
      <c r="I347" s="2"/>
    </row>
    <row r="348" spans="6:9">
      <c r="H348" s="2"/>
      <c r="I348" s="2"/>
    </row>
    <row r="349" spans="6:9">
      <c r="I349" s="2"/>
    </row>
    <row r="350" spans="6:9">
      <c r="H350" s="2"/>
    </row>
    <row r="352" spans="6:9">
      <c r="I352" s="2"/>
    </row>
    <row r="353" spans="8:9">
      <c r="H353" s="2"/>
      <c r="I353" s="2"/>
    </row>
    <row r="356" spans="8:9">
      <c r="H356" s="2"/>
    </row>
    <row r="357" spans="8:9">
      <c r="I357" s="2"/>
    </row>
    <row r="358" spans="8:9">
      <c r="H358" s="2"/>
      <c r="I358" s="2"/>
    </row>
    <row r="359" spans="8:9">
      <c r="I359" s="2"/>
    </row>
    <row r="360" spans="8:9">
      <c r="I360" s="2"/>
    </row>
    <row r="361" spans="8:9">
      <c r="H361" s="2"/>
    </row>
    <row r="364" spans="8:9">
      <c r="H364" s="2"/>
      <c r="I364" s="2"/>
    </row>
    <row r="366" spans="8:9">
      <c r="H366" s="2"/>
      <c r="I366" s="2"/>
    </row>
    <row r="369" spans="8:10">
      <c r="H369" s="2"/>
      <c r="I369" s="2"/>
    </row>
    <row r="372" spans="8:10">
      <c r="H372" s="2"/>
      <c r="I372" s="2"/>
    </row>
    <row r="374" spans="8:10">
      <c r="H374" s="2"/>
      <c r="I374" s="2"/>
    </row>
    <row r="375" spans="8:10">
      <c r="J375" s="2"/>
    </row>
    <row r="377" spans="8:10">
      <c r="H377" s="2"/>
      <c r="I377" s="2"/>
      <c r="J377" s="2"/>
    </row>
    <row r="379" spans="8:10">
      <c r="J379" s="2"/>
    </row>
    <row r="380" spans="8:10">
      <c r="H380" s="2"/>
      <c r="I380" s="2"/>
    </row>
    <row r="381" spans="8:10">
      <c r="J381" s="2"/>
    </row>
    <row r="382" spans="8:10">
      <c r="H382" s="2"/>
      <c r="I382" s="2"/>
    </row>
    <row r="383" spans="8:10">
      <c r="J383" s="2"/>
    </row>
    <row r="385" spans="8:10">
      <c r="H385" s="2"/>
      <c r="I385" s="2"/>
    </row>
    <row r="386" spans="8:10">
      <c r="J386" s="2"/>
    </row>
    <row r="387" spans="8:10">
      <c r="J387" s="2"/>
    </row>
    <row r="388" spans="8:10">
      <c r="I388" s="2"/>
      <c r="J388" s="2"/>
    </row>
    <row r="389" spans="8:10">
      <c r="J389" s="2"/>
    </row>
    <row r="390" spans="8:10">
      <c r="I390" s="2"/>
    </row>
    <row r="392" spans="8:10">
      <c r="J392" s="2"/>
    </row>
    <row r="393" spans="8:10">
      <c r="I393" s="2"/>
      <c r="J393" s="2"/>
    </row>
    <row r="396" spans="8:10">
      <c r="I396" s="2"/>
    </row>
    <row r="397" spans="8:10">
      <c r="J397" s="2"/>
    </row>
    <row r="398" spans="8:10">
      <c r="I398" s="2"/>
      <c r="J398" s="2"/>
    </row>
    <row r="399" spans="8:10">
      <c r="J399" s="2"/>
    </row>
    <row r="400" spans="8:10">
      <c r="J400" s="2"/>
    </row>
    <row r="401" spans="9:11">
      <c r="I401" s="2"/>
    </row>
    <row r="404" spans="9:11">
      <c r="I404" s="2"/>
      <c r="J404" s="2"/>
    </row>
    <row r="406" spans="9:11">
      <c r="I406" s="2"/>
      <c r="J406" s="2"/>
    </row>
    <row r="409" spans="9:11">
      <c r="I409" s="2"/>
      <c r="J409" s="2"/>
    </row>
    <row r="412" spans="9:11">
      <c r="I412" s="2"/>
      <c r="J412" s="2"/>
    </row>
    <row r="414" spans="9:11">
      <c r="I414" s="2"/>
      <c r="J414" s="2"/>
    </row>
    <row r="415" spans="9:11">
      <c r="K415" s="2"/>
    </row>
    <row r="417" spans="9:11">
      <c r="I417" s="2"/>
      <c r="J417" s="2"/>
      <c r="K417" s="2"/>
    </row>
    <row r="419" spans="9:11">
      <c r="K419" s="2"/>
    </row>
    <row r="420" spans="9:11">
      <c r="I420" s="2"/>
      <c r="J420" s="2"/>
    </row>
    <row r="421" spans="9:11">
      <c r="K421" s="2"/>
    </row>
    <row r="422" spans="9:11">
      <c r="I422" s="2"/>
      <c r="J422" s="2"/>
    </row>
    <row r="423" spans="9:11">
      <c r="K423" s="2"/>
    </row>
    <row r="425" spans="9:11">
      <c r="I425" s="2"/>
      <c r="J425" s="2"/>
    </row>
    <row r="426" spans="9:11">
      <c r="K426" s="2"/>
    </row>
    <row r="427" spans="9:11">
      <c r="K427" s="2"/>
    </row>
    <row r="428" spans="9:11">
      <c r="J428" s="2"/>
      <c r="K428" s="2"/>
    </row>
    <row r="429" spans="9:11">
      <c r="K429" s="2"/>
    </row>
    <row r="430" spans="9:11">
      <c r="J430" s="2"/>
    </row>
    <row r="432" spans="9:11">
      <c r="K432" s="2"/>
    </row>
    <row r="433" spans="10:11">
      <c r="J433" s="2"/>
      <c r="K433" s="2"/>
    </row>
    <row r="436" spans="10:11">
      <c r="J436" s="2"/>
    </row>
    <row r="437" spans="10:11">
      <c r="K437" s="2"/>
    </row>
    <row r="438" spans="10:11">
      <c r="J438" s="2"/>
      <c r="K438" s="2"/>
    </row>
    <row r="439" spans="10:11">
      <c r="K439" s="2"/>
    </row>
    <row r="440" spans="10:11">
      <c r="K440" s="2"/>
    </row>
    <row r="441" spans="10:11">
      <c r="J441" s="2"/>
    </row>
    <row r="444" spans="10:11">
      <c r="J444" s="2"/>
      <c r="K444" s="2"/>
    </row>
    <row r="446" spans="10:11">
      <c r="J446" s="2"/>
      <c r="K446" s="2"/>
    </row>
    <row r="449" spans="10:13">
      <c r="J449" s="2"/>
      <c r="K449" s="2"/>
    </row>
    <row r="452" spans="10:13">
      <c r="J452" s="2"/>
      <c r="K452" s="2"/>
    </row>
    <row r="454" spans="10:13">
      <c r="J454" s="2"/>
      <c r="K454" s="2"/>
    </row>
    <row r="455" spans="10:13">
      <c r="M455" s="2"/>
    </row>
    <row r="457" spans="10:13">
      <c r="J457" s="2"/>
      <c r="K457" s="2"/>
      <c r="M457" s="2"/>
    </row>
    <row r="459" spans="10:13">
      <c r="M459" s="2"/>
    </row>
    <row r="460" spans="10:13">
      <c r="J460" s="2"/>
      <c r="K460" s="2"/>
    </row>
    <row r="461" spans="10:13">
      <c r="M461" s="2"/>
    </row>
    <row r="462" spans="10:13">
      <c r="J462" s="2"/>
      <c r="K462" s="2"/>
    </row>
    <row r="463" spans="10:13">
      <c r="M463" s="2"/>
    </row>
    <row r="465" spans="10:13">
      <c r="J465" s="2"/>
      <c r="K465" s="2"/>
    </row>
    <row r="466" spans="10:13">
      <c r="M466" s="2"/>
    </row>
    <row r="467" spans="10:13">
      <c r="M467" s="2"/>
    </row>
    <row r="468" spans="10:13">
      <c r="K468" s="2"/>
      <c r="M468" s="2"/>
    </row>
    <row r="469" spans="10:13">
      <c r="M469" s="2"/>
    </row>
    <row r="470" spans="10:13">
      <c r="K470" s="2"/>
    </row>
    <row r="472" spans="10:13">
      <c r="M472" s="2"/>
    </row>
    <row r="473" spans="10:13">
      <c r="K473" s="2"/>
      <c r="M473" s="2"/>
    </row>
    <row r="476" spans="10:13">
      <c r="K476" s="2"/>
    </row>
    <row r="477" spans="10:13">
      <c r="M477" s="2"/>
    </row>
    <row r="478" spans="10:13">
      <c r="K478" s="2"/>
      <c r="M478" s="2"/>
    </row>
    <row r="479" spans="10:13">
      <c r="M479" s="2"/>
    </row>
    <row r="480" spans="10:13">
      <c r="M480" s="2"/>
    </row>
    <row r="481" spans="11:14">
      <c r="K481" s="2"/>
    </row>
    <row r="484" spans="11:14">
      <c r="K484" s="2"/>
      <c r="M484" s="2"/>
    </row>
    <row r="486" spans="11:14">
      <c r="K486" s="2"/>
      <c r="M486" s="2"/>
    </row>
    <row r="489" spans="11:14">
      <c r="K489" s="2"/>
      <c r="M489" s="2"/>
    </row>
    <row r="492" spans="11:14">
      <c r="K492" s="2"/>
      <c r="M492" s="2"/>
    </row>
    <row r="494" spans="11:14">
      <c r="K494" s="2"/>
      <c r="M494" s="2"/>
    </row>
    <row r="495" spans="11:14">
      <c r="N495" s="2"/>
    </row>
    <row r="497" spans="11:14">
      <c r="K497" s="2"/>
      <c r="M497" s="2"/>
      <c r="N497" s="2"/>
    </row>
    <row r="499" spans="11:14">
      <c r="N499" s="2"/>
    </row>
    <row r="500" spans="11:14">
      <c r="K500" s="2"/>
      <c r="M500" s="2"/>
    </row>
    <row r="501" spans="11:14">
      <c r="N501" s="2"/>
    </row>
    <row r="502" spans="11:14">
      <c r="K502" s="2"/>
      <c r="M502" s="2"/>
    </row>
    <row r="503" spans="11:14">
      <c r="N503" s="2"/>
    </row>
    <row r="505" spans="11:14">
      <c r="K505" s="2"/>
      <c r="M505" s="2"/>
    </row>
    <row r="506" spans="11:14">
      <c r="N506" s="2"/>
    </row>
    <row r="507" spans="11:14">
      <c r="N507" s="2"/>
    </row>
    <row r="508" spans="11:14">
      <c r="M508" s="2"/>
      <c r="N508" s="2"/>
    </row>
    <row r="509" spans="11:14">
      <c r="N509" s="2"/>
    </row>
    <row r="510" spans="11:14">
      <c r="M510" s="2"/>
    </row>
    <row r="512" spans="11:14">
      <c r="N512" s="2"/>
    </row>
    <row r="513" spans="13:14">
      <c r="M513" s="2"/>
      <c r="N513" s="2"/>
    </row>
    <row r="516" spans="13:14">
      <c r="M516" s="2"/>
    </row>
    <row r="517" spans="13:14">
      <c r="N517" s="2"/>
    </row>
    <row r="518" spans="13:14">
      <c r="M518" s="2"/>
      <c r="N518" s="2"/>
    </row>
    <row r="519" spans="13:14">
      <c r="N519" s="2"/>
    </row>
    <row r="520" spans="13:14">
      <c r="N520" s="2"/>
    </row>
    <row r="521" spans="13:14">
      <c r="M521" s="2"/>
    </row>
    <row r="524" spans="13:14">
      <c r="M524" s="2"/>
      <c r="N524" s="2"/>
    </row>
    <row r="526" spans="13:14">
      <c r="M526" s="2"/>
      <c r="N526" s="2"/>
    </row>
    <row r="529" spans="13:15">
      <c r="M529" s="2"/>
      <c r="N529" s="2"/>
    </row>
    <row r="532" spans="13:15">
      <c r="M532" s="2"/>
      <c r="N532" s="2"/>
    </row>
    <row r="534" spans="13:15">
      <c r="M534" s="2"/>
      <c r="N534" s="2"/>
    </row>
    <row r="535" spans="13:15">
      <c r="O535" s="2"/>
    </row>
    <row r="537" spans="13:15">
      <c r="M537" s="2"/>
      <c r="N537" s="2"/>
      <c r="O537" s="2"/>
    </row>
    <row r="539" spans="13:15">
      <c r="O539" s="2"/>
    </row>
    <row r="540" spans="13:15">
      <c r="M540" s="2"/>
      <c r="N540" s="2"/>
    </row>
    <row r="541" spans="13:15">
      <c r="O541" s="2"/>
    </row>
    <row r="542" spans="13:15">
      <c r="M542" s="2"/>
      <c r="N542" s="2"/>
    </row>
    <row r="543" spans="13:15">
      <c r="O543" s="2"/>
    </row>
    <row r="545" spans="13:15">
      <c r="M545" s="2"/>
      <c r="N545" s="2"/>
    </row>
    <row r="546" spans="13:15">
      <c r="O546" s="2"/>
    </row>
    <row r="547" spans="13:15">
      <c r="O547" s="2"/>
    </row>
    <row r="548" spans="13:15">
      <c r="N548" s="2"/>
      <c r="O548" s="2"/>
    </row>
    <row r="549" spans="13:15">
      <c r="O549" s="2"/>
    </row>
    <row r="550" spans="13:15">
      <c r="N550" s="2"/>
    </row>
    <row r="552" spans="13:15">
      <c r="O552" s="2"/>
    </row>
    <row r="553" spans="13:15">
      <c r="N553" s="2"/>
      <c r="O553" s="2"/>
    </row>
    <row r="556" spans="13:15">
      <c r="N556" s="2"/>
    </row>
    <row r="557" spans="13:15">
      <c r="O557" s="2"/>
    </row>
    <row r="558" spans="13:15">
      <c r="N558" s="2"/>
      <c r="O558" s="2"/>
    </row>
    <row r="559" spans="13:15">
      <c r="O559" s="2"/>
    </row>
    <row r="560" spans="13:15">
      <c r="O560" s="2"/>
    </row>
    <row r="561" spans="14:16">
      <c r="N561" s="2"/>
    </row>
    <row r="564" spans="14:16">
      <c r="N564" s="2"/>
      <c r="O564" s="2"/>
    </row>
    <row r="566" spans="14:16">
      <c r="N566" s="2"/>
      <c r="O566" s="2"/>
    </row>
    <row r="569" spans="14:16">
      <c r="N569" s="2"/>
      <c r="O569" s="2"/>
    </row>
    <row r="572" spans="14:16">
      <c r="N572" s="2"/>
      <c r="O572" s="2"/>
    </row>
    <row r="574" spans="14:16">
      <c r="N574" s="2"/>
      <c r="O574" s="2"/>
    </row>
    <row r="575" spans="14:16">
      <c r="P575" s="2"/>
    </row>
    <row r="577" spans="14:16">
      <c r="N577" s="2"/>
      <c r="O577" s="2"/>
      <c r="P577" s="2"/>
    </row>
    <row r="579" spans="14:16">
      <c r="P579" s="2"/>
    </row>
    <row r="580" spans="14:16">
      <c r="N580" s="2"/>
      <c r="O580" s="2"/>
    </row>
    <row r="581" spans="14:16">
      <c r="P581" s="2"/>
    </row>
    <row r="582" spans="14:16">
      <c r="N582" s="2"/>
      <c r="O582" s="2"/>
    </row>
    <row r="583" spans="14:16">
      <c r="P583" s="2"/>
    </row>
    <row r="585" spans="14:16">
      <c r="N585" s="2"/>
      <c r="O585" s="2"/>
    </row>
    <row r="586" spans="14:16">
      <c r="P586" s="2"/>
    </row>
    <row r="587" spans="14:16">
      <c r="P587" s="2"/>
    </row>
    <row r="588" spans="14:16">
      <c r="O588" s="2"/>
      <c r="P588" s="2"/>
    </row>
    <row r="589" spans="14:16">
      <c r="P589" s="2"/>
    </row>
    <row r="590" spans="14:16">
      <c r="O590" s="2"/>
    </row>
    <row r="592" spans="14:16">
      <c r="P592" s="2"/>
    </row>
    <row r="593" spans="15:16">
      <c r="O593" s="2"/>
      <c r="P593" s="2"/>
    </row>
    <row r="596" spans="15:16">
      <c r="O596" s="2"/>
    </row>
    <row r="597" spans="15:16">
      <c r="P597" s="2"/>
    </row>
    <row r="598" spans="15:16">
      <c r="O598" s="2"/>
      <c r="P598" s="2"/>
    </row>
    <row r="599" spans="15:16">
      <c r="P599" s="2"/>
    </row>
    <row r="600" spans="15:16">
      <c r="P600" s="2"/>
    </row>
    <row r="601" spans="15:16">
      <c r="O601" s="2"/>
    </row>
    <row r="604" spans="15:16">
      <c r="O604" s="2"/>
      <c r="P604" s="2"/>
    </row>
    <row r="606" spans="15:16">
      <c r="O606" s="2"/>
      <c r="P606" s="2"/>
    </row>
    <row r="609" spans="15:16">
      <c r="O609" s="2"/>
      <c r="P609" s="2"/>
    </row>
    <row r="612" spans="15:16">
      <c r="O612" s="2"/>
      <c r="P612" s="2"/>
    </row>
    <row r="614" spans="15:16">
      <c r="O614" s="2"/>
      <c r="P614" s="2"/>
    </row>
    <row r="617" spans="15:16">
      <c r="O617" s="2"/>
      <c r="P617" s="2"/>
    </row>
    <row r="620" spans="15:16">
      <c r="O620" s="2"/>
      <c r="P620" s="2"/>
    </row>
    <row r="622" spans="15:16">
      <c r="O622" s="2"/>
      <c r="P622" s="2"/>
    </row>
    <row r="625" spans="15:16">
      <c r="O625" s="2"/>
      <c r="P625" s="2"/>
    </row>
    <row r="628" spans="15:16">
      <c r="P628" s="2"/>
    </row>
    <row r="630" spans="15:16">
      <c r="P630" s="2"/>
    </row>
    <row r="633" spans="15:16">
      <c r="P633" s="2"/>
    </row>
    <row r="636" spans="15:16">
      <c r="P636" s="2"/>
    </row>
    <row r="638" spans="15:16">
      <c r="P638" s="2"/>
    </row>
    <row r="641" spans="16:16">
      <c r="P641" s="2"/>
    </row>
    <row r="644" spans="16:16">
      <c r="P644" s="2"/>
    </row>
    <row r="646" spans="16:16">
      <c r="P646" s="2"/>
    </row>
    <row r="649" spans="16:16">
      <c r="P649" s="2"/>
    </row>
    <row r="652" spans="16:16">
      <c r="P652" s="2"/>
    </row>
    <row r="654" spans="16:16">
      <c r="P654" s="2"/>
    </row>
    <row r="657" spans="16:16">
      <c r="P657" s="2"/>
    </row>
    <row r="660" spans="16:16">
      <c r="P660" s="2"/>
    </row>
    <row r="662" spans="16:16">
      <c r="P662" s="2"/>
    </row>
    <row r="665" spans="16:16">
      <c r="P665" s="2"/>
    </row>
  </sheetData>
  <mergeCells count="3">
    <mergeCell ref="A1:A2"/>
    <mergeCell ref="B1:P2"/>
    <mergeCell ref="N108:S108"/>
  </mergeCells>
  <conditionalFormatting sqref="T50:U50 T47:U47">
    <cfRule type="cellIs" dxfId="47" priority="40" operator="greaterThan">
      <formula>$G$45</formula>
    </cfRule>
  </conditionalFormatting>
  <conditionalFormatting sqref="T49:U49">
    <cfRule type="cellIs" dxfId="46" priority="38" operator="greaterThan">
      <formula>#REF!</formula>
    </cfRule>
    <cfRule type="cellIs" dxfId="45" priority="39" operator="greaterThan">
      <formula>#REF!</formula>
    </cfRule>
  </conditionalFormatting>
  <conditionalFormatting sqref="B27:C27 B29:P29 R29">
    <cfRule type="cellIs" dxfId="44" priority="37" operator="greaterThan">
      <formula>#REF!</formula>
    </cfRule>
  </conditionalFormatting>
  <conditionalFormatting sqref="B4:P4 B6:P6">
    <cfRule type="cellIs" dxfId="43" priority="36" operator="greaterThan">
      <formula>960</formula>
    </cfRule>
  </conditionalFormatting>
  <conditionalFormatting sqref="B4:P4 B6:P6">
    <cfRule type="cellIs" dxfId="42" priority="35" operator="greaterThan">
      <formula>960</formula>
    </cfRule>
  </conditionalFormatting>
  <conditionalFormatting sqref="B8:P8">
    <cfRule type="cellIs" dxfId="41" priority="34" operator="equal">
      <formula>$R$8</formula>
    </cfRule>
  </conditionalFormatting>
  <conditionalFormatting sqref="B10:P10">
    <cfRule type="cellIs" dxfId="40" priority="33" operator="equal">
      <formula>$R$10</formula>
    </cfRule>
  </conditionalFormatting>
  <conditionalFormatting sqref="B14:P14">
    <cfRule type="cellIs" dxfId="39" priority="32" operator="equal">
      <formula>$R$14</formula>
    </cfRule>
  </conditionalFormatting>
  <conditionalFormatting sqref="B16:P16">
    <cfRule type="cellIs" dxfId="38" priority="31" operator="equal">
      <formula>$R$16</formula>
    </cfRule>
  </conditionalFormatting>
  <conditionalFormatting sqref="B18:P18">
    <cfRule type="cellIs" dxfId="37" priority="30" operator="equal">
      <formula>$R$18</formula>
    </cfRule>
  </conditionalFormatting>
  <conditionalFormatting sqref="B24:P24">
    <cfRule type="cellIs" dxfId="36" priority="29" operator="equal">
      <formula>$R$24</formula>
    </cfRule>
  </conditionalFormatting>
  <conditionalFormatting sqref="B26:P26">
    <cfRule type="cellIs" dxfId="35" priority="28" operator="equal">
      <formula>$R$26</formula>
    </cfRule>
  </conditionalFormatting>
  <conditionalFormatting sqref="B28:P28">
    <cfRule type="cellIs" dxfId="34" priority="27" operator="equal">
      <formula>$R$28</formula>
    </cfRule>
  </conditionalFormatting>
  <conditionalFormatting sqref="B35:P35">
    <cfRule type="cellIs" dxfId="33" priority="26" operator="equal">
      <formula>$R$35</formula>
    </cfRule>
  </conditionalFormatting>
  <conditionalFormatting sqref="B37:P37">
    <cfRule type="cellIs" dxfId="32" priority="25" operator="equal">
      <formula>$R$37</formula>
    </cfRule>
  </conditionalFormatting>
  <conditionalFormatting sqref="B38:P38">
    <cfRule type="cellIs" dxfId="31" priority="24" operator="equal">
      <formula>$R$38</formula>
    </cfRule>
  </conditionalFormatting>
  <conditionalFormatting sqref="B40:P40">
    <cfRule type="cellIs" dxfId="30" priority="23" operator="equal">
      <formula>$R$40</formula>
    </cfRule>
  </conditionalFormatting>
  <conditionalFormatting sqref="B44:P44">
    <cfRule type="cellIs" dxfId="29" priority="22" operator="equal">
      <formula>$R$44</formula>
    </cfRule>
  </conditionalFormatting>
  <conditionalFormatting sqref="B46:P46">
    <cfRule type="cellIs" dxfId="28" priority="21" operator="equal">
      <formula>$R$46</formula>
    </cfRule>
  </conditionalFormatting>
  <conditionalFormatting sqref="B48:P48">
    <cfRule type="cellIs" dxfId="27" priority="20" operator="equal">
      <formula>$R$48</formula>
    </cfRule>
  </conditionalFormatting>
  <conditionalFormatting sqref="B52:P52">
    <cfRule type="cellIs" dxfId="26" priority="19" operator="equal">
      <formula>$R$52</formula>
    </cfRule>
  </conditionalFormatting>
  <conditionalFormatting sqref="B54:P54">
    <cfRule type="cellIs" dxfId="25" priority="18" operator="equal">
      <formula>$R$54</formula>
    </cfRule>
  </conditionalFormatting>
  <conditionalFormatting sqref="B56:P56">
    <cfRule type="cellIs" dxfId="24" priority="17" operator="equal">
      <formula>$R$56</formula>
    </cfRule>
  </conditionalFormatting>
  <conditionalFormatting sqref="B60:P60">
    <cfRule type="cellIs" dxfId="23" priority="16" operator="equal">
      <formula>$R$60</formula>
    </cfRule>
  </conditionalFormatting>
  <conditionalFormatting sqref="B62:P62">
    <cfRule type="cellIs" dxfId="22" priority="15" operator="equal">
      <formula>$R$62</formula>
    </cfRule>
  </conditionalFormatting>
  <conditionalFormatting sqref="B64:P64">
    <cfRule type="cellIs" dxfId="21" priority="14" operator="equal">
      <formula>$R$64</formula>
    </cfRule>
  </conditionalFormatting>
  <conditionalFormatting sqref="B68:P68">
    <cfRule type="cellIs" dxfId="20" priority="13" operator="equal">
      <formula>$R$68</formula>
    </cfRule>
  </conditionalFormatting>
  <conditionalFormatting sqref="B70:P70">
    <cfRule type="cellIs" dxfId="19" priority="12" operator="equal">
      <formula>$R$70</formula>
    </cfRule>
  </conditionalFormatting>
  <conditionalFormatting sqref="B72:P72">
    <cfRule type="cellIs" dxfId="18" priority="11" operator="equal">
      <formula>$R$72</formula>
    </cfRule>
  </conditionalFormatting>
  <conditionalFormatting sqref="B76:P76">
    <cfRule type="cellIs" dxfId="17" priority="10" operator="equal">
      <formula>$R$76</formula>
    </cfRule>
  </conditionalFormatting>
  <conditionalFormatting sqref="B78:P78">
    <cfRule type="cellIs" dxfId="16" priority="9" operator="equal">
      <formula>$R$78</formula>
    </cfRule>
  </conditionalFormatting>
  <conditionalFormatting sqref="B80:P80">
    <cfRule type="cellIs" dxfId="15" priority="8" operator="equal">
      <formula>$R$80</formula>
    </cfRule>
  </conditionalFormatting>
  <conditionalFormatting sqref="B84:P84">
    <cfRule type="cellIs" dxfId="14" priority="7" operator="equal">
      <formula>$R$84</formula>
    </cfRule>
  </conditionalFormatting>
  <conditionalFormatting sqref="B86:P86">
    <cfRule type="cellIs" dxfId="13" priority="6" operator="equal">
      <formula>$R$86</formula>
    </cfRule>
  </conditionalFormatting>
  <conditionalFormatting sqref="B88:P88">
    <cfRule type="cellIs" dxfId="12" priority="5" operator="equal">
      <formula>$R$88</formula>
    </cfRule>
  </conditionalFormatting>
  <conditionalFormatting sqref="B92:P92">
    <cfRule type="cellIs" dxfId="11" priority="4" operator="equal">
      <formula>$R$92</formula>
    </cfRule>
  </conditionalFormatting>
  <conditionalFormatting sqref="B94:P94">
    <cfRule type="cellIs" dxfId="10" priority="3" operator="equal">
      <formula>$R$94</formula>
    </cfRule>
  </conditionalFormatting>
  <conditionalFormatting sqref="B96:P96">
    <cfRule type="cellIs" dxfId="9" priority="2" operator="equal">
      <formula>$R$96</formula>
    </cfRule>
  </conditionalFormatting>
  <conditionalFormatting sqref="B100:P100">
    <cfRule type="cellIs" dxfId="8" priority="1" operator="equal">
      <formula>$R$100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7"/>
  <dimension ref="A1:Q69"/>
  <sheetViews>
    <sheetView workbookViewId="0">
      <selection activeCell="A20" sqref="A20"/>
    </sheetView>
  </sheetViews>
  <sheetFormatPr defaultRowHeight="12.75"/>
  <cols>
    <col min="1" max="1" width="52.42578125" customWidth="1"/>
    <col min="2" max="2" width="8" bestFit="1" customWidth="1"/>
    <col min="3" max="5" width="7.5703125" customWidth="1"/>
    <col min="6" max="6" width="8" bestFit="1" customWidth="1"/>
    <col min="7" max="9" width="7.5703125" customWidth="1"/>
    <col min="10" max="10" width="8" bestFit="1" customWidth="1"/>
    <col min="11" max="13" width="7.5703125" customWidth="1"/>
    <col min="15" max="15" width="32.28515625" bestFit="1" customWidth="1"/>
    <col min="16" max="16" width="14.28515625" bestFit="1" customWidth="1"/>
  </cols>
  <sheetData>
    <row r="1" spans="1:17" ht="13.5" customHeight="1">
      <c r="A1" s="393" t="s">
        <v>518</v>
      </c>
      <c r="B1" s="394" t="s">
        <v>325</v>
      </c>
      <c r="C1" s="394"/>
      <c r="D1" s="394"/>
      <c r="E1" s="394"/>
      <c r="F1" s="394"/>
      <c r="G1" s="394"/>
      <c r="H1" s="394"/>
      <c r="I1" s="394"/>
      <c r="J1" s="394"/>
      <c r="K1" s="394"/>
      <c r="L1" s="394"/>
      <c r="M1" s="394"/>
    </row>
    <row r="2" spans="1:17" ht="13.5" customHeight="1" thickBot="1">
      <c r="A2" s="393"/>
      <c r="B2" s="394"/>
      <c r="C2" s="394"/>
      <c r="D2" s="394"/>
      <c r="E2" s="394"/>
      <c r="F2" s="394"/>
      <c r="G2" s="394"/>
      <c r="H2" s="394"/>
      <c r="I2" s="394"/>
      <c r="J2" s="394"/>
      <c r="K2" s="394"/>
      <c r="L2" s="394"/>
      <c r="M2" s="394"/>
    </row>
    <row r="3" spans="1:17" ht="32.25" customHeight="1" thickBot="1">
      <c r="B3" s="172" t="s">
        <v>506</v>
      </c>
      <c r="C3" s="172" t="s">
        <v>507</v>
      </c>
      <c r="D3" s="172" t="s">
        <v>508</v>
      </c>
      <c r="E3" s="172" t="s">
        <v>509</v>
      </c>
      <c r="F3" s="172" t="s">
        <v>510</v>
      </c>
      <c r="G3" s="172" t="s">
        <v>511</v>
      </c>
      <c r="H3" s="172" t="s">
        <v>512</v>
      </c>
      <c r="I3" s="172" t="s">
        <v>513</v>
      </c>
      <c r="J3" s="172" t="s">
        <v>514</v>
      </c>
      <c r="K3" s="172" t="s">
        <v>515</v>
      </c>
      <c r="L3" s="172" t="s">
        <v>516</v>
      </c>
      <c r="M3" s="172" t="s">
        <v>517</v>
      </c>
      <c r="O3" s="398" t="s">
        <v>258</v>
      </c>
      <c r="P3" s="399"/>
      <c r="Q3" s="400"/>
    </row>
    <row r="4" spans="1:17">
      <c r="A4" s="144" t="s">
        <v>323</v>
      </c>
      <c r="B4" s="145">
        <v>960</v>
      </c>
      <c r="C4" s="145">
        <v>960</v>
      </c>
      <c r="D4" s="145">
        <v>960</v>
      </c>
      <c r="E4" s="145">
        <v>960</v>
      </c>
      <c r="F4" s="145">
        <v>960</v>
      </c>
      <c r="G4" s="145">
        <v>960</v>
      </c>
      <c r="H4" s="145">
        <v>960</v>
      </c>
      <c r="I4" s="145">
        <v>960</v>
      </c>
      <c r="J4" s="145">
        <v>960</v>
      </c>
      <c r="K4" s="145">
        <v>960</v>
      </c>
      <c r="L4" s="145">
        <v>960</v>
      </c>
      <c r="M4" s="145">
        <v>960</v>
      </c>
      <c r="O4" s="126" t="s">
        <v>269</v>
      </c>
      <c r="P4" s="131" t="str">
        <f>'Pre-process-Soft'!I12</f>
        <v>50yrcurrent</v>
      </c>
      <c r="Q4" s="130" t="s">
        <v>132</v>
      </c>
    </row>
    <row r="5" spans="1:17" ht="13.5" thickBot="1">
      <c r="A5" s="144" t="s">
        <v>324</v>
      </c>
      <c r="B5" s="145">
        <f>$B$4/$P$18</f>
        <v>4270.4626334519571</v>
      </c>
      <c r="C5" s="145">
        <f t="shared" ref="C5:M5" si="0">$B$4/$P$18</f>
        <v>4270.4626334519571</v>
      </c>
      <c r="D5" s="145">
        <f t="shared" si="0"/>
        <v>4270.4626334519571</v>
      </c>
      <c r="E5" s="145">
        <f t="shared" si="0"/>
        <v>4270.4626334519571</v>
      </c>
      <c r="F5" s="145">
        <f t="shared" si="0"/>
        <v>4270.4626334519571</v>
      </c>
      <c r="G5" s="145">
        <f t="shared" si="0"/>
        <v>4270.4626334519571</v>
      </c>
      <c r="H5" s="145">
        <f t="shared" si="0"/>
        <v>4270.4626334519571</v>
      </c>
      <c r="I5" s="145">
        <f t="shared" si="0"/>
        <v>4270.4626334519571</v>
      </c>
      <c r="J5" s="145">
        <f t="shared" si="0"/>
        <v>4270.4626334519571</v>
      </c>
      <c r="K5" s="145">
        <f t="shared" si="0"/>
        <v>4270.4626334519571</v>
      </c>
      <c r="L5" s="145">
        <f t="shared" si="0"/>
        <v>4270.4626334519571</v>
      </c>
      <c r="M5" s="145">
        <f t="shared" si="0"/>
        <v>4270.4626334519571</v>
      </c>
      <c r="O5" s="126" t="s">
        <v>254</v>
      </c>
      <c r="P5" s="131" t="str">
        <f>'Pre-process-Soft'!J12</f>
        <v>50yrcurrent</v>
      </c>
      <c r="Q5" s="130" t="s">
        <v>141</v>
      </c>
    </row>
    <row r="6" spans="1:17">
      <c r="A6" s="144" t="s">
        <v>326</v>
      </c>
      <c r="B6" s="146">
        <f>(B4/(12*COS(18*PI()/180)))</f>
        <v>84.116977939061385</v>
      </c>
      <c r="C6" s="146">
        <f t="shared" ref="C6:M6" si="1">(C4/(12*COS(18*PI()/180)))</f>
        <v>84.116977939061385</v>
      </c>
      <c r="D6" s="146">
        <f t="shared" si="1"/>
        <v>84.116977939061385</v>
      </c>
      <c r="E6" s="146">
        <f t="shared" si="1"/>
        <v>84.116977939061385</v>
      </c>
      <c r="F6" s="146">
        <f t="shared" si="1"/>
        <v>84.116977939061385</v>
      </c>
      <c r="G6" s="146">
        <f t="shared" si="1"/>
        <v>84.116977939061385</v>
      </c>
      <c r="H6" s="146">
        <f t="shared" si="1"/>
        <v>84.116977939061385</v>
      </c>
      <c r="I6" s="146">
        <f t="shared" si="1"/>
        <v>84.116977939061385</v>
      </c>
      <c r="J6" s="146">
        <f t="shared" si="1"/>
        <v>84.116977939061385</v>
      </c>
      <c r="K6" s="146">
        <f t="shared" si="1"/>
        <v>84.116977939061385</v>
      </c>
      <c r="L6" s="146">
        <f t="shared" si="1"/>
        <v>84.116977939061385</v>
      </c>
      <c r="M6" s="146">
        <f t="shared" si="1"/>
        <v>84.116977939061385</v>
      </c>
      <c r="O6" s="114" t="s">
        <v>145</v>
      </c>
      <c r="P6" s="115"/>
      <c r="Q6" s="116"/>
    </row>
    <row r="7" spans="1:17">
      <c r="A7" s="20" t="s">
        <v>312</v>
      </c>
      <c r="B7" s="173">
        <v>3580.251953125</v>
      </c>
      <c r="C7" s="173">
        <v>3706.063232421875</v>
      </c>
      <c r="D7" s="173">
        <v>3745.097412109375</v>
      </c>
      <c r="E7" s="173">
        <v>3792.61572265625</v>
      </c>
      <c r="F7" s="173">
        <v>3548.385498046875</v>
      </c>
      <c r="G7" s="173">
        <v>3676.674072265625</v>
      </c>
      <c r="H7" s="173">
        <v>3715.617431640625</v>
      </c>
      <c r="I7" s="173">
        <v>3763.3212890625</v>
      </c>
      <c r="J7" s="173">
        <v>3531.433837890625</v>
      </c>
      <c r="K7" s="173">
        <v>3661.196044921875</v>
      </c>
      <c r="L7" s="173">
        <v>3700.0966796875</v>
      </c>
      <c r="M7" s="173">
        <v>3747.8955078125</v>
      </c>
      <c r="O7" s="117" t="s">
        <v>255</v>
      </c>
      <c r="P7" s="118" t="s">
        <v>256</v>
      </c>
      <c r="Q7" s="119"/>
    </row>
    <row r="8" spans="1:17">
      <c r="A8" s="20" t="s">
        <v>313</v>
      </c>
      <c r="B8" s="31">
        <f>B7*$P$18</f>
        <v>804.84063906250003</v>
      </c>
      <c r="C8" s="31">
        <f t="shared" ref="C8:M8" si="2">C7*$P$18</f>
        <v>833.12301464843745</v>
      </c>
      <c r="D8" s="31">
        <f t="shared" si="2"/>
        <v>841.89789824218747</v>
      </c>
      <c r="E8" s="31">
        <f t="shared" si="2"/>
        <v>852.58001445312505</v>
      </c>
      <c r="F8" s="31">
        <f t="shared" si="2"/>
        <v>797.67705996093753</v>
      </c>
      <c r="G8" s="31">
        <f t="shared" si="2"/>
        <v>826.51633144531252</v>
      </c>
      <c r="H8" s="31">
        <f t="shared" si="2"/>
        <v>835.27079863281244</v>
      </c>
      <c r="I8" s="31">
        <f t="shared" si="2"/>
        <v>845.99462578124997</v>
      </c>
      <c r="J8" s="31">
        <f t="shared" si="2"/>
        <v>793.86632675781254</v>
      </c>
      <c r="K8" s="31">
        <f t="shared" si="2"/>
        <v>823.03687089843754</v>
      </c>
      <c r="L8" s="31">
        <f t="shared" si="2"/>
        <v>831.78173359375</v>
      </c>
      <c r="M8" s="31">
        <f t="shared" si="2"/>
        <v>842.52691015624998</v>
      </c>
      <c r="O8" s="120">
        <v>0</v>
      </c>
      <c r="P8" s="121">
        <v>0.5</v>
      </c>
      <c r="Q8" s="122" t="s">
        <v>257</v>
      </c>
    </row>
    <row r="9" spans="1:17" ht="13.5" thickBot="1">
      <c r="A9" s="20" t="s">
        <v>314</v>
      </c>
      <c r="B9" s="173">
        <v>2792.595947265625</v>
      </c>
      <c r="C9" s="173">
        <v>2764.443115234375</v>
      </c>
      <c r="D9" s="173">
        <v>2741.2060546875</v>
      </c>
      <c r="E9" s="173">
        <v>2734.80029296875</v>
      </c>
      <c r="F9" s="173">
        <v>2546.524658203125</v>
      </c>
      <c r="G9" s="173">
        <v>2522.211669921875</v>
      </c>
      <c r="H9" s="173">
        <v>2499.830078125</v>
      </c>
      <c r="I9" s="173">
        <v>2494.23388671875</v>
      </c>
      <c r="J9" s="173">
        <v>2415.634033203125</v>
      </c>
      <c r="K9" s="173">
        <v>2393.798828125</v>
      </c>
      <c r="L9" s="173">
        <v>2371.434814453125</v>
      </c>
      <c r="M9" s="173">
        <v>2366.5595703125</v>
      </c>
      <c r="O9" s="123">
        <v>10</v>
      </c>
      <c r="P9" s="124">
        <v>0.5</v>
      </c>
      <c r="Q9" s="125" t="s">
        <v>257</v>
      </c>
    </row>
    <row r="10" spans="1:17" ht="13.5" thickBot="1">
      <c r="A10" s="20" t="s">
        <v>315</v>
      </c>
      <c r="B10" s="31">
        <f>B9*$P$18</f>
        <v>627.77556894531244</v>
      </c>
      <c r="C10" s="31">
        <f t="shared" ref="C10:M10" si="3">C9*$P$18</f>
        <v>621.44681230468746</v>
      </c>
      <c r="D10" s="31">
        <f t="shared" si="3"/>
        <v>616.22312109375002</v>
      </c>
      <c r="E10" s="31">
        <f t="shared" si="3"/>
        <v>614.78310585937504</v>
      </c>
      <c r="F10" s="31">
        <f t="shared" si="3"/>
        <v>572.45874316406253</v>
      </c>
      <c r="G10" s="31">
        <f t="shared" si="3"/>
        <v>566.99318339843751</v>
      </c>
      <c r="H10" s="31">
        <f t="shared" si="3"/>
        <v>561.9618015625</v>
      </c>
      <c r="I10" s="31">
        <f t="shared" si="3"/>
        <v>560.70377773437497</v>
      </c>
      <c r="J10" s="31">
        <f t="shared" si="3"/>
        <v>543.03453066406246</v>
      </c>
      <c r="K10" s="31">
        <f t="shared" si="3"/>
        <v>538.1259765625</v>
      </c>
      <c r="L10" s="31">
        <f t="shared" si="3"/>
        <v>533.09854628906248</v>
      </c>
      <c r="M10" s="31">
        <f t="shared" si="3"/>
        <v>532.00259140624996</v>
      </c>
      <c r="O10" s="127" t="s">
        <v>142</v>
      </c>
      <c r="P10" s="128">
        <v>15.5</v>
      </c>
      <c r="Q10" s="129" t="s">
        <v>257</v>
      </c>
    </row>
    <row r="11" spans="1:17">
      <c r="A11" s="20" t="s">
        <v>188</v>
      </c>
      <c r="B11" s="31">
        <v>70.249137878417969</v>
      </c>
      <c r="C11" s="31">
        <v>71.094200134277344</v>
      </c>
      <c r="D11" s="31">
        <v>71.531692504882812</v>
      </c>
      <c r="E11" s="31">
        <v>71.864051818847656</v>
      </c>
      <c r="F11" s="31">
        <v>88.165504455566406</v>
      </c>
      <c r="G11" s="31">
        <v>89.142349243164062</v>
      </c>
      <c r="H11" s="31">
        <v>89.666786193847656</v>
      </c>
      <c r="I11" s="31">
        <v>90.04901123046875</v>
      </c>
      <c r="J11" s="31">
        <v>97.694580078125</v>
      </c>
      <c r="K11" s="31">
        <v>98.726547241210938</v>
      </c>
      <c r="L11" s="31">
        <v>99.294021606445313</v>
      </c>
      <c r="M11" s="31">
        <v>99.69610595703125</v>
      </c>
    </row>
    <row r="12" spans="1:17" ht="13.5" thickBot="1">
      <c r="A12" s="20"/>
      <c r="B12" s="31"/>
      <c r="C12" s="31"/>
      <c r="D12" s="31"/>
      <c r="E12" s="31"/>
      <c r="F12" s="31"/>
      <c r="G12" s="31"/>
      <c r="H12" s="31"/>
      <c r="I12" s="31"/>
      <c r="J12" s="31"/>
      <c r="K12" s="31"/>
      <c r="L12" s="31"/>
      <c r="M12" s="31"/>
    </row>
    <row r="13" spans="1:17">
      <c r="A13" s="20" t="s">
        <v>432</v>
      </c>
      <c r="B13" s="173">
        <v>140028.59481235026</v>
      </c>
      <c r="C13" s="173">
        <v>236986.97632255236</v>
      </c>
      <c r="D13" s="173">
        <v>236884.66171151318</v>
      </c>
      <c r="E13" s="173">
        <v>251108.52447407148</v>
      </c>
      <c r="F13" s="173">
        <v>139832.86560970108</v>
      </c>
      <c r="G13" s="173">
        <v>237145.01873039082</v>
      </c>
      <c r="H13" s="173">
        <v>237337.76766310714</v>
      </c>
      <c r="I13" s="173">
        <v>252132.8416194109</v>
      </c>
      <c r="J13" s="173">
        <v>139728.6559626855</v>
      </c>
      <c r="K13" s="173">
        <v>237197.72463402833</v>
      </c>
      <c r="L13" s="173">
        <v>237542.56092252035</v>
      </c>
      <c r="M13" s="173">
        <v>252637.6626917859</v>
      </c>
      <c r="O13" s="84" t="s">
        <v>225</v>
      </c>
      <c r="P13" s="78" t="s">
        <v>226</v>
      </c>
      <c r="Q13" s="79"/>
    </row>
    <row r="14" spans="1:17">
      <c r="A14" s="20" t="s">
        <v>433</v>
      </c>
      <c r="B14" s="31">
        <f>B13*$P$15</f>
        <v>20.309467334393659</v>
      </c>
      <c r="C14" s="31">
        <f t="shared" ref="C14:M14" si="4">C13*$P$15</f>
        <v>34.372117071870349</v>
      </c>
      <c r="D14" s="31">
        <f t="shared" si="4"/>
        <v>34.357277565314448</v>
      </c>
      <c r="E14" s="31">
        <f t="shared" si="4"/>
        <v>36.420278172670379</v>
      </c>
      <c r="F14" s="31">
        <f t="shared" si="4"/>
        <v>20.281079162299825</v>
      </c>
      <c r="G14" s="31">
        <f t="shared" si="4"/>
        <v>34.395039226618422</v>
      </c>
      <c r="H14" s="31">
        <f t="shared" si="4"/>
        <v>34.422995146321732</v>
      </c>
      <c r="I14" s="31">
        <f t="shared" si="4"/>
        <v>36.568843082796121</v>
      </c>
      <c r="J14" s="31">
        <f t="shared" si="4"/>
        <v>20.265964803515981</v>
      </c>
      <c r="K14" s="31">
        <f t="shared" si="4"/>
        <v>34.4026835854702</v>
      </c>
      <c r="L14" s="31">
        <f t="shared" si="4"/>
        <v>34.452697951080509</v>
      </c>
      <c r="M14" s="31">
        <f t="shared" si="4"/>
        <v>36.642061321491241</v>
      </c>
      <c r="O14" s="85" t="s">
        <v>231</v>
      </c>
      <c r="P14" s="80">
        <v>80</v>
      </c>
      <c r="Q14" s="81" t="s">
        <v>227</v>
      </c>
    </row>
    <row r="15" spans="1:17">
      <c r="A15" s="20" t="s">
        <v>316</v>
      </c>
      <c r="B15" s="173">
        <v>138802.12476803732</v>
      </c>
      <c r="C15" s="173">
        <v>235747.77320392616</v>
      </c>
      <c r="D15" s="173">
        <v>235644.89247972102</v>
      </c>
      <c r="E15" s="173">
        <v>249866.82140631665</v>
      </c>
      <c r="F15" s="173">
        <v>137604.20231428198</v>
      </c>
      <c r="G15" s="173">
        <v>234848.9433087066</v>
      </c>
      <c r="H15" s="173">
        <v>235034.39081525229</v>
      </c>
      <c r="I15" s="173">
        <v>249811.3405347463</v>
      </c>
      <c r="J15" s="173">
        <v>136980.12289320488</v>
      </c>
      <c r="K15" s="173">
        <v>234344.49451045113</v>
      </c>
      <c r="L15" s="173">
        <v>234678.43082314401</v>
      </c>
      <c r="M15" s="173">
        <v>249746.22548945458</v>
      </c>
      <c r="O15" s="87" t="s">
        <v>230</v>
      </c>
      <c r="P15" s="107">
        <v>1.45038E-4</v>
      </c>
      <c r="Q15" s="113" t="s">
        <v>227</v>
      </c>
    </row>
    <row r="16" spans="1:17" ht="13.5" thickBot="1">
      <c r="A16" s="20" t="s">
        <v>317</v>
      </c>
      <c r="B16" s="31">
        <f>B15*$P$15</f>
        <v>20.131582572106598</v>
      </c>
      <c r="C16" s="31">
        <f t="shared" ref="C16:M16" si="5">C15*$P$15</f>
        <v>34.192385529951046</v>
      </c>
      <c r="D16" s="31">
        <f t="shared" si="5"/>
        <v>34.17746391547378</v>
      </c>
      <c r="E16" s="31">
        <f t="shared" si="5"/>
        <v>36.240184043129354</v>
      </c>
      <c r="F16" s="31">
        <f t="shared" si="5"/>
        <v>19.957838295258831</v>
      </c>
      <c r="G16" s="31">
        <f t="shared" si="5"/>
        <v>34.06202103960819</v>
      </c>
      <c r="H16" s="31">
        <f t="shared" si="5"/>
        <v>34.088917975062564</v>
      </c>
      <c r="I16" s="31">
        <f t="shared" si="5"/>
        <v>36.232137208478534</v>
      </c>
      <c r="J16" s="31">
        <f t="shared" si="5"/>
        <v>19.867323064184649</v>
      </c>
      <c r="K16" s="31">
        <f t="shared" si="5"/>
        <v>33.988856794806814</v>
      </c>
      <c r="L16" s="31">
        <f t="shared" si="5"/>
        <v>34.037290249727164</v>
      </c>
      <c r="M16" s="31">
        <f t="shared" si="5"/>
        <v>36.222693052539512</v>
      </c>
      <c r="O16" s="86" t="s">
        <v>228</v>
      </c>
      <c r="P16" s="82">
        <f xml:space="preserve"> 80/0.000145038</f>
        <v>551579.58603952068</v>
      </c>
      <c r="Q16" s="83" t="s">
        <v>229</v>
      </c>
    </row>
    <row r="17" spans="1:17" ht="13.5" thickBot="1">
      <c r="A17" s="20"/>
      <c r="B17" s="31"/>
      <c r="C17" s="31"/>
      <c r="D17" s="31"/>
      <c r="E17" s="31"/>
      <c r="F17" s="31"/>
      <c r="G17" s="31"/>
      <c r="H17" s="31"/>
      <c r="I17" s="31"/>
      <c r="J17" s="31"/>
      <c r="K17" s="31"/>
      <c r="L17" s="31"/>
      <c r="M17" s="31"/>
      <c r="O17" s="32"/>
      <c r="P17" s="32"/>
      <c r="Q17" s="32"/>
    </row>
    <row r="18" spans="1:17" ht="13.5" thickBot="1">
      <c r="A18" s="20" t="s">
        <v>187</v>
      </c>
      <c r="B18" s="31">
        <v>2.4237722144550391</v>
      </c>
      <c r="C18" s="31">
        <v>298.9533581891169</v>
      </c>
      <c r="D18" s="31">
        <v>293.59806275840697</v>
      </c>
      <c r="E18" s="31">
        <v>333.75189642916519</v>
      </c>
      <c r="F18" s="31">
        <v>2.5383114023043505</v>
      </c>
      <c r="G18" s="31">
        <v>299.62098124791635</v>
      </c>
      <c r="H18" s="31">
        <v>295.232937506025</v>
      </c>
      <c r="I18" s="31">
        <v>337.17421827076691</v>
      </c>
      <c r="J18" s="31">
        <v>2.6046503516047363</v>
      </c>
      <c r="K18" s="31">
        <v>299.86144631043328</v>
      </c>
      <c r="L18" s="31">
        <v>295.96843842797244</v>
      </c>
      <c r="M18" s="31">
        <v>338.83874876185786</v>
      </c>
      <c r="O18" s="133" t="s">
        <v>275</v>
      </c>
      <c r="P18" s="134">
        <v>0.2248</v>
      </c>
      <c r="Q18" s="135" t="s">
        <v>276</v>
      </c>
    </row>
    <row r="19" spans="1:17" ht="13.5" thickBot="1">
      <c r="A19" s="20" t="s">
        <v>320</v>
      </c>
      <c r="B19" s="31">
        <v>42.153725016130515</v>
      </c>
      <c r="C19" s="31">
        <v>3476.7218873634611</v>
      </c>
      <c r="D19" s="31">
        <v>3870.609084114536</v>
      </c>
      <c r="E19" s="31">
        <v>4693.8914063587245</v>
      </c>
      <c r="F19" s="31">
        <v>40.884393162283082</v>
      </c>
      <c r="G19" s="31">
        <v>3394.5902391305135</v>
      </c>
      <c r="H19" s="31">
        <v>3770.5099712141991</v>
      </c>
      <c r="I19" s="31">
        <v>4567.5341869624899</v>
      </c>
      <c r="J19" s="31">
        <v>40.172590395623921</v>
      </c>
      <c r="K19" s="31">
        <v>3349.3801912805884</v>
      </c>
      <c r="L19" s="31">
        <v>3715.9815656210003</v>
      </c>
      <c r="M19" s="31">
        <v>4498.4779044004636</v>
      </c>
      <c r="O19" s="20"/>
      <c r="P19" s="31"/>
      <c r="Q19" s="31"/>
    </row>
    <row r="20" spans="1:17">
      <c r="A20" s="20" t="s">
        <v>318</v>
      </c>
      <c r="B20" s="31">
        <v>2.757498799375647</v>
      </c>
      <c r="C20" s="31">
        <v>223.76436581345979</v>
      </c>
      <c r="D20" s="31">
        <v>247.52917813123781</v>
      </c>
      <c r="E20" s="31">
        <v>293.20837804104877</v>
      </c>
      <c r="F20" s="31">
        <v>2.8897656712813253</v>
      </c>
      <c r="G20" s="31">
        <v>235.94810325507331</v>
      </c>
      <c r="H20" s="31">
        <v>260.33749471030836</v>
      </c>
      <c r="I20" s="31">
        <v>307.42846885810582</v>
      </c>
      <c r="J20" s="31">
        <v>2.966438240203261</v>
      </c>
      <c r="K20" s="31">
        <v>243.12153942783792</v>
      </c>
      <c r="L20" s="31">
        <v>267.88508424123603</v>
      </c>
      <c r="M20" s="31">
        <v>315.78950362659748</v>
      </c>
      <c r="O20" s="33" t="s">
        <v>202</v>
      </c>
      <c r="P20" s="109">
        <v>10</v>
      </c>
      <c r="Q20" s="35" t="s">
        <v>131</v>
      </c>
    </row>
    <row r="21" spans="1:17" ht="13.5" thickBot="1">
      <c r="A21" s="20" t="s">
        <v>319</v>
      </c>
      <c r="B21" s="31">
        <v>2.6728320107169199</v>
      </c>
      <c r="C21" s="31">
        <v>213.77494171261955</v>
      </c>
      <c r="D21" s="31">
        <v>236.46399453583683</v>
      </c>
      <c r="E21" s="31">
        <v>279.55832904061668</v>
      </c>
      <c r="F21" s="31">
        <v>2.8005433685684094</v>
      </c>
      <c r="G21" s="31">
        <v>225.35343969894637</v>
      </c>
      <c r="H21" s="31">
        <v>248.448890543191</v>
      </c>
      <c r="I21" s="31">
        <v>293.23240339866123</v>
      </c>
      <c r="J21" s="31">
        <v>2.8757514760389467</v>
      </c>
      <c r="K21" s="31">
        <v>232.13725494476651</v>
      </c>
      <c r="L21" s="31">
        <v>255.46067686357731</v>
      </c>
      <c r="M21" s="31">
        <v>301.22107568335849</v>
      </c>
      <c r="O21" s="34" t="s">
        <v>203</v>
      </c>
      <c r="P21" s="110">
        <v>170</v>
      </c>
      <c r="Q21" s="36" t="s">
        <v>131</v>
      </c>
    </row>
    <row r="22" spans="1:17">
      <c r="A22" s="20" t="s">
        <v>434</v>
      </c>
      <c r="B22" s="31">
        <f>B20/$P$24</f>
        <v>7.2565757878306505E-2</v>
      </c>
      <c r="C22" s="31">
        <f t="shared" ref="C22:M22" si="6">C20/$P$24</f>
        <v>5.8885359424594679</v>
      </c>
      <c r="D22" s="31">
        <f t="shared" si="6"/>
        <v>6.5139257402957318</v>
      </c>
      <c r="E22" s="31">
        <f t="shared" si="6"/>
        <v>7.7160099484486517</v>
      </c>
      <c r="F22" s="31">
        <f t="shared" si="6"/>
        <v>7.6046465033719091E-2</v>
      </c>
      <c r="G22" s="31">
        <f t="shared" si="6"/>
        <v>6.2091606119756131</v>
      </c>
      <c r="H22" s="31">
        <f t="shared" si="6"/>
        <v>6.8509867029028513</v>
      </c>
      <c r="I22" s="31">
        <f t="shared" si="6"/>
        <v>8.0902228646869947</v>
      </c>
      <c r="J22" s="31">
        <f t="shared" si="6"/>
        <v>7.8064164215875295E-2</v>
      </c>
      <c r="K22" s="31">
        <f t="shared" si="6"/>
        <v>6.3979352481009979</v>
      </c>
      <c r="L22" s="31">
        <f t="shared" si="6"/>
        <v>7.0496074800325275</v>
      </c>
      <c r="M22" s="31">
        <f t="shared" si="6"/>
        <v>8.3102500954367766</v>
      </c>
      <c r="O22" s="1"/>
      <c r="P22" s="1"/>
    </row>
    <row r="23" spans="1:17" ht="13.5" thickBot="1">
      <c r="A23" s="20"/>
      <c r="B23" s="31"/>
      <c r="C23" s="31"/>
      <c r="D23" s="31"/>
      <c r="E23" s="31"/>
      <c r="F23" s="31"/>
      <c r="G23" s="31"/>
      <c r="H23" s="31"/>
      <c r="I23" s="31"/>
      <c r="J23" s="31"/>
      <c r="K23" s="31"/>
      <c r="L23" s="31"/>
      <c r="M23" s="31"/>
      <c r="O23" s="1"/>
      <c r="P23" s="1"/>
    </row>
    <row r="24" spans="1:17" ht="13.5" thickBot="1">
      <c r="A24" s="20" t="s">
        <v>305</v>
      </c>
      <c r="B24" s="31">
        <v>5.0058469772338867</v>
      </c>
      <c r="C24" s="31">
        <v>6.6827630996704102</v>
      </c>
      <c r="D24" s="31">
        <v>7.3028273582458496</v>
      </c>
      <c r="E24" s="31">
        <v>8.1320056915283203</v>
      </c>
      <c r="F24" s="31">
        <v>5.0115752220153809</v>
      </c>
      <c r="G24" s="31">
        <v>6.7281360626220703</v>
      </c>
      <c r="H24" s="31">
        <v>7.3489747047424316</v>
      </c>
      <c r="I24" s="31">
        <v>8.1880035400390625</v>
      </c>
      <c r="J24" s="31">
        <v>5.014622688293457</v>
      </c>
      <c r="K24" s="31">
        <v>6.7545137405395508</v>
      </c>
      <c r="L24" s="31">
        <v>7.375887393951416</v>
      </c>
      <c r="M24" s="31">
        <v>8.2206144332885742</v>
      </c>
      <c r="O24" s="108" t="s">
        <v>248</v>
      </c>
      <c r="P24" s="111">
        <v>38</v>
      </c>
      <c r="Q24" s="38" t="s">
        <v>249</v>
      </c>
    </row>
    <row r="25" spans="1:17" ht="13.5" thickBot="1">
      <c r="A25" s="20" t="s">
        <v>306</v>
      </c>
      <c r="B25" s="31">
        <v>5.0058445930480957</v>
      </c>
      <c r="C25" s="31">
        <v>4.6334114074707031</v>
      </c>
      <c r="D25" s="31">
        <v>4.3607115745544434</v>
      </c>
      <c r="E25" s="31">
        <v>4.2501907348632812</v>
      </c>
      <c r="F25" s="31">
        <v>5.011573314666748</v>
      </c>
      <c r="G25" s="31">
        <v>4.6810545921325684</v>
      </c>
      <c r="H25" s="31">
        <v>4.4111886024475098</v>
      </c>
      <c r="I25" s="31">
        <v>4.3060455322265625</v>
      </c>
      <c r="J25" s="31">
        <v>5.014620304107666</v>
      </c>
      <c r="K25" s="31">
        <v>4.7087440490722656</v>
      </c>
      <c r="L25" s="31">
        <v>4.4405431747436523</v>
      </c>
      <c r="M25" s="31">
        <v>4.3388853073120117</v>
      </c>
    </row>
    <row r="26" spans="1:17" ht="13.5" thickBot="1">
      <c r="A26" s="20" t="s">
        <v>277</v>
      </c>
      <c r="B26" s="31"/>
      <c r="C26" s="31">
        <f>C24-C25</f>
        <v>2.049351692199707</v>
      </c>
      <c r="D26" s="31">
        <f t="shared" ref="D26:M26" si="7">D24-D25</f>
        <v>2.9421157836914062</v>
      </c>
      <c r="E26" s="31">
        <f t="shared" si="7"/>
        <v>3.8818149566650391</v>
      </c>
      <c r="F26" s="31"/>
      <c r="G26" s="31">
        <f t="shared" si="7"/>
        <v>2.047081470489502</v>
      </c>
      <c r="H26" s="31">
        <f t="shared" si="7"/>
        <v>2.9377861022949219</v>
      </c>
      <c r="I26" s="31">
        <f t="shared" si="7"/>
        <v>3.8819580078125</v>
      </c>
      <c r="J26" s="31"/>
      <c r="K26" s="31">
        <f t="shared" si="7"/>
        <v>2.0457696914672852</v>
      </c>
      <c r="L26" s="31">
        <f t="shared" si="7"/>
        <v>2.9353442192077637</v>
      </c>
      <c r="M26" s="31">
        <f t="shared" si="7"/>
        <v>3.8817291259765625</v>
      </c>
      <c r="O26" s="37" t="s">
        <v>123</v>
      </c>
      <c r="P26" s="111">
        <v>16</v>
      </c>
      <c r="Q26" s="38" t="s">
        <v>132</v>
      </c>
    </row>
    <row r="27" spans="1:17">
      <c r="A27" s="20" t="s">
        <v>321</v>
      </c>
      <c r="B27" s="31">
        <v>5.005650520324707</v>
      </c>
      <c r="C27" s="31"/>
      <c r="D27" s="31"/>
      <c r="E27" s="31"/>
      <c r="F27" s="31">
        <v>5.008087158203125</v>
      </c>
      <c r="G27" s="31"/>
      <c r="H27" s="31"/>
      <c r="I27" s="31"/>
      <c r="J27" s="31">
        <v>5</v>
      </c>
      <c r="K27" s="31"/>
      <c r="L27" s="31"/>
      <c r="M27" s="31"/>
      <c r="O27" s="1"/>
      <c r="P27" s="1"/>
    </row>
    <row r="28" spans="1:17">
      <c r="A28" s="20"/>
      <c r="B28" s="31"/>
      <c r="C28" s="31"/>
      <c r="D28" s="31"/>
      <c r="E28" s="31"/>
      <c r="F28" s="31"/>
      <c r="G28" s="31"/>
      <c r="H28" s="31"/>
      <c r="I28" s="31"/>
      <c r="J28" s="31"/>
      <c r="K28" s="31"/>
      <c r="L28" s="31"/>
      <c r="M28" s="31"/>
    </row>
    <row r="29" spans="1:17" ht="13.5" thickBot="1">
      <c r="A29" s="20" t="s">
        <v>173</v>
      </c>
      <c r="B29" s="31">
        <v>-0.2598908543586731</v>
      </c>
      <c r="C29" s="31">
        <v>14.22791576385498</v>
      </c>
      <c r="D29" s="31">
        <v>8.538482666015625</v>
      </c>
      <c r="E29" s="31">
        <v>-0.13232186436653137</v>
      </c>
      <c r="F29" s="31">
        <v>-0.2615889310836792</v>
      </c>
      <c r="G29" s="31">
        <v>14.343939781188965</v>
      </c>
      <c r="H29" s="31">
        <v>8.6038999557495117</v>
      </c>
      <c r="I29" s="31">
        <v>-0.13194617629051208</v>
      </c>
      <c r="J29" s="31">
        <v>-0.26252448558807373</v>
      </c>
      <c r="K29" s="31">
        <v>14.408125877380371</v>
      </c>
      <c r="L29" s="31">
        <v>8.6402120590209961</v>
      </c>
      <c r="M29" s="31">
        <v>-0.13177533447742462</v>
      </c>
    </row>
    <row r="30" spans="1:17">
      <c r="A30" s="20" t="s">
        <v>189</v>
      </c>
      <c r="B30" s="31">
        <v>-0.26795259118080139</v>
      </c>
      <c r="C30" s="31">
        <v>12.050237655639648</v>
      </c>
      <c r="D30" s="31">
        <v>6.6580853462219238</v>
      </c>
      <c r="E30" s="31">
        <v>-0.14556686580181122</v>
      </c>
      <c r="F30" s="31">
        <v>-0.26970028877258301</v>
      </c>
      <c r="G30" s="31">
        <v>12.166715621948242</v>
      </c>
      <c r="H30" s="31">
        <v>6.7227048873901367</v>
      </c>
      <c r="I30" s="31">
        <v>-0.14533649384975433</v>
      </c>
      <c r="J30" s="31">
        <v>-0.27066320180892944</v>
      </c>
      <c r="K30" s="31">
        <v>12.231038093566895</v>
      </c>
      <c r="L30" s="31">
        <v>6.7586216926574707</v>
      </c>
      <c r="M30" s="31">
        <v>-0.14520907402038574</v>
      </c>
      <c r="O30" s="33" t="s">
        <v>200</v>
      </c>
      <c r="P30" s="109">
        <v>265</v>
      </c>
      <c r="Q30" s="35" t="s">
        <v>132</v>
      </c>
    </row>
    <row r="31" spans="1:17" ht="13.5" thickBot="1">
      <c r="A31" s="20" t="s">
        <v>190</v>
      </c>
      <c r="B31" s="31">
        <v>-0.18549436330795288</v>
      </c>
      <c r="C31" s="31">
        <v>-0.13784146308898926</v>
      </c>
      <c r="D31" s="31">
        <v>15.473033905029297</v>
      </c>
      <c r="E31" s="31">
        <v>22.938423156738281</v>
      </c>
      <c r="F31" s="31">
        <v>-0.18608206510543823</v>
      </c>
      <c r="G31" s="31">
        <v>-0.13852648437023163</v>
      </c>
      <c r="H31" s="31">
        <v>15.518377304077148</v>
      </c>
      <c r="I31" s="31">
        <v>22.995794296264648</v>
      </c>
      <c r="J31" s="31">
        <v>-0.18640415370464325</v>
      </c>
      <c r="K31" s="31">
        <v>-0.13889755308628082</v>
      </c>
      <c r="L31" s="31">
        <v>15.543095588684082</v>
      </c>
      <c r="M31" s="31">
        <v>23.027334213256836</v>
      </c>
      <c r="O31" s="34" t="s">
        <v>201</v>
      </c>
      <c r="P31" s="110">
        <f>P30*0.05</f>
        <v>13.25</v>
      </c>
      <c r="Q31" s="36" t="s">
        <v>132</v>
      </c>
    </row>
    <row r="32" spans="1:17">
      <c r="A32" s="20" t="s">
        <v>191</v>
      </c>
      <c r="B32" s="31">
        <v>-0.19076152145862579</v>
      </c>
      <c r="C32" s="31">
        <v>-0.1585155725479126</v>
      </c>
      <c r="D32" s="31">
        <v>13.436657905578613</v>
      </c>
      <c r="E32" s="31">
        <v>19.858417510986328</v>
      </c>
      <c r="F32" s="31">
        <v>-0.19136625528335571</v>
      </c>
      <c r="G32" s="31">
        <v>-0.15922433137893677</v>
      </c>
      <c r="H32" s="31">
        <v>13.481841087341309</v>
      </c>
      <c r="I32" s="31">
        <v>19.916231155395508</v>
      </c>
      <c r="J32" s="31">
        <v>-0.19170214235782623</v>
      </c>
      <c r="K32" s="31">
        <v>-0.15962561964988708</v>
      </c>
      <c r="L32" s="31">
        <v>13.506505012512207</v>
      </c>
      <c r="M32" s="31">
        <v>19.947919845581055</v>
      </c>
      <c r="O32" s="1"/>
      <c r="P32" s="1"/>
    </row>
    <row r="33" spans="1:17" ht="13.5" thickBot="1">
      <c r="A33" s="20" t="s">
        <v>212</v>
      </c>
      <c r="B33" s="31">
        <f>SQRT(MAX(B29:B30)^2+(MAX(B31:B32)^2))</f>
        <v>0.31929831662303493</v>
      </c>
      <c r="C33" s="31">
        <f t="shared" ref="C33:M33" si="8">SQRT(MAX(C29:C30)^2+(MAX(C31:C32)^2))</f>
        <v>14.228583459090352</v>
      </c>
      <c r="D33" s="31">
        <f t="shared" si="8"/>
        <v>17.672590768306595</v>
      </c>
      <c r="E33" s="31">
        <f t="shared" si="8"/>
        <v>22.93880480743006</v>
      </c>
      <c r="F33" s="31">
        <f t="shared" si="8"/>
        <v>0.32102227931937438</v>
      </c>
      <c r="G33" s="31">
        <f t="shared" si="8"/>
        <v>14.344608674803482</v>
      </c>
      <c r="H33" s="31">
        <f t="shared" si="8"/>
        <v>17.743932162861849</v>
      </c>
      <c r="I33" s="31">
        <f t="shared" si="8"/>
        <v>22.996172836138527</v>
      </c>
      <c r="J33" s="31">
        <f t="shared" si="8"/>
        <v>0.32197144912496045</v>
      </c>
      <c r="K33" s="31">
        <f t="shared" si="8"/>
        <v>14.408795363551086</v>
      </c>
      <c r="L33" s="31">
        <f t="shared" si="8"/>
        <v>17.783168584473984</v>
      </c>
      <c r="M33" s="31">
        <f t="shared" si="8"/>
        <v>23.027711256392926</v>
      </c>
      <c r="O33" s="1"/>
      <c r="P33" s="1"/>
    </row>
    <row r="34" spans="1:17">
      <c r="A34" s="20" t="s">
        <v>322</v>
      </c>
      <c r="B34" s="31">
        <f>$P$31</f>
        <v>13.25</v>
      </c>
      <c r="C34" s="31">
        <f t="shared" ref="C34:M34" si="9">$P$31</f>
        <v>13.25</v>
      </c>
      <c r="D34" s="31">
        <f t="shared" si="9"/>
        <v>13.25</v>
      </c>
      <c r="E34" s="31">
        <f t="shared" si="9"/>
        <v>13.25</v>
      </c>
      <c r="F34" s="31">
        <f t="shared" si="9"/>
        <v>13.25</v>
      </c>
      <c r="G34" s="31">
        <f t="shared" si="9"/>
        <v>13.25</v>
      </c>
      <c r="H34" s="31">
        <f t="shared" si="9"/>
        <v>13.25</v>
      </c>
      <c r="I34" s="31">
        <f t="shared" si="9"/>
        <v>13.25</v>
      </c>
      <c r="J34" s="31">
        <f t="shared" si="9"/>
        <v>13.25</v>
      </c>
      <c r="K34" s="31">
        <f t="shared" si="9"/>
        <v>13.25</v>
      </c>
      <c r="L34" s="31">
        <f t="shared" si="9"/>
        <v>13.25</v>
      </c>
      <c r="M34" s="31">
        <f t="shared" si="9"/>
        <v>13.25</v>
      </c>
      <c r="O34" s="39" t="s">
        <v>205</v>
      </c>
      <c r="P34" s="109">
        <v>4621</v>
      </c>
      <c r="Q34" s="40" t="s">
        <v>206</v>
      </c>
    </row>
    <row r="35" spans="1:17" ht="13.5" thickBot="1">
      <c r="A35" s="20" t="s">
        <v>431</v>
      </c>
      <c r="B35" s="171">
        <v>3.6658544845988699</v>
      </c>
      <c r="C35" s="171">
        <v>1.7064682974913907</v>
      </c>
      <c r="D35" s="171">
        <v>2.1242400924167661</v>
      </c>
      <c r="E35" s="171">
        <v>0.91969269351430694</v>
      </c>
      <c r="F35" s="171">
        <v>3.6666480905242924</v>
      </c>
      <c r="G35" s="171">
        <v>1.6424716734218716</v>
      </c>
      <c r="H35" s="171">
        <v>2.0838908255985222</v>
      </c>
      <c r="I35" s="171">
        <v>0.82001991750338121</v>
      </c>
      <c r="J35" s="171">
        <v>3.6670908085494509</v>
      </c>
      <c r="K35" s="171">
        <v>1.6068086102431023</v>
      </c>
      <c r="L35" s="171">
        <v>2.0616099286682728</v>
      </c>
      <c r="M35" s="171">
        <v>0.76466815742535632</v>
      </c>
      <c r="O35" s="41" t="s">
        <v>207</v>
      </c>
      <c r="P35" s="110">
        <v>3066</v>
      </c>
      <c r="Q35" s="42" t="s">
        <v>206</v>
      </c>
    </row>
    <row r="36" spans="1:17" ht="13.5" thickBot="1">
      <c r="A36" s="20"/>
      <c r="B36" s="171"/>
      <c r="C36" s="171"/>
      <c r="D36" s="171"/>
      <c r="E36" s="171"/>
      <c r="F36" s="171"/>
      <c r="G36" s="171"/>
      <c r="H36" s="171"/>
      <c r="I36" s="171"/>
      <c r="J36" s="171"/>
      <c r="K36" s="171"/>
      <c r="L36" s="171"/>
      <c r="M36" s="171"/>
      <c r="O36" s="43"/>
      <c r="P36" s="141"/>
      <c r="Q36" s="42"/>
    </row>
    <row r="37" spans="1:17" ht="13.5" thickBot="1">
      <c r="A37" s="20" t="s">
        <v>192</v>
      </c>
      <c r="B37" s="31">
        <v>648.46490478515625</v>
      </c>
      <c r="C37" s="31">
        <v>482.17758178710937</v>
      </c>
      <c r="D37" s="31">
        <v>950.806884765625</v>
      </c>
      <c r="E37" s="31">
        <v>1346.513916015625</v>
      </c>
      <c r="F37" s="31">
        <v>648.48785400390625</v>
      </c>
      <c r="G37" s="31">
        <v>480.7349853515625</v>
      </c>
      <c r="H37" s="31">
        <v>950.732421875</v>
      </c>
      <c r="I37" s="31">
        <v>1348.7623291015625</v>
      </c>
      <c r="J37" s="31">
        <v>648.50048828125</v>
      </c>
      <c r="K37" s="31">
        <v>479.95025634765625</v>
      </c>
      <c r="L37" s="31">
        <v>950.6878662109375</v>
      </c>
      <c r="M37" s="31">
        <v>1349.9779052734375</v>
      </c>
      <c r="O37" s="140"/>
      <c r="P37" s="141"/>
      <c r="Q37" s="42"/>
    </row>
    <row r="38" spans="1:17">
      <c r="A38" s="20" t="s">
        <v>215</v>
      </c>
      <c r="B38" s="31">
        <v>89.033009789539406</v>
      </c>
      <c r="C38" s="31">
        <v>89.024239840909047</v>
      </c>
      <c r="D38" s="31">
        <v>89.047050411222457</v>
      </c>
      <c r="E38" s="31">
        <v>89.059036196876605</v>
      </c>
      <c r="F38" s="31">
        <v>89.033010911398051</v>
      </c>
      <c r="G38" s="31">
        <v>89.024162252545437</v>
      </c>
      <c r="H38" s="31">
        <v>89.047047984037761</v>
      </c>
      <c r="I38" s="31">
        <v>89.059098536638984</v>
      </c>
      <c r="J38" s="31">
        <v>89.033011534310972</v>
      </c>
      <c r="K38" s="31">
        <v>89.024118370239876</v>
      </c>
      <c r="L38" s="31">
        <v>89.047047169242475</v>
      </c>
      <c r="M38" s="31">
        <v>89.059130501165569</v>
      </c>
      <c r="O38" s="43" t="s">
        <v>208</v>
      </c>
      <c r="P38" s="141" t="s">
        <v>209</v>
      </c>
      <c r="Q38" s="44"/>
    </row>
    <row r="39" spans="1:17" ht="13.5" thickBot="1">
      <c r="A39" s="20" t="s">
        <v>423</v>
      </c>
      <c r="B39" s="31"/>
      <c r="C39" s="31">
        <f t="shared" ref="C39:M39" si="10">$P$40/C37</f>
        <v>7.1226870135085489</v>
      </c>
      <c r="D39" s="31">
        <f t="shared" si="10"/>
        <v>3.6120899575170657</v>
      </c>
      <c r="E39" s="31">
        <f t="shared" si="10"/>
        <v>2.5505863393989219</v>
      </c>
      <c r="F39" s="31">
        <f t="shared" si="10"/>
        <v>5.2960128378585063</v>
      </c>
      <c r="G39" s="31">
        <f t="shared" si="10"/>
        <v>7.1440608748048913</v>
      </c>
      <c r="H39" s="31">
        <f t="shared" si="10"/>
        <v>3.6123728622053313</v>
      </c>
      <c r="I39" s="31">
        <f t="shared" si="10"/>
        <v>2.5463344622678799</v>
      </c>
      <c r="J39" s="31">
        <f t="shared" si="10"/>
        <v>5.2959096593779673</v>
      </c>
      <c r="K39" s="31">
        <f t="shared" si="10"/>
        <v>7.1557415681683931</v>
      </c>
      <c r="L39" s="31">
        <f t="shared" si="10"/>
        <v>3.6125421624325007</v>
      </c>
      <c r="M39" s="31">
        <f t="shared" si="10"/>
        <v>2.5440416369661722</v>
      </c>
      <c r="O39" s="41"/>
      <c r="P39" s="110">
        <v>3816</v>
      </c>
      <c r="Q39" s="42" t="s">
        <v>210</v>
      </c>
    </row>
    <row r="40" spans="1:17" ht="13.5" thickBot="1">
      <c r="A40" s="20"/>
      <c r="B40" s="31"/>
      <c r="C40" s="31"/>
      <c r="D40" s="31"/>
      <c r="E40" s="31"/>
      <c r="F40" s="31"/>
      <c r="G40" s="31"/>
      <c r="H40" s="31"/>
      <c r="I40" s="31"/>
      <c r="J40" s="31"/>
      <c r="K40" s="31"/>
      <c r="L40" s="31"/>
      <c r="M40" s="31"/>
      <c r="O40" s="140" t="s">
        <v>422</v>
      </c>
      <c r="P40" s="141">
        <f>P39*0.9</f>
        <v>3434.4</v>
      </c>
      <c r="Q40" s="42" t="s">
        <v>206</v>
      </c>
    </row>
    <row r="41" spans="1:17" ht="13.5" thickBot="1">
      <c r="A41" s="20" t="s">
        <v>193</v>
      </c>
      <c r="B41" s="31">
        <v>669.2982177734375</v>
      </c>
      <c r="C41" s="31">
        <v>766.07989501953125</v>
      </c>
      <c r="D41" s="31">
        <v>1421.980224609375</v>
      </c>
      <c r="E41" s="31">
        <v>1680.2611083984375</v>
      </c>
      <c r="F41" s="31">
        <v>669.28887939453125</v>
      </c>
      <c r="G41" s="31">
        <v>765.88812255859375</v>
      </c>
      <c r="H41" s="31">
        <v>1424.7685546875</v>
      </c>
      <c r="I41" s="31">
        <v>1684.5419921875</v>
      </c>
      <c r="J41" s="31">
        <v>669.28375244140625</v>
      </c>
      <c r="K41" s="31">
        <v>765.7900390625</v>
      </c>
      <c r="L41" s="31">
        <v>1426.313720703125</v>
      </c>
      <c r="M41" s="31">
        <v>1686.925537109375</v>
      </c>
      <c r="O41" s="31"/>
      <c r="P41" s="31"/>
      <c r="Q41" s="31"/>
    </row>
    <row r="42" spans="1:17" ht="13.5" thickBot="1">
      <c r="A42" s="20" t="s">
        <v>216</v>
      </c>
      <c r="B42" s="31">
        <v>87.35453483357891</v>
      </c>
      <c r="C42" s="31">
        <v>87.354343111241235</v>
      </c>
      <c r="D42" s="31">
        <v>87.352260224362425</v>
      </c>
      <c r="E42" s="31">
        <v>87.355509485261095</v>
      </c>
      <c r="F42" s="31">
        <v>87.35453487662474</v>
      </c>
      <c r="G42" s="31">
        <v>87.354343758547188</v>
      </c>
      <c r="H42" s="31">
        <v>87.352231647077446</v>
      </c>
      <c r="I42" s="31">
        <v>87.356759466259888</v>
      </c>
      <c r="J42" s="31">
        <v>87.354534906037699</v>
      </c>
      <c r="K42" s="31">
        <v>87.354344243885947</v>
      </c>
      <c r="L42" s="31">
        <v>87.352213203005007</v>
      </c>
      <c r="M42" s="31">
        <v>87.357296335285071</v>
      </c>
      <c r="O42" s="45" t="s">
        <v>223</v>
      </c>
      <c r="P42" s="112">
        <v>10</v>
      </c>
      <c r="Q42" s="46" t="s">
        <v>131</v>
      </c>
    </row>
    <row r="43" spans="1:17" ht="13.5" thickBot="1">
      <c r="A43" s="20" t="s">
        <v>424</v>
      </c>
      <c r="B43" s="31">
        <f>$P$40/B41</f>
        <v>5.1313449054522513</v>
      </c>
      <c r="C43" s="31">
        <f t="shared" ref="C43:M43" si="11">$P$40/C41</f>
        <v>4.4830833211103132</v>
      </c>
      <c r="D43" s="31">
        <f t="shared" si="11"/>
        <v>2.4152234613132166</v>
      </c>
      <c r="E43" s="31">
        <f t="shared" si="11"/>
        <v>2.043968037368634</v>
      </c>
      <c r="F43" s="31">
        <f t="shared" si="11"/>
        <v>5.1314165015066626</v>
      </c>
      <c r="G43" s="31">
        <f t="shared" si="11"/>
        <v>4.4842058504925486</v>
      </c>
      <c r="H43" s="31">
        <f t="shared" si="11"/>
        <v>2.4104967706514833</v>
      </c>
      <c r="I43" s="31">
        <f t="shared" si="11"/>
        <v>2.0387737532978818</v>
      </c>
      <c r="J43" s="31">
        <f t="shared" si="11"/>
        <v>5.1314558099939402</v>
      </c>
      <c r="K43" s="31">
        <f t="shared" si="11"/>
        <v>4.4847801940653103</v>
      </c>
      <c r="L43" s="31">
        <f t="shared" si="11"/>
        <v>2.4078854112873258</v>
      </c>
      <c r="M43" s="31">
        <f t="shared" si="11"/>
        <v>2.0358930637122272</v>
      </c>
      <c r="O43" s="45" t="s">
        <v>224</v>
      </c>
      <c r="P43" s="112">
        <v>100</v>
      </c>
      <c r="Q43" s="46" t="s">
        <v>131</v>
      </c>
    </row>
    <row r="44" spans="1:17">
      <c r="A44" s="20"/>
      <c r="B44" s="31"/>
      <c r="C44" s="31"/>
      <c r="D44" s="31"/>
      <c r="E44" s="31"/>
      <c r="F44" s="31"/>
      <c r="G44" s="31"/>
      <c r="H44" s="31"/>
      <c r="I44" s="31"/>
      <c r="J44" s="31"/>
      <c r="K44" s="31"/>
      <c r="L44" s="31"/>
      <c r="M44" s="31"/>
      <c r="O44" s="20"/>
      <c r="P44" s="31"/>
      <c r="Q44" s="31"/>
    </row>
    <row r="45" spans="1:17">
      <c r="A45" s="20" t="s">
        <v>194</v>
      </c>
      <c r="B45" s="31">
        <v>642.451416015625</v>
      </c>
      <c r="C45" s="31">
        <v>848.35137939453125</v>
      </c>
      <c r="D45" s="31">
        <v>1375.881591796875</v>
      </c>
      <c r="E45" s="31">
        <v>1678.482177734375</v>
      </c>
      <c r="F45" s="31">
        <v>642.4344482421875</v>
      </c>
      <c r="G45" s="31">
        <v>848.60174560546875</v>
      </c>
      <c r="H45" s="31">
        <v>1377.9019775390625</v>
      </c>
      <c r="I45" s="31">
        <v>1682.7489013671875</v>
      </c>
      <c r="J45" s="31">
        <v>642.42510986328125</v>
      </c>
      <c r="K45" s="31">
        <v>848.7484130859375</v>
      </c>
      <c r="L45" s="31">
        <v>1378.99951171875</v>
      </c>
      <c r="M45" s="31">
        <v>1685.068359375</v>
      </c>
      <c r="O45" s="20"/>
      <c r="P45" s="31"/>
      <c r="Q45" s="31"/>
    </row>
    <row r="46" spans="1:17">
      <c r="A46" s="20" t="s">
        <v>217</v>
      </c>
      <c r="B46" s="31">
        <v>88.993655155842873</v>
      </c>
      <c r="C46" s="31">
        <v>89.00363597452322</v>
      </c>
      <c r="D46" s="31">
        <v>89.020536353035041</v>
      </c>
      <c r="E46" s="31">
        <v>89.02743733893378</v>
      </c>
      <c r="F46" s="31">
        <v>88.993654342570622</v>
      </c>
      <c r="G46" s="31">
        <v>89.003644513483962</v>
      </c>
      <c r="H46" s="31">
        <v>89.020588310049106</v>
      </c>
      <c r="I46" s="31">
        <v>89.027531474793918</v>
      </c>
      <c r="J46" s="31">
        <v>88.993653868262328</v>
      </c>
      <c r="K46" s="31">
        <v>89.003652807774301</v>
      </c>
      <c r="L46" s="31">
        <v>89.02061723508254</v>
      </c>
      <c r="M46" s="31">
        <v>89.02758879487628</v>
      </c>
      <c r="O46" s="20"/>
      <c r="P46" s="31"/>
      <c r="Q46" s="31"/>
    </row>
    <row r="47" spans="1:17">
      <c r="A47" s="20" t="s">
        <v>425</v>
      </c>
      <c r="B47" s="31">
        <f>$P$40/B45</f>
        <v>5.3457738817038774</v>
      </c>
      <c r="C47" s="31">
        <f t="shared" ref="C47:M47" si="12">$P$40/C45</f>
        <v>4.0483225269830205</v>
      </c>
      <c r="D47" s="31">
        <f t="shared" si="12"/>
        <v>2.4961450320116132</v>
      </c>
      <c r="E47" s="31">
        <f t="shared" si="12"/>
        <v>2.046134326332719</v>
      </c>
      <c r="F47" s="31">
        <f t="shared" si="12"/>
        <v>5.3459150725760685</v>
      </c>
      <c r="G47" s="31">
        <f t="shared" si="12"/>
        <v>4.0471281349410733</v>
      </c>
      <c r="H47" s="31">
        <f t="shared" si="12"/>
        <v>2.4924849923895529</v>
      </c>
      <c r="I47" s="31">
        <f t="shared" si="12"/>
        <v>2.0409462143815063</v>
      </c>
      <c r="J47" s="31">
        <f t="shared" si="12"/>
        <v>5.3459927815257684</v>
      </c>
      <c r="K47" s="31">
        <f t="shared" si="12"/>
        <v>4.0464287732956974</v>
      </c>
      <c r="L47" s="31">
        <f t="shared" si="12"/>
        <v>2.4905012444271653</v>
      </c>
      <c r="M47" s="31">
        <f t="shared" si="12"/>
        <v>2.0381368986560497</v>
      </c>
      <c r="O47" s="20"/>
      <c r="P47" s="31"/>
      <c r="Q47" s="31"/>
    </row>
    <row r="48" spans="1:17">
      <c r="A48" s="20"/>
      <c r="B48" s="31"/>
      <c r="C48" s="31"/>
      <c r="D48" s="31"/>
      <c r="E48" s="31"/>
      <c r="F48" s="31"/>
      <c r="G48" s="31"/>
      <c r="H48" s="31"/>
      <c r="I48" s="31"/>
      <c r="J48" s="31"/>
      <c r="K48" s="31"/>
      <c r="L48" s="31"/>
      <c r="M48" s="31"/>
      <c r="O48" s="20"/>
      <c r="P48" s="31"/>
      <c r="Q48" s="31"/>
    </row>
    <row r="49" spans="1:17">
      <c r="A49" s="20" t="s">
        <v>195</v>
      </c>
      <c r="B49" s="31">
        <v>658.8868408203125</v>
      </c>
      <c r="C49" s="31">
        <v>1100.2213134765625</v>
      </c>
      <c r="D49" s="31">
        <v>1358.960205078125</v>
      </c>
      <c r="E49" s="31">
        <v>1311.0572509765625</v>
      </c>
      <c r="F49" s="31">
        <v>658.84429931640625</v>
      </c>
      <c r="G49" s="31">
        <v>1104.0999755859375</v>
      </c>
      <c r="H49" s="31">
        <v>1363.2420654296875</v>
      </c>
      <c r="I49" s="31">
        <v>1313.074462890625</v>
      </c>
      <c r="J49" s="31">
        <v>658.82086181640625</v>
      </c>
      <c r="K49" s="31">
        <v>1106.2525634765625</v>
      </c>
      <c r="L49" s="31">
        <v>1365.5892333984375</v>
      </c>
      <c r="M49" s="31">
        <v>1314.17919921875</v>
      </c>
      <c r="O49" s="20"/>
      <c r="P49" s="31"/>
      <c r="Q49" s="31"/>
    </row>
    <row r="50" spans="1:17">
      <c r="A50" s="20" t="s">
        <v>218</v>
      </c>
      <c r="B50" s="31">
        <v>89.960182841792943</v>
      </c>
      <c r="C50" s="31">
        <v>89.981033490145407</v>
      </c>
      <c r="D50" s="31">
        <v>89.989849442646658</v>
      </c>
      <c r="E50" s="31">
        <v>89.988852640525224</v>
      </c>
      <c r="F50" s="31">
        <v>89.960180441097663</v>
      </c>
      <c r="G50" s="31">
        <v>89.981182097908189</v>
      </c>
      <c r="H50" s="31">
        <v>89.989986326684814</v>
      </c>
      <c r="I50" s="31">
        <v>89.988918373533792</v>
      </c>
      <c r="J50" s="31">
        <v>89.960179102473077</v>
      </c>
      <c r="K50" s="31">
        <v>89.981267010628699</v>
      </c>
      <c r="L50" s="31">
        <v>89.990060759885708</v>
      </c>
      <c r="M50" s="31">
        <v>89.988954836434402</v>
      </c>
      <c r="P50" s="31"/>
    </row>
    <row r="51" spans="1:17">
      <c r="A51" s="20" t="s">
        <v>426</v>
      </c>
      <c r="B51" s="31">
        <f>$P$40/B49</f>
        <v>5.2124276692552858</v>
      </c>
      <c r="C51" s="31">
        <f t="shared" ref="C51:M51" si="13">$P$40/C49</f>
        <v>3.1215537800733228</v>
      </c>
      <c r="D51" s="31">
        <f t="shared" si="13"/>
        <v>2.527226321393687</v>
      </c>
      <c r="E51" s="31">
        <f t="shared" si="13"/>
        <v>2.6195652382394674</v>
      </c>
      <c r="F51" s="31">
        <f t="shared" si="13"/>
        <v>5.2127642351363033</v>
      </c>
      <c r="G51" s="31">
        <f t="shared" si="13"/>
        <v>3.110587877857157</v>
      </c>
      <c r="H51" s="31">
        <f t="shared" si="13"/>
        <v>2.5192884573419421</v>
      </c>
      <c r="I51" s="31">
        <f t="shared" si="13"/>
        <v>2.6155409286076985</v>
      </c>
      <c r="J51" s="31">
        <f t="shared" si="13"/>
        <v>5.2129496788112712</v>
      </c>
      <c r="K51" s="31">
        <f t="shared" si="13"/>
        <v>3.1045351788445936</v>
      </c>
      <c r="L51" s="31">
        <f t="shared" si="13"/>
        <v>2.514958316896708</v>
      </c>
      <c r="M51" s="31">
        <f t="shared" si="13"/>
        <v>2.6133422306803165</v>
      </c>
      <c r="P51" s="20"/>
      <c r="Q51" s="20"/>
    </row>
    <row r="52" spans="1:17">
      <c r="A52" s="20"/>
      <c r="B52" s="31"/>
      <c r="C52" s="31"/>
      <c r="D52" s="31"/>
      <c r="E52" s="31"/>
      <c r="F52" s="31"/>
      <c r="G52" s="31"/>
      <c r="H52" s="31"/>
      <c r="I52" s="31"/>
      <c r="J52" s="31"/>
      <c r="K52" s="31"/>
      <c r="L52" s="31"/>
      <c r="M52" s="31"/>
      <c r="O52" s="20"/>
      <c r="P52" s="31"/>
      <c r="Q52" s="31"/>
    </row>
    <row r="53" spans="1:17">
      <c r="A53" s="20" t="s">
        <v>196</v>
      </c>
      <c r="B53" s="31">
        <v>658.83587646484375</v>
      </c>
      <c r="C53" s="31">
        <v>1092.58642578125</v>
      </c>
      <c r="D53" s="31">
        <v>711.36956787109375</v>
      </c>
      <c r="E53" s="31">
        <v>480.6539306640625</v>
      </c>
      <c r="F53" s="31">
        <v>658.8123779296875</v>
      </c>
      <c r="G53" s="31">
        <v>1096.446044921875</v>
      </c>
      <c r="H53" s="31">
        <v>712.25946044921875</v>
      </c>
      <c r="I53" s="31">
        <v>480.13723754882812</v>
      </c>
      <c r="J53" s="31">
        <v>658.7994384765625</v>
      </c>
      <c r="K53" s="31">
        <v>1098.6185302734375</v>
      </c>
      <c r="L53" s="31">
        <v>712.75628662109375</v>
      </c>
      <c r="M53" s="31">
        <v>479.86373901367187</v>
      </c>
      <c r="O53" s="20"/>
      <c r="P53" s="31"/>
      <c r="Q53" s="31"/>
    </row>
    <row r="54" spans="1:17">
      <c r="A54" s="20" t="s">
        <v>219</v>
      </c>
      <c r="B54" s="31">
        <v>91.428904375128965</v>
      </c>
      <c r="C54" s="31">
        <v>91.445611703107019</v>
      </c>
      <c r="D54" s="31">
        <v>91.432055544837098</v>
      </c>
      <c r="E54" s="31">
        <v>91.420049444122782</v>
      </c>
      <c r="F54" s="31">
        <v>91.428903253261936</v>
      </c>
      <c r="G54" s="31">
        <v>91.445734150831555</v>
      </c>
      <c r="H54" s="31">
        <v>91.432094422638158</v>
      </c>
      <c r="I54" s="31">
        <v>91.420023828069702</v>
      </c>
      <c r="J54" s="31">
        <v>91.428902638341839</v>
      </c>
      <c r="K54" s="31">
        <v>91.445803162976901</v>
      </c>
      <c r="L54" s="31">
        <v>91.432115957303438</v>
      </c>
      <c r="M54" s="31">
        <v>91.420007308371467</v>
      </c>
      <c r="P54" s="32"/>
      <c r="Q54" s="32"/>
    </row>
    <row r="55" spans="1:17">
      <c r="A55" s="20" t="s">
        <v>427</v>
      </c>
      <c r="B55" s="31">
        <f>$P$40/B53</f>
        <v>5.2128308774382051</v>
      </c>
      <c r="C55" s="31">
        <f t="shared" ref="C55:M55" si="14">$P$40/C53</f>
        <v>3.1433668943344641</v>
      </c>
      <c r="D55" s="31">
        <f t="shared" si="14"/>
        <v>4.8278702872799064</v>
      </c>
      <c r="E55" s="31">
        <f t="shared" si="14"/>
        <v>7.1452656077421386</v>
      </c>
      <c r="F55" s="31">
        <f t="shared" si="14"/>
        <v>5.2130168088106874</v>
      </c>
      <c r="G55" s="31">
        <f t="shared" si="14"/>
        <v>3.1323018728611594</v>
      </c>
      <c r="H55" s="31">
        <f t="shared" si="14"/>
        <v>4.8218383759114127</v>
      </c>
      <c r="I55" s="31">
        <f t="shared" si="14"/>
        <v>7.1529548875090834</v>
      </c>
      <c r="J55" s="31">
        <f t="shared" si="14"/>
        <v>5.2131191974629809</v>
      </c>
      <c r="K55" s="31">
        <f t="shared" si="14"/>
        <v>3.1261078394019122</v>
      </c>
      <c r="L55" s="31">
        <f t="shared" si="14"/>
        <v>4.8184773175150557</v>
      </c>
      <c r="M55" s="31">
        <f t="shared" si="14"/>
        <v>7.1570317170853164</v>
      </c>
      <c r="O55" s="20"/>
      <c r="P55" s="31"/>
      <c r="Q55" s="31"/>
    </row>
    <row r="56" spans="1:17">
      <c r="A56" s="20"/>
      <c r="B56" s="31"/>
      <c r="C56" s="31"/>
      <c r="D56" s="31"/>
      <c r="E56" s="31"/>
      <c r="F56" s="31"/>
      <c r="G56" s="31"/>
      <c r="H56" s="31"/>
      <c r="I56" s="31"/>
      <c r="J56" s="31"/>
      <c r="K56" s="31"/>
      <c r="L56" s="31"/>
      <c r="M56" s="31"/>
      <c r="P56" s="32"/>
      <c r="Q56" s="32"/>
    </row>
    <row r="57" spans="1:17">
      <c r="A57" s="20" t="s">
        <v>197</v>
      </c>
      <c r="B57" s="31">
        <v>665.16094970703125</v>
      </c>
      <c r="C57" s="31">
        <v>861.41021728515625</v>
      </c>
      <c r="D57" s="31">
        <v>465.43191528320312</v>
      </c>
      <c r="E57" s="31">
        <v>365.90719604492188</v>
      </c>
      <c r="F57" s="31">
        <v>665.17254638671875</v>
      </c>
      <c r="G57" s="31">
        <v>861.73828125</v>
      </c>
      <c r="H57" s="31">
        <v>465.18466186523437</v>
      </c>
      <c r="I57" s="31">
        <v>365.33233642578125</v>
      </c>
      <c r="J57" s="31">
        <v>665.17889404296875</v>
      </c>
      <c r="K57" s="31">
        <v>861.9248046875</v>
      </c>
      <c r="L57" s="31">
        <v>465.05538940429688</v>
      </c>
      <c r="M57" s="31">
        <v>365.01095581054687</v>
      </c>
      <c r="O57" s="20"/>
      <c r="P57" s="31"/>
      <c r="Q57" s="31"/>
    </row>
    <row r="58" spans="1:17">
      <c r="A58" s="20" t="s">
        <v>220</v>
      </c>
      <c r="B58" s="31">
        <v>92.031258727567177</v>
      </c>
      <c r="C58" s="31">
        <v>92.043027788655735</v>
      </c>
      <c r="D58" s="31">
        <v>92.017930995634785</v>
      </c>
      <c r="E58" s="31">
        <v>92.009166905956164</v>
      </c>
      <c r="F58" s="31">
        <v>92.031259437311419</v>
      </c>
      <c r="G58" s="31">
        <v>92.043050593180709</v>
      </c>
      <c r="H58" s="31">
        <v>92.017901127299055</v>
      </c>
      <c r="I58" s="31">
        <v>92.009105608881029</v>
      </c>
      <c r="J58" s="31">
        <v>92.031259833901274</v>
      </c>
      <c r="K58" s="31">
        <v>92.043062118881934</v>
      </c>
      <c r="L58" s="31">
        <v>92.017892513186638</v>
      </c>
      <c r="M58" s="31">
        <v>92.009076397801735</v>
      </c>
      <c r="P58" s="32"/>
      <c r="Q58" s="32"/>
    </row>
    <row r="59" spans="1:17">
      <c r="A59" s="20" t="s">
        <v>428</v>
      </c>
      <c r="B59" s="31">
        <f>$P$40/B57</f>
        <v>5.1632616158730817</v>
      </c>
      <c r="C59" s="31">
        <f t="shared" ref="C59:M59" si="15">$P$40/C57</f>
        <v>3.9869506201400164</v>
      </c>
      <c r="D59" s="31">
        <f t="shared" si="15"/>
        <v>7.3789525110461271</v>
      </c>
      <c r="E59" s="31">
        <f t="shared" si="15"/>
        <v>9.3859864936309254</v>
      </c>
      <c r="F59" s="31">
        <f t="shared" si="15"/>
        <v>5.1631715990925828</v>
      </c>
      <c r="G59" s="31">
        <f t="shared" si="15"/>
        <v>3.9854327871081798</v>
      </c>
      <c r="H59" s="31">
        <f t="shared" si="15"/>
        <v>7.3828745475596911</v>
      </c>
      <c r="I59" s="31">
        <f t="shared" si="15"/>
        <v>9.4007555794276438</v>
      </c>
      <c r="J59" s="31">
        <f t="shared" si="15"/>
        <v>5.1631223280787788</v>
      </c>
      <c r="K59" s="31">
        <f t="shared" si="15"/>
        <v>3.9845703259986562</v>
      </c>
      <c r="L59" s="31">
        <f t="shared" si="15"/>
        <v>7.3849267813006616</v>
      </c>
      <c r="M59" s="31">
        <f t="shared" si="15"/>
        <v>9.4090326477284449</v>
      </c>
      <c r="O59" s="20"/>
      <c r="P59" s="31"/>
      <c r="Q59" s="31"/>
    </row>
    <row r="60" spans="1:17">
      <c r="A60" s="20"/>
      <c r="B60" s="31"/>
      <c r="C60" s="31"/>
      <c r="D60" s="31"/>
      <c r="E60" s="31"/>
      <c r="F60" s="31"/>
      <c r="G60" s="31"/>
      <c r="H60" s="31"/>
      <c r="I60" s="31"/>
      <c r="J60" s="31"/>
      <c r="K60" s="31"/>
      <c r="L60" s="31"/>
      <c r="M60" s="31"/>
    </row>
    <row r="61" spans="1:17">
      <c r="A61" s="20" t="s">
        <v>198</v>
      </c>
      <c r="B61" s="31">
        <v>657.8731689453125</v>
      </c>
      <c r="C61" s="31">
        <v>752.46685791015625</v>
      </c>
      <c r="D61" s="31">
        <v>409.11209106445312</v>
      </c>
      <c r="E61" s="31">
        <v>340.0579833984375</v>
      </c>
      <c r="F61" s="31">
        <v>657.894287109375</v>
      </c>
      <c r="G61" s="31">
        <v>752.23724365234375</v>
      </c>
      <c r="H61" s="31">
        <v>408.22528076171875</v>
      </c>
      <c r="I61" s="31">
        <v>339.36669921875</v>
      </c>
      <c r="J61" s="31">
        <v>657.90496826171875</v>
      </c>
      <c r="K61" s="31">
        <v>752.114501953125</v>
      </c>
      <c r="L61" s="31">
        <v>407.75100708007813</v>
      </c>
      <c r="M61" s="31">
        <v>338.97665405273437</v>
      </c>
    </row>
    <row r="62" spans="1:17">
      <c r="A62" s="20" t="s">
        <v>221</v>
      </c>
      <c r="B62" s="31">
        <v>92.061266596957438</v>
      </c>
      <c r="C62" s="31">
        <v>92.067374293468788</v>
      </c>
      <c r="D62" s="31">
        <v>92.045221677653942</v>
      </c>
      <c r="E62" s="31">
        <v>92.039141496802486</v>
      </c>
      <c r="F62" s="31">
        <v>92.061267767854815</v>
      </c>
      <c r="G62" s="31">
        <v>92.067371459112707</v>
      </c>
      <c r="H62" s="31">
        <v>92.045181071723718</v>
      </c>
      <c r="I62" s="31">
        <v>92.039118457924204</v>
      </c>
      <c r="J62" s="31">
        <v>92.061268312420879</v>
      </c>
      <c r="K62" s="31">
        <v>92.067366223218187</v>
      </c>
      <c r="L62" s="31">
        <v>92.045153381230691</v>
      </c>
      <c r="M62" s="31">
        <v>92.039107994056081</v>
      </c>
    </row>
    <row r="63" spans="1:17">
      <c r="A63" s="20" t="s">
        <v>429</v>
      </c>
      <c r="B63" s="31">
        <f>$P$40/B61</f>
        <v>5.2204591433725032</v>
      </c>
      <c r="C63" s="31">
        <f t="shared" ref="C63:M63" si="16">$P$40/C61</f>
        <v>4.5641877298602083</v>
      </c>
      <c r="D63" s="31">
        <f t="shared" si="16"/>
        <v>8.3947653345178974</v>
      </c>
      <c r="E63" s="31">
        <f t="shared" si="16"/>
        <v>10.099454115670618</v>
      </c>
      <c r="F63" s="31">
        <f t="shared" si="16"/>
        <v>5.2202915685586895</v>
      </c>
      <c r="G63" s="31">
        <f t="shared" si="16"/>
        <v>4.5655809107841154</v>
      </c>
      <c r="H63" s="31">
        <f t="shared" si="16"/>
        <v>8.4130017464662128</v>
      </c>
      <c r="I63" s="31">
        <f t="shared" si="16"/>
        <v>10.12002653149608</v>
      </c>
      <c r="J63" s="31">
        <f t="shared" si="16"/>
        <v>5.220206816607857</v>
      </c>
      <c r="K63" s="31">
        <f t="shared" si="16"/>
        <v>4.5663259930255231</v>
      </c>
      <c r="L63" s="31">
        <f t="shared" si="16"/>
        <v>8.4227872901991852</v>
      </c>
      <c r="M63" s="31">
        <f t="shared" si="16"/>
        <v>10.13167119015138</v>
      </c>
    </row>
    <row r="64" spans="1:17">
      <c r="B64" s="31"/>
      <c r="C64" s="31"/>
      <c r="D64" s="31"/>
      <c r="E64" s="31"/>
      <c r="F64" s="31"/>
      <c r="G64" s="31"/>
      <c r="H64" s="31"/>
      <c r="I64" s="31"/>
      <c r="J64" s="31"/>
      <c r="K64" s="31"/>
      <c r="L64" s="31"/>
      <c r="M64" s="31"/>
    </row>
    <row r="65" spans="1:13">
      <c r="A65" s="20" t="s">
        <v>199</v>
      </c>
      <c r="B65" s="31">
        <v>657.8568115234375</v>
      </c>
      <c r="C65" s="31">
        <v>486.12820434570312</v>
      </c>
      <c r="D65" s="31">
        <v>410.095703125</v>
      </c>
      <c r="E65" s="31">
        <v>451.9056396484375</v>
      </c>
      <c r="F65" s="31">
        <v>657.9010009765625</v>
      </c>
      <c r="G65" s="31">
        <v>484.69970703125</v>
      </c>
      <c r="H65" s="31">
        <v>408.79525756835937</v>
      </c>
      <c r="I65" s="31">
        <v>451.36322021484375</v>
      </c>
      <c r="J65" s="31">
        <v>657.92535400390625</v>
      </c>
      <c r="K65" s="31">
        <v>483.90487670898437</v>
      </c>
      <c r="L65" s="31">
        <v>408.029541015625</v>
      </c>
      <c r="M65" s="31">
        <v>451.07199096679687</v>
      </c>
    </row>
    <row r="66" spans="1:13">
      <c r="A66" s="20" t="s">
        <v>222</v>
      </c>
      <c r="B66" s="31">
        <v>91.093950492988057</v>
      </c>
      <c r="C66" s="31">
        <v>91.084673697080788</v>
      </c>
      <c r="D66" s="31">
        <v>91.079313653961449</v>
      </c>
      <c r="E66" s="31">
        <v>91.0827823640509</v>
      </c>
      <c r="F66" s="31">
        <v>91.093952816689907</v>
      </c>
      <c r="G66" s="31">
        <v>91.084585286897266</v>
      </c>
      <c r="H66" s="31">
        <v>91.079202071218674</v>
      </c>
      <c r="I66" s="31">
        <v>91.082751684721558</v>
      </c>
      <c r="J66" s="31">
        <v>91.093954076083946</v>
      </c>
      <c r="K66" s="31">
        <v>91.08454428739914</v>
      </c>
      <c r="L66" s="31">
        <v>91.079150640148754</v>
      </c>
      <c r="M66" s="31">
        <v>91.082735115201629</v>
      </c>
    </row>
    <row r="67" spans="1:13">
      <c r="A67" s="20" t="s">
        <v>430</v>
      </c>
      <c r="B67" s="31">
        <f>$P$40/B65</f>
        <v>5.2205889485992536</v>
      </c>
      <c r="C67" s="31">
        <f t="shared" ref="C67:M67" si="17">$P$40/C65</f>
        <v>7.0648030073105481</v>
      </c>
      <c r="D67" s="31">
        <f t="shared" si="17"/>
        <v>8.374630540698865</v>
      </c>
      <c r="E67" s="31">
        <f t="shared" si="17"/>
        <v>7.5998166401990703</v>
      </c>
      <c r="F67" s="31">
        <f t="shared" si="17"/>
        <v>5.220238295582635</v>
      </c>
      <c r="G67" s="31">
        <f t="shared" si="17"/>
        <v>7.0856242539023739</v>
      </c>
      <c r="H67" s="31">
        <f t="shared" si="17"/>
        <v>8.4012716302749535</v>
      </c>
      <c r="I67" s="31">
        <f t="shared" si="17"/>
        <v>7.6089496134959003</v>
      </c>
      <c r="J67" s="31">
        <f t="shared" si="17"/>
        <v>5.2200450690939766</v>
      </c>
      <c r="K67" s="31">
        <f t="shared" si="17"/>
        <v>7.0972626342540757</v>
      </c>
      <c r="L67" s="31">
        <f t="shared" si="17"/>
        <v>8.4170376278429409</v>
      </c>
      <c r="M67" s="31">
        <f t="shared" si="17"/>
        <v>7.6138622410115557</v>
      </c>
    </row>
    <row r="68" spans="1:13">
      <c r="B68" s="31"/>
      <c r="C68" s="31"/>
      <c r="D68" s="31"/>
      <c r="E68" s="31"/>
      <c r="F68" s="31"/>
      <c r="G68" s="31"/>
      <c r="H68" s="31"/>
      <c r="I68" s="31"/>
      <c r="J68" s="31"/>
      <c r="K68" s="31"/>
      <c r="L68" s="31"/>
      <c r="M68" s="31"/>
    </row>
    <row r="69" spans="1:13">
      <c r="A69" s="20"/>
      <c r="B69" s="31"/>
      <c r="C69" s="31"/>
      <c r="D69" s="31"/>
      <c r="E69" s="31"/>
      <c r="F69" s="31"/>
      <c r="G69" s="31"/>
      <c r="H69" s="31"/>
      <c r="I69" s="31"/>
      <c r="J69" s="31"/>
      <c r="K69" s="31"/>
      <c r="L69" s="31"/>
      <c r="M69" s="31"/>
    </row>
  </sheetData>
  <mergeCells count="3">
    <mergeCell ref="A1:A2"/>
    <mergeCell ref="O3:Q3"/>
    <mergeCell ref="B1:M2"/>
  </mergeCells>
  <phoneticPr fontId="16" type="noConversion"/>
  <conditionalFormatting sqref="B4:M4">
    <cfRule type="cellIs" dxfId="7" priority="7" operator="greaterThan">
      <formula>960</formula>
    </cfRule>
  </conditionalFormatting>
  <conditionalFormatting sqref="B4:M4">
    <cfRule type="cellIs" dxfId="6" priority="6" operator="greaterThan">
      <formula>960</formula>
    </cfRule>
  </conditionalFormatting>
  <conditionalFormatting sqref="B6:M6">
    <cfRule type="cellIs" dxfId="5" priority="5" operator="greaterThan">
      <formula>960</formula>
    </cfRule>
  </conditionalFormatting>
  <conditionalFormatting sqref="B6:M6">
    <cfRule type="cellIs" dxfId="4" priority="4" operator="greaterThan">
      <formula>960</formula>
    </cfRule>
  </conditionalFormatting>
  <conditionalFormatting sqref="P48:Q48 P45:Q45">
    <cfRule type="cellIs" dxfId="3" priority="1" operator="greaterThan">
      <formula>$G$43</formula>
    </cfRule>
  </conditionalFormatting>
  <conditionalFormatting sqref="P47:Q47">
    <cfRule type="cellIs" dxfId="2" priority="2" operator="greaterThan">
      <formula>$N$21</formula>
    </cfRule>
    <cfRule type="cellIs" dxfId="1" priority="3" operator="greaterThan">
      <formula>$N$21</formula>
    </cfRule>
  </conditionalFormatting>
  <conditionalFormatting sqref="B25:C25 B27:M27">
    <cfRule type="cellIs" dxfId="0" priority="22" operator="greaterThan">
      <formula>#REF!</formula>
    </cfRule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5"/>
  <dimension ref="A2:L239"/>
  <sheetViews>
    <sheetView zoomScale="85" zoomScaleNormal="85" workbookViewId="0">
      <pane ySplit="4" topLeftCell="A5" activePane="bottomLeft" state="frozen"/>
      <selection activeCell="C46" sqref="C46"/>
      <selection pane="bottomLeft" activeCell="C1" sqref="C1"/>
    </sheetView>
  </sheetViews>
  <sheetFormatPr defaultRowHeight="12"/>
  <cols>
    <col min="1" max="1" width="23.85546875" style="22" customWidth="1"/>
    <col min="2" max="2" width="5.5703125" style="22" customWidth="1"/>
    <col min="3" max="3" width="46.5703125" style="22" customWidth="1"/>
    <col min="4" max="4" width="6.28515625" style="22" customWidth="1"/>
    <col min="5" max="5" width="23.140625" style="22" customWidth="1"/>
    <col min="6" max="6" width="15.7109375" style="22" customWidth="1"/>
    <col min="7" max="7" width="23.42578125" style="22" customWidth="1"/>
    <col min="8" max="8" width="14.7109375" style="22" customWidth="1"/>
    <col min="9" max="9" width="28.28515625" style="21" customWidth="1"/>
    <col min="10" max="16384" width="9.140625" style="21"/>
  </cols>
  <sheetData>
    <row r="2" spans="1:10" ht="12.75" thickBot="1">
      <c r="A2" s="21"/>
      <c r="B2" s="21"/>
      <c r="C2" s="21"/>
      <c r="D2" s="21"/>
      <c r="E2" s="21"/>
      <c r="F2" s="21"/>
      <c r="G2" s="21"/>
      <c r="H2" s="21"/>
    </row>
    <row r="3" spans="1:10">
      <c r="A3" s="26" t="s">
        <v>1</v>
      </c>
      <c r="B3" s="25" t="s">
        <v>8</v>
      </c>
      <c r="C3" s="26"/>
      <c r="D3" s="25" t="s">
        <v>0</v>
      </c>
      <c r="E3" s="27"/>
      <c r="F3" s="26" t="s">
        <v>4</v>
      </c>
      <c r="G3" s="26" t="s">
        <v>9</v>
      </c>
      <c r="H3" s="26" t="s">
        <v>3</v>
      </c>
      <c r="I3" s="25"/>
    </row>
    <row r="4" spans="1:10" ht="12.75" thickBot="1">
      <c r="A4" s="24" t="s">
        <v>5</v>
      </c>
      <c r="B4" s="23" t="s">
        <v>2</v>
      </c>
      <c r="C4" s="24" t="s">
        <v>8</v>
      </c>
      <c r="D4" s="23" t="s">
        <v>2</v>
      </c>
      <c r="E4" s="24" t="s">
        <v>7</v>
      </c>
      <c r="F4" s="24" t="s">
        <v>5</v>
      </c>
      <c r="G4" s="24" t="s">
        <v>16</v>
      </c>
      <c r="H4" s="24" t="s">
        <v>6</v>
      </c>
      <c r="I4" s="23" t="s">
        <v>17</v>
      </c>
    </row>
    <row r="5" spans="1:10" s="22" customFormat="1">
      <c r="A5" s="30" t="s">
        <v>1446</v>
      </c>
      <c r="B5" s="22" t="s">
        <v>818</v>
      </c>
      <c r="C5" s="22" t="s">
        <v>1447</v>
      </c>
    </row>
    <row r="6" spans="1:10" s="22" customFormat="1">
      <c r="A6" s="30" t="s">
        <v>1446</v>
      </c>
      <c r="B6" s="22" t="s">
        <v>1330</v>
      </c>
      <c r="C6" s="22" t="s">
        <v>1324</v>
      </c>
    </row>
    <row r="7" spans="1:10" s="22" customFormat="1">
      <c r="A7" s="30" t="s">
        <v>1446</v>
      </c>
      <c r="B7" s="22" t="s">
        <v>805</v>
      </c>
      <c r="C7" s="22" t="s">
        <v>1325</v>
      </c>
    </row>
    <row r="8" spans="1:10">
      <c r="A8" s="30" t="s">
        <v>1446</v>
      </c>
      <c r="B8" s="22" t="s">
        <v>1331</v>
      </c>
      <c r="C8" s="22" t="s">
        <v>1326</v>
      </c>
      <c r="I8" s="22"/>
    </row>
    <row r="9" spans="1:10">
      <c r="A9" s="30" t="s">
        <v>1446</v>
      </c>
      <c r="B9" s="22" t="s">
        <v>1332</v>
      </c>
      <c r="C9" s="22" t="s">
        <v>1327</v>
      </c>
    </row>
    <row r="10" spans="1:10">
      <c r="A10" s="30" t="s">
        <v>1446</v>
      </c>
      <c r="B10" s="22" t="s">
        <v>806</v>
      </c>
      <c r="C10" s="22" t="s">
        <v>1328</v>
      </c>
    </row>
    <row r="11" spans="1:10">
      <c r="A11" s="30" t="s">
        <v>1446</v>
      </c>
      <c r="B11" s="22" t="s">
        <v>1333</v>
      </c>
      <c r="C11" s="22" t="s">
        <v>1329</v>
      </c>
    </row>
    <row r="12" spans="1:10" ht="13.5" customHeight="1">
      <c r="A12" s="30" t="s">
        <v>1446</v>
      </c>
      <c r="B12" s="22" t="s">
        <v>1334</v>
      </c>
      <c r="C12" s="22" t="s">
        <v>1359</v>
      </c>
    </row>
    <row r="13" spans="1:10">
      <c r="A13" s="30" t="s">
        <v>1446</v>
      </c>
      <c r="B13" s="22" t="s">
        <v>1335</v>
      </c>
      <c r="C13" s="22" t="s">
        <v>1337</v>
      </c>
    </row>
    <row r="14" spans="1:10">
      <c r="A14" s="30" t="s">
        <v>1446</v>
      </c>
      <c r="B14" s="22" t="s">
        <v>369</v>
      </c>
      <c r="C14" s="22" t="s">
        <v>1336</v>
      </c>
    </row>
    <row r="15" spans="1:10">
      <c r="A15" s="30" t="s">
        <v>1446</v>
      </c>
      <c r="B15" s="22" t="s">
        <v>1247</v>
      </c>
      <c r="C15" s="22" t="s">
        <v>1369</v>
      </c>
      <c r="J15" s="22"/>
    </row>
    <row r="16" spans="1:10">
      <c r="A16" s="30" t="s">
        <v>1446</v>
      </c>
      <c r="B16" s="22" t="s">
        <v>176</v>
      </c>
      <c r="C16" s="22" t="s">
        <v>1370</v>
      </c>
      <c r="J16" s="22"/>
    </row>
    <row r="17" spans="1:11">
      <c r="A17" s="30" t="s">
        <v>1446</v>
      </c>
      <c r="B17" s="22" t="s">
        <v>1223</v>
      </c>
      <c r="C17" s="22" t="s">
        <v>1371</v>
      </c>
      <c r="J17" s="22"/>
    </row>
    <row r="18" spans="1:11">
      <c r="A18" s="30" t="s">
        <v>1446</v>
      </c>
      <c r="B18" s="22" t="s">
        <v>177</v>
      </c>
      <c r="C18" s="22" t="s">
        <v>1372</v>
      </c>
    </row>
    <row r="19" spans="1:11">
      <c r="A19" s="30" t="s">
        <v>1446</v>
      </c>
      <c r="B19" s="22" t="s">
        <v>1224</v>
      </c>
      <c r="C19" s="22" t="s">
        <v>1373</v>
      </c>
    </row>
    <row r="20" spans="1:11">
      <c r="A20" s="30" t="s">
        <v>1446</v>
      </c>
      <c r="B20" s="22" t="s">
        <v>233</v>
      </c>
      <c r="C20" s="22" t="s">
        <v>1374</v>
      </c>
    </row>
    <row r="21" spans="1:11">
      <c r="A21" s="30" t="s">
        <v>1446</v>
      </c>
      <c r="B21" s="22" t="s">
        <v>1225</v>
      </c>
      <c r="C21" s="22" t="s">
        <v>1375</v>
      </c>
    </row>
    <row r="22" spans="1:11">
      <c r="A22" s="30" t="s">
        <v>1446</v>
      </c>
      <c r="B22" s="22" t="s">
        <v>287</v>
      </c>
      <c r="C22" s="30" t="s">
        <v>1430</v>
      </c>
    </row>
    <row r="23" spans="1:11">
      <c r="A23" s="30" t="s">
        <v>1446</v>
      </c>
      <c r="B23" s="22" t="s">
        <v>1226</v>
      </c>
      <c r="C23" s="30" t="s">
        <v>1431</v>
      </c>
    </row>
    <row r="24" spans="1:11">
      <c r="A24" s="30" t="s">
        <v>1446</v>
      </c>
      <c r="B24" s="22" t="s">
        <v>1338</v>
      </c>
      <c r="C24" s="30" t="s">
        <v>1432</v>
      </c>
    </row>
    <row r="25" spans="1:11">
      <c r="A25" s="30" t="s">
        <v>1446</v>
      </c>
      <c r="B25" s="22" t="s">
        <v>1339</v>
      </c>
      <c r="C25" s="30" t="s">
        <v>1433</v>
      </c>
    </row>
    <row r="26" spans="1:11">
      <c r="A26" s="30" t="s">
        <v>1446</v>
      </c>
      <c r="B26" s="22" t="s">
        <v>1352</v>
      </c>
      <c r="C26" s="30" t="s">
        <v>1434</v>
      </c>
    </row>
    <row r="27" spans="1:11">
      <c r="A27" s="30" t="s">
        <v>1446</v>
      </c>
      <c r="B27" s="22" t="s">
        <v>288</v>
      </c>
      <c r="C27" s="30" t="s">
        <v>1435</v>
      </c>
    </row>
    <row r="28" spans="1:11">
      <c r="A28" s="30" t="s">
        <v>1446</v>
      </c>
      <c r="B28" s="22" t="s">
        <v>370</v>
      </c>
      <c r="C28" s="30" t="s">
        <v>1436</v>
      </c>
    </row>
    <row r="29" spans="1:11" s="22" customFormat="1">
      <c r="A29" s="30" t="s">
        <v>1446</v>
      </c>
      <c r="B29" s="22" t="s">
        <v>879</v>
      </c>
      <c r="C29" s="30" t="s">
        <v>1437</v>
      </c>
      <c r="J29" s="21"/>
      <c r="K29" s="21"/>
    </row>
    <row r="30" spans="1:11" s="22" customFormat="1">
      <c r="A30" s="30" t="s">
        <v>1446</v>
      </c>
      <c r="B30" s="22" t="s">
        <v>880</v>
      </c>
      <c r="C30" s="30" t="s">
        <v>1442</v>
      </c>
      <c r="J30" s="21"/>
      <c r="K30" s="21"/>
    </row>
    <row r="31" spans="1:11" s="22" customFormat="1">
      <c r="A31" s="30" t="s">
        <v>1446</v>
      </c>
      <c r="B31" s="22" t="s">
        <v>1399</v>
      </c>
      <c r="C31" s="30" t="s">
        <v>1443</v>
      </c>
      <c r="J31" s="21"/>
      <c r="K31" s="21"/>
    </row>
    <row r="32" spans="1:11" s="22" customFormat="1">
      <c r="A32" s="30" t="s">
        <v>1446</v>
      </c>
      <c r="B32" s="22" t="s">
        <v>1400</v>
      </c>
      <c r="C32" s="30" t="s">
        <v>1444</v>
      </c>
      <c r="J32" s="21"/>
      <c r="K32" s="21"/>
    </row>
    <row r="33" spans="1:12" s="22" customFormat="1">
      <c r="A33" s="30" t="s">
        <v>1446</v>
      </c>
      <c r="B33" s="22" t="s">
        <v>881</v>
      </c>
      <c r="C33" s="30" t="s">
        <v>1445</v>
      </c>
      <c r="J33" s="21"/>
      <c r="K33" s="21"/>
    </row>
    <row r="34" spans="1:12" s="22" customFormat="1">
      <c r="A34" s="30" t="s">
        <v>1446</v>
      </c>
      <c r="B34" s="22" t="s">
        <v>882</v>
      </c>
      <c r="C34" s="30" t="s">
        <v>1438</v>
      </c>
      <c r="J34" s="21"/>
      <c r="K34" s="21"/>
    </row>
    <row r="35" spans="1:12" s="22" customFormat="1">
      <c r="A35" s="30" t="s">
        <v>1446</v>
      </c>
      <c r="B35" s="22" t="s">
        <v>1401</v>
      </c>
      <c r="C35" s="30" t="s">
        <v>1439</v>
      </c>
      <c r="J35" s="21"/>
      <c r="K35" s="21"/>
    </row>
    <row r="36" spans="1:12" s="22" customFormat="1">
      <c r="A36" s="30" t="s">
        <v>1446</v>
      </c>
      <c r="B36" s="22" t="s">
        <v>1402</v>
      </c>
      <c r="C36" s="30" t="s">
        <v>1440</v>
      </c>
      <c r="J36" s="21"/>
      <c r="K36" s="21"/>
    </row>
    <row r="37" spans="1:12" s="22" customFormat="1">
      <c r="A37" s="30" t="s">
        <v>1446</v>
      </c>
      <c r="B37" s="22" t="s">
        <v>1403</v>
      </c>
      <c r="C37" s="30" t="s">
        <v>1441</v>
      </c>
      <c r="J37" s="21"/>
      <c r="K37" s="21"/>
    </row>
    <row r="38" spans="1:12" s="22" customFormat="1">
      <c r="A38" s="28"/>
      <c r="B38" s="28"/>
      <c r="C38" s="28"/>
      <c r="D38" s="28"/>
      <c r="E38" s="29" t="s">
        <v>1448</v>
      </c>
      <c r="F38" s="28"/>
      <c r="G38" s="28"/>
      <c r="H38" s="28"/>
      <c r="I38" s="28"/>
      <c r="J38" s="21"/>
      <c r="K38" s="21"/>
    </row>
    <row r="39" spans="1:12" s="22" customFormat="1">
      <c r="A39" s="30" t="s">
        <v>1446</v>
      </c>
      <c r="B39" s="30"/>
      <c r="C39" s="30"/>
      <c r="D39" s="30" t="s">
        <v>1346</v>
      </c>
      <c r="E39" s="30" t="s">
        <v>1323</v>
      </c>
      <c r="F39" s="30" t="s">
        <v>111</v>
      </c>
      <c r="G39" s="30" t="s">
        <v>1321</v>
      </c>
      <c r="H39" s="30"/>
      <c r="I39" s="30" t="s">
        <v>1322</v>
      </c>
      <c r="J39" s="21"/>
      <c r="K39" s="21"/>
    </row>
    <row r="40" spans="1:12" s="22" customFormat="1">
      <c r="A40" s="30" t="s">
        <v>1446</v>
      </c>
      <c r="B40" s="30"/>
      <c r="C40" s="30"/>
      <c r="D40" s="30" t="s">
        <v>1248</v>
      </c>
      <c r="E40" s="30" t="s">
        <v>115</v>
      </c>
      <c r="F40" s="30" t="s">
        <v>111</v>
      </c>
      <c r="G40" s="30"/>
      <c r="H40" s="30" t="s">
        <v>1367</v>
      </c>
      <c r="I40" s="30" t="s">
        <v>114</v>
      </c>
      <c r="J40" s="21"/>
      <c r="K40" s="21"/>
    </row>
    <row r="41" spans="1:12" s="22" customFormat="1">
      <c r="A41" s="30" t="s">
        <v>1446</v>
      </c>
      <c r="B41" s="30"/>
      <c r="C41" s="30"/>
      <c r="D41" s="30" t="s">
        <v>1227</v>
      </c>
      <c r="E41" s="30" t="s">
        <v>120</v>
      </c>
      <c r="F41" s="30" t="s">
        <v>111</v>
      </c>
      <c r="G41" s="30"/>
      <c r="H41" s="30" t="s">
        <v>1367</v>
      </c>
      <c r="I41" s="30" t="s">
        <v>114</v>
      </c>
      <c r="J41" s="21"/>
      <c r="K41" s="21"/>
    </row>
    <row r="42" spans="1:12" s="22" customFormat="1">
      <c r="A42" s="30" t="s">
        <v>1446</v>
      </c>
      <c r="B42" s="30"/>
      <c r="C42" s="30"/>
      <c r="D42" s="30" t="s">
        <v>1228</v>
      </c>
      <c r="E42" s="30" t="s">
        <v>115</v>
      </c>
      <c r="F42" s="30" t="s">
        <v>111</v>
      </c>
      <c r="G42" s="30"/>
      <c r="H42" s="30" t="s">
        <v>1367</v>
      </c>
      <c r="I42" s="30" t="s">
        <v>232</v>
      </c>
      <c r="J42" s="30"/>
      <c r="K42" s="30"/>
      <c r="L42" s="30"/>
    </row>
    <row r="43" spans="1:12" s="22" customFormat="1">
      <c r="A43" s="30" t="s">
        <v>1446</v>
      </c>
      <c r="B43" s="30"/>
      <c r="C43" s="30"/>
      <c r="D43" s="30" t="s">
        <v>1229</v>
      </c>
      <c r="E43" s="30" t="s">
        <v>127</v>
      </c>
      <c r="F43" s="30" t="s">
        <v>111</v>
      </c>
      <c r="G43" s="30" t="s">
        <v>1321</v>
      </c>
      <c r="H43" s="30" t="s">
        <v>1367</v>
      </c>
      <c r="I43" s="30" t="s">
        <v>1322</v>
      </c>
      <c r="J43" s="30"/>
      <c r="K43" s="30"/>
      <c r="L43" s="30"/>
    </row>
    <row r="44" spans="1:12" s="22" customFormat="1">
      <c r="A44" s="30" t="s">
        <v>1446</v>
      </c>
      <c r="B44" s="30"/>
      <c r="C44" s="30"/>
      <c r="D44" s="30" t="s">
        <v>290</v>
      </c>
      <c r="E44" s="30" t="s">
        <v>120</v>
      </c>
      <c r="F44" s="30" t="s">
        <v>111</v>
      </c>
      <c r="G44" s="30" t="s">
        <v>1376</v>
      </c>
      <c r="H44" s="30" t="s">
        <v>1367</v>
      </c>
      <c r="I44" s="30" t="s">
        <v>213</v>
      </c>
      <c r="J44" s="30"/>
      <c r="K44" s="30"/>
      <c r="L44" s="30"/>
    </row>
    <row r="45" spans="1:12" s="22" customFormat="1">
      <c r="A45" s="30" t="s">
        <v>1446</v>
      </c>
      <c r="B45" s="30"/>
      <c r="C45" s="30"/>
      <c r="D45" s="30" t="s">
        <v>1230</v>
      </c>
      <c r="E45" s="30" t="s">
        <v>120</v>
      </c>
      <c r="F45" s="30" t="s">
        <v>111</v>
      </c>
      <c r="G45" s="30" t="s">
        <v>1379</v>
      </c>
      <c r="H45" s="30" t="s">
        <v>1367</v>
      </c>
      <c r="I45" s="30" t="s">
        <v>213</v>
      </c>
      <c r="J45" s="30"/>
      <c r="K45" s="30"/>
      <c r="L45" s="30"/>
    </row>
    <row r="46" spans="1:12" s="22" customFormat="1">
      <c r="A46" s="30" t="s">
        <v>1446</v>
      </c>
      <c r="B46" s="30"/>
      <c r="C46" s="30"/>
      <c r="D46" s="30" t="s">
        <v>1340</v>
      </c>
      <c r="E46" s="30" t="s">
        <v>120</v>
      </c>
      <c r="F46" s="30" t="s">
        <v>111</v>
      </c>
      <c r="G46" s="30" t="s">
        <v>1380</v>
      </c>
      <c r="H46" s="30" t="s">
        <v>1367</v>
      </c>
      <c r="I46" s="30" t="s">
        <v>213</v>
      </c>
      <c r="J46" s="30"/>
      <c r="K46" s="30"/>
      <c r="L46" s="30"/>
    </row>
    <row r="47" spans="1:12" s="22" customFormat="1">
      <c r="A47" s="30" t="s">
        <v>1446</v>
      </c>
      <c r="B47" s="30"/>
      <c r="C47" s="30"/>
      <c r="D47" s="30" t="s">
        <v>1353</v>
      </c>
      <c r="E47" s="30" t="s">
        <v>120</v>
      </c>
      <c r="F47" s="30" t="s">
        <v>111</v>
      </c>
      <c r="G47" s="30" t="s">
        <v>1381</v>
      </c>
      <c r="H47" s="30" t="s">
        <v>1367</v>
      </c>
      <c r="I47" s="30" t="s">
        <v>213</v>
      </c>
      <c r="J47" s="30"/>
      <c r="K47" s="30"/>
      <c r="L47" s="30"/>
    </row>
    <row r="48" spans="1:12" s="22" customFormat="1">
      <c r="A48" s="30" t="s">
        <v>1446</v>
      </c>
      <c r="B48" s="30"/>
      <c r="C48" s="30"/>
      <c r="D48" s="30" t="s">
        <v>1360</v>
      </c>
      <c r="E48" s="30" t="s">
        <v>120</v>
      </c>
      <c r="F48" s="30" t="s">
        <v>111</v>
      </c>
      <c r="G48" s="30" t="s">
        <v>1382</v>
      </c>
      <c r="H48" s="30" t="s">
        <v>1367</v>
      </c>
      <c r="I48" s="30" t="s">
        <v>213</v>
      </c>
      <c r="J48" s="30"/>
      <c r="K48" s="30"/>
      <c r="L48" s="30"/>
    </row>
    <row r="49" spans="1:12" s="22" customFormat="1">
      <c r="A49" s="30" t="s">
        <v>1446</v>
      </c>
      <c r="B49" s="30"/>
      <c r="C49" s="30"/>
      <c r="D49" s="30" t="s">
        <v>291</v>
      </c>
      <c r="E49" s="30" t="s">
        <v>120</v>
      </c>
      <c r="F49" s="30" t="s">
        <v>111</v>
      </c>
      <c r="G49" s="30" t="s">
        <v>1383</v>
      </c>
      <c r="H49" s="30" t="s">
        <v>1367</v>
      </c>
      <c r="I49" s="30" t="s">
        <v>213</v>
      </c>
      <c r="J49" s="30"/>
      <c r="K49" s="30"/>
      <c r="L49" s="30"/>
    </row>
    <row r="50" spans="1:12" s="22" customFormat="1">
      <c r="A50" s="30" t="s">
        <v>1446</v>
      </c>
      <c r="B50" s="30"/>
      <c r="C50" s="30"/>
      <c r="D50" s="30" t="s">
        <v>343</v>
      </c>
      <c r="E50" s="30" t="s">
        <v>120</v>
      </c>
      <c r="F50" s="30" t="s">
        <v>111</v>
      </c>
      <c r="G50" s="30" t="s">
        <v>1384</v>
      </c>
      <c r="H50" s="30" t="s">
        <v>1367</v>
      </c>
      <c r="I50" s="30" t="s">
        <v>213</v>
      </c>
      <c r="J50" s="30"/>
      <c r="K50" s="30"/>
      <c r="L50" s="30"/>
    </row>
    <row r="51" spans="1:12" s="22" customFormat="1">
      <c r="A51" s="30" t="s">
        <v>1446</v>
      </c>
      <c r="B51" s="30"/>
      <c r="C51" s="30"/>
      <c r="D51" s="30" t="s">
        <v>927</v>
      </c>
      <c r="E51" s="30" t="s">
        <v>120</v>
      </c>
      <c r="F51" s="30" t="s">
        <v>111</v>
      </c>
      <c r="G51" s="30" t="s">
        <v>1385</v>
      </c>
      <c r="H51" s="30" t="s">
        <v>1367</v>
      </c>
      <c r="I51" s="30" t="s">
        <v>213</v>
      </c>
      <c r="J51" s="30"/>
      <c r="K51" s="30"/>
      <c r="L51" s="30"/>
    </row>
    <row r="52" spans="1:12" s="22" customFormat="1">
      <c r="A52" s="30" t="s">
        <v>1446</v>
      </c>
      <c r="B52" s="30"/>
      <c r="C52" s="30"/>
      <c r="D52" s="30" t="s">
        <v>928</v>
      </c>
      <c r="E52" s="30" t="s">
        <v>120</v>
      </c>
      <c r="F52" s="30" t="s">
        <v>111</v>
      </c>
      <c r="G52" s="30" t="s">
        <v>1386</v>
      </c>
      <c r="H52" s="30" t="s">
        <v>1367</v>
      </c>
      <c r="I52" s="30" t="s">
        <v>213</v>
      </c>
      <c r="J52" s="30"/>
      <c r="K52" s="30"/>
      <c r="L52" s="30"/>
    </row>
    <row r="53" spans="1:12" s="22" customFormat="1">
      <c r="A53" s="30" t="s">
        <v>1446</v>
      </c>
      <c r="B53" s="30"/>
      <c r="C53" s="30"/>
      <c r="D53" s="30" t="s">
        <v>1390</v>
      </c>
      <c r="E53" s="30" t="s">
        <v>120</v>
      </c>
      <c r="F53" s="30" t="s">
        <v>111</v>
      </c>
      <c r="G53" s="30" t="s">
        <v>1387</v>
      </c>
      <c r="H53" s="30" t="s">
        <v>1367</v>
      </c>
      <c r="I53" s="30" t="s">
        <v>213</v>
      </c>
      <c r="J53" s="30"/>
      <c r="K53" s="30"/>
      <c r="L53" s="30"/>
    </row>
    <row r="54" spans="1:12">
      <c r="A54" s="30" t="s">
        <v>1446</v>
      </c>
      <c r="B54" s="30"/>
      <c r="C54" s="30"/>
      <c r="D54" s="30" t="s">
        <v>1391</v>
      </c>
      <c r="E54" s="30" t="s">
        <v>120</v>
      </c>
      <c r="F54" s="30" t="s">
        <v>111</v>
      </c>
      <c r="G54" s="30" t="s">
        <v>1388</v>
      </c>
      <c r="H54" s="30" t="s">
        <v>1367</v>
      </c>
      <c r="I54" s="30" t="s">
        <v>213</v>
      </c>
      <c r="J54" s="30"/>
      <c r="K54" s="30"/>
      <c r="L54" s="30"/>
    </row>
    <row r="55" spans="1:12">
      <c r="A55" s="30" t="s">
        <v>1446</v>
      </c>
      <c r="B55" s="30"/>
      <c r="C55" s="30"/>
      <c r="D55" s="30" t="s">
        <v>929</v>
      </c>
      <c r="E55" s="30" t="s">
        <v>120</v>
      </c>
      <c r="F55" s="30" t="s">
        <v>111</v>
      </c>
      <c r="G55" s="30" t="s">
        <v>1389</v>
      </c>
      <c r="H55" s="30" t="s">
        <v>1367</v>
      </c>
      <c r="I55" s="30" t="s">
        <v>213</v>
      </c>
      <c r="J55" s="30"/>
      <c r="K55" s="30"/>
      <c r="L55" s="30"/>
    </row>
    <row r="56" spans="1:12">
      <c r="A56" s="30" t="s">
        <v>1446</v>
      </c>
      <c r="B56" s="30"/>
      <c r="C56" s="30"/>
      <c r="D56" s="30" t="s">
        <v>930</v>
      </c>
      <c r="E56" s="30" t="s">
        <v>120</v>
      </c>
      <c r="F56" s="30" t="s">
        <v>111</v>
      </c>
      <c r="G56" s="30" t="s">
        <v>1393</v>
      </c>
      <c r="H56" s="30" t="s">
        <v>1367</v>
      </c>
      <c r="I56" s="30" t="s">
        <v>213</v>
      </c>
      <c r="J56" s="30"/>
      <c r="K56" s="30"/>
      <c r="L56" s="30"/>
    </row>
    <row r="57" spans="1:12">
      <c r="A57" s="30" t="s">
        <v>1446</v>
      </c>
      <c r="B57" s="30"/>
      <c r="C57" s="30"/>
      <c r="D57" s="30" t="s">
        <v>1392</v>
      </c>
      <c r="E57" s="30" t="s">
        <v>120</v>
      </c>
      <c r="F57" s="30" t="s">
        <v>111</v>
      </c>
      <c r="G57" s="30" t="s">
        <v>1394</v>
      </c>
      <c r="H57" s="30" t="s">
        <v>1367</v>
      </c>
      <c r="I57" s="30" t="s">
        <v>213</v>
      </c>
      <c r="J57" s="30"/>
      <c r="K57" s="30"/>
      <c r="L57" s="30"/>
    </row>
    <row r="58" spans="1:12">
      <c r="A58" s="30" t="s">
        <v>1446</v>
      </c>
      <c r="B58" s="30"/>
      <c r="C58" s="30"/>
      <c r="D58" s="30" t="s">
        <v>1397</v>
      </c>
      <c r="E58" s="30" t="s">
        <v>120</v>
      </c>
      <c r="F58" s="30" t="s">
        <v>111</v>
      </c>
      <c r="G58" s="30" t="s">
        <v>1395</v>
      </c>
      <c r="H58" s="30" t="s">
        <v>1367</v>
      </c>
      <c r="I58" s="30" t="s">
        <v>213</v>
      </c>
      <c r="J58" s="30"/>
      <c r="K58" s="30"/>
      <c r="L58" s="30"/>
    </row>
    <row r="59" spans="1:12">
      <c r="A59" s="30" t="s">
        <v>1446</v>
      </c>
      <c r="B59" s="30"/>
      <c r="C59" s="30"/>
      <c r="D59" s="30" t="s">
        <v>1398</v>
      </c>
      <c r="E59" s="30" t="s">
        <v>120</v>
      </c>
      <c r="F59" s="30" t="s">
        <v>111</v>
      </c>
      <c r="G59" s="30" t="s">
        <v>1396</v>
      </c>
      <c r="H59" s="30" t="s">
        <v>1367</v>
      </c>
      <c r="I59" s="30" t="s">
        <v>213</v>
      </c>
      <c r="J59" s="30"/>
      <c r="K59" s="30"/>
      <c r="L59" s="30"/>
    </row>
    <row r="60" spans="1:12">
      <c r="A60" s="28"/>
      <c r="B60" s="28"/>
      <c r="C60" s="28"/>
      <c r="D60" s="28"/>
      <c r="E60" s="29" t="s">
        <v>1449</v>
      </c>
      <c r="F60" s="28"/>
      <c r="G60" s="28"/>
      <c r="H60" s="28"/>
      <c r="I60" s="28"/>
      <c r="J60" s="30"/>
      <c r="K60" s="30"/>
      <c r="L60" s="30"/>
    </row>
    <row r="61" spans="1:12">
      <c r="A61" s="30" t="s">
        <v>1446</v>
      </c>
      <c r="B61" s="30"/>
      <c r="C61" s="30"/>
      <c r="D61" s="30" t="s">
        <v>1347</v>
      </c>
      <c r="E61" s="30" t="s">
        <v>1323</v>
      </c>
      <c r="F61" s="30" t="s">
        <v>111</v>
      </c>
      <c r="G61" s="30" t="s">
        <v>1321</v>
      </c>
      <c r="H61" s="30"/>
      <c r="I61" s="30" t="s">
        <v>1322</v>
      </c>
      <c r="J61" s="30"/>
      <c r="K61" s="30"/>
      <c r="L61" s="30"/>
    </row>
    <row r="62" spans="1:12">
      <c r="A62" s="30" t="s">
        <v>1446</v>
      </c>
      <c r="B62" s="30"/>
      <c r="C62" s="30"/>
      <c r="D62" s="30" t="s">
        <v>1249</v>
      </c>
      <c r="E62" s="30" t="s">
        <v>115</v>
      </c>
      <c r="F62" s="30" t="s">
        <v>111</v>
      </c>
      <c r="G62" s="30"/>
      <c r="H62" s="30">
        <v>1</v>
      </c>
      <c r="I62" s="30" t="s">
        <v>114</v>
      </c>
      <c r="J62" s="30"/>
      <c r="K62" s="30"/>
      <c r="L62" s="30"/>
    </row>
    <row r="63" spans="1:12">
      <c r="A63" s="30" t="s">
        <v>1446</v>
      </c>
      <c r="B63" s="30"/>
      <c r="C63" s="30"/>
      <c r="D63" s="30" t="s">
        <v>1231</v>
      </c>
      <c r="E63" s="30" t="s">
        <v>120</v>
      </c>
      <c r="F63" s="30" t="s">
        <v>111</v>
      </c>
      <c r="G63" s="30"/>
      <c r="H63" s="30">
        <v>1</v>
      </c>
      <c r="I63" s="30" t="s">
        <v>114</v>
      </c>
      <c r="J63" s="30"/>
      <c r="K63" s="30"/>
      <c r="L63" s="30"/>
    </row>
    <row r="64" spans="1:12">
      <c r="A64" s="30" t="s">
        <v>1446</v>
      </c>
      <c r="B64" s="30"/>
      <c r="C64" s="30"/>
      <c r="D64" s="30" t="s">
        <v>1232</v>
      </c>
      <c r="E64" s="30" t="s">
        <v>115</v>
      </c>
      <c r="F64" s="30" t="s">
        <v>111</v>
      </c>
      <c r="G64" s="30"/>
      <c r="H64" s="30">
        <v>1</v>
      </c>
      <c r="I64" s="30" t="s">
        <v>232</v>
      </c>
      <c r="J64" s="30"/>
      <c r="K64" s="30"/>
      <c r="L64" s="30"/>
    </row>
    <row r="65" spans="1:12">
      <c r="A65" s="30" t="s">
        <v>1446</v>
      </c>
      <c r="B65" s="30"/>
      <c r="C65" s="30"/>
      <c r="D65" s="30" t="s">
        <v>1233</v>
      </c>
      <c r="E65" s="30" t="s">
        <v>127</v>
      </c>
      <c r="F65" s="30" t="s">
        <v>111</v>
      </c>
      <c r="G65" s="30" t="s">
        <v>1321</v>
      </c>
      <c r="H65" s="30">
        <v>1</v>
      </c>
      <c r="I65" s="30" t="s">
        <v>1322</v>
      </c>
      <c r="J65" s="30"/>
      <c r="K65" s="30"/>
      <c r="L65" s="30"/>
    </row>
    <row r="66" spans="1:12">
      <c r="A66" s="30" t="s">
        <v>1446</v>
      </c>
      <c r="B66" s="30"/>
      <c r="C66" s="30"/>
      <c r="D66" s="30" t="s">
        <v>293</v>
      </c>
      <c r="E66" s="30" t="s">
        <v>120</v>
      </c>
      <c r="F66" s="30" t="s">
        <v>111</v>
      </c>
      <c r="G66" s="30" t="s">
        <v>1376</v>
      </c>
      <c r="H66" s="30">
        <v>1</v>
      </c>
      <c r="I66" s="30" t="s">
        <v>213</v>
      </c>
      <c r="J66" s="30"/>
      <c r="K66" s="30"/>
      <c r="L66" s="30"/>
    </row>
    <row r="67" spans="1:12">
      <c r="A67" s="30" t="s">
        <v>1446</v>
      </c>
      <c r="B67" s="30"/>
      <c r="C67" s="30"/>
      <c r="D67" s="30" t="s">
        <v>1234</v>
      </c>
      <c r="E67" s="30" t="s">
        <v>120</v>
      </c>
      <c r="F67" s="30" t="s">
        <v>111</v>
      </c>
      <c r="G67" s="30" t="s">
        <v>1379</v>
      </c>
      <c r="H67" s="30">
        <v>1</v>
      </c>
      <c r="I67" s="30" t="s">
        <v>213</v>
      </c>
      <c r="J67" s="30"/>
      <c r="K67" s="30"/>
      <c r="L67" s="30"/>
    </row>
    <row r="68" spans="1:12">
      <c r="A68" s="30" t="s">
        <v>1446</v>
      </c>
      <c r="B68" s="30"/>
      <c r="C68" s="30"/>
      <c r="D68" s="30" t="s">
        <v>1341</v>
      </c>
      <c r="E68" s="30" t="s">
        <v>120</v>
      </c>
      <c r="F68" s="30" t="s">
        <v>111</v>
      </c>
      <c r="G68" s="30" t="s">
        <v>1380</v>
      </c>
      <c r="H68" s="30">
        <v>1</v>
      </c>
      <c r="I68" s="30" t="s">
        <v>213</v>
      </c>
      <c r="J68" s="30"/>
      <c r="K68" s="30"/>
      <c r="L68" s="30"/>
    </row>
    <row r="69" spans="1:12">
      <c r="A69" s="30" t="s">
        <v>1446</v>
      </c>
      <c r="B69" s="30"/>
      <c r="C69" s="30"/>
      <c r="D69" s="30" t="s">
        <v>1354</v>
      </c>
      <c r="E69" s="30" t="s">
        <v>120</v>
      </c>
      <c r="F69" s="30" t="s">
        <v>111</v>
      </c>
      <c r="G69" s="30" t="s">
        <v>1381</v>
      </c>
      <c r="H69" s="30">
        <v>1</v>
      </c>
      <c r="I69" s="30" t="s">
        <v>213</v>
      </c>
      <c r="J69" s="30"/>
      <c r="K69" s="30"/>
      <c r="L69" s="30"/>
    </row>
    <row r="70" spans="1:12">
      <c r="A70" s="30" t="s">
        <v>1446</v>
      </c>
      <c r="B70" s="30"/>
      <c r="C70" s="30"/>
      <c r="D70" s="30" t="s">
        <v>1361</v>
      </c>
      <c r="E70" s="30" t="s">
        <v>120</v>
      </c>
      <c r="F70" s="30" t="s">
        <v>111</v>
      </c>
      <c r="G70" s="30" t="s">
        <v>1382</v>
      </c>
      <c r="H70" s="30">
        <v>1</v>
      </c>
      <c r="I70" s="30" t="s">
        <v>213</v>
      </c>
      <c r="J70" s="30"/>
      <c r="K70" s="30"/>
      <c r="L70" s="30"/>
    </row>
    <row r="71" spans="1:12">
      <c r="A71" s="30" t="s">
        <v>1446</v>
      </c>
      <c r="B71" s="30"/>
      <c r="C71" s="30"/>
      <c r="D71" s="30" t="s">
        <v>294</v>
      </c>
      <c r="E71" s="30" t="s">
        <v>120</v>
      </c>
      <c r="F71" s="30" t="s">
        <v>111</v>
      </c>
      <c r="G71" s="30" t="s">
        <v>1383</v>
      </c>
      <c r="H71" s="30">
        <v>1</v>
      </c>
      <c r="I71" s="30" t="s">
        <v>213</v>
      </c>
      <c r="J71" s="30"/>
      <c r="K71" s="30"/>
      <c r="L71" s="30"/>
    </row>
    <row r="72" spans="1:12">
      <c r="A72" s="30" t="s">
        <v>1446</v>
      </c>
      <c r="B72" s="30"/>
      <c r="C72" s="30"/>
      <c r="D72" s="30" t="s">
        <v>378</v>
      </c>
      <c r="E72" s="30" t="s">
        <v>120</v>
      </c>
      <c r="F72" s="30" t="s">
        <v>111</v>
      </c>
      <c r="G72" s="30" t="s">
        <v>1384</v>
      </c>
      <c r="H72" s="30">
        <v>1</v>
      </c>
      <c r="I72" s="30" t="s">
        <v>213</v>
      </c>
      <c r="J72" s="30"/>
      <c r="K72" s="30"/>
      <c r="L72" s="30"/>
    </row>
    <row r="73" spans="1:12">
      <c r="A73" s="30" t="s">
        <v>1446</v>
      </c>
      <c r="B73" s="30"/>
      <c r="C73" s="30"/>
      <c r="D73" s="30" t="s">
        <v>943</v>
      </c>
      <c r="E73" s="30" t="s">
        <v>120</v>
      </c>
      <c r="F73" s="30" t="s">
        <v>111</v>
      </c>
      <c r="G73" s="30" t="s">
        <v>1385</v>
      </c>
      <c r="H73" s="30">
        <v>1</v>
      </c>
      <c r="I73" s="30" t="s">
        <v>213</v>
      </c>
      <c r="J73" s="30"/>
      <c r="K73" s="30"/>
      <c r="L73" s="30"/>
    </row>
    <row r="74" spans="1:12">
      <c r="A74" s="30" t="s">
        <v>1446</v>
      </c>
      <c r="B74" s="30"/>
      <c r="C74" s="30"/>
      <c r="D74" s="30" t="s">
        <v>944</v>
      </c>
      <c r="E74" s="30" t="s">
        <v>120</v>
      </c>
      <c r="F74" s="30" t="s">
        <v>111</v>
      </c>
      <c r="G74" s="30" t="s">
        <v>1386</v>
      </c>
      <c r="H74" s="30">
        <v>1</v>
      </c>
      <c r="I74" s="30" t="s">
        <v>213</v>
      </c>
      <c r="J74" s="30"/>
      <c r="K74" s="30"/>
      <c r="L74" s="30"/>
    </row>
    <row r="75" spans="1:12">
      <c r="A75" s="30" t="s">
        <v>1446</v>
      </c>
      <c r="B75" s="30"/>
      <c r="C75" s="30"/>
      <c r="D75" s="30" t="s">
        <v>1405</v>
      </c>
      <c r="E75" s="30" t="s">
        <v>120</v>
      </c>
      <c r="F75" s="30" t="s">
        <v>111</v>
      </c>
      <c r="G75" s="30" t="s">
        <v>1387</v>
      </c>
      <c r="H75" s="30">
        <v>1</v>
      </c>
      <c r="I75" s="30" t="s">
        <v>213</v>
      </c>
      <c r="J75" s="30"/>
      <c r="K75" s="30"/>
      <c r="L75" s="30"/>
    </row>
    <row r="76" spans="1:12">
      <c r="A76" s="30" t="s">
        <v>1446</v>
      </c>
      <c r="B76" s="30"/>
      <c r="C76" s="30"/>
      <c r="D76" s="30" t="s">
        <v>1406</v>
      </c>
      <c r="E76" s="30" t="s">
        <v>120</v>
      </c>
      <c r="F76" s="30" t="s">
        <v>111</v>
      </c>
      <c r="G76" s="30" t="s">
        <v>1388</v>
      </c>
      <c r="H76" s="30">
        <v>1</v>
      </c>
      <c r="I76" s="30" t="s">
        <v>213</v>
      </c>
      <c r="J76" s="30"/>
      <c r="K76" s="30"/>
      <c r="L76" s="30"/>
    </row>
    <row r="77" spans="1:12">
      <c r="A77" s="30" t="s">
        <v>1446</v>
      </c>
      <c r="B77" s="30"/>
      <c r="C77" s="30"/>
      <c r="D77" s="30" t="s">
        <v>945</v>
      </c>
      <c r="E77" s="30" t="s">
        <v>120</v>
      </c>
      <c r="F77" s="30" t="s">
        <v>111</v>
      </c>
      <c r="G77" s="30" t="s">
        <v>1389</v>
      </c>
      <c r="H77" s="30">
        <v>1</v>
      </c>
      <c r="I77" s="30" t="s">
        <v>213</v>
      </c>
      <c r="J77" s="30"/>
      <c r="K77" s="30"/>
      <c r="L77" s="30"/>
    </row>
    <row r="78" spans="1:12">
      <c r="A78" s="30" t="s">
        <v>1446</v>
      </c>
      <c r="B78" s="30"/>
      <c r="C78" s="30"/>
      <c r="D78" s="30" t="s">
        <v>946</v>
      </c>
      <c r="E78" s="30" t="s">
        <v>120</v>
      </c>
      <c r="F78" s="30" t="s">
        <v>111</v>
      </c>
      <c r="G78" s="30" t="s">
        <v>1393</v>
      </c>
      <c r="H78" s="30">
        <v>1</v>
      </c>
      <c r="I78" s="30" t="s">
        <v>213</v>
      </c>
      <c r="J78" s="30"/>
      <c r="K78" s="30"/>
      <c r="L78" s="30"/>
    </row>
    <row r="79" spans="1:12">
      <c r="A79" s="30" t="s">
        <v>1446</v>
      </c>
      <c r="B79" s="30"/>
      <c r="C79" s="30"/>
      <c r="D79" s="30" t="s">
        <v>1407</v>
      </c>
      <c r="E79" s="30" t="s">
        <v>120</v>
      </c>
      <c r="F79" s="30" t="s">
        <v>111</v>
      </c>
      <c r="G79" s="30" t="s">
        <v>1394</v>
      </c>
      <c r="H79" s="30">
        <v>1</v>
      </c>
      <c r="I79" s="30" t="s">
        <v>213</v>
      </c>
      <c r="J79" s="30"/>
      <c r="K79" s="30"/>
      <c r="L79" s="30"/>
    </row>
    <row r="80" spans="1:12">
      <c r="A80" s="30" t="s">
        <v>1446</v>
      </c>
      <c r="B80" s="30"/>
      <c r="C80" s="30"/>
      <c r="D80" s="30" t="s">
        <v>1408</v>
      </c>
      <c r="E80" s="30" t="s">
        <v>120</v>
      </c>
      <c r="F80" s="30" t="s">
        <v>111</v>
      </c>
      <c r="G80" s="30" t="s">
        <v>1395</v>
      </c>
      <c r="H80" s="30">
        <v>1</v>
      </c>
      <c r="I80" s="30" t="s">
        <v>213</v>
      </c>
      <c r="J80" s="30"/>
      <c r="K80" s="30"/>
      <c r="L80" s="30"/>
    </row>
    <row r="81" spans="1:12">
      <c r="A81" s="30" t="s">
        <v>1446</v>
      </c>
      <c r="B81" s="30"/>
      <c r="C81" s="30"/>
      <c r="D81" s="30" t="s">
        <v>1409</v>
      </c>
      <c r="E81" s="30" t="s">
        <v>120</v>
      </c>
      <c r="F81" s="30" t="s">
        <v>111</v>
      </c>
      <c r="G81" s="30" t="s">
        <v>1396</v>
      </c>
      <c r="H81" s="30">
        <v>1</v>
      </c>
      <c r="I81" s="30" t="s">
        <v>213</v>
      </c>
      <c r="J81" s="30"/>
      <c r="K81" s="30"/>
      <c r="L81" s="30"/>
    </row>
    <row r="82" spans="1:12">
      <c r="A82" s="28"/>
      <c r="B82" s="28"/>
      <c r="C82" s="28"/>
      <c r="D82" s="28"/>
      <c r="E82" s="29" t="s">
        <v>1450</v>
      </c>
      <c r="F82" s="28"/>
      <c r="G82" s="28"/>
      <c r="H82" s="28"/>
      <c r="I82" s="28"/>
      <c r="J82" s="30"/>
      <c r="K82" s="30"/>
      <c r="L82" s="30"/>
    </row>
    <row r="83" spans="1:12">
      <c r="A83" s="30" t="s">
        <v>1446</v>
      </c>
      <c r="B83" s="30"/>
      <c r="C83" s="30"/>
      <c r="D83" s="30" t="s">
        <v>1348</v>
      </c>
      <c r="E83" s="30" t="s">
        <v>1323</v>
      </c>
      <c r="F83" s="30" t="s">
        <v>111</v>
      </c>
      <c r="G83" s="30" t="s">
        <v>1321</v>
      </c>
      <c r="H83" s="30"/>
      <c r="I83" s="30" t="s">
        <v>1322</v>
      </c>
      <c r="J83" s="30"/>
      <c r="K83" s="30"/>
      <c r="L83" s="30"/>
    </row>
    <row r="84" spans="1:12">
      <c r="A84" s="30" t="s">
        <v>1446</v>
      </c>
      <c r="B84" s="30"/>
      <c r="C84" s="30"/>
      <c r="D84" s="30" t="s">
        <v>1250</v>
      </c>
      <c r="E84" s="30" t="s">
        <v>115</v>
      </c>
      <c r="F84" s="30" t="s">
        <v>111</v>
      </c>
      <c r="G84" s="30"/>
      <c r="H84" s="30">
        <v>1</v>
      </c>
      <c r="I84" s="30" t="s">
        <v>114</v>
      </c>
      <c r="J84" s="30"/>
      <c r="K84" s="30"/>
      <c r="L84" s="30"/>
    </row>
    <row r="85" spans="1:12">
      <c r="A85" s="30" t="s">
        <v>1446</v>
      </c>
      <c r="B85" s="30"/>
      <c r="C85" s="30"/>
      <c r="D85" s="30" t="s">
        <v>1235</v>
      </c>
      <c r="E85" s="30" t="s">
        <v>120</v>
      </c>
      <c r="F85" s="30" t="s">
        <v>111</v>
      </c>
      <c r="G85" s="30"/>
      <c r="H85" s="30">
        <v>1</v>
      </c>
      <c r="I85" s="30" t="s">
        <v>114</v>
      </c>
      <c r="J85" s="30"/>
      <c r="K85" s="30"/>
      <c r="L85" s="30"/>
    </row>
    <row r="86" spans="1:12">
      <c r="A86" s="30" t="s">
        <v>1446</v>
      </c>
      <c r="B86" s="30"/>
      <c r="C86" s="30"/>
      <c r="D86" s="30" t="s">
        <v>1236</v>
      </c>
      <c r="E86" s="30" t="s">
        <v>115</v>
      </c>
      <c r="F86" s="30" t="s">
        <v>111</v>
      </c>
      <c r="G86" s="30"/>
      <c r="H86" s="30">
        <v>1</v>
      </c>
      <c r="I86" s="30" t="s">
        <v>232</v>
      </c>
      <c r="J86" s="30"/>
      <c r="K86" s="30"/>
      <c r="L86" s="30"/>
    </row>
    <row r="87" spans="1:12">
      <c r="A87" s="30" t="s">
        <v>1446</v>
      </c>
      <c r="B87" s="30"/>
      <c r="C87" s="30"/>
      <c r="D87" s="30" t="s">
        <v>1237</v>
      </c>
      <c r="E87" s="30" t="s">
        <v>127</v>
      </c>
      <c r="F87" s="30" t="s">
        <v>111</v>
      </c>
      <c r="G87" s="30" t="s">
        <v>1321</v>
      </c>
      <c r="H87" s="30">
        <v>1</v>
      </c>
      <c r="I87" s="30" t="s">
        <v>1322</v>
      </c>
      <c r="J87" s="30"/>
      <c r="K87" s="30"/>
      <c r="L87" s="30"/>
    </row>
    <row r="88" spans="1:12">
      <c r="A88" s="30" t="s">
        <v>1446</v>
      </c>
      <c r="B88" s="30"/>
      <c r="C88" s="30"/>
      <c r="D88" s="30" t="s">
        <v>296</v>
      </c>
      <c r="E88" s="30" t="s">
        <v>120</v>
      </c>
      <c r="F88" s="30" t="s">
        <v>111</v>
      </c>
      <c r="G88" s="30" t="s">
        <v>1376</v>
      </c>
      <c r="H88" s="30">
        <v>1</v>
      </c>
      <c r="I88" s="30" t="s">
        <v>213</v>
      </c>
      <c r="J88" s="30"/>
      <c r="K88" s="30"/>
      <c r="L88" s="30"/>
    </row>
    <row r="89" spans="1:12">
      <c r="A89" s="30" t="s">
        <v>1446</v>
      </c>
      <c r="B89" s="30"/>
      <c r="C89" s="30"/>
      <c r="D89" s="30" t="s">
        <v>1238</v>
      </c>
      <c r="E89" s="30" t="s">
        <v>120</v>
      </c>
      <c r="F89" s="30" t="s">
        <v>111</v>
      </c>
      <c r="G89" s="30" t="s">
        <v>1379</v>
      </c>
      <c r="H89" s="30">
        <v>1</v>
      </c>
      <c r="I89" s="30" t="s">
        <v>213</v>
      </c>
      <c r="J89" s="30"/>
      <c r="K89" s="30"/>
      <c r="L89" s="30"/>
    </row>
    <row r="90" spans="1:12">
      <c r="A90" s="30" t="s">
        <v>1446</v>
      </c>
      <c r="B90" s="30"/>
      <c r="C90" s="30"/>
      <c r="D90" s="30" t="s">
        <v>1342</v>
      </c>
      <c r="E90" s="30" t="s">
        <v>120</v>
      </c>
      <c r="F90" s="30" t="s">
        <v>111</v>
      </c>
      <c r="G90" s="30" t="s">
        <v>1380</v>
      </c>
      <c r="H90" s="30">
        <v>1</v>
      </c>
      <c r="I90" s="30" t="s">
        <v>213</v>
      </c>
      <c r="J90" s="30"/>
      <c r="K90" s="30"/>
      <c r="L90" s="30"/>
    </row>
    <row r="91" spans="1:12">
      <c r="A91" s="30" t="s">
        <v>1446</v>
      </c>
      <c r="B91" s="30"/>
      <c r="C91" s="30"/>
      <c r="D91" s="30" t="s">
        <v>1355</v>
      </c>
      <c r="E91" s="30" t="s">
        <v>120</v>
      </c>
      <c r="F91" s="30" t="s">
        <v>111</v>
      </c>
      <c r="G91" s="30" t="s">
        <v>1381</v>
      </c>
      <c r="H91" s="30">
        <v>1</v>
      </c>
      <c r="I91" s="30" t="s">
        <v>213</v>
      </c>
      <c r="J91" s="30"/>
      <c r="K91" s="30"/>
      <c r="L91" s="30"/>
    </row>
    <row r="92" spans="1:12">
      <c r="A92" s="30" t="s">
        <v>1446</v>
      </c>
      <c r="B92" s="30"/>
      <c r="C92" s="30"/>
      <c r="D92" s="30" t="s">
        <v>1362</v>
      </c>
      <c r="E92" s="30" t="s">
        <v>120</v>
      </c>
      <c r="F92" s="30" t="s">
        <v>111</v>
      </c>
      <c r="G92" s="30" t="s">
        <v>1382</v>
      </c>
      <c r="H92" s="30">
        <v>1</v>
      </c>
      <c r="I92" s="30" t="s">
        <v>213</v>
      </c>
      <c r="J92" s="30"/>
      <c r="K92" s="30"/>
      <c r="L92" s="30"/>
    </row>
    <row r="93" spans="1:12">
      <c r="A93" s="30" t="s">
        <v>1446</v>
      </c>
      <c r="B93" s="30"/>
      <c r="C93" s="30"/>
      <c r="D93" s="30" t="s">
        <v>297</v>
      </c>
      <c r="E93" s="30" t="s">
        <v>120</v>
      </c>
      <c r="F93" s="30" t="s">
        <v>111</v>
      </c>
      <c r="G93" s="30" t="s">
        <v>1383</v>
      </c>
      <c r="H93" s="30">
        <v>1</v>
      </c>
      <c r="I93" s="30" t="s">
        <v>213</v>
      </c>
      <c r="J93" s="30"/>
      <c r="K93" s="30"/>
      <c r="L93" s="30"/>
    </row>
    <row r="94" spans="1:12">
      <c r="A94" s="30" t="s">
        <v>1446</v>
      </c>
      <c r="B94" s="30"/>
      <c r="C94" s="30"/>
      <c r="D94" s="30" t="s">
        <v>387</v>
      </c>
      <c r="E94" s="30" t="s">
        <v>120</v>
      </c>
      <c r="F94" s="30" t="s">
        <v>111</v>
      </c>
      <c r="G94" s="30" t="s">
        <v>1384</v>
      </c>
      <c r="H94" s="30">
        <v>1</v>
      </c>
      <c r="I94" s="30" t="s">
        <v>213</v>
      </c>
      <c r="J94" s="30"/>
      <c r="K94" s="30"/>
      <c r="L94" s="30"/>
    </row>
    <row r="95" spans="1:12">
      <c r="A95" s="30" t="s">
        <v>1446</v>
      </c>
      <c r="B95" s="30"/>
      <c r="C95" s="30"/>
      <c r="D95" s="30" t="s">
        <v>959</v>
      </c>
      <c r="E95" s="30" t="s">
        <v>120</v>
      </c>
      <c r="F95" s="30" t="s">
        <v>111</v>
      </c>
      <c r="G95" s="30" t="s">
        <v>1385</v>
      </c>
      <c r="H95" s="30">
        <v>1</v>
      </c>
      <c r="I95" s="30" t="s">
        <v>213</v>
      </c>
      <c r="J95" s="30"/>
      <c r="K95" s="30"/>
      <c r="L95" s="30"/>
    </row>
    <row r="96" spans="1:12">
      <c r="A96" s="30" t="s">
        <v>1446</v>
      </c>
      <c r="B96" s="30"/>
      <c r="C96" s="30"/>
      <c r="D96" s="30" t="s">
        <v>960</v>
      </c>
      <c r="E96" s="30" t="s">
        <v>120</v>
      </c>
      <c r="F96" s="30" t="s">
        <v>111</v>
      </c>
      <c r="G96" s="30" t="s">
        <v>1386</v>
      </c>
      <c r="H96" s="30">
        <v>1</v>
      </c>
      <c r="I96" s="30" t="s">
        <v>213</v>
      </c>
      <c r="J96" s="30"/>
      <c r="K96" s="30"/>
      <c r="L96" s="30"/>
    </row>
    <row r="97" spans="1:12">
      <c r="A97" s="30" t="s">
        <v>1446</v>
      </c>
      <c r="B97" s="30"/>
      <c r="C97" s="30"/>
      <c r="D97" s="30" t="s">
        <v>1410</v>
      </c>
      <c r="E97" s="30" t="s">
        <v>120</v>
      </c>
      <c r="F97" s="30" t="s">
        <v>111</v>
      </c>
      <c r="G97" s="30" t="s">
        <v>1387</v>
      </c>
      <c r="H97" s="30">
        <v>1</v>
      </c>
      <c r="I97" s="30" t="s">
        <v>213</v>
      </c>
      <c r="J97" s="30"/>
      <c r="K97" s="30"/>
      <c r="L97" s="30"/>
    </row>
    <row r="98" spans="1:12">
      <c r="A98" s="30" t="s">
        <v>1446</v>
      </c>
      <c r="B98" s="30"/>
      <c r="C98" s="30"/>
      <c r="D98" s="30" t="s">
        <v>1411</v>
      </c>
      <c r="E98" s="30" t="s">
        <v>120</v>
      </c>
      <c r="F98" s="30" t="s">
        <v>111</v>
      </c>
      <c r="G98" s="30" t="s">
        <v>1388</v>
      </c>
      <c r="H98" s="30">
        <v>1</v>
      </c>
      <c r="I98" s="30" t="s">
        <v>213</v>
      </c>
      <c r="J98" s="30"/>
      <c r="K98" s="30"/>
      <c r="L98" s="30"/>
    </row>
    <row r="99" spans="1:12">
      <c r="A99" s="30" t="s">
        <v>1446</v>
      </c>
      <c r="B99" s="30"/>
      <c r="C99" s="30"/>
      <c r="D99" s="30" t="s">
        <v>961</v>
      </c>
      <c r="E99" s="30" t="s">
        <v>120</v>
      </c>
      <c r="F99" s="30" t="s">
        <v>111</v>
      </c>
      <c r="G99" s="30" t="s">
        <v>1389</v>
      </c>
      <c r="H99" s="30">
        <v>1</v>
      </c>
      <c r="I99" s="30" t="s">
        <v>213</v>
      </c>
      <c r="J99" s="30"/>
      <c r="K99" s="30"/>
      <c r="L99" s="30"/>
    </row>
    <row r="100" spans="1:12">
      <c r="A100" s="30" t="s">
        <v>1446</v>
      </c>
      <c r="B100" s="30"/>
      <c r="C100" s="30"/>
      <c r="D100" s="30" t="s">
        <v>962</v>
      </c>
      <c r="E100" s="30" t="s">
        <v>120</v>
      </c>
      <c r="F100" s="30" t="s">
        <v>111</v>
      </c>
      <c r="G100" s="30" t="s">
        <v>1393</v>
      </c>
      <c r="H100" s="30">
        <v>1</v>
      </c>
      <c r="I100" s="30" t="s">
        <v>213</v>
      </c>
      <c r="J100" s="30"/>
      <c r="K100" s="30"/>
      <c r="L100" s="30"/>
    </row>
    <row r="101" spans="1:12">
      <c r="A101" s="30" t="s">
        <v>1446</v>
      </c>
      <c r="B101" s="30"/>
      <c r="C101" s="30"/>
      <c r="D101" s="30" t="s">
        <v>1412</v>
      </c>
      <c r="E101" s="30" t="s">
        <v>120</v>
      </c>
      <c r="F101" s="30" t="s">
        <v>111</v>
      </c>
      <c r="G101" s="30" t="s">
        <v>1394</v>
      </c>
      <c r="H101" s="30">
        <v>1</v>
      </c>
      <c r="I101" s="30" t="s">
        <v>213</v>
      </c>
      <c r="J101" s="30"/>
      <c r="K101" s="30"/>
      <c r="L101" s="30"/>
    </row>
    <row r="102" spans="1:12">
      <c r="A102" s="30" t="s">
        <v>1446</v>
      </c>
      <c r="B102" s="30"/>
      <c r="C102" s="30"/>
      <c r="D102" s="30" t="s">
        <v>1413</v>
      </c>
      <c r="E102" s="30" t="s">
        <v>120</v>
      </c>
      <c r="F102" s="30" t="s">
        <v>111</v>
      </c>
      <c r="G102" s="30" t="s">
        <v>1395</v>
      </c>
      <c r="H102" s="30">
        <v>1</v>
      </c>
      <c r="I102" s="30" t="s">
        <v>213</v>
      </c>
      <c r="J102" s="30"/>
      <c r="K102" s="30"/>
      <c r="L102" s="30"/>
    </row>
    <row r="103" spans="1:12">
      <c r="A103" s="30" t="s">
        <v>1446</v>
      </c>
      <c r="B103" s="30"/>
      <c r="C103" s="30"/>
      <c r="D103" s="30" t="s">
        <v>1414</v>
      </c>
      <c r="E103" s="30" t="s">
        <v>120</v>
      </c>
      <c r="F103" s="30" t="s">
        <v>111</v>
      </c>
      <c r="G103" s="30" t="s">
        <v>1396</v>
      </c>
      <c r="H103" s="30">
        <v>1</v>
      </c>
      <c r="I103" s="30" t="s">
        <v>213</v>
      </c>
      <c r="J103" s="30"/>
      <c r="K103" s="30"/>
      <c r="L103" s="30"/>
    </row>
    <row r="104" spans="1:12">
      <c r="A104" s="28"/>
      <c r="B104" s="28"/>
      <c r="C104" s="28"/>
      <c r="D104" s="28"/>
      <c r="E104" s="29" t="s">
        <v>1451</v>
      </c>
      <c r="F104" s="28"/>
      <c r="G104" s="28"/>
      <c r="H104" s="28"/>
      <c r="I104" s="28"/>
      <c r="J104" s="30"/>
      <c r="K104" s="30"/>
      <c r="L104" s="30"/>
    </row>
    <row r="105" spans="1:12">
      <c r="A105" s="30" t="s">
        <v>1446</v>
      </c>
      <c r="B105" s="30"/>
      <c r="C105" s="30"/>
      <c r="D105" s="30" t="s">
        <v>1349</v>
      </c>
      <c r="E105" s="30" t="s">
        <v>1323</v>
      </c>
      <c r="F105" s="30" t="s">
        <v>111</v>
      </c>
      <c r="G105" s="30" t="s">
        <v>1321</v>
      </c>
      <c r="H105" s="30"/>
      <c r="I105" s="30" t="s">
        <v>1322</v>
      </c>
      <c r="J105" s="30"/>
      <c r="K105" s="30"/>
      <c r="L105" s="30"/>
    </row>
    <row r="106" spans="1:12">
      <c r="A106" s="30" t="s">
        <v>1446</v>
      </c>
      <c r="B106" s="30"/>
      <c r="C106" s="30"/>
      <c r="D106" s="30" t="s">
        <v>1251</v>
      </c>
      <c r="E106" s="30" t="s">
        <v>115</v>
      </c>
      <c r="F106" s="30" t="s">
        <v>111</v>
      </c>
      <c r="G106" s="30"/>
      <c r="H106" s="30">
        <v>1</v>
      </c>
      <c r="I106" s="30" t="s">
        <v>114</v>
      </c>
      <c r="J106" s="30"/>
      <c r="K106" s="30"/>
      <c r="L106" s="30"/>
    </row>
    <row r="107" spans="1:12">
      <c r="A107" s="30" t="s">
        <v>1446</v>
      </c>
      <c r="B107" s="30"/>
      <c r="C107" s="30"/>
      <c r="D107" s="30" t="s">
        <v>1239</v>
      </c>
      <c r="E107" s="30" t="s">
        <v>120</v>
      </c>
      <c r="F107" s="30" t="s">
        <v>111</v>
      </c>
      <c r="G107" s="30"/>
      <c r="H107" s="30">
        <v>1</v>
      </c>
      <c r="I107" s="30" t="s">
        <v>114</v>
      </c>
      <c r="J107" s="30"/>
      <c r="K107" s="30"/>
      <c r="L107" s="30"/>
    </row>
    <row r="108" spans="1:12">
      <c r="A108" s="30" t="s">
        <v>1446</v>
      </c>
      <c r="B108" s="30"/>
      <c r="C108" s="30"/>
      <c r="D108" s="30" t="s">
        <v>1240</v>
      </c>
      <c r="E108" s="30" t="s">
        <v>115</v>
      </c>
      <c r="F108" s="30" t="s">
        <v>111</v>
      </c>
      <c r="G108" s="30"/>
      <c r="H108" s="30">
        <v>1</v>
      </c>
      <c r="I108" s="30" t="s">
        <v>232</v>
      </c>
      <c r="J108" s="30"/>
      <c r="K108" s="30"/>
      <c r="L108" s="30"/>
    </row>
    <row r="109" spans="1:12">
      <c r="A109" s="30" t="s">
        <v>1446</v>
      </c>
      <c r="B109" s="30"/>
      <c r="C109" s="30"/>
      <c r="D109" s="30" t="s">
        <v>1241</v>
      </c>
      <c r="E109" s="30" t="s">
        <v>127</v>
      </c>
      <c r="F109" s="30" t="s">
        <v>111</v>
      </c>
      <c r="G109" s="30" t="s">
        <v>1321</v>
      </c>
      <c r="H109" s="30">
        <v>1</v>
      </c>
      <c r="I109" s="30" t="s">
        <v>1322</v>
      </c>
      <c r="J109" s="30"/>
      <c r="K109" s="30"/>
      <c r="L109" s="30"/>
    </row>
    <row r="110" spans="1:12">
      <c r="A110" s="30" t="s">
        <v>1446</v>
      </c>
      <c r="B110" s="30"/>
      <c r="C110" s="30"/>
      <c r="D110" s="30" t="s">
        <v>299</v>
      </c>
      <c r="E110" s="30" t="s">
        <v>120</v>
      </c>
      <c r="F110" s="30" t="s">
        <v>111</v>
      </c>
      <c r="G110" s="30" t="s">
        <v>1376</v>
      </c>
      <c r="H110" s="30">
        <v>1</v>
      </c>
      <c r="I110" s="30" t="s">
        <v>213</v>
      </c>
      <c r="J110" s="30"/>
      <c r="K110" s="30"/>
      <c r="L110" s="30"/>
    </row>
    <row r="111" spans="1:12">
      <c r="A111" s="30" t="s">
        <v>1446</v>
      </c>
      <c r="B111" s="30"/>
      <c r="C111" s="30"/>
      <c r="D111" s="30" t="s">
        <v>1242</v>
      </c>
      <c r="E111" s="30" t="s">
        <v>120</v>
      </c>
      <c r="F111" s="30" t="s">
        <v>111</v>
      </c>
      <c r="G111" s="30" t="s">
        <v>1379</v>
      </c>
      <c r="H111" s="30">
        <v>1</v>
      </c>
      <c r="I111" s="30" t="s">
        <v>213</v>
      </c>
      <c r="J111" s="30"/>
      <c r="K111" s="30"/>
      <c r="L111" s="30"/>
    </row>
    <row r="112" spans="1:12">
      <c r="A112" s="30" t="s">
        <v>1446</v>
      </c>
      <c r="B112" s="30"/>
      <c r="C112" s="30"/>
      <c r="D112" s="30" t="s">
        <v>1343</v>
      </c>
      <c r="E112" s="30" t="s">
        <v>120</v>
      </c>
      <c r="F112" s="30" t="s">
        <v>111</v>
      </c>
      <c r="G112" s="30" t="s">
        <v>1380</v>
      </c>
      <c r="H112" s="30">
        <v>1</v>
      </c>
      <c r="I112" s="30" t="s">
        <v>213</v>
      </c>
      <c r="J112" s="30"/>
      <c r="K112" s="30"/>
      <c r="L112" s="30"/>
    </row>
    <row r="113" spans="1:12">
      <c r="A113" s="30" t="s">
        <v>1446</v>
      </c>
      <c r="B113" s="30"/>
      <c r="C113" s="30"/>
      <c r="D113" s="30" t="s">
        <v>1356</v>
      </c>
      <c r="E113" s="30" t="s">
        <v>120</v>
      </c>
      <c r="F113" s="30" t="s">
        <v>111</v>
      </c>
      <c r="G113" s="30" t="s">
        <v>1381</v>
      </c>
      <c r="H113" s="30">
        <v>1</v>
      </c>
      <c r="I113" s="30" t="s">
        <v>213</v>
      </c>
      <c r="J113" s="30"/>
      <c r="K113" s="30"/>
      <c r="L113" s="30"/>
    </row>
    <row r="114" spans="1:12">
      <c r="A114" s="30" t="s">
        <v>1446</v>
      </c>
      <c r="B114" s="30"/>
      <c r="C114" s="30"/>
      <c r="D114" s="30" t="s">
        <v>1363</v>
      </c>
      <c r="E114" s="30" t="s">
        <v>120</v>
      </c>
      <c r="F114" s="30" t="s">
        <v>111</v>
      </c>
      <c r="G114" s="30" t="s">
        <v>1382</v>
      </c>
      <c r="H114" s="30">
        <v>1</v>
      </c>
      <c r="I114" s="30" t="s">
        <v>213</v>
      </c>
      <c r="J114" s="30"/>
      <c r="K114" s="30"/>
      <c r="L114" s="30"/>
    </row>
    <row r="115" spans="1:12">
      <c r="A115" s="30" t="s">
        <v>1446</v>
      </c>
      <c r="B115" s="30"/>
      <c r="C115" s="30"/>
      <c r="D115" s="30" t="s">
        <v>300</v>
      </c>
      <c r="E115" s="30" t="s">
        <v>120</v>
      </c>
      <c r="F115" s="30" t="s">
        <v>111</v>
      </c>
      <c r="G115" s="30" t="s">
        <v>1383</v>
      </c>
      <c r="H115" s="30">
        <v>1</v>
      </c>
      <c r="I115" s="30" t="s">
        <v>213</v>
      </c>
      <c r="J115" s="30"/>
      <c r="K115" s="30"/>
      <c r="L115" s="30"/>
    </row>
    <row r="116" spans="1:12">
      <c r="A116" s="30" t="s">
        <v>1446</v>
      </c>
      <c r="B116" s="30"/>
      <c r="C116" s="30"/>
      <c r="D116" s="30" t="s">
        <v>361</v>
      </c>
      <c r="E116" s="30" t="s">
        <v>120</v>
      </c>
      <c r="F116" s="30" t="s">
        <v>111</v>
      </c>
      <c r="G116" s="30" t="s">
        <v>1384</v>
      </c>
      <c r="H116" s="30">
        <v>1</v>
      </c>
      <c r="I116" s="30" t="s">
        <v>213</v>
      </c>
      <c r="J116" s="30"/>
      <c r="K116" s="30"/>
      <c r="L116" s="30"/>
    </row>
    <row r="117" spans="1:12">
      <c r="A117" s="30" t="s">
        <v>1446</v>
      </c>
      <c r="B117" s="30"/>
      <c r="C117" s="30"/>
      <c r="D117" s="30" t="s">
        <v>975</v>
      </c>
      <c r="E117" s="30" t="s">
        <v>120</v>
      </c>
      <c r="F117" s="30" t="s">
        <v>111</v>
      </c>
      <c r="G117" s="30" t="s">
        <v>1385</v>
      </c>
      <c r="H117" s="30">
        <v>1</v>
      </c>
      <c r="I117" s="30" t="s">
        <v>213</v>
      </c>
      <c r="J117" s="30"/>
      <c r="K117" s="30"/>
      <c r="L117" s="30"/>
    </row>
    <row r="118" spans="1:12">
      <c r="A118" s="30" t="s">
        <v>1446</v>
      </c>
      <c r="B118" s="30"/>
      <c r="C118" s="30"/>
      <c r="D118" s="30" t="s">
        <v>976</v>
      </c>
      <c r="E118" s="30" t="s">
        <v>120</v>
      </c>
      <c r="F118" s="30" t="s">
        <v>111</v>
      </c>
      <c r="G118" s="30" t="s">
        <v>1386</v>
      </c>
      <c r="H118" s="30">
        <v>1</v>
      </c>
      <c r="I118" s="30" t="s">
        <v>213</v>
      </c>
      <c r="J118" s="30"/>
      <c r="K118" s="30"/>
      <c r="L118" s="30"/>
    </row>
    <row r="119" spans="1:12">
      <c r="A119" s="30" t="s">
        <v>1446</v>
      </c>
      <c r="B119" s="30"/>
      <c r="C119" s="30"/>
      <c r="D119" s="30" t="s">
        <v>1415</v>
      </c>
      <c r="E119" s="30" t="s">
        <v>120</v>
      </c>
      <c r="F119" s="30" t="s">
        <v>111</v>
      </c>
      <c r="G119" s="30" t="s">
        <v>1387</v>
      </c>
      <c r="H119" s="30">
        <v>1</v>
      </c>
      <c r="I119" s="30" t="s">
        <v>213</v>
      </c>
      <c r="J119" s="30"/>
      <c r="K119" s="30"/>
      <c r="L119" s="30"/>
    </row>
    <row r="120" spans="1:12">
      <c r="A120" s="30" t="s">
        <v>1446</v>
      </c>
      <c r="B120" s="30"/>
      <c r="C120" s="30"/>
      <c r="D120" s="30" t="s">
        <v>1416</v>
      </c>
      <c r="E120" s="30" t="s">
        <v>120</v>
      </c>
      <c r="F120" s="30" t="s">
        <v>111</v>
      </c>
      <c r="G120" s="30" t="s">
        <v>1388</v>
      </c>
      <c r="H120" s="30">
        <v>1</v>
      </c>
      <c r="I120" s="30" t="s">
        <v>213</v>
      </c>
      <c r="J120" s="30"/>
      <c r="K120" s="30"/>
      <c r="L120" s="30"/>
    </row>
    <row r="121" spans="1:12">
      <c r="A121" s="30" t="s">
        <v>1446</v>
      </c>
      <c r="B121" s="30"/>
      <c r="C121" s="30"/>
      <c r="D121" s="30" t="s">
        <v>977</v>
      </c>
      <c r="E121" s="30" t="s">
        <v>120</v>
      </c>
      <c r="F121" s="30" t="s">
        <v>111</v>
      </c>
      <c r="G121" s="30" t="s">
        <v>1389</v>
      </c>
      <c r="H121" s="30">
        <v>1</v>
      </c>
      <c r="I121" s="30" t="s">
        <v>213</v>
      </c>
      <c r="J121" s="30"/>
      <c r="K121" s="30"/>
      <c r="L121" s="30"/>
    </row>
    <row r="122" spans="1:12">
      <c r="A122" s="30" t="s">
        <v>1446</v>
      </c>
      <c r="B122" s="30"/>
      <c r="C122" s="30"/>
      <c r="D122" s="30" t="s">
        <v>978</v>
      </c>
      <c r="E122" s="30" t="s">
        <v>120</v>
      </c>
      <c r="F122" s="30" t="s">
        <v>111</v>
      </c>
      <c r="G122" s="30" t="s">
        <v>1393</v>
      </c>
      <c r="H122" s="30">
        <v>1</v>
      </c>
      <c r="I122" s="30" t="s">
        <v>213</v>
      </c>
      <c r="J122" s="30"/>
      <c r="K122" s="30"/>
      <c r="L122" s="30"/>
    </row>
    <row r="123" spans="1:12">
      <c r="A123" s="30" t="s">
        <v>1446</v>
      </c>
      <c r="B123" s="30"/>
      <c r="C123" s="30"/>
      <c r="D123" s="30" t="s">
        <v>1417</v>
      </c>
      <c r="E123" s="30" t="s">
        <v>120</v>
      </c>
      <c r="F123" s="30" t="s">
        <v>111</v>
      </c>
      <c r="G123" s="30" t="s">
        <v>1394</v>
      </c>
      <c r="H123" s="30">
        <v>1</v>
      </c>
      <c r="I123" s="30" t="s">
        <v>213</v>
      </c>
      <c r="J123" s="30"/>
      <c r="K123" s="30"/>
      <c r="L123" s="30"/>
    </row>
    <row r="124" spans="1:12">
      <c r="A124" s="30" t="s">
        <v>1446</v>
      </c>
      <c r="B124" s="30"/>
      <c r="C124" s="30"/>
      <c r="D124" s="30" t="s">
        <v>1418</v>
      </c>
      <c r="E124" s="30" t="s">
        <v>120</v>
      </c>
      <c r="F124" s="30" t="s">
        <v>111</v>
      </c>
      <c r="G124" s="30" t="s">
        <v>1395</v>
      </c>
      <c r="H124" s="30">
        <v>1</v>
      </c>
      <c r="I124" s="30" t="s">
        <v>213</v>
      </c>
      <c r="J124" s="30"/>
      <c r="K124" s="30"/>
      <c r="L124" s="30"/>
    </row>
    <row r="125" spans="1:12">
      <c r="A125" s="30" t="s">
        <v>1446</v>
      </c>
      <c r="B125" s="30"/>
      <c r="C125" s="30"/>
      <c r="D125" s="30" t="s">
        <v>1419</v>
      </c>
      <c r="E125" s="30" t="s">
        <v>120</v>
      </c>
      <c r="F125" s="30" t="s">
        <v>111</v>
      </c>
      <c r="G125" s="30" t="s">
        <v>1396</v>
      </c>
      <c r="H125" s="30">
        <v>1</v>
      </c>
      <c r="I125" s="30" t="s">
        <v>213</v>
      </c>
      <c r="J125" s="30"/>
      <c r="K125" s="30"/>
      <c r="L125" s="30"/>
    </row>
    <row r="126" spans="1:12">
      <c r="A126" s="28"/>
      <c r="B126" s="28"/>
      <c r="C126" s="28"/>
      <c r="D126" s="28"/>
      <c r="E126" s="29" t="s">
        <v>1452</v>
      </c>
      <c r="F126" s="28"/>
      <c r="G126" s="28"/>
      <c r="H126" s="28"/>
      <c r="I126" s="28"/>
      <c r="J126" s="30"/>
      <c r="K126" s="30"/>
      <c r="L126" s="30"/>
    </row>
    <row r="127" spans="1:12">
      <c r="A127" s="30" t="s">
        <v>1446</v>
      </c>
      <c r="B127" s="30"/>
      <c r="C127" s="30"/>
      <c r="D127" s="30" t="s">
        <v>1350</v>
      </c>
      <c r="E127" s="30" t="s">
        <v>1323</v>
      </c>
      <c r="F127" s="30" t="s">
        <v>111</v>
      </c>
      <c r="G127" s="30" t="s">
        <v>1321</v>
      </c>
      <c r="H127" s="30"/>
      <c r="I127" s="30" t="s">
        <v>1322</v>
      </c>
      <c r="J127" s="30"/>
      <c r="K127" s="30"/>
      <c r="L127" s="30"/>
    </row>
    <row r="128" spans="1:12">
      <c r="A128" s="30" t="s">
        <v>1446</v>
      </c>
      <c r="B128" s="30"/>
      <c r="C128" s="30"/>
      <c r="D128" s="30" t="s">
        <v>1252</v>
      </c>
      <c r="E128" s="30" t="s">
        <v>115</v>
      </c>
      <c r="F128" s="30" t="s">
        <v>111</v>
      </c>
      <c r="G128" s="30"/>
      <c r="H128" s="30">
        <v>1</v>
      </c>
      <c r="I128" s="30" t="s">
        <v>114</v>
      </c>
      <c r="J128" s="30"/>
      <c r="K128" s="30"/>
      <c r="L128" s="30"/>
    </row>
    <row r="129" spans="1:12">
      <c r="A129" s="30" t="s">
        <v>1446</v>
      </c>
      <c r="B129" s="30"/>
      <c r="C129" s="30"/>
      <c r="D129" s="30" t="s">
        <v>1243</v>
      </c>
      <c r="E129" s="30" t="s">
        <v>120</v>
      </c>
      <c r="F129" s="30" t="s">
        <v>111</v>
      </c>
      <c r="G129" s="30"/>
      <c r="H129" s="30">
        <v>1</v>
      </c>
      <c r="I129" s="30" t="s">
        <v>114</v>
      </c>
      <c r="J129" s="30"/>
      <c r="K129" s="30"/>
      <c r="L129" s="30"/>
    </row>
    <row r="130" spans="1:12">
      <c r="A130" s="30" t="s">
        <v>1446</v>
      </c>
      <c r="B130" s="30"/>
      <c r="C130" s="30"/>
      <c r="D130" s="30" t="s">
        <v>1244</v>
      </c>
      <c r="E130" s="30" t="s">
        <v>115</v>
      </c>
      <c r="F130" s="30" t="s">
        <v>111</v>
      </c>
      <c r="G130" s="30"/>
      <c r="H130" s="30">
        <v>1</v>
      </c>
      <c r="I130" s="30" t="s">
        <v>232</v>
      </c>
      <c r="J130" s="30"/>
      <c r="K130" s="30"/>
      <c r="L130" s="30"/>
    </row>
    <row r="131" spans="1:12">
      <c r="A131" s="30" t="s">
        <v>1446</v>
      </c>
      <c r="B131" s="30"/>
      <c r="C131" s="30"/>
      <c r="D131" s="30" t="s">
        <v>1245</v>
      </c>
      <c r="E131" s="30" t="s">
        <v>127</v>
      </c>
      <c r="F131" s="30" t="s">
        <v>111</v>
      </c>
      <c r="G131" s="30" t="s">
        <v>1321</v>
      </c>
      <c r="H131" s="30">
        <v>1</v>
      </c>
      <c r="I131" s="30" t="s">
        <v>1322</v>
      </c>
      <c r="J131" s="30"/>
      <c r="K131" s="30"/>
      <c r="L131" s="30"/>
    </row>
    <row r="132" spans="1:12">
      <c r="A132" s="30" t="s">
        <v>1446</v>
      </c>
      <c r="B132" s="30"/>
      <c r="C132" s="30"/>
      <c r="D132" s="30" t="s">
        <v>302</v>
      </c>
      <c r="E132" s="30" t="s">
        <v>120</v>
      </c>
      <c r="F132" s="30" t="s">
        <v>111</v>
      </c>
      <c r="G132" s="30" t="s">
        <v>1376</v>
      </c>
      <c r="H132" s="30">
        <v>1</v>
      </c>
      <c r="I132" s="30" t="s">
        <v>213</v>
      </c>
      <c r="J132" s="30"/>
      <c r="K132" s="30"/>
      <c r="L132" s="30"/>
    </row>
    <row r="133" spans="1:12">
      <c r="A133" s="30" t="s">
        <v>1446</v>
      </c>
      <c r="B133" s="30"/>
      <c r="C133" s="30"/>
      <c r="D133" s="30" t="s">
        <v>1246</v>
      </c>
      <c r="E133" s="30" t="s">
        <v>120</v>
      </c>
      <c r="F133" s="30" t="s">
        <v>111</v>
      </c>
      <c r="G133" s="30" t="s">
        <v>1379</v>
      </c>
      <c r="H133" s="30">
        <v>1</v>
      </c>
      <c r="I133" s="30" t="s">
        <v>213</v>
      </c>
      <c r="J133" s="30"/>
      <c r="K133" s="30"/>
      <c r="L133" s="30"/>
    </row>
    <row r="134" spans="1:12">
      <c r="A134" s="30" t="s">
        <v>1446</v>
      </c>
      <c r="B134" s="30"/>
      <c r="C134" s="30"/>
      <c r="D134" s="30" t="s">
        <v>1344</v>
      </c>
      <c r="E134" s="30" t="s">
        <v>120</v>
      </c>
      <c r="F134" s="30" t="s">
        <v>111</v>
      </c>
      <c r="G134" s="30" t="s">
        <v>1380</v>
      </c>
      <c r="H134" s="30">
        <v>1</v>
      </c>
      <c r="I134" s="30" t="s">
        <v>213</v>
      </c>
      <c r="J134" s="30"/>
      <c r="K134" s="30"/>
      <c r="L134" s="30"/>
    </row>
    <row r="135" spans="1:12">
      <c r="A135" s="30" t="s">
        <v>1446</v>
      </c>
      <c r="B135" s="30"/>
      <c r="C135" s="30"/>
      <c r="D135" s="30" t="s">
        <v>1357</v>
      </c>
      <c r="E135" s="30" t="s">
        <v>120</v>
      </c>
      <c r="F135" s="30" t="s">
        <v>111</v>
      </c>
      <c r="G135" s="30" t="s">
        <v>1381</v>
      </c>
      <c r="H135" s="30">
        <v>1</v>
      </c>
      <c r="I135" s="30" t="s">
        <v>213</v>
      </c>
      <c r="J135" s="30"/>
      <c r="K135" s="30"/>
      <c r="L135" s="30"/>
    </row>
    <row r="136" spans="1:12">
      <c r="A136" s="30" t="s">
        <v>1446</v>
      </c>
      <c r="B136" s="30"/>
      <c r="C136" s="30"/>
      <c r="D136" s="30" t="s">
        <v>1364</v>
      </c>
      <c r="E136" s="30" t="s">
        <v>120</v>
      </c>
      <c r="F136" s="30" t="s">
        <v>111</v>
      </c>
      <c r="G136" s="30" t="s">
        <v>1382</v>
      </c>
      <c r="H136" s="30">
        <v>1</v>
      </c>
      <c r="I136" s="30" t="s">
        <v>213</v>
      </c>
      <c r="J136" s="30"/>
      <c r="K136" s="30"/>
      <c r="L136" s="30"/>
    </row>
    <row r="137" spans="1:12">
      <c r="A137" s="30" t="s">
        <v>1446</v>
      </c>
      <c r="B137" s="30"/>
      <c r="C137" s="30"/>
      <c r="D137" s="30" t="s">
        <v>303</v>
      </c>
      <c r="E137" s="30" t="s">
        <v>120</v>
      </c>
      <c r="F137" s="30" t="s">
        <v>111</v>
      </c>
      <c r="G137" s="30" t="s">
        <v>1383</v>
      </c>
      <c r="H137" s="30">
        <v>1</v>
      </c>
      <c r="I137" s="30" t="s">
        <v>213</v>
      </c>
      <c r="J137" s="30"/>
      <c r="K137" s="30"/>
      <c r="L137" s="30"/>
    </row>
    <row r="138" spans="1:12">
      <c r="A138" s="30" t="s">
        <v>1446</v>
      </c>
      <c r="B138" s="30"/>
      <c r="C138" s="30"/>
      <c r="D138" s="30" t="s">
        <v>351</v>
      </c>
      <c r="E138" s="30" t="s">
        <v>120</v>
      </c>
      <c r="F138" s="30" t="s">
        <v>111</v>
      </c>
      <c r="G138" s="30" t="s">
        <v>1384</v>
      </c>
      <c r="H138" s="30">
        <v>1</v>
      </c>
      <c r="I138" s="30" t="s">
        <v>213</v>
      </c>
      <c r="J138" s="30"/>
      <c r="K138" s="30"/>
      <c r="L138" s="30"/>
    </row>
    <row r="139" spans="1:12">
      <c r="A139" s="30" t="s">
        <v>1446</v>
      </c>
      <c r="B139" s="30"/>
      <c r="C139" s="30"/>
      <c r="D139" s="30" t="s">
        <v>911</v>
      </c>
      <c r="E139" s="30" t="s">
        <v>120</v>
      </c>
      <c r="F139" s="30" t="s">
        <v>111</v>
      </c>
      <c r="G139" s="30" t="s">
        <v>1385</v>
      </c>
      <c r="H139" s="30">
        <v>1</v>
      </c>
      <c r="I139" s="30" t="s">
        <v>213</v>
      </c>
      <c r="J139" s="30"/>
      <c r="K139" s="30"/>
      <c r="L139" s="30"/>
    </row>
    <row r="140" spans="1:12">
      <c r="A140" s="30" t="s">
        <v>1446</v>
      </c>
      <c r="B140" s="30"/>
      <c r="C140" s="30"/>
      <c r="D140" s="30" t="s">
        <v>912</v>
      </c>
      <c r="E140" s="30" t="s">
        <v>120</v>
      </c>
      <c r="F140" s="30" t="s">
        <v>111</v>
      </c>
      <c r="G140" s="30" t="s">
        <v>1386</v>
      </c>
      <c r="H140" s="30">
        <v>1</v>
      </c>
      <c r="I140" s="30" t="s">
        <v>213</v>
      </c>
      <c r="J140" s="30"/>
      <c r="K140" s="30"/>
      <c r="L140" s="30"/>
    </row>
    <row r="141" spans="1:12">
      <c r="A141" s="30" t="s">
        <v>1446</v>
      </c>
      <c r="B141" s="30"/>
      <c r="C141" s="30"/>
      <c r="D141" s="30" t="s">
        <v>1420</v>
      </c>
      <c r="E141" s="30" t="s">
        <v>120</v>
      </c>
      <c r="F141" s="30" t="s">
        <v>111</v>
      </c>
      <c r="G141" s="30" t="s">
        <v>1387</v>
      </c>
      <c r="H141" s="30">
        <v>1</v>
      </c>
      <c r="I141" s="30" t="s">
        <v>213</v>
      </c>
      <c r="J141" s="30"/>
      <c r="K141" s="30"/>
      <c r="L141" s="30"/>
    </row>
    <row r="142" spans="1:12">
      <c r="A142" s="30" t="s">
        <v>1446</v>
      </c>
      <c r="B142" s="30"/>
      <c r="C142" s="30"/>
      <c r="D142" s="30" t="s">
        <v>1421</v>
      </c>
      <c r="E142" s="30" t="s">
        <v>120</v>
      </c>
      <c r="F142" s="30" t="s">
        <v>111</v>
      </c>
      <c r="G142" s="30" t="s">
        <v>1388</v>
      </c>
      <c r="H142" s="30">
        <v>1</v>
      </c>
      <c r="I142" s="30" t="s">
        <v>213</v>
      </c>
      <c r="J142" s="30"/>
      <c r="K142" s="30"/>
      <c r="L142" s="30"/>
    </row>
    <row r="143" spans="1:12">
      <c r="A143" s="30" t="s">
        <v>1446</v>
      </c>
      <c r="B143" s="30"/>
      <c r="C143" s="30"/>
      <c r="D143" s="30" t="s">
        <v>913</v>
      </c>
      <c r="E143" s="30" t="s">
        <v>120</v>
      </c>
      <c r="F143" s="30" t="s">
        <v>111</v>
      </c>
      <c r="G143" s="30" t="s">
        <v>1389</v>
      </c>
      <c r="H143" s="30">
        <v>1</v>
      </c>
      <c r="I143" s="30" t="s">
        <v>213</v>
      </c>
      <c r="J143" s="30"/>
      <c r="K143" s="30"/>
      <c r="L143" s="30"/>
    </row>
    <row r="144" spans="1:12">
      <c r="A144" s="30" t="s">
        <v>1446</v>
      </c>
      <c r="B144" s="30"/>
      <c r="C144" s="30"/>
      <c r="D144" s="30" t="s">
        <v>914</v>
      </c>
      <c r="E144" s="30" t="s">
        <v>120</v>
      </c>
      <c r="F144" s="30" t="s">
        <v>111</v>
      </c>
      <c r="G144" s="30" t="s">
        <v>1393</v>
      </c>
      <c r="H144" s="30">
        <v>1</v>
      </c>
      <c r="I144" s="30" t="s">
        <v>213</v>
      </c>
      <c r="J144" s="30"/>
      <c r="K144" s="30"/>
      <c r="L144" s="30"/>
    </row>
    <row r="145" spans="1:12">
      <c r="A145" s="30" t="s">
        <v>1446</v>
      </c>
      <c r="B145" s="30"/>
      <c r="C145" s="30"/>
      <c r="D145" s="30" t="s">
        <v>1422</v>
      </c>
      <c r="E145" s="30" t="s">
        <v>120</v>
      </c>
      <c r="F145" s="30" t="s">
        <v>111</v>
      </c>
      <c r="G145" s="30" t="s">
        <v>1394</v>
      </c>
      <c r="H145" s="30">
        <v>1</v>
      </c>
      <c r="I145" s="30" t="s">
        <v>213</v>
      </c>
      <c r="J145" s="30"/>
      <c r="K145" s="30"/>
      <c r="L145" s="30"/>
    </row>
    <row r="146" spans="1:12">
      <c r="A146" s="30" t="s">
        <v>1446</v>
      </c>
      <c r="B146" s="30"/>
      <c r="C146" s="30"/>
      <c r="D146" s="30" t="s">
        <v>1423</v>
      </c>
      <c r="E146" s="30" t="s">
        <v>120</v>
      </c>
      <c r="F146" s="30" t="s">
        <v>111</v>
      </c>
      <c r="G146" s="30" t="s">
        <v>1395</v>
      </c>
      <c r="H146" s="30">
        <v>1</v>
      </c>
      <c r="I146" s="30" t="s">
        <v>213</v>
      </c>
      <c r="J146" s="30"/>
      <c r="K146" s="30"/>
      <c r="L146" s="30"/>
    </row>
    <row r="147" spans="1:12">
      <c r="A147" s="30" t="s">
        <v>1446</v>
      </c>
      <c r="B147" s="30"/>
      <c r="C147" s="30"/>
      <c r="D147" s="30" t="s">
        <v>1424</v>
      </c>
      <c r="E147" s="30" t="s">
        <v>120</v>
      </c>
      <c r="F147" s="30" t="s">
        <v>111</v>
      </c>
      <c r="G147" s="30" t="s">
        <v>1396</v>
      </c>
      <c r="H147" s="30">
        <v>1</v>
      </c>
      <c r="I147" s="30" t="s">
        <v>213</v>
      </c>
      <c r="J147" s="30"/>
      <c r="K147" s="30"/>
      <c r="L147" s="30"/>
    </row>
    <row r="148" spans="1:12">
      <c r="A148" s="28"/>
      <c r="B148" s="28"/>
      <c r="C148" s="28"/>
      <c r="D148" s="28"/>
      <c r="E148" s="29" t="s">
        <v>1453</v>
      </c>
      <c r="F148" s="28"/>
      <c r="G148" s="28"/>
      <c r="H148" s="28"/>
      <c r="I148" s="28"/>
      <c r="J148" s="30"/>
      <c r="K148" s="30"/>
      <c r="L148" s="30"/>
    </row>
    <row r="149" spans="1:12">
      <c r="A149" s="30" t="s">
        <v>1446</v>
      </c>
      <c r="B149" s="30"/>
      <c r="C149" s="30"/>
      <c r="D149" s="30" t="s">
        <v>1351</v>
      </c>
      <c r="E149" s="30" t="s">
        <v>1323</v>
      </c>
      <c r="F149" s="30" t="s">
        <v>111</v>
      </c>
      <c r="G149" s="30" t="s">
        <v>1321</v>
      </c>
      <c r="H149" s="30"/>
      <c r="I149" s="30" t="s">
        <v>1322</v>
      </c>
      <c r="J149" s="30"/>
      <c r="K149" s="30"/>
      <c r="L149" s="30"/>
    </row>
    <row r="150" spans="1:12">
      <c r="A150" s="30" t="s">
        <v>1446</v>
      </c>
      <c r="B150" s="30"/>
      <c r="C150" s="30"/>
      <c r="D150" s="30" t="s">
        <v>1253</v>
      </c>
      <c r="E150" s="30" t="s">
        <v>115</v>
      </c>
      <c r="F150" s="30" t="s">
        <v>111</v>
      </c>
      <c r="G150" s="30"/>
      <c r="H150" s="30">
        <v>1</v>
      </c>
      <c r="I150" s="30" t="s">
        <v>114</v>
      </c>
      <c r="J150" s="30"/>
      <c r="K150" s="30"/>
      <c r="L150" s="30"/>
    </row>
    <row r="151" spans="1:12">
      <c r="A151" s="30" t="s">
        <v>1446</v>
      </c>
      <c r="B151" s="30"/>
      <c r="C151" s="30"/>
      <c r="D151" s="30" t="s">
        <v>1254</v>
      </c>
      <c r="E151" s="30" t="s">
        <v>120</v>
      </c>
      <c r="F151" s="30" t="s">
        <v>111</v>
      </c>
      <c r="G151" s="30"/>
      <c r="H151" s="30">
        <v>1</v>
      </c>
      <c r="I151" s="30" t="s">
        <v>114</v>
      </c>
      <c r="J151" s="30"/>
      <c r="K151" s="30"/>
      <c r="L151" s="30"/>
    </row>
    <row r="152" spans="1:12">
      <c r="A152" s="30" t="s">
        <v>1446</v>
      </c>
      <c r="B152" s="30"/>
      <c r="C152" s="30"/>
      <c r="D152" s="30" t="s">
        <v>1255</v>
      </c>
      <c r="E152" s="30" t="s">
        <v>115</v>
      </c>
      <c r="F152" s="30" t="s">
        <v>111</v>
      </c>
      <c r="G152" s="30"/>
      <c r="H152" s="30">
        <v>1</v>
      </c>
      <c r="I152" s="30" t="s">
        <v>232</v>
      </c>
      <c r="J152" s="30"/>
      <c r="K152" s="30"/>
      <c r="L152" s="30"/>
    </row>
    <row r="153" spans="1:12">
      <c r="A153" s="30" t="s">
        <v>1446</v>
      </c>
      <c r="B153" s="30"/>
      <c r="C153" s="30"/>
      <c r="D153" s="30" t="s">
        <v>1256</v>
      </c>
      <c r="E153" s="30" t="s">
        <v>127</v>
      </c>
      <c r="F153" s="30" t="s">
        <v>111</v>
      </c>
      <c r="G153" s="30" t="s">
        <v>1321</v>
      </c>
      <c r="H153" s="30">
        <v>1</v>
      </c>
      <c r="I153" s="30" t="s">
        <v>1322</v>
      </c>
      <c r="J153" s="30"/>
      <c r="K153" s="30"/>
      <c r="L153" s="30"/>
    </row>
    <row r="154" spans="1:12">
      <c r="A154" s="30" t="s">
        <v>1446</v>
      </c>
      <c r="B154" s="30"/>
      <c r="C154" s="30"/>
      <c r="D154" s="30" t="s">
        <v>398</v>
      </c>
      <c r="E154" s="30" t="s">
        <v>120</v>
      </c>
      <c r="F154" s="30" t="s">
        <v>111</v>
      </c>
      <c r="G154" s="30" t="s">
        <v>1376</v>
      </c>
      <c r="H154" s="30">
        <v>1</v>
      </c>
      <c r="I154" s="30" t="s">
        <v>213</v>
      </c>
      <c r="J154" s="30"/>
      <c r="K154" s="30"/>
      <c r="L154" s="30"/>
    </row>
    <row r="155" spans="1:12">
      <c r="A155" s="30" t="s">
        <v>1446</v>
      </c>
      <c r="B155" s="30"/>
      <c r="C155" s="30"/>
      <c r="D155" s="30" t="s">
        <v>1257</v>
      </c>
      <c r="E155" s="30" t="s">
        <v>120</v>
      </c>
      <c r="F155" s="30" t="s">
        <v>111</v>
      </c>
      <c r="G155" s="30" t="s">
        <v>1379</v>
      </c>
      <c r="H155" s="30">
        <v>1</v>
      </c>
      <c r="I155" s="30" t="s">
        <v>213</v>
      </c>
      <c r="J155" s="30"/>
      <c r="K155" s="30"/>
      <c r="L155" s="30"/>
    </row>
    <row r="156" spans="1:12">
      <c r="A156" s="30" t="s">
        <v>1446</v>
      </c>
      <c r="B156" s="30"/>
      <c r="C156" s="30"/>
      <c r="D156" s="30" t="s">
        <v>1345</v>
      </c>
      <c r="E156" s="30" t="s">
        <v>120</v>
      </c>
      <c r="F156" s="30" t="s">
        <v>111</v>
      </c>
      <c r="G156" s="30" t="s">
        <v>1380</v>
      </c>
      <c r="H156" s="30">
        <v>1</v>
      </c>
      <c r="I156" s="30" t="s">
        <v>213</v>
      </c>
      <c r="J156" s="30"/>
      <c r="K156" s="30"/>
      <c r="L156" s="30"/>
    </row>
    <row r="157" spans="1:12">
      <c r="A157" s="30" t="s">
        <v>1446</v>
      </c>
      <c r="B157" s="30"/>
      <c r="C157" s="30"/>
      <c r="D157" s="30" t="s">
        <v>1358</v>
      </c>
      <c r="E157" s="30" t="s">
        <v>120</v>
      </c>
      <c r="F157" s="30" t="s">
        <v>111</v>
      </c>
      <c r="G157" s="30" t="s">
        <v>1381</v>
      </c>
      <c r="H157" s="30">
        <v>1</v>
      </c>
      <c r="I157" s="30" t="s">
        <v>213</v>
      </c>
      <c r="J157" s="30"/>
      <c r="K157" s="30"/>
      <c r="L157" s="30"/>
    </row>
    <row r="158" spans="1:12">
      <c r="A158" s="30" t="s">
        <v>1446</v>
      </c>
      <c r="B158" s="30"/>
      <c r="C158" s="30"/>
      <c r="D158" s="30" t="s">
        <v>1365</v>
      </c>
      <c r="E158" s="30" t="s">
        <v>120</v>
      </c>
      <c r="F158" s="30" t="s">
        <v>111</v>
      </c>
      <c r="G158" s="30" t="s">
        <v>1382</v>
      </c>
      <c r="H158" s="30">
        <v>1</v>
      </c>
      <c r="I158" s="30" t="s">
        <v>213</v>
      </c>
      <c r="J158" s="30"/>
      <c r="K158" s="30"/>
      <c r="L158" s="30"/>
    </row>
    <row r="159" spans="1:12">
      <c r="A159" s="30" t="s">
        <v>1446</v>
      </c>
      <c r="B159" s="30"/>
      <c r="C159" s="30"/>
      <c r="D159" s="30" t="s">
        <v>399</v>
      </c>
      <c r="E159" s="30" t="s">
        <v>120</v>
      </c>
      <c r="F159" s="30" t="s">
        <v>111</v>
      </c>
      <c r="G159" s="30" t="s">
        <v>1383</v>
      </c>
      <c r="H159" s="30">
        <v>1</v>
      </c>
      <c r="I159" s="30" t="s">
        <v>213</v>
      </c>
      <c r="J159" s="30"/>
      <c r="K159" s="30"/>
      <c r="L159" s="30"/>
    </row>
    <row r="160" spans="1:12">
      <c r="A160" s="30" t="s">
        <v>1446</v>
      </c>
      <c r="B160" s="30"/>
      <c r="C160" s="30"/>
      <c r="D160" s="30" t="s">
        <v>400</v>
      </c>
      <c r="E160" s="30" t="s">
        <v>120</v>
      </c>
      <c r="F160" s="30" t="s">
        <v>111</v>
      </c>
      <c r="G160" s="30" t="s">
        <v>1384</v>
      </c>
      <c r="H160" s="30">
        <v>1</v>
      </c>
      <c r="I160" s="30" t="s">
        <v>213</v>
      </c>
      <c r="J160" s="30"/>
      <c r="K160" s="30"/>
      <c r="L160" s="30"/>
    </row>
    <row r="161" spans="1:12">
      <c r="A161" s="30" t="s">
        <v>1446</v>
      </c>
      <c r="B161" s="30"/>
      <c r="C161" s="30"/>
      <c r="D161" s="30" t="s">
        <v>991</v>
      </c>
      <c r="E161" s="30" t="s">
        <v>120</v>
      </c>
      <c r="F161" s="30" t="s">
        <v>111</v>
      </c>
      <c r="G161" s="30" t="s">
        <v>1385</v>
      </c>
      <c r="H161" s="30">
        <v>1</v>
      </c>
      <c r="I161" s="30" t="s">
        <v>213</v>
      </c>
      <c r="J161" s="30"/>
      <c r="K161" s="30"/>
      <c r="L161" s="30"/>
    </row>
    <row r="162" spans="1:12">
      <c r="A162" s="30" t="s">
        <v>1446</v>
      </c>
      <c r="B162" s="30"/>
      <c r="C162" s="30"/>
      <c r="D162" s="30" t="s">
        <v>992</v>
      </c>
      <c r="E162" s="30" t="s">
        <v>120</v>
      </c>
      <c r="F162" s="30" t="s">
        <v>111</v>
      </c>
      <c r="G162" s="30" t="s">
        <v>1386</v>
      </c>
      <c r="H162" s="30">
        <v>1</v>
      </c>
      <c r="I162" s="30" t="s">
        <v>213</v>
      </c>
      <c r="J162" s="30"/>
      <c r="K162" s="30"/>
      <c r="L162" s="30"/>
    </row>
    <row r="163" spans="1:12">
      <c r="A163" s="30" t="s">
        <v>1446</v>
      </c>
      <c r="B163" s="30"/>
      <c r="C163" s="30"/>
      <c r="D163" s="30" t="s">
        <v>1425</v>
      </c>
      <c r="E163" s="30" t="s">
        <v>120</v>
      </c>
      <c r="F163" s="30" t="s">
        <v>111</v>
      </c>
      <c r="G163" s="30" t="s">
        <v>1387</v>
      </c>
      <c r="H163" s="30">
        <v>1</v>
      </c>
      <c r="I163" s="30" t="s">
        <v>213</v>
      </c>
      <c r="J163" s="30"/>
      <c r="K163" s="30"/>
      <c r="L163" s="30"/>
    </row>
    <row r="164" spans="1:12">
      <c r="A164" s="30" t="s">
        <v>1446</v>
      </c>
      <c r="B164" s="30"/>
      <c r="C164" s="30"/>
      <c r="D164" s="30" t="s">
        <v>1426</v>
      </c>
      <c r="E164" s="30" t="s">
        <v>120</v>
      </c>
      <c r="F164" s="30" t="s">
        <v>111</v>
      </c>
      <c r="G164" s="30" t="s">
        <v>1388</v>
      </c>
      <c r="H164" s="30">
        <v>1</v>
      </c>
      <c r="I164" s="30" t="s">
        <v>213</v>
      </c>
      <c r="J164" s="30"/>
      <c r="K164" s="30"/>
      <c r="L164" s="30"/>
    </row>
    <row r="165" spans="1:12">
      <c r="A165" s="30" t="s">
        <v>1446</v>
      </c>
      <c r="B165" s="30"/>
      <c r="C165" s="30"/>
      <c r="D165" s="30" t="s">
        <v>993</v>
      </c>
      <c r="E165" s="30" t="s">
        <v>120</v>
      </c>
      <c r="F165" s="30" t="s">
        <v>111</v>
      </c>
      <c r="G165" s="30" t="s">
        <v>1389</v>
      </c>
      <c r="H165" s="30">
        <v>1</v>
      </c>
      <c r="I165" s="30" t="s">
        <v>213</v>
      </c>
      <c r="J165" s="30"/>
      <c r="K165" s="30"/>
      <c r="L165" s="30"/>
    </row>
    <row r="166" spans="1:12">
      <c r="A166" s="30" t="s">
        <v>1446</v>
      </c>
      <c r="B166" s="30"/>
      <c r="C166" s="30"/>
      <c r="D166" s="30" t="s">
        <v>994</v>
      </c>
      <c r="E166" s="30" t="s">
        <v>120</v>
      </c>
      <c r="F166" s="30" t="s">
        <v>111</v>
      </c>
      <c r="G166" s="30" t="s">
        <v>1393</v>
      </c>
      <c r="H166" s="30">
        <v>1</v>
      </c>
      <c r="I166" s="30" t="s">
        <v>213</v>
      </c>
      <c r="J166" s="30"/>
      <c r="K166" s="30"/>
      <c r="L166" s="30"/>
    </row>
    <row r="167" spans="1:12">
      <c r="A167" s="30" t="s">
        <v>1446</v>
      </c>
      <c r="B167" s="30"/>
      <c r="C167" s="30"/>
      <c r="D167" s="30" t="s">
        <v>1427</v>
      </c>
      <c r="E167" s="30" t="s">
        <v>120</v>
      </c>
      <c r="F167" s="30" t="s">
        <v>111</v>
      </c>
      <c r="G167" s="30" t="s">
        <v>1394</v>
      </c>
      <c r="H167" s="30">
        <v>1</v>
      </c>
      <c r="I167" s="30" t="s">
        <v>213</v>
      </c>
      <c r="J167" s="30"/>
      <c r="K167" s="30"/>
      <c r="L167" s="30"/>
    </row>
    <row r="168" spans="1:12">
      <c r="A168" s="30" t="s">
        <v>1446</v>
      </c>
      <c r="B168" s="30"/>
      <c r="C168" s="30"/>
      <c r="D168" s="30" t="s">
        <v>1428</v>
      </c>
      <c r="E168" s="30" t="s">
        <v>120</v>
      </c>
      <c r="F168" s="30" t="s">
        <v>111</v>
      </c>
      <c r="G168" s="30" t="s">
        <v>1395</v>
      </c>
      <c r="H168" s="30">
        <v>1</v>
      </c>
      <c r="I168" s="30" t="s">
        <v>213</v>
      </c>
      <c r="J168" s="30"/>
      <c r="K168" s="30"/>
      <c r="L168" s="30"/>
    </row>
    <row r="169" spans="1:12">
      <c r="A169" s="30" t="s">
        <v>1446</v>
      </c>
      <c r="B169" s="30"/>
      <c r="C169" s="30"/>
      <c r="D169" s="30" t="s">
        <v>1429</v>
      </c>
      <c r="E169" s="30" t="s">
        <v>120</v>
      </c>
      <c r="F169" s="30" t="s">
        <v>111</v>
      </c>
      <c r="G169" s="30" t="s">
        <v>1396</v>
      </c>
      <c r="H169" s="30">
        <v>1</v>
      </c>
      <c r="I169" s="30" t="s">
        <v>213</v>
      </c>
      <c r="J169" s="30"/>
      <c r="K169" s="30"/>
      <c r="L169" s="30"/>
    </row>
    <row r="170" spans="1:12">
      <c r="A170" s="30"/>
      <c r="B170" s="30"/>
      <c r="C170" s="30"/>
      <c r="D170" s="30"/>
      <c r="E170" s="30"/>
      <c r="F170" s="30"/>
      <c r="G170" s="30" t="s">
        <v>435</v>
      </c>
      <c r="H170" s="30"/>
      <c r="I170" s="30"/>
      <c r="J170" s="30"/>
      <c r="K170" s="30"/>
      <c r="L170" s="30"/>
    </row>
    <row r="171" spans="1:12">
      <c r="A171" s="30"/>
      <c r="B171" s="30"/>
      <c r="C171" s="30"/>
      <c r="D171" s="30"/>
      <c r="E171" s="30"/>
      <c r="F171" s="30"/>
      <c r="G171" s="30"/>
      <c r="H171" s="30"/>
      <c r="I171" s="30"/>
      <c r="J171" s="30"/>
      <c r="K171" s="30"/>
      <c r="L171" s="30"/>
    </row>
    <row r="172" spans="1:12">
      <c r="A172" s="30"/>
      <c r="B172" s="30"/>
      <c r="C172" s="30"/>
      <c r="D172" s="30"/>
      <c r="E172" s="30"/>
      <c r="F172" s="30"/>
      <c r="G172" s="30"/>
      <c r="H172" s="30"/>
      <c r="I172" s="30"/>
      <c r="J172" s="30"/>
      <c r="K172" s="30"/>
      <c r="L172" s="30"/>
    </row>
    <row r="173" spans="1:12">
      <c r="A173" s="30"/>
      <c r="B173" s="30"/>
      <c r="C173" s="30"/>
      <c r="D173" s="30"/>
      <c r="E173" s="30"/>
      <c r="F173" s="30"/>
      <c r="G173" s="30"/>
      <c r="H173" s="30"/>
      <c r="I173" s="30"/>
      <c r="J173" s="30"/>
      <c r="K173" s="30"/>
      <c r="L173" s="30"/>
    </row>
    <row r="174" spans="1:12">
      <c r="A174" s="30"/>
      <c r="B174" s="30"/>
      <c r="C174" s="30"/>
      <c r="D174" s="30"/>
      <c r="E174" s="30"/>
      <c r="F174" s="30"/>
      <c r="G174" s="30"/>
      <c r="H174" s="30"/>
      <c r="I174" s="30"/>
      <c r="J174" s="30"/>
      <c r="K174" s="30"/>
      <c r="L174" s="30"/>
    </row>
    <row r="175" spans="1:12">
      <c r="A175" s="30"/>
      <c r="B175" s="30"/>
      <c r="C175" s="30"/>
      <c r="D175" s="30"/>
      <c r="E175" s="30"/>
      <c r="F175" s="30"/>
      <c r="G175" s="30"/>
      <c r="H175" s="30"/>
      <c r="I175" s="30"/>
      <c r="J175" s="30"/>
      <c r="K175" s="30"/>
      <c r="L175" s="30"/>
    </row>
    <row r="176" spans="1:12">
      <c r="A176" s="30"/>
      <c r="B176" s="30"/>
      <c r="C176" s="30"/>
      <c r="D176" s="30"/>
      <c r="E176" s="30"/>
      <c r="F176" s="30"/>
      <c r="G176" s="30"/>
      <c r="H176" s="30"/>
      <c r="I176" s="30"/>
      <c r="J176" s="30"/>
      <c r="K176" s="30"/>
      <c r="L176" s="30"/>
    </row>
    <row r="177" spans="1:12">
      <c r="A177" s="30"/>
      <c r="B177" s="30"/>
      <c r="C177" s="30"/>
      <c r="D177" s="30"/>
      <c r="E177" s="30"/>
      <c r="F177" s="30"/>
      <c r="G177" s="30"/>
      <c r="H177" s="30"/>
      <c r="I177" s="30"/>
      <c r="J177" s="30"/>
      <c r="K177" s="30"/>
      <c r="L177" s="30"/>
    </row>
    <row r="178" spans="1:12">
      <c r="A178" s="30"/>
      <c r="B178" s="30"/>
      <c r="C178" s="30"/>
      <c r="D178" s="30"/>
      <c r="E178" s="30"/>
      <c r="F178" s="30"/>
      <c r="G178" s="30"/>
      <c r="H178" s="30"/>
      <c r="I178" s="30"/>
      <c r="J178" s="30"/>
      <c r="K178" s="30"/>
      <c r="L178" s="30"/>
    </row>
    <row r="179" spans="1:12">
      <c r="A179" s="30"/>
      <c r="B179" s="30"/>
      <c r="C179" s="30"/>
      <c r="D179" s="30"/>
      <c r="E179" s="30"/>
      <c r="F179" s="30"/>
      <c r="G179" s="30"/>
      <c r="H179" s="30"/>
      <c r="I179" s="30"/>
      <c r="J179" s="30"/>
      <c r="K179" s="30"/>
      <c r="L179" s="30"/>
    </row>
    <row r="180" spans="1:12">
      <c r="A180" s="30"/>
      <c r="B180" s="30"/>
      <c r="C180" s="30"/>
      <c r="D180" s="30"/>
      <c r="E180" s="30"/>
      <c r="F180" s="30"/>
      <c r="G180" s="30"/>
      <c r="H180" s="30"/>
      <c r="I180" s="30"/>
      <c r="J180" s="30"/>
      <c r="K180" s="30"/>
      <c r="L180" s="30"/>
    </row>
    <row r="181" spans="1:12">
      <c r="A181" s="30"/>
      <c r="B181" s="30"/>
      <c r="C181" s="30"/>
      <c r="D181" s="30"/>
      <c r="E181" s="30"/>
      <c r="F181" s="30"/>
      <c r="G181" s="30"/>
      <c r="H181" s="30"/>
      <c r="I181" s="30"/>
    </row>
    <row r="182" spans="1:12">
      <c r="A182" s="30"/>
      <c r="B182" s="30"/>
      <c r="C182" s="30"/>
      <c r="D182" s="30"/>
      <c r="E182" s="30"/>
      <c r="F182" s="30"/>
      <c r="G182" s="30"/>
      <c r="H182" s="30"/>
      <c r="I182" s="30"/>
    </row>
    <row r="183" spans="1:12">
      <c r="A183" s="30"/>
      <c r="B183" s="30"/>
      <c r="C183" s="30"/>
      <c r="D183" s="30"/>
      <c r="E183" s="30"/>
      <c r="F183" s="30"/>
      <c r="G183" s="30"/>
      <c r="H183" s="30"/>
      <c r="I183" s="30"/>
    </row>
    <row r="184" spans="1:12">
      <c r="A184" s="30"/>
      <c r="B184" s="30"/>
      <c r="C184" s="30"/>
      <c r="D184" s="30"/>
      <c r="E184" s="30"/>
      <c r="F184" s="30"/>
      <c r="G184" s="30"/>
      <c r="H184" s="30"/>
      <c r="I184" s="30"/>
    </row>
    <row r="185" spans="1:12">
      <c r="A185" s="30"/>
      <c r="B185" s="30"/>
      <c r="C185" s="30"/>
      <c r="D185" s="30"/>
      <c r="E185" s="30"/>
      <c r="F185" s="30"/>
      <c r="G185" s="30"/>
      <c r="H185" s="30"/>
      <c r="I185" s="30"/>
    </row>
    <row r="186" spans="1:12">
      <c r="A186" s="30"/>
      <c r="B186" s="30"/>
      <c r="C186" s="30"/>
      <c r="D186" s="30"/>
      <c r="E186" s="30"/>
      <c r="F186" s="30"/>
      <c r="G186" s="30"/>
      <c r="H186" s="30"/>
      <c r="I186" s="30"/>
    </row>
    <row r="187" spans="1:12">
      <c r="A187" s="30"/>
      <c r="B187" s="30"/>
      <c r="C187" s="30"/>
      <c r="D187" s="30"/>
      <c r="E187" s="30"/>
      <c r="F187" s="30"/>
      <c r="G187" s="30"/>
      <c r="H187" s="30"/>
      <c r="I187" s="30"/>
    </row>
    <row r="188" spans="1:12">
      <c r="A188" s="30"/>
      <c r="B188" s="30"/>
      <c r="C188" s="30"/>
      <c r="D188" s="30"/>
      <c r="E188" s="30"/>
      <c r="F188" s="30"/>
      <c r="G188" s="30"/>
      <c r="H188" s="30"/>
      <c r="I188" s="30"/>
    </row>
    <row r="189" spans="1:12">
      <c r="A189" s="30"/>
      <c r="B189" s="30"/>
      <c r="C189" s="30"/>
      <c r="D189" s="30"/>
      <c r="E189" s="30"/>
      <c r="F189" s="30"/>
      <c r="G189" s="30"/>
      <c r="H189" s="30"/>
      <c r="I189" s="30"/>
    </row>
    <row r="190" spans="1:12">
      <c r="A190" s="30"/>
      <c r="B190" s="30"/>
      <c r="C190" s="30"/>
      <c r="D190" s="30"/>
      <c r="E190" s="30"/>
      <c r="F190" s="30"/>
      <c r="G190" s="30"/>
      <c r="H190" s="30"/>
      <c r="I190" s="30"/>
    </row>
    <row r="191" spans="1:12">
      <c r="A191" s="30"/>
      <c r="B191" s="30"/>
      <c r="C191" s="30"/>
      <c r="D191" s="30"/>
      <c r="E191" s="30"/>
      <c r="F191" s="30"/>
      <c r="G191" s="30"/>
      <c r="H191" s="30"/>
      <c r="I191" s="30"/>
    </row>
    <row r="192" spans="1:12">
      <c r="A192" s="30"/>
      <c r="B192" s="30"/>
      <c r="C192" s="30"/>
      <c r="D192" s="30"/>
      <c r="E192" s="30"/>
      <c r="F192" s="30"/>
      <c r="G192" s="30"/>
      <c r="H192" s="30"/>
      <c r="I192" s="30"/>
    </row>
    <row r="193" spans="1:9">
      <c r="A193" s="30"/>
      <c r="B193" s="30"/>
      <c r="C193" s="30"/>
      <c r="D193" s="30"/>
      <c r="E193" s="30"/>
      <c r="F193" s="30"/>
      <c r="G193" s="30"/>
      <c r="H193" s="30"/>
      <c r="I193" s="30"/>
    </row>
    <row r="194" spans="1:9">
      <c r="A194" s="30"/>
      <c r="B194" s="30"/>
      <c r="C194" s="30"/>
      <c r="D194" s="30"/>
      <c r="E194" s="30"/>
      <c r="F194" s="30"/>
      <c r="G194" s="30"/>
      <c r="H194" s="30"/>
      <c r="I194" s="30"/>
    </row>
    <row r="195" spans="1:9">
      <c r="A195" s="30"/>
      <c r="B195" s="30"/>
      <c r="C195" s="30"/>
      <c r="D195" s="30"/>
      <c r="E195" s="30"/>
      <c r="F195" s="30"/>
      <c r="G195" s="30"/>
      <c r="H195" s="30"/>
      <c r="I195" s="30"/>
    </row>
    <row r="196" spans="1:9">
      <c r="A196" s="30"/>
      <c r="B196" s="30"/>
      <c r="C196" s="30"/>
      <c r="D196" s="30"/>
      <c r="E196" s="30"/>
      <c r="F196" s="30"/>
      <c r="G196" s="30"/>
      <c r="H196" s="30"/>
      <c r="I196" s="30"/>
    </row>
    <row r="197" spans="1:9">
      <c r="A197" s="30"/>
      <c r="B197" s="30"/>
      <c r="C197" s="30"/>
      <c r="D197" s="30"/>
      <c r="E197" s="30"/>
      <c r="F197" s="30"/>
      <c r="G197" s="30"/>
      <c r="H197" s="30"/>
      <c r="I197" s="30"/>
    </row>
    <row r="198" spans="1:9">
      <c r="A198" s="30"/>
      <c r="B198" s="30"/>
      <c r="C198" s="30"/>
      <c r="D198" s="30"/>
      <c r="E198" s="30"/>
      <c r="F198" s="30"/>
      <c r="G198" s="30"/>
      <c r="H198" s="30"/>
      <c r="I198" s="30"/>
    </row>
    <row r="199" spans="1:9">
      <c r="A199" s="30"/>
      <c r="B199" s="30"/>
      <c r="C199" s="30"/>
      <c r="D199" s="30"/>
      <c r="E199" s="30"/>
      <c r="F199" s="30"/>
      <c r="G199" s="30"/>
      <c r="H199" s="30"/>
      <c r="I199" s="30"/>
    </row>
    <row r="200" spans="1:9">
      <c r="A200" s="30"/>
      <c r="B200" s="30"/>
      <c r="C200" s="30"/>
      <c r="D200" s="30"/>
      <c r="E200" s="30"/>
      <c r="F200" s="30"/>
      <c r="G200" s="30"/>
      <c r="H200" s="30"/>
      <c r="I200" s="30"/>
    </row>
    <row r="201" spans="1:9">
      <c r="A201" s="30"/>
      <c r="B201" s="30"/>
      <c r="C201" s="30"/>
      <c r="D201" s="30"/>
      <c r="E201" s="30"/>
      <c r="F201" s="30"/>
      <c r="G201" s="30"/>
      <c r="H201" s="30"/>
      <c r="I201" s="30"/>
    </row>
    <row r="202" spans="1:9">
      <c r="A202" s="30"/>
      <c r="B202" s="30"/>
      <c r="C202" s="30"/>
      <c r="D202" s="30"/>
      <c r="E202" s="30"/>
      <c r="F202" s="30"/>
      <c r="G202" s="30"/>
      <c r="H202" s="30"/>
      <c r="I202" s="30"/>
    </row>
    <row r="203" spans="1:9">
      <c r="A203" s="30"/>
      <c r="B203" s="30"/>
      <c r="C203" s="30"/>
      <c r="D203" s="30"/>
      <c r="E203" s="30"/>
      <c r="F203" s="30"/>
      <c r="G203" s="30"/>
      <c r="H203" s="30"/>
      <c r="I203" s="30"/>
    </row>
    <row r="204" spans="1:9">
      <c r="A204" s="30"/>
      <c r="B204" s="30"/>
      <c r="C204" s="30"/>
      <c r="D204" s="30"/>
      <c r="E204" s="30"/>
      <c r="F204" s="30"/>
      <c r="G204" s="30"/>
      <c r="H204" s="30"/>
      <c r="I204" s="30"/>
    </row>
    <row r="205" spans="1:9">
      <c r="A205" s="30"/>
      <c r="B205" s="30"/>
      <c r="C205" s="30"/>
      <c r="D205" s="30"/>
      <c r="E205" s="30"/>
      <c r="F205" s="30"/>
      <c r="G205" s="30"/>
      <c r="H205" s="30"/>
      <c r="I205" s="30"/>
    </row>
    <row r="206" spans="1:9">
      <c r="A206" s="30"/>
      <c r="B206" s="30"/>
      <c r="C206" s="30"/>
      <c r="D206" s="30"/>
      <c r="E206" s="30"/>
      <c r="F206" s="30"/>
      <c r="G206" s="30"/>
      <c r="H206" s="30"/>
      <c r="I206" s="30"/>
    </row>
    <row r="207" spans="1:9">
      <c r="A207" s="30"/>
      <c r="B207" s="30"/>
      <c r="C207" s="30"/>
      <c r="D207" s="30"/>
      <c r="E207" s="30"/>
      <c r="F207" s="30"/>
      <c r="G207" s="30"/>
      <c r="H207" s="30"/>
      <c r="I207" s="30"/>
    </row>
    <row r="208" spans="1:9">
      <c r="A208" s="30"/>
      <c r="B208" s="30"/>
      <c r="C208" s="30"/>
      <c r="D208" s="30"/>
      <c r="E208" s="30"/>
      <c r="F208" s="30"/>
      <c r="G208" s="30"/>
      <c r="H208" s="30"/>
      <c r="I208" s="30"/>
    </row>
    <row r="209" spans="1:9">
      <c r="A209" s="30"/>
      <c r="B209" s="30"/>
      <c r="C209" s="30"/>
      <c r="D209" s="30"/>
      <c r="E209" s="30"/>
      <c r="F209" s="30"/>
      <c r="G209" s="30"/>
      <c r="H209" s="30"/>
      <c r="I209" s="30"/>
    </row>
    <row r="210" spans="1:9">
      <c r="A210" s="30"/>
      <c r="B210" s="30"/>
      <c r="C210" s="30"/>
      <c r="D210" s="30"/>
      <c r="E210" s="30"/>
      <c r="F210" s="30"/>
      <c r="G210" s="30"/>
      <c r="H210" s="30"/>
      <c r="I210" s="30"/>
    </row>
    <row r="211" spans="1:9">
      <c r="A211" s="30"/>
      <c r="B211" s="30"/>
      <c r="C211" s="30"/>
      <c r="D211" s="30"/>
      <c r="E211" s="30"/>
      <c r="F211" s="30"/>
      <c r="G211" s="30"/>
      <c r="H211" s="30"/>
      <c r="I211" s="30"/>
    </row>
    <row r="212" spans="1:9">
      <c r="A212" s="30"/>
      <c r="B212" s="30"/>
      <c r="C212" s="30"/>
      <c r="D212" s="30"/>
      <c r="E212" s="30"/>
      <c r="F212" s="30"/>
      <c r="G212" s="30"/>
      <c r="H212" s="30"/>
      <c r="I212" s="30"/>
    </row>
    <row r="213" spans="1:9">
      <c r="A213" s="30"/>
      <c r="B213" s="30"/>
      <c r="C213" s="30"/>
      <c r="D213" s="30"/>
      <c r="E213" s="30"/>
      <c r="F213" s="30"/>
      <c r="G213" s="30"/>
      <c r="H213" s="30"/>
      <c r="I213" s="30"/>
    </row>
    <row r="214" spans="1:9">
      <c r="A214" s="30"/>
      <c r="B214" s="30"/>
      <c r="C214" s="30"/>
      <c r="D214" s="30"/>
      <c r="E214" s="30"/>
      <c r="F214" s="30"/>
      <c r="G214" s="30"/>
      <c r="H214" s="30"/>
      <c r="I214" s="30"/>
    </row>
    <row r="215" spans="1:9">
      <c r="A215" s="30"/>
      <c r="B215" s="30"/>
      <c r="C215" s="30"/>
      <c r="D215" s="30"/>
      <c r="E215" s="30"/>
      <c r="F215" s="30"/>
      <c r="G215" s="30"/>
      <c r="H215" s="30"/>
      <c r="I215" s="30"/>
    </row>
    <row r="216" spans="1:9">
      <c r="A216" s="30"/>
      <c r="B216" s="30"/>
      <c r="C216" s="30"/>
      <c r="D216" s="30"/>
      <c r="E216" s="30"/>
      <c r="F216" s="30"/>
      <c r="G216" s="30"/>
      <c r="H216" s="30"/>
      <c r="I216" s="30"/>
    </row>
    <row r="217" spans="1:9">
      <c r="A217" s="30"/>
      <c r="B217" s="30"/>
      <c r="C217" s="30"/>
      <c r="D217" s="30"/>
      <c r="E217" s="30"/>
      <c r="F217" s="30"/>
      <c r="G217" s="30"/>
      <c r="H217" s="30"/>
      <c r="I217" s="30"/>
    </row>
    <row r="218" spans="1:9">
      <c r="A218" s="30"/>
      <c r="B218" s="30"/>
      <c r="C218" s="30"/>
      <c r="D218" s="30"/>
      <c r="E218" s="30"/>
      <c r="F218" s="30"/>
      <c r="G218" s="30"/>
      <c r="H218" s="30"/>
      <c r="I218" s="30"/>
    </row>
    <row r="219" spans="1:9">
      <c r="A219" s="30"/>
      <c r="B219" s="30"/>
      <c r="C219" s="30"/>
      <c r="D219" s="30"/>
      <c r="E219" s="30"/>
      <c r="F219" s="30"/>
      <c r="G219" s="30"/>
      <c r="H219" s="30"/>
      <c r="I219" s="30"/>
    </row>
    <row r="220" spans="1:9">
      <c r="A220" s="30"/>
      <c r="B220" s="30"/>
      <c r="C220" s="30"/>
      <c r="D220" s="30"/>
      <c r="E220" s="30"/>
      <c r="F220" s="30"/>
      <c r="G220" s="30"/>
      <c r="H220" s="30"/>
      <c r="I220" s="30"/>
    </row>
    <row r="221" spans="1:9">
      <c r="A221" s="30"/>
      <c r="B221" s="30"/>
      <c r="C221" s="30"/>
      <c r="D221" s="30"/>
      <c r="E221" s="30"/>
      <c r="F221" s="30"/>
      <c r="G221" s="30"/>
      <c r="H221" s="30"/>
      <c r="I221" s="30"/>
    </row>
    <row r="222" spans="1:9">
      <c r="A222" s="30"/>
      <c r="B222" s="30"/>
      <c r="C222" s="30"/>
      <c r="D222" s="30"/>
      <c r="E222" s="30"/>
      <c r="F222" s="30"/>
      <c r="G222" s="30"/>
      <c r="H222" s="30"/>
      <c r="I222" s="30"/>
    </row>
    <row r="223" spans="1:9">
      <c r="A223" s="30"/>
      <c r="B223" s="30"/>
      <c r="C223" s="30"/>
      <c r="D223" s="30"/>
      <c r="E223" s="30"/>
      <c r="F223" s="30"/>
      <c r="G223" s="30"/>
      <c r="H223" s="30"/>
      <c r="I223" s="30"/>
    </row>
    <row r="224" spans="1:9">
      <c r="A224" s="30"/>
      <c r="B224" s="30"/>
      <c r="C224" s="30"/>
      <c r="D224" s="30"/>
      <c r="E224" s="30"/>
      <c r="F224" s="30"/>
      <c r="G224" s="30"/>
      <c r="H224" s="30"/>
      <c r="I224" s="30"/>
    </row>
    <row r="225" spans="1:9">
      <c r="A225" s="30"/>
      <c r="B225" s="30"/>
      <c r="C225" s="30"/>
      <c r="D225" s="30"/>
      <c r="E225" s="30"/>
      <c r="F225" s="30"/>
      <c r="G225" s="30"/>
      <c r="H225" s="30"/>
      <c r="I225" s="30"/>
    </row>
    <row r="226" spans="1:9">
      <c r="A226" s="30"/>
      <c r="B226" s="30"/>
      <c r="C226" s="30"/>
      <c r="D226" s="30"/>
      <c r="E226" s="30"/>
      <c r="F226" s="30"/>
      <c r="G226" s="30"/>
      <c r="H226" s="30"/>
      <c r="I226" s="30"/>
    </row>
    <row r="227" spans="1:9">
      <c r="A227" s="30"/>
      <c r="B227" s="30"/>
      <c r="C227" s="30"/>
      <c r="D227" s="30"/>
      <c r="E227" s="30"/>
      <c r="F227" s="30"/>
      <c r="G227" s="30"/>
      <c r="H227" s="30"/>
      <c r="I227" s="30"/>
    </row>
    <row r="228" spans="1:9">
      <c r="A228" s="30"/>
      <c r="B228" s="30"/>
      <c r="C228" s="30"/>
      <c r="D228" s="30"/>
      <c r="E228" s="30"/>
      <c r="F228" s="30"/>
      <c r="G228" s="30"/>
      <c r="H228" s="30"/>
      <c r="I228" s="30"/>
    </row>
    <row r="229" spans="1:9">
      <c r="A229" s="30"/>
      <c r="B229" s="30"/>
      <c r="C229" s="30"/>
      <c r="D229" s="30"/>
      <c r="E229" s="30"/>
      <c r="F229" s="30"/>
      <c r="G229" s="30"/>
      <c r="H229" s="30"/>
      <c r="I229" s="30"/>
    </row>
    <row r="230" spans="1:9">
      <c r="A230" s="30"/>
      <c r="B230" s="30"/>
      <c r="C230" s="30"/>
      <c r="D230" s="30"/>
      <c r="E230" s="30"/>
      <c r="F230" s="30"/>
      <c r="G230" s="30"/>
      <c r="H230" s="30"/>
      <c r="I230" s="30"/>
    </row>
    <row r="231" spans="1:9">
      <c r="A231" s="30"/>
      <c r="B231" s="30"/>
      <c r="C231" s="30"/>
      <c r="D231" s="30"/>
      <c r="E231" s="30"/>
      <c r="F231" s="30"/>
      <c r="G231" s="30"/>
      <c r="H231" s="30"/>
      <c r="I231" s="30"/>
    </row>
    <row r="232" spans="1:9">
      <c r="A232" s="30"/>
      <c r="B232" s="30"/>
      <c r="C232" s="30"/>
      <c r="D232" s="30"/>
      <c r="E232" s="30"/>
      <c r="F232" s="30"/>
      <c r="G232" s="30"/>
      <c r="H232" s="30"/>
      <c r="I232" s="30"/>
    </row>
    <row r="233" spans="1:9">
      <c r="A233" s="30"/>
      <c r="B233" s="30"/>
      <c r="C233" s="30"/>
      <c r="D233" s="30"/>
      <c r="E233" s="30"/>
      <c r="F233" s="30"/>
      <c r="G233" s="30"/>
      <c r="H233" s="30"/>
      <c r="I233" s="30"/>
    </row>
    <row r="234" spans="1:9">
      <c r="A234" s="30"/>
      <c r="B234" s="30"/>
      <c r="C234" s="30"/>
      <c r="D234" s="30"/>
      <c r="E234" s="30"/>
      <c r="F234" s="30"/>
      <c r="G234" s="30"/>
      <c r="H234" s="30"/>
      <c r="I234" s="30"/>
    </row>
    <row r="235" spans="1:9">
      <c r="A235" s="30"/>
      <c r="B235" s="30"/>
      <c r="C235" s="30"/>
      <c r="D235" s="30"/>
      <c r="E235" s="30"/>
      <c r="F235" s="30"/>
      <c r="G235" s="30"/>
      <c r="H235" s="30"/>
      <c r="I235" s="30"/>
    </row>
    <row r="236" spans="1:9">
      <c r="A236" s="30"/>
      <c r="B236" s="30"/>
      <c r="C236" s="30"/>
      <c r="D236" s="30"/>
      <c r="E236" s="30"/>
      <c r="F236" s="30"/>
      <c r="G236" s="30"/>
      <c r="H236" s="30"/>
      <c r="I236" s="30"/>
    </row>
    <row r="237" spans="1:9">
      <c r="C237" s="30"/>
      <c r="D237" s="30"/>
      <c r="E237" s="30"/>
      <c r="F237" s="30"/>
      <c r="G237" s="30"/>
      <c r="H237" s="30"/>
      <c r="I237" s="30"/>
    </row>
    <row r="238" spans="1:9">
      <c r="B238" s="30"/>
      <c r="C238" s="30"/>
      <c r="D238" s="30"/>
      <c r="E238" s="30"/>
      <c r="F238" s="30"/>
      <c r="G238" s="30"/>
      <c r="H238" s="30"/>
      <c r="I238" s="30"/>
    </row>
    <row r="239" spans="1:9">
      <c r="B239" s="30"/>
      <c r="C239" s="30"/>
      <c r="D239" s="30"/>
      <c r="E239" s="30"/>
      <c r="F239" s="30"/>
      <c r="G239" s="30"/>
      <c r="H239" s="30"/>
      <c r="I239" s="30"/>
    </row>
  </sheetData>
  <dataConsolidate/>
  <pageMargins left="0.75" right="0.75" top="1" bottom="1" header="0.5" footer="0.5"/>
  <pageSetup paperSize="9"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>
  <dimension ref="A1:L27"/>
  <sheetViews>
    <sheetView workbookViewId="0">
      <selection activeCell="B26" sqref="B26"/>
    </sheetView>
  </sheetViews>
  <sheetFormatPr defaultRowHeight="12.75"/>
  <cols>
    <col min="1" max="1" width="29.85546875" customWidth="1"/>
    <col min="2" max="2" width="45.5703125" customWidth="1"/>
    <col min="3" max="3" width="15.28515625" customWidth="1"/>
    <col min="10" max="10" width="16.42578125" customWidth="1"/>
    <col min="11" max="11" width="13.7109375" customWidth="1"/>
    <col min="12" max="12" width="14.7109375" customWidth="1"/>
  </cols>
  <sheetData>
    <row r="1" spans="1:12" ht="13.5" thickBot="1">
      <c r="A1" s="322" t="s">
        <v>1447</v>
      </c>
      <c r="B1" s="401" t="str">
        <f>A1</f>
        <v>7B_HardHang-Off_50yr</v>
      </c>
      <c r="C1" s="402"/>
      <c r="D1" s="402"/>
      <c r="E1" s="402"/>
      <c r="F1" s="402"/>
      <c r="G1" s="402"/>
      <c r="H1" s="403"/>
      <c r="I1" s="322"/>
    </row>
    <row r="2" spans="1:12" ht="25.5">
      <c r="B2" s="327" t="s">
        <v>1359</v>
      </c>
      <c r="C2" s="328" t="s">
        <v>1324</v>
      </c>
      <c r="D2" s="328" t="s">
        <v>1325</v>
      </c>
      <c r="E2" s="328" t="s">
        <v>1326</v>
      </c>
      <c r="F2" s="328" t="s">
        <v>1327</v>
      </c>
      <c r="G2" s="328" t="s">
        <v>1328</v>
      </c>
      <c r="H2" s="329" t="s">
        <v>1329</v>
      </c>
      <c r="J2" s="153" t="s">
        <v>225</v>
      </c>
      <c r="K2" s="78" t="s">
        <v>226</v>
      </c>
      <c r="L2" s="79"/>
    </row>
    <row r="3" spans="1:12">
      <c r="B3" s="323" t="s">
        <v>1337</v>
      </c>
      <c r="C3" s="330">
        <v>-577.03699169862705</v>
      </c>
      <c r="D3" s="330">
        <v>-577.03699169862705</v>
      </c>
      <c r="E3" s="330">
        <v>-577.03699169862705</v>
      </c>
      <c r="F3" s="330">
        <v>-577.03699169862705</v>
      </c>
      <c r="G3" s="330">
        <v>-577.03699169862705</v>
      </c>
      <c r="H3" s="333">
        <v>-577.03699169862705</v>
      </c>
      <c r="J3" s="154" t="s">
        <v>231</v>
      </c>
      <c r="K3" s="80">
        <v>80</v>
      </c>
      <c r="L3" s="81" t="s">
        <v>227</v>
      </c>
    </row>
    <row r="4" spans="1:12">
      <c r="B4" s="323" t="s">
        <v>1336</v>
      </c>
      <c r="C4" s="330">
        <f>625+C3</f>
        <v>47.963008301372952</v>
      </c>
      <c r="D4" s="330">
        <f t="shared" ref="D4:H4" si="0">625+D3</f>
        <v>47.963008301372952</v>
      </c>
      <c r="E4" s="330">
        <f t="shared" si="0"/>
        <v>47.963008301372952</v>
      </c>
      <c r="F4" s="330">
        <f t="shared" si="0"/>
        <v>47.963008301372952</v>
      </c>
      <c r="G4" s="330">
        <f t="shared" si="0"/>
        <v>47.963008301372952</v>
      </c>
      <c r="H4" s="330">
        <f t="shared" si="0"/>
        <v>47.963008301372952</v>
      </c>
      <c r="J4" s="155" t="s">
        <v>230</v>
      </c>
      <c r="K4" s="107">
        <v>1.45038E-4</v>
      </c>
      <c r="L4" s="113" t="s">
        <v>227</v>
      </c>
    </row>
    <row r="5" spans="1:12" ht="13.5" thickBot="1">
      <c r="B5" s="323" t="s">
        <v>1369</v>
      </c>
      <c r="C5" s="331">
        <v>2022.878662109375</v>
      </c>
      <c r="D5" s="331">
        <v>2862.3359375</v>
      </c>
      <c r="E5" s="331">
        <v>3339.217041015625</v>
      </c>
      <c r="F5" s="331">
        <v>3933.841064453125</v>
      </c>
      <c r="G5" s="331">
        <v>3075.456787109375</v>
      </c>
      <c r="H5" s="332">
        <v>2839.216796875</v>
      </c>
      <c r="J5" s="156" t="s">
        <v>228</v>
      </c>
      <c r="K5" s="82">
        <f xml:space="preserve"> 80/0.000145038</f>
        <v>551579.58603952068</v>
      </c>
      <c r="L5" s="83" t="s">
        <v>229</v>
      </c>
    </row>
    <row r="6" spans="1:12">
      <c r="B6" s="323" t="s">
        <v>1370</v>
      </c>
      <c r="C6" s="330">
        <f>C5*$K$9</f>
        <v>454.74312324218749</v>
      </c>
      <c r="D6" s="330">
        <f t="shared" ref="D6:H6" si="1">D5*$K$9</f>
        <v>643.45311875000004</v>
      </c>
      <c r="E6" s="330">
        <f t="shared" si="1"/>
        <v>750.65599082031247</v>
      </c>
      <c r="F6" s="330">
        <f t="shared" si="1"/>
        <v>884.32747128906249</v>
      </c>
      <c r="G6" s="330">
        <f t="shared" si="1"/>
        <v>691.36268574218752</v>
      </c>
      <c r="H6" s="330">
        <f t="shared" si="1"/>
        <v>638.2559359375</v>
      </c>
      <c r="J6" s="154"/>
      <c r="K6" s="80"/>
      <c r="L6" s="227"/>
    </row>
    <row r="7" spans="1:12">
      <c r="B7" s="323" t="s">
        <v>1371</v>
      </c>
      <c r="C7" s="331">
        <v>0</v>
      </c>
      <c r="D7" s="331">
        <v>0</v>
      </c>
      <c r="E7" s="331">
        <v>0</v>
      </c>
      <c r="F7" s="331">
        <v>-1.2368828058242798</v>
      </c>
      <c r="G7" s="331">
        <v>0</v>
      </c>
      <c r="H7" s="332">
        <v>0</v>
      </c>
      <c r="J7" s="154"/>
      <c r="K7" s="80"/>
      <c r="L7" s="227"/>
    </row>
    <row r="8" spans="1:12" ht="13.5" thickBot="1">
      <c r="B8" s="336" t="s">
        <v>1372</v>
      </c>
      <c r="C8" s="337">
        <f>C7*$K$9</f>
        <v>0</v>
      </c>
      <c r="D8" s="337">
        <f t="shared" ref="D8:H8" si="2">D7*$K$9</f>
        <v>0</v>
      </c>
      <c r="E8" s="337">
        <f t="shared" si="2"/>
        <v>0</v>
      </c>
      <c r="F8" s="337">
        <f t="shared" si="2"/>
        <v>-0.27805125474929809</v>
      </c>
      <c r="G8" s="337">
        <f t="shared" si="2"/>
        <v>0</v>
      </c>
      <c r="H8" s="337">
        <f t="shared" si="2"/>
        <v>0</v>
      </c>
      <c r="K8" s="31"/>
      <c r="L8" s="31"/>
    </row>
    <row r="9" spans="1:12" ht="13.5" thickBot="1">
      <c r="B9" s="323" t="s">
        <v>1373</v>
      </c>
      <c r="C9" s="331">
        <v>60003.939679401024</v>
      </c>
      <c r="D9" s="331">
        <v>138385.606243966</v>
      </c>
      <c r="E9" s="331">
        <v>137065.87121378022</v>
      </c>
      <c r="F9" s="331">
        <v>149956.39224137264</v>
      </c>
      <c r="G9" s="331">
        <v>116318.29132595229</v>
      </c>
      <c r="H9" s="332">
        <v>159447.20956206639</v>
      </c>
      <c r="J9" s="157" t="s">
        <v>275</v>
      </c>
      <c r="K9" s="134">
        <v>0.2248</v>
      </c>
      <c r="L9" s="135" t="s">
        <v>276</v>
      </c>
    </row>
    <row r="10" spans="1:12" ht="13.5" thickBot="1">
      <c r="B10" s="323" t="s">
        <v>1374</v>
      </c>
      <c r="C10" s="330">
        <f>C9*$K$4</f>
        <v>8.7028514032209667</v>
      </c>
      <c r="D10" s="330">
        <f t="shared" ref="D10:H10" si="3">D9*$K$4</f>
        <v>20.071171558412342</v>
      </c>
      <c r="E10" s="330">
        <f t="shared" si="3"/>
        <v>19.879759829104255</v>
      </c>
      <c r="F10" s="330">
        <f t="shared" si="3"/>
        <v>21.749375217904205</v>
      </c>
      <c r="G10" s="330">
        <f t="shared" si="3"/>
        <v>16.870572337333467</v>
      </c>
      <c r="H10" s="330">
        <f t="shared" si="3"/>
        <v>23.125904380462984</v>
      </c>
      <c r="J10" s="2"/>
      <c r="K10" s="31"/>
      <c r="L10" s="31"/>
    </row>
    <row r="11" spans="1:12">
      <c r="B11" s="323" t="s">
        <v>1375</v>
      </c>
      <c r="C11" s="331">
        <v>-577.03699169862705</v>
      </c>
      <c r="D11" s="331">
        <v>-582.94359837282138</v>
      </c>
      <c r="E11" s="331">
        <v>-585.09136925447422</v>
      </c>
      <c r="F11" s="331">
        <v>-587.65688858735996</v>
      </c>
      <c r="G11" s="331">
        <v>-584.12907849061924</v>
      </c>
      <c r="H11" s="332">
        <v>-582.64911041963535</v>
      </c>
      <c r="J11" s="160" t="s">
        <v>202</v>
      </c>
      <c r="K11" s="109">
        <v>10</v>
      </c>
      <c r="L11" s="35" t="s">
        <v>131</v>
      </c>
    </row>
    <row r="12" spans="1:12" ht="13.5" thickBot="1">
      <c r="B12" s="323" t="s">
        <v>1430</v>
      </c>
      <c r="C12" s="331">
        <v>0.34849999999999998</v>
      </c>
      <c r="D12" s="331">
        <v>0.34426965388729175</v>
      </c>
      <c r="E12" s="331">
        <v>0.34247431247976318</v>
      </c>
      <c r="F12" s="331">
        <v>0.34845290069755513</v>
      </c>
      <c r="G12" s="331">
        <v>0.32609186519602668</v>
      </c>
      <c r="H12" s="331">
        <v>0.31756568237169008</v>
      </c>
      <c r="J12" s="161" t="s">
        <v>203</v>
      </c>
      <c r="K12" s="110">
        <v>170</v>
      </c>
      <c r="L12" s="36" t="s">
        <v>131</v>
      </c>
    </row>
    <row r="13" spans="1:12">
      <c r="B13" s="323" t="s">
        <v>1431</v>
      </c>
      <c r="C13" s="331">
        <v>0.34849999999999998</v>
      </c>
      <c r="D13" s="331">
        <v>0.32097622708047174</v>
      </c>
      <c r="E13" s="331">
        <v>0.32709519561515682</v>
      </c>
      <c r="F13" s="331">
        <v>0.3484549525257809</v>
      </c>
      <c r="G13" s="331">
        <v>0.34090635911816564</v>
      </c>
      <c r="H13" s="331">
        <v>0.34106762159761289</v>
      </c>
      <c r="J13" s="1"/>
      <c r="K13" s="1"/>
    </row>
    <row r="14" spans="1:12" ht="13.5" thickBot="1">
      <c r="B14" s="323" t="s">
        <v>1432</v>
      </c>
      <c r="C14" s="331">
        <v>0.34849999999999998</v>
      </c>
      <c r="D14" s="331">
        <v>0.34849997413555728</v>
      </c>
      <c r="E14" s="331">
        <v>0.34393512517762143</v>
      </c>
      <c r="F14" s="331">
        <v>0.34286528525494836</v>
      </c>
      <c r="G14" s="331">
        <v>0.34339069299805475</v>
      </c>
      <c r="H14" s="331">
        <v>0.34849995328905142</v>
      </c>
      <c r="J14" s="324"/>
      <c r="K14" s="324"/>
    </row>
    <row r="15" spans="1:12" ht="13.5" thickBot="1">
      <c r="B15" s="323" t="s">
        <v>1433</v>
      </c>
      <c r="C15" s="331">
        <v>0.34849999999999998</v>
      </c>
      <c r="D15" s="331">
        <v>0.34849997468426114</v>
      </c>
      <c r="E15" s="331">
        <v>0.34849957884081234</v>
      </c>
      <c r="F15" s="331">
        <v>0.34844056163458309</v>
      </c>
      <c r="G15" s="331">
        <v>0.34843379531883473</v>
      </c>
      <c r="H15" s="331">
        <v>0.3484999673682368</v>
      </c>
      <c r="J15" s="158" t="s">
        <v>1366</v>
      </c>
      <c r="K15" s="325">
        <v>625</v>
      </c>
      <c r="L15" s="38" t="s">
        <v>132</v>
      </c>
    </row>
    <row r="16" spans="1:12" ht="13.5" thickBot="1">
      <c r="B16" s="336" t="s">
        <v>1434</v>
      </c>
      <c r="C16" s="338">
        <v>0.34849999999999998</v>
      </c>
      <c r="D16" s="338">
        <v>0.1448514439123153</v>
      </c>
      <c r="E16" s="338">
        <v>0.10465036115063503</v>
      </c>
      <c r="F16" s="338">
        <v>0.32737542927843338</v>
      </c>
      <c r="G16" s="338">
        <v>-0.12947783612831423</v>
      </c>
      <c r="H16" s="339">
        <v>-0.21583337041174427</v>
      </c>
    </row>
    <row r="17" spans="2:12" ht="13.5" thickBot="1">
      <c r="B17" s="336" t="s">
        <v>1435</v>
      </c>
      <c r="C17" s="338">
        <v>0.34849999999999998</v>
      </c>
      <c r="D17" s="338">
        <v>-0.18286736588315022</v>
      </c>
      <c r="E17" s="338">
        <v>-0.11834366828156731</v>
      </c>
      <c r="F17" s="338">
        <v>0.32784190958971687</v>
      </c>
      <c r="G17" s="338">
        <v>7.4095369033265523E-2</v>
      </c>
      <c r="H17" s="338">
        <v>7.708941405383174E-2</v>
      </c>
      <c r="J17" s="158" t="s">
        <v>248</v>
      </c>
      <c r="K17" s="111">
        <v>50</v>
      </c>
      <c r="L17" s="38" t="s">
        <v>249</v>
      </c>
    </row>
    <row r="18" spans="2:12">
      <c r="B18" s="334" t="s">
        <v>1436</v>
      </c>
      <c r="C18" s="335">
        <v>0.34849999999999998</v>
      </c>
      <c r="D18" s="335">
        <v>0.34800565922210885</v>
      </c>
      <c r="E18" s="335">
        <v>0.13681769663116511</v>
      </c>
      <c r="F18" s="335">
        <v>0.11284894438752763</v>
      </c>
      <c r="G18" s="335">
        <v>0.12430881457352561</v>
      </c>
      <c r="H18" s="335">
        <v>0.34783664816879029</v>
      </c>
      <c r="J18" s="1"/>
      <c r="K18" s="1"/>
    </row>
    <row r="19" spans="2:12">
      <c r="B19" s="334" t="s">
        <v>1437</v>
      </c>
      <c r="C19" s="331">
        <v>0.34849999999999998</v>
      </c>
      <c r="D19" s="331">
        <v>0.34801337172777497</v>
      </c>
      <c r="E19" s="331">
        <v>0.35096349730963311</v>
      </c>
      <c r="F19" s="331">
        <v>0.32476688863391073</v>
      </c>
      <c r="G19" s="331">
        <v>0.32345177586937229</v>
      </c>
      <c r="H19" s="332">
        <v>0.3479459478508638</v>
      </c>
    </row>
    <row r="20" spans="2:12" ht="13.5" thickBot="1">
      <c r="B20" s="336" t="s">
        <v>1442</v>
      </c>
      <c r="C20" s="338">
        <v>2.9884999999999997</v>
      </c>
      <c r="D20" s="338">
        <v>0.92542655445894084</v>
      </c>
      <c r="E20" s="338">
        <v>0.5229462147310413</v>
      </c>
      <c r="F20" s="338">
        <v>2.7725472360987058</v>
      </c>
      <c r="G20" s="338">
        <v>-0.26988108691874702</v>
      </c>
      <c r="H20" s="339">
        <v>-0.27133070333445125</v>
      </c>
      <c r="J20" s="2"/>
      <c r="K20" s="2"/>
      <c r="L20" s="2"/>
    </row>
    <row r="21" spans="2:12" ht="13.5" thickBot="1">
      <c r="B21" s="336" t="s">
        <v>1443</v>
      </c>
      <c r="C21" s="340">
        <v>2.9884999999999997</v>
      </c>
      <c r="D21" s="340">
        <v>-0.27127258534397586</v>
      </c>
      <c r="E21" s="340">
        <v>-0.27057752811825775</v>
      </c>
      <c r="F21" s="340">
        <v>2.7773109469657458</v>
      </c>
      <c r="G21" s="340">
        <v>0.21805059455237041</v>
      </c>
      <c r="H21" s="341">
        <v>0.24789060634060217</v>
      </c>
      <c r="J21" s="159" t="s">
        <v>123</v>
      </c>
      <c r="K21" s="111">
        <v>16.5</v>
      </c>
      <c r="L21" s="38" t="s">
        <v>132</v>
      </c>
    </row>
    <row r="22" spans="2:12" ht="13.5" thickBot="1">
      <c r="B22" s="336" t="s">
        <v>1444</v>
      </c>
      <c r="C22" s="338">
        <v>2.5185</v>
      </c>
      <c r="D22" s="338">
        <v>2.5134411041163323</v>
      </c>
      <c r="E22" s="338">
        <v>0.37833589625029501</v>
      </c>
      <c r="F22" s="338">
        <v>0.13917543615332484</v>
      </c>
      <c r="G22" s="338">
        <v>0.25344195088907812</v>
      </c>
      <c r="H22" s="339">
        <v>2.5117115791780051</v>
      </c>
      <c r="J22" s="161"/>
      <c r="K22" s="326"/>
      <c r="L22" s="36"/>
    </row>
    <row r="23" spans="2:12">
      <c r="B23" s="323" t="s">
        <v>1445</v>
      </c>
      <c r="C23" s="331">
        <v>2.5185</v>
      </c>
      <c r="D23" s="331">
        <v>2.5135200299108411</v>
      </c>
      <c r="E23" s="331">
        <v>2.5907828841603426</v>
      </c>
      <c r="F23" s="331">
        <v>2.2759580321400703</v>
      </c>
      <c r="G23" s="331">
        <v>2.262538865904927</v>
      </c>
      <c r="H23" s="332">
        <v>2.5128300617784429</v>
      </c>
    </row>
    <row r="24" spans="2:12">
      <c r="B24" s="334" t="s">
        <v>1438</v>
      </c>
      <c r="C24" s="335">
        <v>3.8284999999999996</v>
      </c>
      <c r="D24" s="335">
        <v>3.8212882608222789</v>
      </c>
      <c r="E24" s="335">
        <v>0.88647275107176671</v>
      </c>
      <c r="F24" s="335">
        <v>0.43832751723459201</v>
      </c>
      <c r="G24" s="335">
        <v>0.59617181391001739</v>
      </c>
      <c r="H24" s="345">
        <v>3.8188184250538364</v>
      </c>
    </row>
    <row r="25" spans="2:12">
      <c r="B25" s="323" t="s">
        <v>1439</v>
      </c>
      <c r="C25" s="331">
        <v>3.8284999999999996</v>
      </c>
      <c r="D25" s="331">
        <v>3.8214069526210941</v>
      </c>
      <c r="E25" s="331">
        <v>4.0201684472570598</v>
      </c>
      <c r="F25" s="331">
        <v>3.4857873728371773</v>
      </c>
      <c r="G25" s="331">
        <v>3.4556047717033063</v>
      </c>
      <c r="H25" s="332">
        <v>3.8204264096424425</v>
      </c>
    </row>
    <row r="26" spans="2:12">
      <c r="B26" s="336" t="s">
        <v>1440</v>
      </c>
      <c r="C26" s="338">
        <v>3.3285</v>
      </c>
      <c r="D26" s="338">
        <v>0.37331966067486949</v>
      </c>
      <c r="E26" s="338">
        <v>-0.22761119399191307</v>
      </c>
      <c r="F26" s="338">
        <v>3.0214293747987471</v>
      </c>
      <c r="G26" s="338">
        <v>-0.27126901860157521</v>
      </c>
      <c r="H26" s="339">
        <v>-0.27147471584595745</v>
      </c>
    </row>
    <row r="27" spans="2:12">
      <c r="B27" s="342" t="s">
        <v>1441</v>
      </c>
      <c r="C27" s="343">
        <v>3.3285</v>
      </c>
      <c r="D27" s="343">
        <v>-0.27145936321651459</v>
      </c>
      <c r="E27" s="343">
        <v>-0.27128982578058675</v>
      </c>
      <c r="F27" s="343">
        <v>3.0273002117743868</v>
      </c>
      <c r="G27" s="343">
        <v>-0.27026943008717436</v>
      </c>
      <c r="H27" s="344">
        <v>-0.25712581993876488</v>
      </c>
    </row>
  </sheetData>
  <mergeCells count="1">
    <mergeCell ref="B1:H1"/>
  </mergeCells>
  <pageMargins left="0.7" right="0.7" top="0.75" bottom="0.75" header="0.3" footer="0.3"/>
  <pageSetup orientation="portrait" horizontalDpi="300" verticalDpi="300" r:id="rId1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4"/>
  <dimension ref="A2:L239"/>
  <sheetViews>
    <sheetView zoomScale="85" zoomScaleNormal="85" workbookViewId="0">
      <pane ySplit="4" topLeftCell="A32" activePane="bottomLeft" state="frozen"/>
      <selection activeCell="C46" sqref="C46"/>
      <selection pane="bottomLeft" activeCell="C33" sqref="C33"/>
    </sheetView>
  </sheetViews>
  <sheetFormatPr defaultRowHeight="12"/>
  <cols>
    <col min="1" max="1" width="23.85546875" style="22" customWidth="1"/>
    <col min="2" max="2" width="5.5703125" style="22" customWidth="1"/>
    <col min="3" max="3" width="46.5703125" style="22" customWidth="1"/>
    <col min="4" max="4" width="6.28515625" style="22" customWidth="1"/>
    <col min="5" max="5" width="23.140625" style="22" customWidth="1"/>
    <col min="6" max="6" width="15.7109375" style="22" customWidth="1"/>
    <col min="7" max="7" width="23.42578125" style="22" customWidth="1"/>
    <col min="8" max="8" width="14.7109375" style="22" customWidth="1"/>
    <col min="9" max="9" width="28.28515625" style="21" customWidth="1"/>
    <col min="10" max="16384" width="9.140625" style="21"/>
  </cols>
  <sheetData>
    <row r="2" spans="1:10" ht="12.75" thickBot="1">
      <c r="A2" s="21"/>
      <c r="B2" s="21"/>
      <c r="C2" s="21"/>
      <c r="D2" s="21"/>
      <c r="E2" s="21"/>
      <c r="F2" s="21"/>
      <c r="G2" s="21"/>
      <c r="H2" s="21"/>
    </row>
    <row r="3" spans="1:10">
      <c r="A3" s="26" t="s">
        <v>1</v>
      </c>
      <c r="B3" s="25" t="s">
        <v>8</v>
      </c>
      <c r="C3" s="26"/>
      <c r="D3" s="25" t="s">
        <v>0</v>
      </c>
      <c r="E3" s="27"/>
      <c r="F3" s="26" t="s">
        <v>4</v>
      </c>
      <c r="G3" s="26" t="s">
        <v>9</v>
      </c>
      <c r="H3" s="26" t="s">
        <v>3</v>
      </c>
      <c r="I3" s="25"/>
    </row>
    <row r="4" spans="1:10" ht="12.75" thickBot="1">
      <c r="A4" s="24" t="s">
        <v>5</v>
      </c>
      <c r="B4" s="23" t="s">
        <v>2</v>
      </c>
      <c r="C4" s="24" t="s">
        <v>8</v>
      </c>
      <c r="D4" s="23" t="s">
        <v>2</v>
      </c>
      <c r="E4" s="24" t="s">
        <v>7</v>
      </c>
      <c r="F4" s="24" t="s">
        <v>5</v>
      </c>
      <c r="G4" s="24" t="s">
        <v>16</v>
      </c>
      <c r="H4" s="24" t="s">
        <v>6</v>
      </c>
      <c r="I4" s="23" t="s">
        <v>17</v>
      </c>
    </row>
    <row r="5" spans="1:10" s="22" customFormat="1">
      <c r="A5" s="30" t="s">
        <v>1457</v>
      </c>
      <c r="B5" s="22" t="s">
        <v>818</v>
      </c>
      <c r="C5" s="22" t="s">
        <v>1458</v>
      </c>
    </row>
    <row r="6" spans="1:10" s="22" customFormat="1">
      <c r="A6" s="30" t="s">
        <v>1457</v>
      </c>
      <c r="B6" s="22" t="s">
        <v>1330</v>
      </c>
      <c r="C6" s="22" t="s">
        <v>1324</v>
      </c>
    </row>
    <row r="7" spans="1:10" s="22" customFormat="1">
      <c r="A7" s="30" t="s">
        <v>1457</v>
      </c>
      <c r="B7" s="22" t="s">
        <v>805</v>
      </c>
      <c r="C7" s="22" t="s">
        <v>1325</v>
      </c>
    </row>
    <row r="8" spans="1:10">
      <c r="A8" s="30" t="s">
        <v>1457</v>
      </c>
      <c r="B8" s="22" t="s">
        <v>1331</v>
      </c>
      <c r="C8" s="22" t="s">
        <v>1326</v>
      </c>
      <c r="I8" s="22"/>
    </row>
    <row r="9" spans="1:10">
      <c r="A9" s="30" t="s">
        <v>1457</v>
      </c>
      <c r="B9" s="22" t="s">
        <v>1332</v>
      </c>
      <c r="C9" s="22" t="s">
        <v>1327</v>
      </c>
    </row>
    <row r="10" spans="1:10">
      <c r="A10" s="30" t="s">
        <v>1457</v>
      </c>
      <c r="B10" s="22" t="s">
        <v>806</v>
      </c>
      <c r="C10" s="22" t="s">
        <v>1328</v>
      </c>
    </row>
    <row r="11" spans="1:10">
      <c r="A11" s="30" t="s">
        <v>1457</v>
      </c>
      <c r="B11" s="22" t="s">
        <v>1333</v>
      </c>
      <c r="C11" s="22" t="s">
        <v>1329</v>
      </c>
    </row>
    <row r="12" spans="1:10" ht="13.5" customHeight="1">
      <c r="A12" s="30" t="s">
        <v>1457</v>
      </c>
      <c r="B12" s="22" t="s">
        <v>1334</v>
      </c>
      <c r="C12" s="22" t="s">
        <v>1359</v>
      </c>
    </row>
    <row r="13" spans="1:10">
      <c r="A13" s="30" t="s">
        <v>1457</v>
      </c>
      <c r="B13" s="22" t="s">
        <v>1335</v>
      </c>
      <c r="C13" s="22" t="s">
        <v>1337</v>
      </c>
    </row>
    <row r="14" spans="1:10">
      <c r="A14" s="30" t="s">
        <v>1457</v>
      </c>
      <c r="B14" s="22" t="s">
        <v>369</v>
      </c>
      <c r="C14" s="22" t="s">
        <v>1336</v>
      </c>
    </row>
    <row r="15" spans="1:10">
      <c r="A15" s="30" t="s">
        <v>1457</v>
      </c>
      <c r="B15" s="22" t="s">
        <v>1247</v>
      </c>
      <c r="C15" s="22" t="s">
        <v>1369</v>
      </c>
      <c r="J15" s="22"/>
    </row>
    <row r="16" spans="1:10">
      <c r="A16" s="30" t="s">
        <v>1457</v>
      </c>
      <c r="B16" s="22" t="s">
        <v>176</v>
      </c>
      <c r="C16" s="22" t="s">
        <v>1370</v>
      </c>
      <c r="J16" s="22"/>
    </row>
    <row r="17" spans="1:11">
      <c r="A17" s="30" t="s">
        <v>1457</v>
      </c>
      <c r="B17" s="22" t="s">
        <v>1223</v>
      </c>
      <c r="C17" s="22" t="s">
        <v>1371</v>
      </c>
      <c r="J17" s="22"/>
    </row>
    <row r="18" spans="1:11">
      <c r="A18" s="30" t="s">
        <v>1457</v>
      </c>
      <c r="B18" s="22" t="s">
        <v>177</v>
      </c>
      <c r="C18" s="22" t="s">
        <v>1372</v>
      </c>
    </row>
    <row r="19" spans="1:11">
      <c r="A19" s="30" t="s">
        <v>1457</v>
      </c>
      <c r="B19" s="22" t="s">
        <v>1224</v>
      </c>
      <c r="C19" s="22" t="s">
        <v>1373</v>
      </c>
    </row>
    <row r="20" spans="1:11">
      <c r="A20" s="30" t="s">
        <v>1457</v>
      </c>
      <c r="B20" s="22" t="s">
        <v>233</v>
      </c>
      <c r="C20" s="22" t="s">
        <v>1374</v>
      </c>
    </row>
    <row r="21" spans="1:11">
      <c r="A21" s="30" t="s">
        <v>1457</v>
      </c>
      <c r="B21" s="22" t="s">
        <v>1225</v>
      </c>
      <c r="C21" s="22" t="s">
        <v>1375</v>
      </c>
    </row>
    <row r="22" spans="1:11">
      <c r="A22" s="30" t="s">
        <v>1457</v>
      </c>
      <c r="B22" s="22" t="s">
        <v>287</v>
      </c>
      <c r="C22" s="30" t="s">
        <v>1430</v>
      </c>
    </row>
    <row r="23" spans="1:11">
      <c r="A23" s="30" t="s">
        <v>1457</v>
      </c>
      <c r="B23" s="22" t="s">
        <v>1226</v>
      </c>
      <c r="C23" s="30" t="s">
        <v>1431</v>
      </c>
    </row>
    <row r="24" spans="1:11">
      <c r="A24" s="30" t="s">
        <v>1457</v>
      </c>
      <c r="B24" s="22" t="s">
        <v>1338</v>
      </c>
      <c r="C24" s="30" t="s">
        <v>1432</v>
      </c>
    </row>
    <row r="25" spans="1:11">
      <c r="A25" s="30" t="s">
        <v>1457</v>
      </c>
      <c r="B25" s="22" t="s">
        <v>1339</v>
      </c>
      <c r="C25" s="30" t="s">
        <v>1433</v>
      </c>
    </row>
    <row r="26" spans="1:11">
      <c r="A26" s="30" t="s">
        <v>1457</v>
      </c>
      <c r="B26" s="22" t="s">
        <v>1352</v>
      </c>
      <c r="C26" s="30" t="s">
        <v>1434</v>
      </c>
    </row>
    <row r="27" spans="1:11">
      <c r="A27" s="30" t="s">
        <v>1457</v>
      </c>
      <c r="B27" s="22" t="s">
        <v>288</v>
      </c>
      <c r="C27" s="30" t="s">
        <v>1435</v>
      </c>
    </row>
    <row r="28" spans="1:11">
      <c r="A28" s="30" t="s">
        <v>1457</v>
      </c>
      <c r="B28" s="22" t="s">
        <v>370</v>
      </c>
      <c r="C28" s="30" t="s">
        <v>1436</v>
      </c>
    </row>
    <row r="29" spans="1:11" s="22" customFormat="1">
      <c r="A29" s="30" t="s">
        <v>1457</v>
      </c>
      <c r="B29" s="22" t="s">
        <v>879</v>
      </c>
      <c r="C29" s="30" t="s">
        <v>1437</v>
      </c>
      <c r="J29" s="21"/>
      <c r="K29" s="21"/>
    </row>
    <row r="30" spans="1:11" s="22" customFormat="1">
      <c r="A30" s="30" t="s">
        <v>1457</v>
      </c>
      <c r="B30" s="22" t="s">
        <v>880</v>
      </c>
      <c r="C30" s="30" t="s">
        <v>1442</v>
      </c>
      <c r="J30" s="21"/>
      <c r="K30" s="21"/>
    </row>
    <row r="31" spans="1:11" s="22" customFormat="1">
      <c r="A31" s="30" t="s">
        <v>1457</v>
      </c>
      <c r="B31" s="22" t="s">
        <v>1399</v>
      </c>
      <c r="C31" s="30" t="s">
        <v>1443</v>
      </c>
      <c r="J31" s="21"/>
      <c r="K31" s="21"/>
    </row>
    <row r="32" spans="1:11" s="22" customFormat="1">
      <c r="A32" s="30" t="s">
        <v>1457</v>
      </c>
      <c r="B32" s="22" t="s">
        <v>1400</v>
      </c>
      <c r="C32" s="30" t="s">
        <v>1444</v>
      </c>
      <c r="J32" s="21"/>
      <c r="K32" s="21"/>
    </row>
    <row r="33" spans="1:12" s="22" customFormat="1">
      <c r="A33" s="30" t="s">
        <v>1457</v>
      </c>
      <c r="B33" s="22" t="s">
        <v>881</v>
      </c>
      <c r="C33" s="30" t="s">
        <v>1445</v>
      </c>
      <c r="J33" s="21"/>
      <c r="K33" s="21"/>
    </row>
    <row r="34" spans="1:12" s="22" customFormat="1">
      <c r="A34" s="30" t="s">
        <v>1457</v>
      </c>
      <c r="B34" s="22" t="s">
        <v>882</v>
      </c>
      <c r="C34" s="30" t="s">
        <v>1438</v>
      </c>
      <c r="J34" s="21"/>
      <c r="K34" s="21"/>
    </row>
    <row r="35" spans="1:12" s="22" customFormat="1">
      <c r="A35" s="30" t="s">
        <v>1457</v>
      </c>
      <c r="B35" s="22" t="s">
        <v>1401</v>
      </c>
      <c r="C35" s="30" t="s">
        <v>1439</v>
      </c>
      <c r="J35" s="21"/>
      <c r="K35" s="21"/>
    </row>
    <row r="36" spans="1:12" s="22" customFormat="1">
      <c r="A36" s="30" t="s">
        <v>1457</v>
      </c>
      <c r="B36" s="22" t="s">
        <v>1402</v>
      </c>
      <c r="C36" s="30" t="s">
        <v>1440</v>
      </c>
      <c r="J36" s="21"/>
      <c r="K36" s="21"/>
    </row>
    <row r="37" spans="1:12" s="22" customFormat="1">
      <c r="A37" s="30" t="s">
        <v>1457</v>
      </c>
      <c r="B37" s="22" t="s">
        <v>1403</v>
      </c>
      <c r="C37" s="30" t="s">
        <v>1441</v>
      </c>
      <c r="J37" s="21"/>
      <c r="K37" s="21"/>
    </row>
    <row r="38" spans="1:12" s="22" customFormat="1">
      <c r="A38" s="28"/>
      <c r="B38" s="28"/>
      <c r="C38" s="28"/>
      <c r="D38" s="28"/>
      <c r="E38" s="29" t="s">
        <v>1459</v>
      </c>
      <c r="F38" s="28"/>
      <c r="G38" s="28"/>
      <c r="H38" s="28"/>
      <c r="I38" s="28"/>
      <c r="J38" s="21"/>
      <c r="K38" s="21"/>
    </row>
    <row r="39" spans="1:12" s="22" customFormat="1">
      <c r="A39" s="30" t="s">
        <v>1457</v>
      </c>
      <c r="B39" s="30"/>
      <c r="C39" s="30"/>
      <c r="D39" s="30" t="s">
        <v>1346</v>
      </c>
      <c r="E39" s="30" t="s">
        <v>1323</v>
      </c>
      <c r="F39" s="30" t="s">
        <v>111</v>
      </c>
      <c r="G39" s="30" t="s">
        <v>1321</v>
      </c>
      <c r="H39" s="30"/>
      <c r="I39" s="30" t="s">
        <v>1322</v>
      </c>
      <c r="J39" s="21"/>
      <c r="K39" s="21"/>
    </row>
    <row r="40" spans="1:12" s="22" customFormat="1">
      <c r="A40" s="30" t="s">
        <v>1457</v>
      </c>
      <c r="B40" s="30"/>
      <c r="C40" s="30"/>
      <c r="D40" s="30" t="s">
        <v>1248</v>
      </c>
      <c r="E40" s="30" t="s">
        <v>115</v>
      </c>
      <c r="F40" s="30" t="s">
        <v>111</v>
      </c>
      <c r="G40" s="30"/>
      <c r="H40" s="30" t="s">
        <v>1367</v>
      </c>
      <c r="I40" s="30" t="s">
        <v>114</v>
      </c>
      <c r="J40" s="21"/>
      <c r="K40" s="21"/>
    </row>
    <row r="41" spans="1:12" s="22" customFormat="1">
      <c r="A41" s="30" t="s">
        <v>1457</v>
      </c>
      <c r="B41" s="30"/>
      <c r="C41" s="30"/>
      <c r="D41" s="30" t="s">
        <v>1227</v>
      </c>
      <c r="E41" s="30" t="s">
        <v>120</v>
      </c>
      <c r="F41" s="30" t="s">
        <v>111</v>
      </c>
      <c r="G41" s="30"/>
      <c r="H41" s="30" t="s">
        <v>1367</v>
      </c>
      <c r="I41" s="30" t="s">
        <v>114</v>
      </c>
      <c r="J41" s="21"/>
      <c r="K41" s="21"/>
    </row>
    <row r="42" spans="1:12" s="22" customFormat="1">
      <c r="A42" s="30" t="s">
        <v>1457</v>
      </c>
      <c r="B42" s="30"/>
      <c r="C42" s="30"/>
      <c r="D42" s="30" t="s">
        <v>1228</v>
      </c>
      <c r="E42" s="30" t="s">
        <v>115</v>
      </c>
      <c r="F42" s="30" t="s">
        <v>111</v>
      </c>
      <c r="G42" s="30"/>
      <c r="H42" s="30" t="s">
        <v>1367</v>
      </c>
      <c r="I42" s="30" t="s">
        <v>232</v>
      </c>
      <c r="J42" s="30"/>
      <c r="K42" s="30"/>
      <c r="L42" s="30"/>
    </row>
    <row r="43" spans="1:12" s="22" customFormat="1">
      <c r="A43" s="30" t="s">
        <v>1457</v>
      </c>
      <c r="B43" s="30"/>
      <c r="C43" s="30"/>
      <c r="D43" s="30" t="s">
        <v>1229</v>
      </c>
      <c r="E43" s="30" t="s">
        <v>127</v>
      </c>
      <c r="F43" s="30" t="s">
        <v>111</v>
      </c>
      <c r="G43" s="30" t="s">
        <v>1321</v>
      </c>
      <c r="H43" s="30" t="s">
        <v>1367</v>
      </c>
      <c r="I43" s="30" t="s">
        <v>1322</v>
      </c>
      <c r="J43" s="30"/>
      <c r="K43" s="30"/>
      <c r="L43" s="30"/>
    </row>
    <row r="44" spans="1:12" s="22" customFormat="1">
      <c r="A44" s="30" t="s">
        <v>1457</v>
      </c>
      <c r="B44" s="30"/>
      <c r="C44" s="30"/>
      <c r="D44" s="30" t="s">
        <v>290</v>
      </c>
      <c r="E44" s="30" t="s">
        <v>120</v>
      </c>
      <c r="F44" s="30" t="s">
        <v>111</v>
      </c>
      <c r="G44" s="30" t="s">
        <v>1376</v>
      </c>
      <c r="H44" s="30" t="s">
        <v>1367</v>
      </c>
      <c r="I44" s="30" t="s">
        <v>213</v>
      </c>
      <c r="J44" s="30"/>
      <c r="K44" s="30"/>
      <c r="L44" s="30"/>
    </row>
    <row r="45" spans="1:12" s="22" customFormat="1">
      <c r="A45" s="30" t="s">
        <v>1457</v>
      </c>
      <c r="B45" s="30"/>
      <c r="C45" s="30"/>
      <c r="D45" s="30" t="s">
        <v>1230</v>
      </c>
      <c r="E45" s="30" t="s">
        <v>120</v>
      </c>
      <c r="F45" s="30" t="s">
        <v>111</v>
      </c>
      <c r="G45" s="30" t="s">
        <v>1379</v>
      </c>
      <c r="H45" s="30" t="s">
        <v>1367</v>
      </c>
      <c r="I45" s="30" t="s">
        <v>213</v>
      </c>
      <c r="J45" s="30"/>
      <c r="K45" s="30"/>
      <c r="L45" s="30"/>
    </row>
    <row r="46" spans="1:12" s="22" customFormat="1">
      <c r="A46" s="30" t="s">
        <v>1457</v>
      </c>
      <c r="B46" s="30"/>
      <c r="C46" s="30"/>
      <c r="D46" s="30" t="s">
        <v>1340</v>
      </c>
      <c r="E46" s="30" t="s">
        <v>120</v>
      </c>
      <c r="F46" s="30" t="s">
        <v>111</v>
      </c>
      <c r="G46" s="30" t="s">
        <v>1380</v>
      </c>
      <c r="H46" s="30" t="s">
        <v>1367</v>
      </c>
      <c r="I46" s="30" t="s">
        <v>213</v>
      </c>
      <c r="J46" s="30"/>
      <c r="K46" s="30"/>
      <c r="L46" s="30"/>
    </row>
    <row r="47" spans="1:12" s="22" customFormat="1">
      <c r="A47" s="30" t="s">
        <v>1457</v>
      </c>
      <c r="B47" s="30"/>
      <c r="C47" s="30"/>
      <c r="D47" s="30" t="s">
        <v>1353</v>
      </c>
      <c r="E47" s="30" t="s">
        <v>120</v>
      </c>
      <c r="F47" s="30" t="s">
        <v>111</v>
      </c>
      <c r="G47" s="30" t="s">
        <v>1381</v>
      </c>
      <c r="H47" s="30" t="s">
        <v>1367</v>
      </c>
      <c r="I47" s="30" t="s">
        <v>213</v>
      </c>
      <c r="J47" s="30"/>
      <c r="K47" s="30"/>
      <c r="L47" s="30"/>
    </row>
    <row r="48" spans="1:12" s="22" customFormat="1">
      <c r="A48" s="30" t="s">
        <v>1457</v>
      </c>
      <c r="B48" s="30"/>
      <c r="C48" s="30"/>
      <c r="D48" s="30" t="s">
        <v>1360</v>
      </c>
      <c r="E48" s="30" t="s">
        <v>120</v>
      </c>
      <c r="F48" s="30" t="s">
        <v>111</v>
      </c>
      <c r="G48" s="30" t="s">
        <v>1382</v>
      </c>
      <c r="H48" s="30" t="s">
        <v>1367</v>
      </c>
      <c r="I48" s="30" t="s">
        <v>213</v>
      </c>
      <c r="J48" s="30"/>
      <c r="K48" s="30"/>
      <c r="L48" s="30"/>
    </row>
    <row r="49" spans="1:12" s="22" customFormat="1">
      <c r="A49" s="30" t="s">
        <v>1457</v>
      </c>
      <c r="B49" s="30"/>
      <c r="C49" s="30"/>
      <c r="D49" s="30" t="s">
        <v>291</v>
      </c>
      <c r="E49" s="30" t="s">
        <v>120</v>
      </c>
      <c r="F49" s="30" t="s">
        <v>111</v>
      </c>
      <c r="G49" s="30" t="s">
        <v>1383</v>
      </c>
      <c r="H49" s="30" t="s">
        <v>1367</v>
      </c>
      <c r="I49" s="30" t="s">
        <v>213</v>
      </c>
      <c r="J49" s="30"/>
      <c r="K49" s="30"/>
      <c r="L49" s="30"/>
    </row>
    <row r="50" spans="1:12" s="22" customFormat="1">
      <c r="A50" s="30" t="s">
        <v>1457</v>
      </c>
      <c r="B50" s="30"/>
      <c r="C50" s="30"/>
      <c r="D50" s="30" t="s">
        <v>343</v>
      </c>
      <c r="E50" s="30" t="s">
        <v>120</v>
      </c>
      <c r="F50" s="30" t="s">
        <v>111</v>
      </c>
      <c r="G50" s="30" t="s">
        <v>1384</v>
      </c>
      <c r="H50" s="30" t="s">
        <v>1367</v>
      </c>
      <c r="I50" s="30" t="s">
        <v>213</v>
      </c>
      <c r="J50" s="30"/>
      <c r="K50" s="30"/>
      <c r="L50" s="30"/>
    </row>
    <row r="51" spans="1:12" s="22" customFormat="1">
      <c r="A51" s="30" t="s">
        <v>1457</v>
      </c>
      <c r="B51" s="30"/>
      <c r="C51" s="30"/>
      <c r="D51" s="30" t="s">
        <v>927</v>
      </c>
      <c r="E51" s="30" t="s">
        <v>120</v>
      </c>
      <c r="F51" s="30" t="s">
        <v>111</v>
      </c>
      <c r="G51" s="30" t="s">
        <v>1385</v>
      </c>
      <c r="H51" s="30" t="s">
        <v>1367</v>
      </c>
      <c r="I51" s="30" t="s">
        <v>213</v>
      </c>
      <c r="J51" s="30"/>
      <c r="K51" s="30"/>
      <c r="L51" s="30"/>
    </row>
    <row r="52" spans="1:12" s="22" customFormat="1">
      <c r="A52" s="30" t="s">
        <v>1457</v>
      </c>
      <c r="B52" s="30"/>
      <c r="C52" s="30"/>
      <c r="D52" s="30" t="s">
        <v>928</v>
      </c>
      <c r="E52" s="30" t="s">
        <v>120</v>
      </c>
      <c r="F52" s="30" t="s">
        <v>111</v>
      </c>
      <c r="G52" s="30" t="s">
        <v>1386</v>
      </c>
      <c r="H52" s="30" t="s">
        <v>1367</v>
      </c>
      <c r="I52" s="30" t="s">
        <v>213</v>
      </c>
      <c r="J52" s="30"/>
      <c r="K52" s="30"/>
      <c r="L52" s="30"/>
    </row>
    <row r="53" spans="1:12" s="22" customFormat="1">
      <c r="A53" s="30" t="s">
        <v>1457</v>
      </c>
      <c r="B53" s="30"/>
      <c r="C53" s="30"/>
      <c r="D53" s="30" t="s">
        <v>1390</v>
      </c>
      <c r="E53" s="30" t="s">
        <v>120</v>
      </c>
      <c r="F53" s="30" t="s">
        <v>111</v>
      </c>
      <c r="G53" s="30" t="s">
        <v>1387</v>
      </c>
      <c r="H53" s="30" t="s">
        <v>1367</v>
      </c>
      <c r="I53" s="30" t="s">
        <v>213</v>
      </c>
      <c r="J53" s="30"/>
      <c r="K53" s="30"/>
      <c r="L53" s="30"/>
    </row>
    <row r="54" spans="1:12">
      <c r="A54" s="30" t="s">
        <v>1457</v>
      </c>
      <c r="B54" s="30"/>
      <c r="C54" s="30"/>
      <c r="D54" s="30" t="s">
        <v>1391</v>
      </c>
      <c r="E54" s="30" t="s">
        <v>120</v>
      </c>
      <c r="F54" s="30" t="s">
        <v>111</v>
      </c>
      <c r="G54" s="30" t="s">
        <v>1388</v>
      </c>
      <c r="H54" s="30" t="s">
        <v>1367</v>
      </c>
      <c r="I54" s="30" t="s">
        <v>213</v>
      </c>
      <c r="J54" s="30"/>
      <c r="K54" s="30"/>
      <c r="L54" s="30"/>
    </row>
    <row r="55" spans="1:12">
      <c r="A55" s="30" t="s">
        <v>1457</v>
      </c>
      <c r="B55" s="30"/>
      <c r="C55" s="30"/>
      <c r="D55" s="30" t="s">
        <v>929</v>
      </c>
      <c r="E55" s="30" t="s">
        <v>120</v>
      </c>
      <c r="F55" s="30" t="s">
        <v>111</v>
      </c>
      <c r="G55" s="30" t="s">
        <v>1389</v>
      </c>
      <c r="H55" s="30" t="s">
        <v>1367</v>
      </c>
      <c r="I55" s="30" t="s">
        <v>213</v>
      </c>
      <c r="J55" s="30"/>
      <c r="K55" s="30"/>
      <c r="L55" s="30"/>
    </row>
    <row r="56" spans="1:12">
      <c r="A56" s="30" t="s">
        <v>1457</v>
      </c>
      <c r="B56" s="30"/>
      <c r="C56" s="30"/>
      <c r="D56" s="30" t="s">
        <v>930</v>
      </c>
      <c r="E56" s="30" t="s">
        <v>120</v>
      </c>
      <c r="F56" s="30" t="s">
        <v>111</v>
      </c>
      <c r="G56" s="30" t="s">
        <v>1393</v>
      </c>
      <c r="H56" s="30" t="s">
        <v>1367</v>
      </c>
      <c r="I56" s="30" t="s">
        <v>213</v>
      </c>
      <c r="J56" s="30"/>
      <c r="K56" s="30"/>
      <c r="L56" s="30"/>
    </row>
    <row r="57" spans="1:12">
      <c r="A57" s="30" t="s">
        <v>1457</v>
      </c>
      <c r="B57" s="30"/>
      <c r="C57" s="30"/>
      <c r="D57" s="30" t="s">
        <v>1392</v>
      </c>
      <c r="E57" s="30" t="s">
        <v>120</v>
      </c>
      <c r="F57" s="30" t="s">
        <v>111</v>
      </c>
      <c r="G57" s="30" t="s">
        <v>1394</v>
      </c>
      <c r="H57" s="30" t="s">
        <v>1367</v>
      </c>
      <c r="I57" s="30" t="s">
        <v>213</v>
      </c>
      <c r="J57" s="30"/>
      <c r="K57" s="30"/>
      <c r="L57" s="30"/>
    </row>
    <row r="58" spans="1:12">
      <c r="A58" s="30" t="s">
        <v>1457</v>
      </c>
      <c r="B58" s="30"/>
      <c r="C58" s="30"/>
      <c r="D58" s="30" t="s">
        <v>1397</v>
      </c>
      <c r="E58" s="30" t="s">
        <v>120</v>
      </c>
      <c r="F58" s="30" t="s">
        <v>111</v>
      </c>
      <c r="G58" s="30" t="s">
        <v>1395</v>
      </c>
      <c r="H58" s="30" t="s">
        <v>1367</v>
      </c>
      <c r="I58" s="30" t="s">
        <v>213</v>
      </c>
      <c r="J58" s="30"/>
      <c r="K58" s="30"/>
      <c r="L58" s="30"/>
    </row>
    <row r="59" spans="1:12">
      <c r="A59" s="30" t="s">
        <v>1457</v>
      </c>
      <c r="B59" s="30"/>
      <c r="C59" s="30"/>
      <c r="D59" s="30" t="s">
        <v>1398</v>
      </c>
      <c r="E59" s="30" t="s">
        <v>120</v>
      </c>
      <c r="F59" s="30" t="s">
        <v>111</v>
      </c>
      <c r="G59" s="30" t="s">
        <v>1396</v>
      </c>
      <c r="H59" s="30" t="s">
        <v>1367</v>
      </c>
      <c r="I59" s="30" t="s">
        <v>213</v>
      </c>
      <c r="J59" s="30"/>
      <c r="K59" s="30"/>
      <c r="L59" s="30"/>
    </row>
    <row r="60" spans="1:12">
      <c r="A60" s="28"/>
      <c r="B60" s="28"/>
      <c r="C60" s="28"/>
      <c r="D60" s="28"/>
      <c r="E60" s="29" t="s">
        <v>1460</v>
      </c>
      <c r="F60" s="28"/>
      <c r="G60" s="28"/>
      <c r="H60" s="28"/>
      <c r="I60" s="28"/>
      <c r="J60" s="30"/>
      <c r="K60" s="30"/>
      <c r="L60" s="30"/>
    </row>
    <row r="61" spans="1:12">
      <c r="A61" s="30" t="s">
        <v>1457</v>
      </c>
      <c r="B61" s="30"/>
      <c r="C61" s="30"/>
      <c r="D61" s="30" t="s">
        <v>1347</v>
      </c>
      <c r="E61" s="30" t="s">
        <v>1323</v>
      </c>
      <c r="F61" s="30" t="s">
        <v>111</v>
      </c>
      <c r="G61" s="30" t="s">
        <v>1321</v>
      </c>
      <c r="H61" s="30"/>
      <c r="I61" s="30" t="s">
        <v>1322</v>
      </c>
      <c r="J61" s="30"/>
      <c r="K61" s="30"/>
      <c r="L61" s="30"/>
    </row>
    <row r="62" spans="1:12">
      <c r="A62" s="30" t="s">
        <v>1457</v>
      </c>
      <c r="B62" s="30"/>
      <c r="C62" s="30"/>
      <c r="D62" s="30" t="s">
        <v>1249</v>
      </c>
      <c r="E62" s="30" t="s">
        <v>115</v>
      </c>
      <c r="F62" s="30" t="s">
        <v>111</v>
      </c>
      <c r="G62" s="30"/>
      <c r="H62" s="30">
        <v>1</v>
      </c>
      <c r="I62" s="30" t="s">
        <v>114</v>
      </c>
      <c r="J62" s="30"/>
      <c r="K62" s="30"/>
      <c r="L62" s="30"/>
    </row>
    <row r="63" spans="1:12">
      <c r="A63" s="30" t="s">
        <v>1457</v>
      </c>
      <c r="B63" s="30"/>
      <c r="C63" s="30"/>
      <c r="D63" s="30" t="s">
        <v>1231</v>
      </c>
      <c r="E63" s="30" t="s">
        <v>120</v>
      </c>
      <c r="F63" s="30" t="s">
        <v>111</v>
      </c>
      <c r="G63" s="30"/>
      <c r="H63" s="30">
        <v>1</v>
      </c>
      <c r="I63" s="30" t="s">
        <v>114</v>
      </c>
      <c r="J63" s="30"/>
      <c r="K63" s="30"/>
      <c r="L63" s="30"/>
    </row>
    <row r="64" spans="1:12">
      <c r="A64" s="30" t="s">
        <v>1457</v>
      </c>
      <c r="B64" s="30"/>
      <c r="C64" s="30"/>
      <c r="D64" s="30" t="s">
        <v>1232</v>
      </c>
      <c r="E64" s="30" t="s">
        <v>115</v>
      </c>
      <c r="F64" s="30" t="s">
        <v>111</v>
      </c>
      <c r="G64" s="30"/>
      <c r="H64" s="30">
        <v>1</v>
      </c>
      <c r="I64" s="30" t="s">
        <v>232</v>
      </c>
      <c r="J64" s="30"/>
      <c r="K64" s="30"/>
      <c r="L64" s="30"/>
    </row>
    <row r="65" spans="1:12">
      <c r="A65" s="30" t="s">
        <v>1457</v>
      </c>
      <c r="B65" s="30"/>
      <c r="C65" s="30"/>
      <c r="D65" s="30" t="s">
        <v>1233</v>
      </c>
      <c r="E65" s="30" t="s">
        <v>127</v>
      </c>
      <c r="F65" s="30" t="s">
        <v>111</v>
      </c>
      <c r="G65" s="30" t="s">
        <v>1321</v>
      </c>
      <c r="H65" s="30">
        <v>1</v>
      </c>
      <c r="I65" s="30" t="s">
        <v>1322</v>
      </c>
      <c r="J65" s="30"/>
      <c r="K65" s="30"/>
      <c r="L65" s="30"/>
    </row>
    <row r="66" spans="1:12">
      <c r="A66" s="30" t="s">
        <v>1457</v>
      </c>
      <c r="B66" s="30"/>
      <c r="C66" s="30"/>
      <c r="D66" s="30" t="s">
        <v>293</v>
      </c>
      <c r="E66" s="30" t="s">
        <v>120</v>
      </c>
      <c r="F66" s="30" t="s">
        <v>111</v>
      </c>
      <c r="G66" s="30" t="s">
        <v>1376</v>
      </c>
      <c r="H66" s="30">
        <v>1</v>
      </c>
      <c r="I66" s="30" t="s">
        <v>213</v>
      </c>
      <c r="J66" s="30"/>
      <c r="K66" s="30"/>
      <c r="L66" s="30"/>
    </row>
    <row r="67" spans="1:12">
      <c r="A67" s="30" t="s">
        <v>1457</v>
      </c>
      <c r="B67" s="30"/>
      <c r="C67" s="30"/>
      <c r="D67" s="30" t="s">
        <v>1234</v>
      </c>
      <c r="E67" s="30" t="s">
        <v>120</v>
      </c>
      <c r="F67" s="30" t="s">
        <v>111</v>
      </c>
      <c r="G67" s="30" t="s">
        <v>1379</v>
      </c>
      <c r="H67" s="30">
        <v>1</v>
      </c>
      <c r="I67" s="30" t="s">
        <v>213</v>
      </c>
      <c r="J67" s="30"/>
      <c r="K67" s="30"/>
      <c r="L67" s="30"/>
    </row>
    <row r="68" spans="1:12">
      <c r="A68" s="30" t="s">
        <v>1457</v>
      </c>
      <c r="B68" s="30"/>
      <c r="C68" s="30"/>
      <c r="D68" s="30" t="s">
        <v>1341</v>
      </c>
      <c r="E68" s="30" t="s">
        <v>120</v>
      </c>
      <c r="F68" s="30" t="s">
        <v>111</v>
      </c>
      <c r="G68" s="30" t="s">
        <v>1380</v>
      </c>
      <c r="H68" s="30">
        <v>1</v>
      </c>
      <c r="I68" s="30" t="s">
        <v>213</v>
      </c>
      <c r="J68" s="30"/>
      <c r="K68" s="30"/>
      <c r="L68" s="30"/>
    </row>
    <row r="69" spans="1:12">
      <c r="A69" s="30" t="s">
        <v>1457</v>
      </c>
      <c r="B69" s="30"/>
      <c r="C69" s="30"/>
      <c r="D69" s="30" t="s">
        <v>1354</v>
      </c>
      <c r="E69" s="30" t="s">
        <v>120</v>
      </c>
      <c r="F69" s="30" t="s">
        <v>111</v>
      </c>
      <c r="G69" s="30" t="s">
        <v>1381</v>
      </c>
      <c r="H69" s="30">
        <v>1</v>
      </c>
      <c r="I69" s="30" t="s">
        <v>213</v>
      </c>
      <c r="J69" s="30"/>
      <c r="K69" s="30"/>
      <c r="L69" s="30"/>
    </row>
    <row r="70" spans="1:12">
      <c r="A70" s="30" t="s">
        <v>1457</v>
      </c>
      <c r="B70" s="30"/>
      <c r="C70" s="30"/>
      <c r="D70" s="30" t="s">
        <v>1361</v>
      </c>
      <c r="E70" s="30" t="s">
        <v>120</v>
      </c>
      <c r="F70" s="30" t="s">
        <v>111</v>
      </c>
      <c r="G70" s="30" t="s">
        <v>1382</v>
      </c>
      <c r="H70" s="30">
        <v>1</v>
      </c>
      <c r="I70" s="30" t="s">
        <v>213</v>
      </c>
      <c r="J70" s="30"/>
      <c r="K70" s="30"/>
      <c r="L70" s="30"/>
    </row>
    <row r="71" spans="1:12">
      <c r="A71" s="30" t="s">
        <v>1457</v>
      </c>
      <c r="B71" s="30"/>
      <c r="C71" s="30"/>
      <c r="D71" s="30" t="s">
        <v>294</v>
      </c>
      <c r="E71" s="30" t="s">
        <v>120</v>
      </c>
      <c r="F71" s="30" t="s">
        <v>111</v>
      </c>
      <c r="G71" s="30" t="s">
        <v>1383</v>
      </c>
      <c r="H71" s="30">
        <v>1</v>
      </c>
      <c r="I71" s="30" t="s">
        <v>213</v>
      </c>
      <c r="J71" s="30"/>
      <c r="K71" s="30"/>
      <c r="L71" s="30"/>
    </row>
    <row r="72" spans="1:12">
      <c r="A72" s="30" t="s">
        <v>1457</v>
      </c>
      <c r="B72" s="30"/>
      <c r="C72" s="30"/>
      <c r="D72" s="30" t="s">
        <v>378</v>
      </c>
      <c r="E72" s="30" t="s">
        <v>120</v>
      </c>
      <c r="F72" s="30" t="s">
        <v>111</v>
      </c>
      <c r="G72" s="30" t="s">
        <v>1384</v>
      </c>
      <c r="H72" s="30">
        <v>1</v>
      </c>
      <c r="I72" s="30" t="s">
        <v>213</v>
      </c>
      <c r="J72" s="30"/>
      <c r="K72" s="30"/>
      <c r="L72" s="30"/>
    </row>
    <row r="73" spans="1:12">
      <c r="A73" s="30" t="s">
        <v>1457</v>
      </c>
      <c r="B73" s="30"/>
      <c r="C73" s="30"/>
      <c r="D73" s="30" t="s">
        <v>943</v>
      </c>
      <c r="E73" s="30" t="s">
        <v>120</v>
      </c>
      <c r="F73" s="30" t="s">
        <v>111</v>
      </c>
      <c r="G73" s="30" t="s">
        <v>1385</v>
      </c>
      <c r="H73" s="30">
        <v>1</v>
      </c>
      <c r="I73" s="30" t="s">
        <v>213</v>
      </c>
      <c r="J73" s="30"/>
      <c r="K73" s="30"/>
      <c r="L73" s="30"/>
    </row>
    <row r="74" spans="1:12">
      <c r="A74" s="30" t="s">
        <v>1457</v>
      </c>
      <c r="B74" s="30"/>
      <c r="C74" s="30"/>
      <c r="D74" s="30" t="s">
        <v>944</v>
      </c>
      <c r="E74" s="30" t="s">
        <v>120</v>
      </c>
      <c r="F74" s="30" t="s">
        <v>111</v>
      </c>
      <c r="G74" s="30" t="s">
        <v>1386</v>
      </c>
      <c r="H74" s="30">
        <v>1</v>
      </c>
      <c r="I74" s="30" t="s">
        <v>213</v>
      </c>
      <c r="J74" s="30"/>
      <c r="K74" s="30"/>
      <c r="L74" s="30"/>
    </row>
    <row r="75" spans="1:12">
      <c r="A75" s="30" t="s">
        <v>1457</v>
      </c>
      <c r="B75" s="30"/>
      <c r="C75" s="30"/>
      <c r="D75" s="30" t="s">
        <v>1405</v>
      </c>
      <c r="E75" s="30" t="s">
        <v>120</v>
      </c>
      <c r="F75" s="30" t="s">
        <v>111</v>
      </c>
      <c r="G75" s="30" t="s">
        <v>1387</v>
      </c>
      <c r="H75" s="30">
        <v>1</v>
      </c>
      <c r="I75" s="30" t="s">
        <v>213</v>
      </c>
      <c r="J75" s="30"/>
      <c r="K75" s="30"/>
      <c r="L75" s="30"/>
    </row>
    <row r="76" spans="1:12">
      <c r="A76" s="30" t="s">
        <v>1457</v>
      </c>
      <c r="B76" s="30"/>
      <c r="C76" s="30"/>
      <c r="D76" s="30" t="s">
        <v>1406</v>
      </c>
      <c r="E76" s="30" t="s">
        <v>120</v>
      </c>
      <c r="F76" s="30" t="s">
        <v>111</v>
      </c>
      <c r="G76" s="30" t="s">
        <v>1388</v>
      </c>
      <c r="H76" s="30">
        <v>1</v>
      </c>
      <c r="I76" s="30" t="s">
        <v>213</v>
      </c>
      <c r="J76" s="30"/>
      <c r="K76" s="30"/>
      <c r="L76" s="30"/>
    </row>
    <row r="77" spans="1:12">
      <c r="A77" s="30" t="s">
        <v>1457</v>
      </c>
      <c r="B77" s="30"/>
      <c r="C77" s="30"/>
      <c r="D77" s="30" t="s">
        <v>945</v>
      </c>
      <c r="E77" s="30" t="s">
        <v>120</v>
      </c>
      <c r="F77" s="30" t="s">
        <v>111</v>
      </c>
      <c r="G77" s="30" t="s">
        <v>1389</v>
      </c>
      <c r="H77" s="30">
        <v>1</v>
      </c>
      <c r="I77" s="30" t="s">
        <v>213</v>
      </c>
      <c r="J77" s="30"/>
      <c r="K77" s="30"/>
      <c r="L77" s="30"/>
    </row>
    <row r="78" spans="1:12">
      <c r="A78" s="30" t="s">
        <v>1457</v>
      </c>
      <c r="B78" s="30"/>
      <c r="C78" s="30"/>
      <c r="D78" s="30" t="s">
        <v>946</v>
      </c>
      <c r="E78" s="30" t="s">
        <v>120</v>
      </c>
      <c r="F78" s="30" t="s">
        <v>111</v>
      </c>
      <c r="G78" s="30" t="s">
        <v>1393</v>
      </c>
      <c r="H78" s="30">
        <v>1</v>
      </c>
      <c r="I78" s="30" t="s">
        <v>213</v>
      </c>
      <c r="J78" s="30"/>
      <c r="K78" s="30"/>
      <c r="L78" s="30"/>
    </row>
    <row r="79" spans="1:12">
      <c r="A79" s="30" t="s">
        <v>1457</v>
      </c>
      <c r="B79" s="30"/>
      <c r="C79" s="30"/>
      <c r="D79" s="30" t="s">
        <v>1407</v>
      </c>
      <c r="E79" s="30" t="s">
        <v>120</v>
      </c>
      <c r="F79" s="30" t="s">
        <v>111</v>
      </c>
      <c r="G79" s="30" t="s">
        <v>1394</v>
      </c>
      <c r="H79" s="30">
        <v>1</v>
      </c>
      <c r="I79" s="30" t="s">
        <v>213</v>
      </c>
      <c r="J79" s="30"/>
      <c r="K79" s="30"/>
      <c r="L79" s="30"/>
    </row>
    <row r="80" spans="1:12">
      <c r="A80" s="30" t="s">
        <v>1457</v>
      </c>
      <c r="B80" s="30"/>
      <c r="C80" s="30"/>
      <c r="D80" s="30" t="s">
        <v>1408</v>
      </c>
      <c r="E80" s="30" t="s">
        <v>120</v>
      </c>
      <c r="F80" s="30" t="s">
        <v>111</v>
      </c>
      <c r="G80" s="30" t="s">
        <v>1395</v>
      </c>
      <c r="H80" s="30">
        <v>1</v>
      </c>
      <c r="I80" s="30" t="s">
        <v>213</v>
      </c>
      <c r="J80" s="30"/>
      <c r="K80" s="30"/>
      <c r="L80" s="30"/>
    </row>
    <row r="81" spans="1:12">
      <c r="A81" s="30" t="s">
        <v>1457</v>
      </c>
      <c r="B81" s="30"/>
      <c r="C81" s="30"/>
      <c r="D81" s="30" t="s">
        <v>1409</v>
      </c>
      <c r="E81" s="30" t="s">
        <v>120</v>
      </c>
      <c r="F81" s="30" t="s">
        <v>111</v>
      </c>
      <c r="G81" s="30" t="s">
        <v>1396</v>
      </c>
      <c r="H81" s="30">
        <v>1</v>
      </c>
      <c r="I81" s="30" t="s">
        <v>213</v>
      </c>
      <c r="J81" s="30"/>
      <c r="K81" s="30"/>
      <c r="L81" s="30"/>
    </row>
    <row r="82" spans="1:12">
      <c r="A82" s="28"/>
      <c r="B82" s="28"/>
      <c r="C82" s="28"/>
      <c r="D82" s="28"/>
      <c r="E82" s="29" t="s">
        <v>1461</v>
      </c>
      <c r="F82" s="28"/>
      <c r="G82" s="28"/>
      <c r="H82" s="28"/>
      <c r="I82" s="28"/>
      <c r="J82" s="30"/>
      <c r="K82" s="30"/>
      <c r="L82" s="30"/>
    </row>
    <row r="83" spans="1:12">
      <c r="A83" s="30" t="s">
        <v>1457</v>
      </c>
      <c r="B83" s="30"/>
      <c r="C83" s="30"/>
      <c r="D83" s="30" t="s">
        <v>1348</v>
      </c>
      <c r="E83" s="30" t="s">
        <v>1323</v>
      </c>
      <c r="F83" s="30" t="s">
        <v>111</v>
      </c>
      <c r="G83" s="30" t="s">
        <v>1321</v>
      </c>
      <c r="H83" s="30"/>
      <c r="I83" s="30" t="s">
        <v>1322</v>
      </c>
      <c r="J83" s="30"/>
      <c r="K83" s="30"/>
      <c r="L83" s="30"/>
    </row>
    <row r="84" spans="1:12">
      <c r="A84" s="30" t="s">
        <v>1457</v>
      </c>
      <c r="B84" s="30"/>
      <c r="C84" s="30"/>
      <c r="D84" s="30" t="s">
        <v>1250</v>
      </c>
      <c r="E84" s="30" t="s">
        <v>115</v>
      </c>
      <c r="F84" s="30" t="s">
        <v>111</v>
      </c>
      <c r="G84" s="30"/>
      <c r="H84" s="30">
        <v>1</v>
      </c>
      <c r="I84" s="30" t="s">
        <v>114</v>
      </c>
      <c r="J84" s="30"/>
      <c r="K84" s="30"/>
      <c r="L84" s="30"/>
    </row>
    <row r="85" spans="1:12">
      <c r="A85" s="30" t="s">
        <v>1457</v>
      </c>
      <c r="B85" s="30"/>
      <c r="C85" s="30"/>
      <c r="D85" s="30" t="s">
        <v>1235</v>
      </c>
      <c r="E85" s="30" t="s">
        <v>120</v>
      </c>
      <c r="F85" s="30" t="s">
        <v>111</v>
      </c>
      <c r="G85" s="30"/>
      <c r="H85" s="30">
        <v>1</v>
      </c>
      <c r="I85" s="30" t="s">
        <v>114</v>
      </c>
      <c r="J85" s="30"/>
      <c r="K85" s="30"/>
      <c r="L85" s="30"/>
    </row>
    <row r="86" spans="1:12">
      <c r="A86" s="30" t="s">
        <v>1457</v>
      </c>
      <c r="B86" s="30"/>
      <c r="C86" s="30"/>
      <c r="D86" s="30" t="s">
        <v>1236</v>
      </c>
      <c r="E86" s="30" t="s">
        <v>115</v>
      </c>
      <c r="F86" s="30" t="s">
        <v>111</v>
      </c>
      <c r="G86" s="30"/>
      <c r="H86" s="30">
        <v>1</v>
      </c>
      <c r="I86" s="30" t="s">
        <v>232</v>
      </c>
      <c r="J86" s="30"/>
      <c r="K86" s="30"/>
      <c r="L86" s="30"/>
    </row>
    <row r="87" spans="1:12">
      <c r="A87" s="30" t="s">
        <v>1457</v>
      </c>
      <c r="B87" s="30"/>
      <c r="C87" s="30"/>
      <c r="D87" s="30" t="s">
        <v>1237</v>
      </c>
      <c r="E87" s="30" t="s">
        <v>127</v>
      </c>
      <c r="F87" s="30" t="s">
        <v>111</v>
      </c>
      <c r="G87" s="30" t="s">
        <v>1321</v>
      </c>
      <c r="H87" s="30">
        <v>1</v>
      </c>
      <c r="I87" s="30" t="s">
        <v>1322</v>
      </c>
      <c r="J87" s="30"/>
      <c r="K87" s="30"/>
      <c r="L87" s="30"/>
    </row>
    <row r="88" spans="1:12">
      <c r="A88" s="30" t="s">
        <v>1457</v>
      </c>
      <c r="B88" s="30"/>
      <c r="C88" s="30"/>
      <c r="D88" s="30" t="s">
        <v>296</v>
      </c>
      <c r="E88" s="30" t="s">
        <v>120</v>
      </c>
      <c r="F88" s="30" t="s">
        <v>111</v>
      </c>
      <c r="G88" s="30" t="s">
        <v>1376</v>
      </c>
      <c r="H88" s="30">
        <v>1</v>
      </c>
      <c r="I88" s="30" t="s">
        <v>213</v>
      </c>
      <c r="J88" s="30"/>
      <c r="K88" s="30"/>
      <c r="L88" s="30"/>
    </row>
    <row r="89" spans="1:12">
      <c r="A89" s="30" t="s">
        <v>1457</v>
      </c>
      <c r="B89" s="30"/>
      <c r="C89" s="30"/>
      <c r="D89" s="30" t="s">
        <v>1238</v>
      </c>
      <c r="E89" s="30" t="s">
        <v>120</v>
      </c>
      <c r="F89" s="30" t="s">
        <v>111</v>
      </c>
      <c r="G89" s="30" t="s">
        <v>1379</v>
      </c>
      <c r="H89" s="30">
        <v>1</v>
      </c>
      <c r="I89" s="30" t="s">
        <v>213</v>
      </c>
      <c r="J89" s="30"/>
      <c r="K89" s="30"/>
      <c r="L89" s="30"/>
    </row>
    <row r="90" spans="1:12">
      <c r="A90" s="30" t="s">
        <v>1457</v>
      </c>
      <c r="B90" s="30"/>
      <c r="C90" s="30"/>
      <c r="D90" s="30" t="s">
        <v>1342</v>
      </c>
      <c r="E90" s="30" t="s">
        <v>120</v>
      </c>
      <c r="F90" s="30" t="s">
        <v>111</v>
      </c>
      <c r="G90" s="30" t="s">
        <v>1380</v>
      </c>
      <c r="H90" s="30">
        <v>1</v>
      </c>
      <c r="I90" s="30" t="s">
        <v>213</v>
      </c>
      <c r="J90" s="30"/>
      <c r="K90" s="30"/>
      <c r="L90" s="30"/>
    </row>
    <row r="91" spans="1:12">
      <c r="A91" s="30" t="s">
        <v>1457</v>
      </c>
      <c r="B91" s="30"/>
      <c r="C91" s="30"/>
      <c r="D91" s="30" t="s">
        <v>1355</v>
      </c>
      <c r="E91" s="30" t="s">
        <v>120</v>
      </c>
      <c r="F91" s="30" t="s">
        <v>111</v>
      </c>
      <c r="G91" s="30" t="s">
        <v>1381</v>
      </c>
      <c r="H91" s="30">
        <v>1</v>
      </c>
      <c r="I91" s="30" t="s">
        <v>213</v>
      </c>
      <c r="J91" s="30"/>
      <c r="K91" s="30"/>
      <c r="L91" s="30"/>
    </row>
    <row r="92" spans="1:12">
      <c r="A92" s="30" t="s">
        <v>1457</v>
      </c>
      <c r="B92" s="30"/>
      <c r="C92" s="30"/>
      <c r="D92" s="30" t="s">
        <v>1362</v>
      </c>
      <c r="E92" s="30" t="s">
        <v>120</v>
      </c>
      <c r="F92" s="30" t="s">
        <v>111</v>
      </c>
      <c r="G92" s="30" t="s">
        <v>1382</v>
      </c>
      <c r="H92" s="30">
        <v>1</v>
      </c>
      <c r="I92" s="30" t="s">
        <v>213</v>
      </c>
      <c r="J92" s="30"/>
      <c r="K92" s="30"/>
      <c r="L92" s="30"/>
    </row>
    <row r="93" spans="1:12">
      <c r="A93" s="30" t="s">
        <v>1457</v>
      </c>
      <c r="B93" s="30"/>
      <c r="C93" s="30"/>
      <c r="D93" s="30" t="s">
        <v>297</v>
      </c>
      <c r="E93" s="30" t="s">
        <v>120</v>
      </c>
      <c r="F93" s="30" t="s">
        <v>111</v>
      </c>
      <c r="G93" s="30" t="s">
        <v>1383</v>
      </c>
      <c r="H93" s="30">
        <v>1</v>
      </c>
      <c r="I93" s="30" t="s">
        <v>213</v>
      </c>
      <c r="J93" s="30"/>
      <c r="K93" s="30"/>
      <c r="L93" s="30"/>
    </row>
    <row r="94" spans="1:12">
      <c r="A94" s="30" t="s">
        <v>1457</v>
      </c>
      <c r="B94" s="30"/>
      <c r="C94" s="30"/>
      <c r="D94" s="30" t="s">
        <v>387</v>
      </c>
      <c r="E94" s="30" t="s">
        <v>120</v>
      </c>
      <c r="F94" s="30" t="s">
        <v>111</v>
      </c>
      <c r="G94" s="30" t="s">
        <v>1384</v>
      </c>
      <c r="H94" s="30">
        <v>1</v>
      </c>
      <c r="I94" s="30" t="s">
        <v>213</v>
      </c>
      <c r="J94" s="30"/>
      <c r="K94" s="30"/>
      <c r="L94" s="30"/>
    </row>
    <row r="95" spans="1:12">
      <c r="A95" s="30" t="s">
        <v>1457</v>
      </c>
      <c r="B95" s="30"/>
      <c r="C95" s="30"/>
      <c r="D95" s="30" t="s">
        <v>959</v>
      </c>
      <c r="E95" s="30" t="s">
        <v>120</v>
      </c>
      <c r="F95" s="30" t="s">
        <v>111</v>
      </c>
      <c r="G95" s="30" t="s">
        <v>1385</v>
      </c>
      <c r="H95" s="30">
        <v>1</v>
      </c>
      <c r="I95" s="30" t="s">
        <v>213</v>
      </c>
      <c r="J95" s="30"/>
      <c r="K95" s="30"/>
      <c r="L95" s="30"/>
    </row>
    <row r="96" spans="1:12">
      <c r="A96" s="30" t="s">
        <v>1457</v>
      </c>
      <c r="B96" s="30"/>
      <c r="C96" s="30"/>
      <c r="D96" s="30" t="s">
        <v>960</v>
      </c>
      <c r="E96" s="30" t="s">
        <v>120</v>
      </c>
      <c r="F96" s="30" t="s">
        <v>111</v>
      </c>
      <c r="G96" s="30" t="s">
        <v>1386</v>
      </c>
      <c r="H96" s="30">
        <v>1</v>
      </c>
      <c r="I96" s="30" t="s">
        <v>213</v>
      </c>
      <c r="J96" s="30"/>
      <c r="K96" s="30"/>
      <c r="L96" s="30"/>
    </row>
    <row r="97" spans="1:12">
      <c r="A97" s="30" t="s">
        <v>1457</v>
      </c>
      <c r="B97" s="30"/>
      <c r="C97" s="30"/>
      <c r="D97" s="30" t="s">
        <v>1410</v>
      </c>
      <c r="E97" s="30" t="s">
        <v>120</v>
      </c>
      <c r="F97" s="30" t="s">
        <v>111</v>
      </c>
      <c r="G97" s="30" t="s">
        <v>1387</v>
      </c>
      <c r="H97" s="30">
        <v>1</v>
      </c>
      <c r="I97" s="30" t="s">
        <v>213</v>
      </c>
      <c r="J97" s="30"/>
      <c r="K97" s="30"/>
      <c r="L97" s="30"/>
    </row>
    <row r="98" spans="1:12">
      <c r="A98" s="30" t="s">
        <v>1457</v>
      </c>
      <c r="B98" s="30"/>
      <c r="C98" s="30"/>
      <c r="D98" s="30" t="s">
        <v>1411</v>
      </c>
      <c r="E98" s="30" t="s">
        <v>120</v>
      </c>
      <c r="F98" s="30" t="s">
        <v>111</v>
      </c>
      <c r="G98" s="30" t="s">
        <v>1388</v>
      </c>
      <c r="H98" s="30">
        <v>1</v>
      </c>
      <c r="I98" s="30" t="s">
        <v>213</v>
      </c>
      <c r="J98" s="30"/>
      <c r="K98" s="30"/>
      <c r="L98" s="30"/>
    </row>
    <row r="99" spans="1:12">
      <c r="A99" s="30" t="s">
        <v>1457</v>
      </c>
      <c r="B99" s="30"/>
      <c r="C99" s="30"/>
      <c r="D99" s="30" t="s">
        <v>961</v>
      </c>
      <c r="E99" s="30" t="s">
        <v>120</v>
      </c>
      <c r="F99" s="30" t="s">
        <v>111</v>
      </c>
      <c r="G99" s="30" t="s">
        <v>1389</v>
      </c>
      <c r="H99" s="30">
        <v>1</v>
      </c>
      <c r="I99" s="30" t="s">
        <v>213</v>
      </c>
      <c r="J99" s="30"/>
      <c r="K99" s="30"/>
      <c r="L99" s="30"/>
    </row>
    <row r="100" spans="1:12">
      <c r="A100" s="30" t="s">
        <v>1457</v>
      </c>
      <c r="B100" s="30"/>
      <c r="C100" s="30"/>
      <c r="D100" s="30" t="s">
        <v>962</v>
      </c>
      <c r="E100" s="30" t="s">
        <v>120</v>
      </c>
      <c r="F100" s="30" t="s">
        <v>111</v>
      </c>
      <c r="G100" s="30" t="s">
        <v>1393</v>
      </c>
      <c r="H100" s="30">
        <v>1</v>
      </c>
      <c r="I100" s="30" t="s">
        <v>213</v>
      </c>
      <c r="J100" s="30"/>
      <c r="K100" s="30"/>
      <c r="L100" s="30"/>
    </row>
    <row r="101" spans="1:12">
      <c r="A101" s="30" t="s">
        <v>1457</v>
      </c>
      <c r="B101" s="30"/>
      <c r="C101" s="30"/>
      <c r="D101" s="30" t="s">
        <v>1412</v>
      </c>
      <c r="E101" s="30" t="s">
        <v>120</v>
      </c>
      <c r="F101" s="30" t="s">
        <v>111</v>
      </c>
      <c r="G101" s="30" t="s">
        <v>1394</v>
      </c>
      <c r="H101" s="30">
        <v>1</v>
      </c>
      <c r="I101" s="30" t="s">
        <v>213</v>
      </c>
      <c r="J101" s="30"/>
      <c r="K101" s="30"/>
      <c r="L101" s="30"/>
    </row>
    <row r="102" spans="1:12">
      <c r="A102" s="30" t="s">
        <v>1457</v>
      </c>
      <c r="B102" s="30"/>
      <c r="C102" s="30"/>
      <c r="D102" s="30" t="s">
        <v>1413</v>
      </c>
      <c r="E102" s="30" t="s">
        <v>120</v>
      </c>
      <c r="F102" s="30" t="s">
        <v>111</v>
      </c>
      <c r="G102" s="30" t="s">
        <v>1395</v>
      </c>
      <c r="H102" s="30">
        <v>1</v>
      </c>
      <c r="I102" s="30" t="s">
        <v>213</v>
      </c>
      <c r="J102" s="30"/>
      <c r="K102" s="30"/>
      <c r="L102" s="30"/>
    </row>
    <row r="103" spans="1:12">
      <c r="A103" s="30" t="s">
        <v>1457</v>
      </c>
      <c r="B103" s="30"/>
      <c r="C103" s="30"/>
      <c r="D103" s="30" t="s">
        <v>1414</v>
      </c>
      <c r="E103" s="30" t="s">
        <v>120</v>
      </c>
      <c r="F103" s="30" t="s">
        <v>111</v>
      </c>
      <c r="G103" s="30" t="s">
        <v>1396</v>
      </c>
      <c r="H103" s="30">
        <v>1</v>
      </c>
      <c r="I103" s="30" t="s">
        <v>213</v>
      </c>
      <c r="J103" s="30"/>
      <c r="K103" s="30"/>
      <c r="L103" s="30"/>
    </row>
    <row r="104" spans="1:12">
      <c r="A104" s="28"/>
      <c r="B104" s="28"/>
      <c r="C104" s="28"/>
      <c r="D104" s="28"/>
      <c r="E104" s="29" t="s">
        <v>1462</v>
      </c>
      <c r="F104" s="28"/>
      <c r="G104" s="28"/>
      <c r="H104" s="28"/>
      <c r="I104" s="28"/>
      <c r="J104" s="30"/>
      <c r="K104" s="30"/>
      <c r="L104" s="30"/>
    </row>
    <row r="105" spans="1:12">
      <c r="A105" s="30" t="s">
        <v>1457</v>
      </c>
      <c r="B105" s="30"/>
      <c r="C105" s="30"/>
      <c r="D105" s="30" t="s">
        <v>1349</v>
      </c>
      <c r="E105" s="30" t="s">
        <v>1323</v>
      </c>
      <c r="F105" s="30" t="s">
        <v>111</v>
      </c>
      <c r="G105" s="30" t="s">
        <v>1321</v>
      </c>
      <c r="H105" s="30"/>
      <c r="I105" s="30" t="s">
        <v>1322</v>
      </c>
      <c r="J105" s="30"/>
      <c r="K105" s="30"/>
      <c r="L105" s="30"/>
    </row>
    <row r="106" spans="1:12">
      <c r="A106" s="30" t="s">
        <v>1457</v>
      </c>
      <c r="B106" s="30"/>
      <c r="C106" s="30"/>
      <c r="D106" s="30" t="s">
        <v>1251</v>
      </c>
      <c r="E106" s="30" t="s">
        <v>115</v>
      </c>
      <c r="F106" s="30" t="s">
        <v>111</v>
      </c>
      <c r="G106" s="30"/>
      <c r="H106" s="30">
        <v>1</v>
      </c>
      <c r="I106" s="30" t="s">
        <v>114</v>
      </c>
      <c r="J106" s="30"/>
      <c r="K106" s="30"/>
      <c r="L106" s="30"/>
    </row>
    <row r="107" spans="1:12">
      <c r="A107" s="30" t="s">
        <v>1457</v>
      </c>
      <c r="B107" s="30"/>
      <c r="C107" s="30"/>
      <c r="D107" s="30" t="s">
        <v>1239</v>
      </c>
      <c r="E107" s="30" t="s">
        <v>120</v>
      </c>
      <c r="F107" s="30" t="s">
        <v>111</v>
      </c>
      <c r="G107" s="30"/>
      <c r="H107" s="30">
        <v>1</v>
      </c>
      <c r="I107" s="30" t="s">
        <v>114</v>
      </c>
      <c r="J107" s="30"/>
      <c r="K107" s="30"/>
      <c r="L107" s="30"/>
    </row>
    <row r="108" spans="1:12">
      <c r="A108" s="30" t="s">
        <v>1457</v>
      </c>
      <c r="B108" s="30"/>
      <c r="C108" s="30"/>
      <c r="D108" s="30" t="s">
        <v>1240</v>
      </c>
      <c r="E108" s="30" t="s">
        <v>115</v>
      </c>
      <c r="F108" s="30" t="s">
        <v>111</v>
      </c>
      <c r="G108" s="30"/>
      <c r="H108" s="30">
        <v>1</v>
      </c>
      <c r="I108" s="30" t="s">
        <v>232</v>
      </c>
      <c r="J108" s="30"/>
      <c r="K108" s="30"/>
      <c r="L108" s="30"/>
    </row>
    <row r="109" spans="1:12">
      <c r="A109" s="30" t="s">
        <v>1457</v>
      </c>
      <c r="B109" s="30"/>
      <c r="C109" s="30"/>
      <c r="D109" s="30" t="s">
        <v>1241</v>
      </c>
      <c r="E109" s="30" t="s">
        <v>127</v>
      </c>
      <c r="F109" s="30" t="s">
        <v>111</v>
      </c>
      <c r="G109" s="30" t="s">
        <v>1321</v>
      </c>
      <c r="H109" s="30">
        <v>1</v>
      </c>
      <c r="I109" s="30" t="s">
        <v>1322</v>
      </c>
      <c r="J109" s="30"/>
      <c r="K109" s="30"/>
      <c r="L109" s="30"/>
    </row>
    <row r="110" spans="1:12">
      <c r="A110" s="30" t="s">
        <v>1457</v>
      </c>
      <c r="B110" s="30"/>
      <c r="C110" s="30"/>
      <c r="D110" s="30" t="s">
        <v>299</v>
      </c>
      <c r="E110" s="30" t="s">
        <v>120</v>
      </c>
      <c r="F110" s="30" t="s">
        <v>111</v>
      </c>
      <c r="G110" s="30" t="s">
        <v>1376</v>
      </c>
      <c r="H110" s="30">
        <v>1</v>
      </c>
      <c r="I110" s="30" t="s">
        <v>213</v>
      </c>
      <c r="J110" s="30"/>
      <c r="K110" s="30"/>
      <c r="L110" s="30"/>
    </row>
    <row r="111" spans="1:12">
      <c r="A111" s="30" t="s">
        <v>1457</v>
      </c>
      <c r="B111" s="30"/>
      <c r="C111" s="30"/>
      <c r="D111" s="30" t="s">
        <v>1242</v>
      </c>
      <c r="E111" s="30" t="s">
        <v>120</v>
      </c>
      <c r="F111" s="30" t="s">
        <v>111</v>
      </c>
      <c r="G111" s="30" t="s">
        <v>1379</v>
      </c>
      <c r="H111" s="30">
        <v>1</v>
      </c>
      <c r="I111" s="30" t="s">
        <v>213</v>
      </c>
      <c r="J111" s="30"/>
      <c r="K111" s="30"/>
      <c r="L111" s="30"/>
    </row>
    <row r="112" spans="1:12">
      <c r="A112" s="30" t="s">
        <v>1457</v>
      </c>
      <c r="B112" s="30"/>
      <c r="C112" s="30"/>
      <c r="D112" s="30" t="s">
        <v>1343</v>
      </c>
      <c r="E112" s="30" t="s">
        <v>120</v>
      </c>
      <c r="F112" s="30" t="s">
        <v>111</v>
      </c>
      <c r="G112" s="30" t="s">
        <v>1380</v>
      </c>
      <c r="H112" s="30">
        <v>1</v>
      </c>
      <c r="I112" s="30" t="s">
        <v>213</v>
      </c>
      <c r="J112" s="30"/>
      <c r="K112" s="30"/>
      <c r="L112" s="30"/>
    </row>
    <row r="113" spans="1:12">
      <c r="A113" s="30" t="s">
        <v>1457</v>
      </c>
      <c r="B113" s="30"/>
      <c r="C113" s="30"/>
      <c r="D113" s="30" t="s">
        <v>1356</v>
      </c>
      <c r="E113" s="30" t="s">
        <v>120</v>
      </c>
      <c r="F113" s="30" t="s">
        <v>111</v>
      </c>
      <c r="G113" s="30" t="s">
        <v>1381</v>
      </c>
      <c r="H113" s="30">
        <v>1</v>
      </c>
      <c r="I113" s="30" t="s">
        <v>213</v>
      </c>
      <c r="J113" s="30"/>
      <c r="K113" s="30"/>
      <c r="L113" s="30"/>
    </row>
    <row r="114" spans="1:12">
      <c r="A114" s="30" t="s">
        <v>1457</v>
      </c>
      <c r="B114" s="30"/>
      <c r="C114" s="30"/>
      <c r="D114" s="30" t="s">
        <v>1363</v>
      </c>
      <c r="E114" s="30" t="s">
        <v>120</v>
      </c>
      <c r="F114" s="30" t="s">
        <v>111</v>
      </c>
      <c r="G114" s="30" t="s">
        <v>1382</v>
      </c>
      <c r="H114" s="30">
        <v>1</v>
      </c>
      <c r="I114" s="30" t="s">
        <v>213</v>
      </c>
      <c r="J114" s="30"/>
      <c r="K114" s="30"/>
      <c r="L114" s="30"/>
    </row>
    <row r="115" spans="1:12">
      <c r="A115" s="30" t="s">
        <v>1457</v>
      </c>
      <c r="B115" s="30"/>
      <c r="C115" s="30"/>
      <c r="D115" s="30" t="s">
        <v>300</v>
      </c>
      <c r="E115" s="30" t="s">
        <v>120</v>
      </c>
      <c r="F115" s="30" t="s">
        <v>111</v>
      </c>
      <c r="G115" s="30" t="s">
        <v>1383</v>
      </c>
      <c r="H115" s="30">
        <v>1</v>
      </c>
      <c r="I115" s="30" t="s">
        <v>213</v>
      </c>
      <c r="J115" s="30"/>
      <c r="K115" s="30"/>
      <c r="L115" s="30"/>
    </row>
    <row r="116" spans="1:12">
      <c r="A116" s="30" t="s">
        <v>1457</v>
      </c>
      <c r="B116" s="30"/>
      <c r="C116" s="30"/>
      <c r="D116" s="30" t="s">
        <v>361</v>
      </c>
      <c r="E116" s="30" t="s">
        <v>120</v>
      </c>
      <c r="F116" s="30" t="s">
        <v>111</v>
      </c>
      <c r="G116" s="30" t="s">
        <v>1384</v>
      </c>
      <c r="H116" s="30">
        <v>1</v>
      </c>
      <c r="I116" s="30" t="s">
        <v>213</v>
      </c>
      <c r="J116" s="30"/>
      <c r="K116" s="30"/>
      <c r="L116" s="30"/>
    </row>
    <row r="117" spans="1:12">
      <c r="A117" s="30" t="s">
        <v>1457</v>
      </c>
      <c r="B117" s="30"/>
      <c r="C117" s="30"/>
      <c r="D117" s="30" t="s">
        <v>975</v>
      </c>
      <c r="E117" s="30" t="s">
        <v>120</v>
      </c>
      <c r="F117" s="30" t="s">
        <v>111</v>
      </c>
      <c r="G117" s="30" t="s">
        <v>1385</v>
      </c>
      <c r="H117" s="30">
        <v>1</v>
      </c>
      <c r="I117" s="30" t="s">
        <v>213</v>
      </c>
      <c r="J117" s="30"/>
      <c r="K117" s="30"/>
      <c r="L117" s="30"/>
    </row>
    <row r="118" spans="1:12">
      <c r="A118" s="30" t="s">
        <v>1457</v>
      </c>
      <c r="B118" s="30"/>
      <c r="C118" s="30"/>
      <c r="D118" s="30" t="s">
        <v>976</v>
      </c>
      <c r="E118" s="30" t="s">
        <v>120</v>
      </c>
      <c r="F118" s="30" t="s">
        <v>111</v>
      </c>
      <c r="G118" s="30" t="s">
        <v>1386</v>
      </c>
      <c r="H118" s="30">
        <v>1</v>
      </c>
      <c r="I118" s="30" t="s">
        <v>213</v>
      </c>
      <c r="J118" s="30"/>
      <c r="K118" s="30"/>
      <c r="L118" s="30"/>
    </row>
    <row r="119" spans="1:12">
      <c r="A119" s="30" t="s">
        <v>1457</v>
      </c>
      <c r="B119" s="30"/>
      <c r="C119" s="30"/>
      <c r="D119" s="30" t="s">
        <v>1415</v>
      </c>
      <c r="E119" s="30" t="s">
        <v>120</v>
      </c>
      <c r="F119" s="30" t="s">
        <v>111</v>
      </c>
      <c r="G119" s="30" t="s">
        <v>1387</v>
      </c>
      <c r="H119" s="30">
        <v>1</v>
      </c>
      <c r="I119" s="30" t="s">
        <v>213</v>
      </c>
      <c r="J119" s="30"/>
      <c r="K119" s="30"/>
      <c r="L119" s="30"/>
    </row>
    <row r="120" spans="1:12">
      <c r="A120" s="30" t="s">
        <v>1457</v>
      </c>
      <c r="B120" s="30"/>
      <c r="C120" s="30"/>
      <c r="D120" s="30" t="s">
        <v>1416</v>
      </c>
      <c r="E120" s="30" t="s">
        <v>120</v>
      </c>
      <c r="F120" s="30" t="s">
        <v>111</v>
      </c>
      <c r="G120" s="30" t="s">
        <v>1388</v>
      </c>
      <c r="H120" s="30">
        <v>1</v>
      </c>
      <c r="I120" s="30" t="s">
        <v>213</v>
      </c>
      <c r="J120" s="30"/>
      <c r="K120" s="30"/>
      <c r="L120" s="30"/>
    </row>
    <row r="121" spans="1:12">
      <c r="A121" s="30" t="s">
        <v>1457</v>
      </c>
      <c r="B121" s="30"/>
      <c r="C121" s="30"/>
      <c r="D121" s="30" t="s">
        <v>977</v>
      </c>
      <c r="E121" s="30" t="s">
        <v>120</v>
      </c>
      <c r="F121" s="30" t="s">
        <v>111</v>
      </c>
      <c r="G121" s="30" t="s">
        <v>1389</v>
      </c>
      <c r="H121" s="30">
        <v>1</v>
      </c>
      <c r="I121" s="30" t="s">
        <v>213</v>
      </c>
      <c r="J121" s="30"/>
      <c r="K121" s="30"/>
      <c r="L121" s="30"/>
    </row>
    <row r="122" spans="1:12">
      <c r="A122" s="30" t="s">
        <v>1457</v>
      </c>
      <c r="B122" s="30"/>
      <c r="C122" s="30"/>
      <c r="D122" s="30" t="s">
        <v>978</v>
      </c>
      <c r="E122" s="30" t="s">
        <v>120</v>
      </c>
      <c r="F122" s="30" t="s">
        <v>111</v>
      </c>
      <c r="G122" s="30" t="s">
        <v>1393</v>
      </c>
      <c r="H122" s="30">
        <v>1</v>
      </c>
      <c r="I122" s="30" t="s">
        <v>213</v>
      </c>
      <c r="J122" s="30"/>
      <c r="K122" s="30"/>
      <c r="L122" s="30"/>
    </row>
    <row r="123" spans="1:12">
      <c r="A123" s="30" t="s">
        <v>1457</v>
      </c>
      <c r="B123" s="30"/>
      <c r="C123" s="30"/>
      <c r="D123" s="30" t="s">
        <v>1417</v>
      </c>
      <c r="E123" s="30" t="s">
        <v>120</v>
      </c>
      <c r="F123" s="30" t="s">
        <v>111</v>
      </c>
      <c r="G123" s="30" t="s">
        <v>1394</v>
      </c>
      <c r="H123" s="30">
        <v>1</v>
      </c>
      <c r="I123" s="30" t="s">
        <v>213</v>
      </c>
      <c r="J123" s="30"/>
      <c r="K123" s="30"/>
      <c r="L123" s="30"/>
    </row>
    <row r="124" spans="1:12">
      <c r="A124" s="30" t="s">
        <v>1457</v>
      </c>
      <c r="B124" s="30"/>
      <c r="C124" s="30"/>
      <c r="D124" s="30" t="s">
        <v>1418</v>
      </c>
      <c r="E124" s="30" t="s">
        <v>120</v>
      </c>
      <c r="F124" s="30" t="s">
        <v>111</v>
      </c>
      <c r="G124" s="30" t="s">
        <v>1395</v>
      </c>
      <c r="H124" s="30">
        <v>1</v>
      </c>
      <c r="I124" s="30" t="s">
        <v>213</v>
      </c>
      <c r="J124" s="30"/>
      <c r="K124" s="30"/>
      <c r="L124" s="30"/>
    </row>
    <row r="125" spans="1:12">
      <c r="A125" s="30" t="s">
        <v>1457</v>
      </c>
      <c r="B125" s="30"/>
      <c r="C125" s="30"/>
      <c r="D125" s="30" t="s">
        <v>1419</v>
      </c>
      <c r="E125" s="30" t="s">
        <v>120</v>
      </c>
      <c r="F125" s="30" t="s">
        <v>111</v>
      </c>
      <c r="G125" s="30" t="s">
        <v>1396</v>
      </c>
      <c r="H125" s="30">
        <v>1</v>
      </c>
      <c r="I125" s="30" t="s">
        <v>213</v>
      </c>
      <c r="J125" s="30"/>
      <c r="K125" s="30"/>
      <c r="L125" s="30"/>
    </row>
    <row r="126" spans="1:12">
      <c r="A126" s="28"/>
      <c r="B126" s="28"/>
      <c r="C126" s="28"/>
      <c r="D126" s="28"/>
      <c r="E126" s="29" t="s">
        <v>1463</v>
      </c>
      <c r="F126" s="28"/>
      <c r="G126" s="28"/>
      <c r="H126" s="28"/>
      <c r="I126" s="28"/>
      <c r="J126" s="30"/>
      <c r="K126" s="30"/>
      <c r="L126" s="30"/>
    </row>
    <row r="127" spans="1:12">
      <c r="A127" s="30" t="s">
        <v>1457</v>
      </c>
      <c r="B127" s="30"/>
      <c r="C127" s="30"/>
      <c r="D127" s="30" t="s">
        <v>1350</v>
      </c>
      <c r="E127" s="30" t="s">
        <v>1323</v>
      </c>
      <c r="F127" s="30" t="s">
        <v>111</v>
      </c>
      <c r="G127" s="30" t="s">
        <v>1321</v>
      </c>
      <c r="H127" s="30"/>
      <c r="I127" s="30" t="s">
        <v>1322</v>
      </c>
      <c r="J127" s="30"/>
      <c r="K127" s="30"/>
      <c r="L127" s="30"/>
    </row>
    <row r="128" spans="1:12">
      <c r="A128" s="30" t="s">
        <v>1457</v>
      </c>
      <c r="B128" s="30"/>
      <c r="C128" s="30"/>
      <c r="D128" s="30" t="s">
        <v>1252</v>
      </c>
      <c r="E128" s="30" t="s">
        <v>115</v>
      </c>
      <c r="F128" s="30" t="s">
        <v>111</v>
      </c>
      <c r="G128" s="30"/>
      <c r="H128" s="30">
        <v>1</v>
      </c>
      <c r="I128" s="30" t="s">
        <v>114</v>
      </c>
      <c r="J128" s="30"/>
      <c r="K128" s="30"/>
      <c r="L128" s="30"/>
    </row>
    <row r="129" spans="1:12">
      <c r="A129" s="30" t="s">
        <v>1457</v>
      </c>
      <c r="B129" s="30"/>
      <c r="C129" s="30"/>
      <c r="D129" s="30" t="s">
        <v>1243</v>
      </c>
      <c r="E129" s="30" t="s">
        <v>120</v>
      </c>
      <c r="F129" s="30" t="s">
        <v>111</v>
      </c>
      <c r="G129" s="30"/>
      <c r="H129" s="30">
        <v>1</v>
      </c>
      <c r="I129" s="30" t="s">
        <v>114</v>
      </c>
      <c r="J129" s="30"/>
      <c r="K129" s="30"/>
      <c r="L129" s="30"/>
    </row>
    <row r="130" spans="1:12">
      <c r="A130" s="30" t="s">
        <v>1457</v>
      </c>
      <c r="B130" s="30"/>
      <c r="C130" s="30"/>
      <c r="D130" s="30" t="s">
        <v>1244</v>
      </c>
      <c r="E130" s="30" t="s">
        <v>115</v>
      </c>
      <c r="F130" s="30" t="s">
        <v>111</v>
      </c>
      <c r="G130" s="30"/>
      <c r="H130" s="30">
        <v>1</v>
      </c>
      <c r="I130" s="30" t="s">
        <v>232</v>
      </c>
      <c r="J130" s="30"/>
      <c r="K130" s="30"/>
      <c r="L130" s="30"/>
    </row>
    <row r="131" spans="1:12">
      <c r="A131" s="30" t="s">
        <v>1457</v>
      </c>
      <c r="B131" s="30"/>
      <c r="C131" s="30"/>
      <c r="D131" s="30" t="s">
        <v>1245</v>
      </c>
      <c r="E131" s="30" t="s">
        <v>127</v>
      </c>
      <c r="F131" s="30" t="s">
        <v>111</v>
      </c>
      <c r="G131" s="30" t="s">
        <v>1321</v>
      </c>
      <c r="H131" s="30">
        <v>1</v>
      </c>
      <c r="I131" s="30" t="s">
        <v>1322</v>
      </c>
      <c r="J131" s="30"/>
      <c r="K131" s="30"/>
      <c r="L131" s="30"/>
    </row>
    <row r="132" spans="1:12">
      <c r="A132" s="30" t="s">
        <v>1457</v>
      </c>
      <c r="B132" s="30"/>
      <c r="C132" s="30"/>
      <c r="D132" s="30" t="s">
        <v>302</v>
      </c>
      <c r="E132" s="30" t="s">
        <v>120</v>
      </c>
      <c r="F132" s="30" t="s">
        <v>111</v>
      </c>
      <c r="G132" s="30" t="s">
        <v>1376</v>
      </c>
      <c r="H132" s="30">
        <v>1</v>
      </c>
      <c r="I132" s="30" t="s">
        <v>213</v>
      </c>
      <c r="J132" s="30"/>
      <c r="K132" s="30"/>
      <c r="L132" s="30"/>
    </row>
    <row r="133" spans="1:12">
      <c r="A133" s="30" t="s">
        <v>1457</v>
      </c>
      <c r="B133" s="30"/>
      <c r="C133" s="30"/>
      <c r="D133" s="30" t="s">
        <v>1246</v>
      </c>
      <c r="E133" s="30" t="s">
        <v>120</v>
      </c>
      <c r="F133" s="30" t="s">
        <v>111</v>
      </c>
      <c r="G133" s="30" t="s">
        <v>1379</v>
      </c>
      <c r="H133" s="30">
        <v>1</v>
      </c>
      <c r="I133" s="30" t="s">
        <v>213</v>
      </c>
      <c r="J133" s="30"/>
      <c r="K133" s="30"/>
      <c r="L133" s="30"/>
    </row>
    <row r="134" spans="1:12">
      <c r="A134" s="30" t="s">
        <v>1457</v>
      </c>
      <c r="B134" s="30"/>
      <c r="C134" s="30"/>
      <c r="D134" s="30" t="s">
        <v>1344</v>
      </c>
      <c r="E134" s="30" t="s">
        <v>120</v>
      </c>
      <c r="F134" s="30" t="s">
        <v>111</v>
      </c>
      <c r="G134" s="30" t="s">
        <v>1380</v>
      </c>
      <c r="H134" s="30">
        <v>1</v>
      </c>
      <c r="I134" s="30" t="s">
        <v>213</v>
      </c>
      <c r="J134" s="30"/>
      <c r="K134" s="30"/>
      <c r="L134" s="30"/>
    </row>
    <row r="135" spans="1:12">
      <c r="A135" s="30" t="s">
        <v>1457</v>
      </c>
      <c r="B135" s="30"/>
      <c r="C135" s="30"/>
      <c r="D135" s="30" t="s">
        <v>1357</v>
      </c>
      <c r="E135" s="30" t="s">
        <v>120</v>
      </c>
      <c r="F135" s="30" t="s">
        <v>111</v>
      </c>
      <c r="G135" s="30" t="s">
        <v>1381</v>
      </c>
      <c r="H135" s="30">
        <v>1</v>
      </c>
      <c r="I135" s="30" t="s">
        <v>213</v>
      </c>
      <c r="J135" s="30"/>
      <c r="K135" s="30"/>
      <c r="L135" s="30"/>
    </row>
    <row r="136" spans="1:12">
      <c r="A136" s="30" t="s">
        <v>1457</v>
      </c>
      <c r="B136" s="30"/>
      <c r="C136" s="30"/>
      <c r="D136" s="30" t="s">
        <v>1364</v>
      </c>
      <c r="E136" s="30" t="s">
        <v>120</v>
      </c>
      <c r="F136" s="30" t="s">
        <v>111</v>
      </c>
      <c r="G136" s="30" t="s">
        <v>1382</v>
      </c>
      <c r="H136" s="30">
        <v>1</v>
      </c>
      <c r="I136" s="30" t="s">
        <v>213</v>
      </c>
      <c r="J136" s="30"/>
      <c r="K136" s="30"/>
      <c r="L136" s="30"/>
    </row>
    <row r="137" spans="1:12">
      <c r="A137" s="30" t="s">
        <v>1457</v>
      </c>
      <c r="B137" s="30"/>
      <c r="C137" s="30"/>
      <c r="D137" s="30" t="s">
        <v>303</v>
      </c>
      <c r="E137" s="30" t="s">
        <v>120</v>
      </c>
      <c r="F137" s="30" t="s">
        <v>111</v>
      </c>
      <c r="G137" s="30" t="s">
        <v>1383</v>
      </c>
      <c r="H137" s="30">
        <v>1</v>
      </c>
      <c r="I137" s="30" t="s">
        <v>213</v>
      </c>
      <c r="J137" s="30"/>
      <c r="K137" s="30"/>
      <c r="L137" s="30"/>
    </row>
    <row r="138" spans="1:12">
      <c r="A138" s="30" t="s">
        <v>1457</v>
      </c>
      <c r="B138" s="30"/>
      <c r="C138" s="30"/>
      <c r="D138" s="30" t="s">
        <v>351</v>
      </c>
      <c r="E138" s="30" t="s">
        <v>120</v>
      </c>
      <c r="F138" s="30" t="s">
        <v>111</v>
      </c>
      <c r="G138" s="30" t="s">
        <v>1384</v>
      </c>
      <c r="H138" s="30">
        <v>1</v>
      </c>
      <c r="I138" s="30" t="s">
        <v>213</v>
      </c>
      <c r="J138" s="30"/>
      <c r="K138" s="30"/>
      <c r="L138" s="30"/>
    </row>
    <row r="139" spans="1:12">
      <c r="A139" s="30" t="s">
        <v>1457</v>
      </c>
      <c r="B139" s="30"/>
      <c r="C139" s="30"/>
      <c r="D139" s="30" t="s">
        <v>911</v>
      </c>
      <c r="E139" s="30" t="s">
        <v>120</v>
      </c>
      <c r="F139" s="30" t="s">
        <v>111</v>
      </c>
      <c r="G139" s="30" t="s">
        <v>1385</v>
      </c>
      <c r="H139" s="30">
        <v>1</v>
      </c>
      <c r="I139" s="30" t="s">
        <v>213</v>
      </c>
      <c r="J139" s="30"/>
      <c r="K139" s="30"/>
      <c r="L139" s="30"/>
    </row>
    <row r="140" spans="1:12">
      <c r="A140" s="30" t="s">
        <v>1457</v>
      </c>
      <c r="B140" s="30"/>
      <c r="C140" s="30"/>
      <c r="D140" s="30" t="s">
        <v>912</v>
      </c>
      <c r="E140" s="30" t="s">
        <v>120</v>
      </c>
      <c r="F140" s="30" t="s">
        <v>111</v>
      </c>
      <c r="G140" s="30" t="s">
        <v>1386</v>
      </c>
      <c r="H140" s="30">
        <v>1</v>
      </c>
      <c r="I140" s="30" t="s">
        <v>213</v>
      </c>
      <c r="J140" s="30"/>
      <c r="K140" s="30"/>
      <c r="L140" s="30"/>
    </row>
    <row r="141" spans="1:12">
      <c r="A141" s="30" t="s">
        <v>1457</v>
      </c>
      <c r="B141" s="30"/>
      <c r="C141" s="30"/>
      <c r="D141" s="30" t="s">
        <v>1420</v>
      </c>
      <c r="E141" s="30" t="s">
        <v>120</v>
      </c>
      <c r="F141" s="30" t="s">
        <v>111</v>
      </c>
      <c r="G141" s="30" t="s">
        <v>1387</v>
      </c>
      <c r="H141" s="30">
        <v>1</v>
      </c>
      <c r="I141" s="30" t="s">
        <v>213</v>
      </c>
      <c r="J141" s="30"/>
      <c r="K141" s="30"/>
      <c r="L141" s="30"/>
    </row>
    <row r="142" spans="1:12">
      <c r="A142" s="30" t="s">
        <v>1457</v>
      </c>
      <c r="B142" s="30"/>
      <c r="C142" s="30"/>
      <c r="D142" s="30" t="s">
        <v>1421</v>
      </c>
      <c r="E142" s="30" t="s">
        <v>120</v>
      </c>
      <c r="F142" s="30" t="s">
        <v>111</v>
      </c>
      <c r="G142" s="30" t="s">
        <v>1388</v>
      </c>
      <c r="H142" s="30">
        <v>1</v>
      </c>
      <c r="I142" s="30" t="s">
        <v>213</v>
      </c>
      <c r="J142" s="30"/>
      <c r="K142" s="30"/>
      <c r="L142" s="30"/>
    </row>
    <row r="143" spans="1:12">
      <c r="A143" s="30" t="s">
        <v>1457</v>
      </c>
      <c r="B143" s="30"/>
      <c r="C143" s="30"/>
      <c r="D143" s="30" t="s">
        <v>913</v>
      </c>
      <c r="E143" s="30" t="s">
        <v>120</v>
      </c>
      <c r="F143" s="30" t="s">
        <v>111</v>
      </c>
      <c r="G143" s="30" t="s">
        <v>1389</v>
      </c>
      <c r="H143" s="30">
        <v>1</v>
      </c>
      <c r="I143" s="30" t="s">
        <v>213</v>
      </c>
      <c r="J143" s="30"/>
      <c r="K143" s="30"/>
      <c r="L143" s="30"/>
    </row>
    <row r="144" spans="1:12">
      <c r="A144" s="30" t="s">
        <v>1457</v>
      </c>
      <c r="B144" s="30"/>
      <c r="C144" s="30"/>
      <c r="D144" s="30" t="s">
        <v>914</v>
      </c>
      <c r="E144" s="30" t="s">
        <v>120</v>
      </c>
      <c r="F144" s="30" t="s">
        <v>111</v>
      </c>
      <c r="G144" s="30" t="s">
        <v>1393</v>
      </c>
      <c r="H144" s="30">
        <v>1</v>
      </c>
      <c r="I144" s="30" t="s">
        <v>213</v>
      </c>
      <c r="J144" s="30"/>
      <c r="K144" s="30"/>
      <c r="L144" s="30"/>
    </row>
    <row r="145" spans="1:12">
      <c r="A145" s="30" t="s">
        <v>1457</v>
      </c>
      <c r="B145" s="30"/>
      <c r="C145" s="30"/>
      <c r="D145" s="30" t="s">
        <v>1422</v>
      </c>
      <c r="E145" s="30" t="s">
        <v>120</v>
      </c>
      <c r="F145" s="30" t="s">
        <v>111</v>
      </c>
      <c r="G145" s="30" t="s">
        <v>1394</v>
      </c>
      <c r="H145" s="30">
        <v>1</v>
      </c>
      <c r="I145" s="30" t="s">
        <v>213</v>
      </c>
      <c r="J145" s="30"/>
      <c r="K145" s="30"/>
      <c r="L145" s="30"/>
    </row>
    <row r="146" spans="1:12">
      <c r="A146" s="30" t="s">
        <v>1457</v>
      </c>
      <c r="B146" s="30"/>
      <c r="C146" s="30"/>
      <c r="D146" s="30" t="s">
        <v>1423</v>
      </c>
      <c r="E146" s="30" t="s">
        <v>120</v>
      </c>
      <c r="F146" s="30" t="s">
        <v>111</v>
      </c>
      <c r="G146" s="30" t="s">
        <v>1395</v>
      </c>
      <c r="H146" s="30">
        <v>1</v>
      </c>
      <c r="I146" s="30" t="s">
        <v>213</v>
      </c>
      <c r="J146" s="30"/>
      <c r="K146" s="30"/>
      <c r="L146" s="30"/>
    </row>
    <row r="147" spans="1:12">
      <c r="A147" s="30" t="s">
        <v>1457</v>
      </c>
      <c r="B147" s="30"/>
      <c r="C147" s="30"/>
      <c r="D147" s="30" t="s">
        <v>1424</v>
      </c>
      <c r="E147" s="30" t="s">
        <v>120</v>
      </c>
      <c r="F147" s="30" t="s">
        <v>111</v>
      </c>
      <c r="G147" s="30" t="s">
        <v>1396</v>
      </c>
      <c r="H147" s="30">
        <v>1</v>
      </c>
      <c r="I147" s="30" t="s">
        <v>213</v>
      </c>
      <c r="J147" s="30"/>
      <c r="K147" s="30"/>
      <c r="L147" s="30"/>
    </row>
    <row r="148" spans="1:12">
      <c r="A148" s="28"/>
      <c r="B148" s="28"/>
      <c r="C148" s="28"/>
      <c r="D148" s="28"/>
      <c r="E148" s="29" t="s">
        <v>1464</v>
      </c>
      <c r="F148" s="28"/>
      <c r="G148" s="28"/>
      <c r="H148" s="28"/>
      <c r="I148" s="28"/>
      <c r="J148" s="30"/>
      <c r="K148" s="30"/>
      <c r="L148" s="30"/>
    </row>
    <row r="149" spans="1:12">
      <c r="A149" s="30" t="s">
        <v>1457</v>
      </c>
      <c r="B149" s="30"/>
      <c r="C149" s="30"/>
      <c r="D149" s="30" t="s">
        <v>1351</v>
      </c>
      <c r="E149" s="30" t="s">
        <v>1323</v>
      </c>
      <c r="F149" s="30" t="s">
        <v>111</v>
      </c>
      <c r="G149" s="30" t="s">
        <v>1321</v>
      </c>
      <c r="H149" s="30"/>
      <c r="I149" s="30" t="s">
        <v>1322</v>
      </c>
      <c r="J149" s="30"/>
      <c r="K149" s="30"/>
      <c r="L149" s="30"/>
    </row>
    <row r="150" spans="1:12">
      <c r="A150" s="30" t="s">
        <v>1457</v>
      </c>
      <c r="B150" s="30"/>
      <c r="C150" s="30"/>
      <c r="D150" s="30" t="s">
        <v>1253</v>
      </c>
      <c r="E150" s="30" t="s">
        <v>115</v>
      </c>
      <c r="F150" s="30" t="s">
        <v>111</v>
      </c>
      <c r="G150" s="30"/>
      <c r="H150" s="30">
        <v>1</v>
      </c>
      <c r="I150" s="30" t="s">
        <v>114</v>
      </c>
      <c r="J150" s="30"/>
      <c r="K150" s="30"/>
      <c r="L150" s="30"/>
    </row>
    <row r="151" spans="1:12">
      <c r="A151" s="30" t="s">
        <v>1457</v>
      </c>
      <c r="B151" s="30"/>
      <c r="C151" s="30"/>
      <c r="D151" s="30" t="s">
        <v>1254</v>
      </c>
      <c r="E151" s="30" t="s">
        <v>120</v>
      </c>
      <c r="F151" s="30" t="s">
        <v>111</v>
      </c>
      <c r="G151" s="30"/>
      <c r="H151" s="30">
        <v>1</v>
      </c>
      <c r="I151" s="30" t="s">
        <v>114</v>
      </c>
      <c r="J151" s="30"/>
      <c r="K151" s="30"/>
      <c r="L151" s="30"/>
    </row>
    <row r="152" spans="1:12">
      <c r="A152" s="30" t="s">
        <v>1457</v>
      </c>
      <c r="B152" s="30"/>
      <c r="C152" s="30"/>
      <c r="D152" s="30" t="s">
        <v>1255</v>
      </c>
      <c r="E152" s="30" t="s">
        <v>115</v>
      </c>
      <c r="F152" s="30" t="s">
        <v>111</v>
      </c>
      <c r="G152" s="30"/>
      <c r="H152" s="30">
        <v>1</v>
      </c>
      <c r="I152" s="30" t="s">
        <v>232</v>
      </c>
      <c r="J152" s="30"/>
      <c r="K152" s="30"/>
      <c r="L152" s="30"/>
    </row>
    <row r="153" spans="1:12">
      <c r="A153" s="30" t="s">
        <v>1457</v>
      </c>
      <c r="B153" s="30"/>
      <c r="C153" s="30"/>
      <c r="D153" s="30" t="s">
        <v>1256</v>
      </c>
      <c r="E153" s="30" t="s">
        <v>127</v>
      </c>
      <c r="F153" s="30" t="s">
        <v>111</v>
      </c>
      <c r="G153" s="30" t="s">
        <v>1321</v>
      </c>
      <c r="H153" s="30">
        <v>1</v>
      </c>
      <c r="I153" s="30" t="s">
        <v>1322</v>
      </c>
      <c r="J153" s="30"/>
      <c r="K153" s="30"/>
      <c r="L153" s="30"/>
    </row>
    <row r="154" spans="1:12">
      <c r="A154" s="30" t="s">
        <v>1457</v>
      </c>
      <c r="B154" s="30"/>
      <c r="C154" s="30"/>
      <c r="D154" s="30" t="s">
        <v>398</v>
      </c>
      <c r="E154" s="30" t="s">
        <v>120</v>
      </c>
      <c r="F154" s="30" t="s">
        <v>111</v>
      </c>
      <c r="G154" s="30" t="s">
        <v>1376</v>
      </c>
      <c r="H154" s="30">
        <v>1</v>
      </c>
      <c r="I154" s="30" t="s">
        <v>213</v>
      </c>
      <c r="J154" s="30"/>
      <c r="K154" s="30"/>
      <c r="L154" s="30"/>
    </row>
    <row r="155" spans="1:12">
      <c r="A155" s="30" t="s">
        <v>1457</v>
      </c>
      <c r="B155" s="30"/>
      <c r="C155" s="30"/>
      <c r="D155" s="30" t="s">
        <v>1257</v>
      </c>
      <c r="E155" s="30" t="s">
        <v>120</v>
      </c>
      <c r="F155" s="30" t="s">
        <v>111</v>
      </c>
      <c r="G155" s="30" t="s">
        <v>1379</v>
      </c>
      <c r="H155" s="30">
        <v>1</v>
      </c>
      <c r="I155" s="30" t="s">
        <v>213</v>
      </c>
      <c r="J155" s="30"/>
      <c r="K155" s="30"/>
      <c r="L155" s="30"/>
    </row>
    <row r="156" spans="1:12">
      <c r="A156" s="30" t="s">
        <v>1457</v>
      </c>
      <c r="B156" s="30"/>
      <c r="C156" s="30"/>
      <c r="D156" s="30" t="s">
        <v>1345</v>
      </c>
      <c r="E156" s="30" t="s">
        <v>120</v>
      </c>
      <c r="F156" s="30" t="s">
        <v>111</v>
      </c>
      <c r="G156" s="30" t="s">
        <v>1380</v>
      </c>
      <c r="H156" s="30">
        <v>1</v>
      </c>
      <c r="I156" s="30" t="s">
        <v>213</v>
      </c>
      <c r="J156" s="30"/>
      <c r="K156" s="30"/>
      <c r="L156" s="30"/>
    </row>
    <row r="157" spans="1:12">
      <c r="A157" s="30" t="s">
        <v>1457</v>
      </c>
      <c r="B157" s="30"/>
      <c r="C157" s="30"/>
      <c r="D157" s="30" t="s">
        <v>1358</v>
      </c>
      <c r="E157" s="30" t="s">
        <v>120</v>
      </c>
      <c r="F157" s="30" t="s">
        <v>111</v>
      </c>
      <c r="G157" s="30" t="s">
        <v>1381</v>
      </c>
      <c r="H157" s="30">
        <v>1</v>
      </c>
      <c r="I157" s="30" t="s">
        <v>213</v>
      </c>
      <c r="J157" s="30"/>
      <c r="K157" s="30"/>
      <c r="L157" s="30"/>
    </row>
    <row r="158" spans="1:12">
      <c r="A158" s="30" t="s">
        <v>1457</v>
      </c>
      <c r="B158" s="30"/>
      <c r="C158" s="30"/>
      <c r="D158" s="30" t="s">
        <v>1365</v>
      </c>
      <c r="E158" s="30" t="s">
        <v>120</v>
      </c>
      <c r="F158" s="30" t="s">
        <v>111</v>
      </c>
      <c r="G158" s="30" t="s">
        <v>1382</v>
      </c>
      <c r="H158" s="30">
        <v>1</v>
      </c>
      <c r="I158" s="30" t="s">
        <v>213</v>
      </c>
      <c r="J158" s="30"/>
      <c r="K158" s="30"/>
      <c r="L158" s="30"/>
    </row>
    <row r="159" spans="1:12">
      <c r="A159" s="30" t="s">
        <v>1457</v>
      </c>
      <c r="B159" s="30"/>
      <c r="C159" s="30"/>
      <c r="D159" s="30" t="s">
        <v>399</v>
      </c>
      <c r="E159" s="30" t="s">
        <v>120</v>
      </c>
      <c r="F159" s="30" t="s">
        <v>111</v>
      </c>
      <c r="G159" s="30" t="s">
        <v>1383</v>
      </c>
      <c r="H159" s="30">
        <v>1</v>
      </c>
      <c r="I159" s="30" t="s">
        <v>213</v>
      </c>
      <c r="J159" s="30"/>
      <c r="K159" s="30"/>
      <c r="L159" s="30"/>
    </row>
    <row r="160" spans="1:12">
      <c r="A160" s="30" t="s">
        <v>1457</v>
      </c>
      <c r="B160" s="30"/>
      <c r="C160" s="30"/>
      <c r="D160" s="30" t="s">
        <v>400</v>
      </c>
      <c r="E160" s="30" t="s">
        <v>120</v>
      </c>
      <c r="F160" s="30" t="s">
        <v>111</v>
      </c>
      <c r="G160" s="30" t="s">
        <v>1384</v>
      </c>
      <c r="H160" s="30">
        <v>1</v>
      </c>
      <c r="I160" s="30" t="s">
        <v>213</v>
      </c>
      <c r="J160" s="30"/>
      <c r="K160" s="30"/>
      <c r="L160" s="30"/>
    </row>
    <row r="161" spans="1:12">
      <c r="A161" s="30" t="s">
        <v>1457</v>
      </c>
      <c r="B161" s="30"/>
      <c r="C161" s="30"/>
      <c r="D161" s="30" t="s">
        <v>991</v>
      </c>
      <c r="E161" s="30" t="s">
        <v>120</v>
      </c>
      <c r="F161" s="30" t="s">
        <v>111</v>
      </c>
      <c r="G161" s="30" t="s">
        <v>1385</v>
      </c>
      <c r="H161" s="30">
        <v>1</v>
      </c>
      <c r="I161" s="30" t="s">
        <v>213</v>
      </c>
      <c r="J161" s="30"/>
      <c r="K161" s="30"/>
      <c r="L161" s="30"/>
    </row>
    <row r="162" spans="1:12">
      <c r="A162" s="30" t="s">
        <v>1457</v>
      </c>
      <c r="B162" s="30"/>
      <c r="C162" s="30"/>
      <c r="D162" s="30" t="s">
        <v>992</v>
      </c>
      <c r="E162" s="30" t="s">
        <v>120</v>
      </c>
      <c r="F162" s="30" t="s">
        <v>111</v>
      </c>
      <c r="G162" s="30" t="s">
        <v>1386</v>
      </c>
      <c r="H162" s="30">
        <v>1</v>
      </c>
      <c r="I162" s="30" t="s">
        <v>213</v>
      </c>
      <c r="J162" s="30"/>
      <c r="K162" s="30"/>
      <c r="L162" s="30"/>
    </row>
    <row r="163" spans="1:12">
      <c r="A163" s="30" t="s">
        <v>1457</v>
      </c>
      <c r="B163" s="30"/>
      <c r="C163" s="30"/>
      <c r="D163" s="30" t="s">
        <v>1425</v>
      </c>
      <c r="E163" s="30" t="s">
        <v>120</v>
      </c>
      <c r="F163" s="30" t="s">
        <v>111</v>
      </c>
      <c r="G163" s="30" t="s">
        <v>1387</v>
      </c>
      <c r="H163" s="30">
        <v>1</v>
      </c>
      <c r="I163" s="30" t="s">
        <v>213</v>
      </c>
      <c r="J163" s="30"/>
      <c r="K163" s="30"/>
      <c r="L163" s="30"/>
    </row>
    <row r="164" spans="1:12">
      <c r="A164" s="30" t="s">
        <v>1457</v>
      </c>
      <c r="B164" s="30"/>
      <c r="C164" s="30"/>
      <c r="D164" s="30" t="s">
        <v>1426</v>
      </c>
      <c r="E164" s="30" t="s">
        <v>120</v>
      </c>
      <c r="F164" s="30" t="s">
        <v>111</v>
      </c>
      <c r="G164" s="30" t="s">
        <v>1388</v>
      </c>
      <c r="H164" s="30">
        <v>1</v>
      </c>
      <c r="I164" s="30" t="s">
        <v>213</v>
      </c>
      <c r="J164" s="30"/>
      <c r="K164" s="30"/>
      <c r="L164" s="30"/>
    </row>
    <row r="165" spans="1:12">
      <c r="A165" s="30" t="s">
        <v>1457</v>
      </c>
      <c r="B165" s="30"/>
      <c r="C165" s="30"/>
      <c r="D165" s="30" t="s">
        <v>993</v>
      </c>
      <c r="E165" s="30" t="s">
        <v>120</v>
      </c>
      <c r="F165" s="30" t="s">
        <v>111</v>
      </c>
      <c r="G165" s="30" t="s">
        <v>1389</v>
      </c>
      <c r="H165" s="30">
        <v>1</v>
      </c>
      <c r="I165" s="30" t="s">
        <v>213</v>
      </c>
      <c r="J165" s="30"/>
      <c r="K165" s="30"/>
      <c r="L165" s="30"/>
    </row>
    <row r="166" spans="1:12">
      <c r="A166" s="30" t="s">
        <v>1457</v>
      </c>
      <c r="B166" s="30"/>
      <c r="C166" s="30"/>
      <c r="D166" s="30" t="s">
        <v>994</v>
      </c>
      <c r="E166" s="30" t="s">
        <v>120</v>
      </c>
      <c r="F166" s="30" t="s">
        <v>111</v>
      </c>
      <c r="G166" s="30" t="s">
        <v>1393</v>
      </c>
      <c r="H166" s="30">
        <v>1</v>
      </c>
      <c r="I166" s="30" t="s">
        <v>213</v>
      </c>
      <c r="J166" s="30"/>
      <c r="K166" s="30"/>
      <c r="L166" s="30"/>
    </row>
    <row r="167" spans="1:12">
      <c r="A167" s="30" t="s">
        <v>1457</v>
      </c>
      <c r="B167" s="30"/>
      <c r="C167" s="30"/>
      <c r="D167" s="30" t="s">
        <v>1427</v>
      </c>
      <c r="E167" s="30" t="s">
        <v>120</v>
      </c>
      <c r="F167" s="30" t="s">
        <v>111</v>
      </c>
      <c r="G167" s="30" t="s">
        <v>1394</v>
      </c>
      <c r="H167" s="30">
        <v>1</v>
      </c>
      <c r="I167" s="30" t="s">
        <v>213</v>
      </c>
      <c r="J167" s="30"/>
      <c r="K167" s="30"/>
      <c r="L167" s="30"/>
    </row>
    <row r="168" spans="1:12">
      <c r="A168" s="30" t="s">
        <v>1457</v>
      </c>
      <c r="B168" s="30"/>
      <c r="C168" s="30"/>
      <c r="D168" s="30" t="s">
        <v>1428</v>
      </c>
      <c r="E168" s="30" t="s">
        <v>120</v>
      </c>
      <c r="F168" s="30" t="s">
        <v>111</v>
      </c>
      <c r="G168" s="30" t="s">
        <v>1395</v>
      </c>
      <c r="H168" s="30">
        <v>1</v>
      </c>
      <c r="I168" s="30" t="s">
        <v>213</v>
      </c>
      <c r="J168" s="30"/>
      <c r="K168" s="30"/>
      <c r="L168" s="30"/>
    </row>
    <row r="169" spans="1:12">
      <c r="A169" s="30" t="s">
        <v>1457</v>
      </c>
      <c r="B169" s="30"/>
      <c r="C169" s="30"/>
      <c r="D169" s="30" t="s">
        <v>1429</v>
      </c>
      <c r="E169" s="30" t="s">
        <v>120</v>
      </c>
      <c r="F169" s="30" t="s">
        <v>111</v>
      </c>
      <c r="G169" s="30" t="s">
        <v>1396</v>
      </c>
      <c r="H169" s="30">
        <v>1</v>
      </c>
      <c r="I169" s="30" t="s">
        <v>213</v>
      </c>
      <c r="J169" s="30"/>
      <c r="K169" s="30"/>
      <c r="L169" s="30"/>
    </row>
    <row r="170" spans="1:12">
      <c r="A170" s="30"/>
      <c r="B170" s="30"/>
      <c r="C170" s="30"/>
      <c r="D170" s="30"/>
      <c r="E170" s="30"/>
      <c r="F170" s="30"/>
      <c r="G170" s="30" t="s">
        <v>435</v>
      </c>
      <c r="H170" s="30"/>
      <c r="I170" s="30"/>
      <c r="J170" s="30"/>
      <c r="K170" s="30"/>
      <c r="L170" s="30"/>
    </row>
    <row r="171" spans="1:12">
      <c r="A171" s="30"/>
      <c r="B171" s="30"/>
      <c r="C171" s="30"/>
      <c r="D171" s="30"/>
      <c r="E171" s="30"/>
      <c r="F171" s="30"/>
      <c r="G171" s="30"/>
      <c r="H171" s="30"/>
      <c r="I171" s="30"/>
      <c r="J171" s="30"/>
      <c r="K171" s="30"/>
      <c r="L171" s="30"/>
    </row>
    <row r="172" spans="1:12">
      <c r="A172" s="30"/>
      <c r="B172" s="30"/>
      <c r="C172" s="30"/>
      <c r="D172" s="30"/>
      <c r="E172" s="30"/>
      <c r="F172" s="30"/>
      <c r="G172" s="30"/>
      <c r="H172" s="30"/>
      <c r="I172" s="30"/>
      <c r="J172" s="30"/>
      <c r="K172" s="30"/>
      <c r="L172" s="30"/>
    </row>
    <row r="173" spans="1:12">
      <c r="A173" s="30"/>
      <c r="B173" s="30"/>
      <c r="C173" s="30"/>
      <c r="D173" s="30"/>
      <c r="E173" s="30"/>
      <c r="F173" s="30"/>
      <c r="G173" s="30"/>
      <c r="H173" s="30"/>
      <c r="I173" s="30"/>
      <c r="J173" s="30"/>
      <c r="K173" s="30"/>
      <c r="L173" s="30"/>
    </row>
    <row r="174" spans="1:12">
      <c r="A174" s="30"/>
      <c r="B174" s="30"/>
      <c r="C174" s="30"/>
      <c r="D174" s="30"/>
      <c r="E174" s="30"/>
      <c r="F174" s="30"/>
      <c r="G174" s="30"/>
      <c r="H174" s="30"/>
      <c r="I174" s="30"/>
      <c r="J174" s="30"/>
      <c r="K174" s="30"/>
      <c r="L174" s="30"/>
    </row>
    <row r="175" spans="1:12">
      <c r="A175" s="30"/>
      <c r="B175" s="30"/>
      <c r="C175" s="30"/>
      <c r="D175" s="30"/>
      <c r="E175" s="30"/>
      <c r="F175" s="30"/>
      <c r="G175" s="30"/>
      <c r="H175" s="30"/>
      <c r="I175" s="30"/>
      <c r="J175" s="30"/>
      <c r="K175" s="30"/>
      <c r="L175" s="30"/>
    </row>
    <row r="176" spans="1:12">
      <c r="A176" s="30"/>
      <c r="B176" s="30"/>
      <c r="C176" s="30"/>
      <c r="D176" s="30"/>
      <c r="E176" s="30"/>
      <c r="F176" s="30"/>
      <c r="G176" s="30"/>
      <c r="H176" s="30"/>
      <c r="I176" s="30"/>
      <c r="J176" s="30"/>
      <c r="K176" s="30"/>
      <c r="L176" s="30"/>
    </row>
    <row r="177" spans="1:12">
      <c r="A177" s="30"/>
      <c r="B177" s="30"/>
      <c r="C177" s="30"/>
      <c r="D177" s="30"/>
      <c r="E177" s="30"/>
      <c r="F177" s="30"/>
      <c r="G177" s="30"/>
      <c r="H177" s="30"/>
      <c r="I177" s="30"/>
      <c r="J177" s="30"/>
      <c r="K177" s="30"/>
      <c r="L177" s="30"/>
    </row>
    <row r="178" spans="1:12">
      <c r="A178" s="30"/>
      <c r="B178" s="30"/>
      <c r="C178" s="30"/>
      <c r="D178" s="30"/>
      <c r="E178" s="30"/>
      <c r="F178" s="30"/>
      <c r="G178" s="30"/>
      <c r="H178" s="30"/>
      <c r="I178" s="30"/>
      <c r="J178" s="30"/>
      <c r="K178" s="30"/>
      <c r="L178" s="30"/>
    </row>
    <row r="179" spans="1:12">
      <c r="A179" s="30"/>
      <c r="B179" s="30"/>
      <c r="C179" s="30"/>
      <c r="D179" s="30"/>
      <c r="E179" s="30"/>
      <c r="F179" s="30"/>
      <c r="G179" s="30"/>
      <c r="H179" s="30"/>
      <c r="I179" s="30"/>
      <c r="J179" s="30"/>
      <c r="K179" s="30"/>
      <c r="L179" s="30"/>
    </row>
    <row r="180" spans="1:12">
      <c r="A180" s="30"/>
      <c r="B180" s="30"/>
      <c r="C180" s="30"/>
      <c r="D180" s="30"/>
      <c r="E180" s="30"/>
      <c r="F180" s="30"/>
      <c r="G180" s="30"/>
      <c r="H180" s="30"/>
      <c r="I180" s="30"/>
      <c r="J180" s="30"/>
      <c r="K180" s="30"/>
      <c r="L180" s="30"/>
    </row>
    <row r="181" spans="1:12">
      <c r="A181" s="30"/>
      <c r="B181" s="30"/>
      <c r="C181" s="30"/>
      <c r="D181" s="30"/>
      <c r="E181" s="30"/>
      <c r="F181" s="30"/>
      <c r="G181" s="30"/>
      <c r="H181" s="30"/>
      <c r="I181" s="30"/>
    </row>
    <row r="182" spans="1:12">
      <c r="A182" s="30"/>
      <c r="B182" s="30"/>
      <c r="C182" s="30"/>
      <c r="D182" s="30"/>
      <c r="E182" s="30"/>
      <c r="F182" s="30"/>
      <c r="G182" s="30"/>
      <c r="H182" s="30"/>
      <c r="I182" s="30"/>
    </row>
    <row r="183" spans="1:12">
      <c r="A183" s="30"/>
      <c r="B183" s="30"/>
      <c r="C183" s="30"/>
      <c r="D183" s="30"/>
      <c r="E183" s="30"/>
      <c r="F183" s="30"/>
      <c r="G183" s="30"/>
      <c r="H183" s="30"/>
      <c r="I183" s="30"/>
    </row>
    <row r="184" spans="1:12">
      <c r="A184" s="30"/>
      <c r="B184" s="30"/>
      <c r="C184" s="30"/>
      <c r="D184" s="30"/>
      <c r="E184" s="30"/>
      <c r="F184" s="30"/>
      <c r="G184" s="30"/>
      <c r="H184" s="30"/>
      <c r="I184" s="30"/>
    </row>
    <row r="185" spans="1:12">
      <c r="A185" s="30"/>
      <c r="B185" s="30"/>
      <c r="C185" s="30"/>
      <c r="D185" s="30"/>
      <c r="E185" s="30"/>
      <c r="F185" s="30"/>
      <c r="G185" s="30"/>
      <c r="H185" s="30"/>
      <c r="I185" s="30"/>
    </row>
    <row r="186" spans="1:12">
      <c r="A186" s="30"/>
      <c r="B186" s="30"/>
      <c r="C186" s="30"/>
      <c r="D186" s="30"/>
      <c r="E186" s="30"/>
      <c r="F186" s="30"/>
      <c r="G186" s="30"/>
      <c r="H186" s="30"/>
      <c r="I186" s="30"/>
    </row>
    <row r="187" spans="1:12">
      <c r="A187" s="30"/>
      <c r="B187" s="30"/>
      <c r="C187" s="30"/>
      <c r="D187" s="30"/>
      <c r="E187" s="30"/>
      <c r="F187" s="30"/>
      <c r="G187" s="30"/>
      <c r="H187" s="30"/>
      <c r="I187" s="30"/>
    </row>
    <row r="188" spans="1:12">
      <c r="A188" s="30"/>
      <c r="B188" s="30"/>
      <c r="C188" s="30"/>
      <c r="D188" s="30"/>
      <c r="E188" s="30"/>
      <c r="F188" s="30"/>
      <c r="G188" s="30"/>
      <c r="H188" s="30"/>
      <c r="I188" s="30"/>
    </row>
    <row r="189" spans="1:12">
      <c r="A189" s="30"/>
      <c r="B189" s="30"/>
      <c r="C189" s="30"/>
      <c r="D189" s="30"/>
      <c r="E189" s="30"/>
      <c r="F189" s="30"/>
      <c r="G189" s="30"/>
      <c r="H189" s="30"/>
      <c r="I189" s="30"/>
    </row>
    <row r="190" spans="1:12">
      <c r="A190" s="30"/>
      <c r="B190" s="30"/>
      <c r="C190" s="30"/>
      <c r="D190" s="30"/>
      <c r="E190" s="30"/>
      <c r="F190" s="30"/>
      <c r="G190" s="30"/>
      <c r="H190" s="30"/>
      <c r="I190" s="30"/>
    </row>
    <row r="191" spans="1:12">
      <c r="A191" s="30"/>
      <c r="B191" s="30"/>
      <c r="C191" s="30"/>
      <c r="D191" s="30"/>
      <c r="E191" s="30"/>
      <c r="F191" s="30"/>
      <c r="G191" s="30"/>
      <c r="H191" s="30"/>
      <c r="I191" s="30"/>
    </row>
    <row r="192" spans="1:12">
      <c r="A192" s="30"/>
      <c r="B192" s="30"/>
      <c r="C192" s="30"/>
      <c r="D192" s="30"/>
      <c r="E192" s="30"/>
      <c r="F192" s="30"/>
      <c r="G192" s="30"/>
      <c r="H192" s="30"/>
      <c r="I192" s="30"/>
    </row>
    <row r="193" spans="1:9">
      <c r="A193" s="30"/>
      <c r="B193" s="30"/>
      <c r="C193" s="30"/>
      <c r="D193" s="30"/>
      <c r="E193" s="30"/>
      <c r="F193" s="30"/>
      <c r="G193" s="30"/>
      <c r="H193" s="30"/>
      <c r="I193" s="30"/>
    </row>
    <row r="194" spans="1:9">
      <c r="A194" s="30"/>
      <c r="B194" s="30"/>
      <c r="C194" s="30"/>
      <c r="D194" s="30"/>
      <c r="E194" s="30"/>
      <c r="F194" s="30"/>
      <c r="G194" s="30"/>
      <c r="H194" s="30"/>
      <c r="I194" s="30"/>
    </row>
    <row r="195" spans="1:9">
      <c r="A195" s="30"/>
      <c r="B195" s="30"/>
      <c r="C195" s="30"/>
      <c r="D195" s="30"/>
      <c r="E195" s="30"/>
      <c r="F195" s="30"/>
      <c r="G195" s="30"/>
      <c r="H195" s="30"/>
      <c r="I195" s="30"/>
    </row>
    <row r="196" spans="1:9">
      <c r="A196" s="30"/>
      <c r="B196" s="30"/>
      <c r="C196" s="30"/>
      <c r="D196" s="30"/>
      <c r="E196" s="30"/>
      <c r="F196" s="30"/>
      <c r="G196" s="30"/>
      <c r="H196" s="30"/>
      <c r="I196" s="30"/>
    </row>
    <row r="197" spans="1:9">
      <c r="A197" s="30"/>
      <c r="B197" s="30"/>
      <c r="C197" s="30"/>
      <c r="D197" s="30"/>
      <c r="E197" s="30"/>
      <c r="F197" s="30"/>
      <c r="G197" s="30"/>
      <c r="H197" s="30"/>
      <c r="I197" s="30"/>
    </row>
    <row r="198" spans="1:9">
      <c r="A198" s="30"/>
      <c r="B198" s="30"/>
      <c r="C198" s="30"/>
      <c r="D198" s="30"/>
      <c r="E198" s="30"/>
      <c r="F198" s="30"/>
      <c r="G198" s="30"/>
      <c r="H198" s="30"/>
      <c r="I198" s="30"/>
    </row>
    <row r="199" spans="1:9">
      <c r="A199" s="30"/>
      <c r="B199" s="30"/>
      <c r="C199" s="30"/>
      <c r="D199" s="30"/>
      <c r="E199" s="30"/>
      <c r="F199" s="30"/>
      <c r="G199" s="30"/>
      <c r="H199" s="30"/>
      <c r="I199" s="30"/>
    </row>
    <row r="200" spans="1:9">
      <c r="A200" s="30"/>
      <c r="B200" s="30"/>
      <c r="C200" s="30"/>
      <c r="D200" s="30"/>
      <c r="E200" s="30"/>
      <c r="F200" s="30"/>
      <c r="G200" s="30"/>
      <c r="H200" s="30"/>
      <c r="I200" s="30"/>
    </row>
    <row r="201" spans="1:9">
      <c r="A201" s="30"/>
      <c r="B201" s="30"/>
      <c r="C201" s="30"/>
      <c r="D201" s="30"/>
      <c r="E201" s="30"/>
      <c r="F201" s="30"/>
      <c r="G201" s="30"/>
      <c r="H201" s="30"/>
      <c r="I201" s="30"/>
    </row>
    <row r="202" spans="1:9">
      <c r="A202" s="30"/>
      <c r="B202" s="30"/>
      <c r="C202" s="30"/>
      <c r="D202" s="30"/>
      <c r="E202" s="30"/>
      <c r="F202" s="30"/>
      <c r="G202" s="30"/>
      <c r="H202" s="30"/>
      <c r="I202" s="30"/>
    </row>
    <row r="203" spans="1:9">
      <c r="A203" s="30"/>
      <c r="B203" s="30"/>
      <c r="C203" s="30"/>
      <c r="D203" s="30"/>
      <c r="E203" s="30"/>
      <c r="F203" s="30"/>
      <c r="G203" s="30"/>
      <c r="H203" s="30"/>
      <c r="I203" s="30"/>
    </row>
    <row r="204" spans="1:9">
      <c r="A204" s="30"/>
      <c r="B204" s="30"/>
      <c r="C204" s="30"/>
      <c r="D204" s="30"/>
      <c r="E204" s="30"/>
      <c r="F204" s="30"/>
      <c r="G204" s="30"/>
      <c r="H204" s="30"/>
      <c r="I204" s="30"/>
    </row>
    <row r="205" spans="1:9">
      <c r="A205" s="30"/>
      <c r="B205" s="30"/>
      <c r="C205" s="30"/>
      <c r="D205" s="30"/>
      <c r="E205" s="30"/>
      <c r="F205" s="30"/>
      <c r="G205" s="30"/>
      <c r="H205" s="30"/>
      <c r="I205" s="30"/>
    </row>
    <row r="206" spans="1:9">
      <c r="A206" s="30"/>
      <c r="B206" s="30"/>
      <c r="C206" s="30"/>
      <c r="D206" s="30"/>
      <c r="E206" s="30"/>
      <c r="F206" s="30"/>
      <c r="G206" s="30"/>
      <c r="H206" s="30"/>
      <c r="I206" s="30"/>
    </row>
    <row r="207" spans="1:9">
      <c r="A207" s="30"/>
      <c r="B207" s="30"/>
      <c r="C207" s="30"/>
      <c r="D207" s="30"/>
      <c r="E207" s="30"/>
      <c r="F207" s="30"/>
      <c r="G207" s="30"/>
      <c r="H207" s="30"/>
      <c r="I207" s="30"/>
    </row>
    <row r="208" spans="1:9">
      <c r="A208" s="30"/>
      <c r="B208" s="30"/>
      <c r="C208" s="30"/>
      <c r="D208" s="30"/>
      <c r="E208" s="30"/>
      <c r="F208" s="30"/>
      <c r="G208" s="30"/>
      <c r="H208" s="30"/>
      <c r="I208" s="30"/>
    </row>
    <row r="209" spans="1:9">
      <c r="A209" s="30"/>
      <c r="B209" s="30"/>
      <c r="C209" s="30"/>
      <c r="D209" s="30"/>
      <c r="E209" s="30"/>
      <c r="F209" s="30"/>
      <c r="G209" s="30"/>
      <c r="H209" s="30"/>
      <c r="I209" s="30"/>
    </row>
    <row r="210" spans="1:9">
      <c r="A210" s="30"/>
      <c r="B210" s="30"/>
      <c r="C210" s="30"/>
      <c r="D210" s="30"/>
      <c r="E210" s="30"/>
      <c r="F210" s="30"/>
      <c r="G210" s="30"/>
      <c r="H210" s="30"/>
      <c r="I210" s="30"/>
    </row>
    <row r="211" spans="1:9">
      <c r="A211" s="30"/>
      <c r="B211" s="30"/>
      <c r="C211" s="30"/>
      <c r="D211" s="30"/>
      <c r="E211" s="30"/>
      <c r="F211" s="30"/>
      <c r="G211" s="30"/>
      <c r="H211" s="30"/>
      <c r="I211" s="30"/>
    </row>
    <row r="212" spans="1:9">
      <c r="A212" s="30"/>
      <c r="B212" s="30"/>
      <c r="C212" s="30"/>
      <c r="D212" s="30"/>
      <c r="E212" s="30"/>
      <c r="F212" s="30"/>
      <c r="G212" s="30"/>
      <c r="H212" s="30"/>
      <c r="I212" s="30"/>
    </row>
    <row r="213" spans="1:9">
      <c r="A213" s="30"/>
      <c r="B213" s="30"/>
      <c r="C213" s="30"/>
      <c r="D213" s="30"/>
      <c r="E213" s="30"/>
      <c r="F213" s="30"/>
      <c r="G213" s="30"/>
      <c r="H213" s="30"/>
      <c r="I213" s="30"/>
    </row>
    <row r="214" spans="1:9">
      <c r="A214" s="30"/>
      <c r="B214" s="30"/>
      <c r="C214" s="30"/>
      <c r="D214" s="30"/>
      <c r="E214" s="30"/>
      <c r="F214" s="30"/>
      <c r="G214" s="30"/>
      <c r="H214" s="30"/>
      <c r="I214" s="30"/>
    </row>
    <row r="215" spans="1:9">
      <c r="A215" s="30"/>
      <c r="B215" s="30"/>
      <c r="C215" s="30"/>
      <c r="D215" s="30"/>
      <c r="E215" s="30"/>
      <c r="F215" s="30"/>
      <c r="G215" s="30"/>
      <c r="H215" s="30"/>
      <c r="I215" s="30"/>
    </row>
    <row r="216" spans="1:9">
      <c r="A216" s="30"/>
      <c r="B216" s="30"/>
      <c r="C216" s="30"/>
      <c r="D216" s="30"/>
      <c r="E216" s="30"/>
      <c r="F216" s="30"/>
      <c r="G216" s="30"/>
      <c r="H216" s="30"/>
      <c r="I216" s="30"/>
    </row>
    <row r="217" spans="1:9">
      <c r="A217" s="30"/>
      <c r="B217" s="30"/>
      <c r="C217" s="30"/>
      <c r="D217" s="30"/>
      <c r="E217" s="30"/>
      <c r="F217" s="30"/>
      <c r="G217" s="30"/>
      <c r="H217" s="30"/>
      <c r="I217" s="30"/>
    </row>
    <row r="218" spans="1:9">
      <c r="A218" s="30"/>
      <c r="B218" s="30"/>
      <c r="C218" s="30"/>
      <c r="D218" s="30"/>
      <c r="E218" s="30"/>
      <c r="F218" s="30"/>
      <c r="G218" s="30"/>
      <c r="H218" s="30"/>
      <c r="I218" s="30"/>
    </row>
    <row r="219" spans="1:9">
      <c r="A219" s="30"/>
      <c r="B219" s="30"/>
      <c r="C219" s="30"/>
      <c r="D219" s="30"/>
      <c r="E219" s="30"/>
      <c r="F219" s="30"/>
      <c r="G219" s="30"/>
      <c r="H219" s="30"/>
      <c r="I219" s="30"/>
    </row>
    <row r="220" spans="1:9">
      <c r="A220" s="30"/>
      <c r="B220" s="30"/>
      <c r="C220" s="30"/>
      <c r="D220" s="30"/>
      <c r="E220" s="30"/>
      <c r="F220" s="30"/>
      <c r="G220" s="30"/>
      <c r="H220" s="30"/>
      <c r="I220" s="30"/>
    </row>
    <row r="221" spans="1:9">
      <c r="A221" s="30"/>
      <c r="B221" s="30"/>
      <c r="C221" s="30"/>
      <c r="D221" s="30"/>
      <c r="E221" s="30"/>
      <c r="F221" s="30"/>
      <c r="G221" s="30"/>
      <c r="H221" s="30"/>
      <c r="I221" s="30"/>
    </row>
    <row r="222" spans="1:9">
      <c r="A222" s="30"/>
      <c r="B222" s="30"/>
      <c r="C222" s="30"/>
      <c r="D222" s="30"/>
      <c r="E222" s="30"/>
      <c r="F222" s="30"/>
      <c r="G222" s="30"/>
      <c r="H222" s="30"/>
      <c r="I222" s="30"/>
    </row>
    <row r="223" spans="1:9">
      <c r="A223" s="30"/>
      <c r="B223" s="30"/>
      <c r="C223" s="30"/>
      <c r="D223" s="30"/>
      <c r="E223" s="30"/>
      <c r="F223" s="30"/>
      <c r="G223" s="30"/>
      <c r="H223" s="30"/>
      <c r="I223" s="30"/>
    </row>
    <row r="224" spans="1:9">
      <c r="A224" s="30"/>
      <c r="B224" s="30"/>
      <c r="C224" s="30"/>
      <c r="D224" s="30"/>
      <c r="E224" s="30"/>
      <c r="F224" s="30"/>
      <c r="G224" s="30"/>
      <c r="H224" s="30"/>
      <c r="I224" s="30"/>
    </row>
    <row r="225" spans="1:9">
      <c r="A225" s="30"/>
      <c r="B225" s="30"/>
      <c r="C225" s="30"/>
      <c r="D225" s="30"/>
      <c r="E225" s="30"/>
      <c r="F225" s="30"/>
      <c r="G225" s="30"/>
      <c r="H225" s="30"/>
      <c r="I225" s="30"/>
    </row>
    <row r="226" spans="1:9">
      <c r="A226" s="30"/>
      <c r="B226" s="30"/>
      <c r="C226" s="30"/>
      <c r="D226" s="30"/>
      <c r="E226" s="30"/>
      <c r="F226" s="30"/>
      <c r="G226" s="30"/>
      <c r="H226" s="30"/>
      <c r="I226" s="30"/>
    </row>
    <row r="227" spans="1:9">
      <c r="A227" s="30"/>
      <c r="B227" s="30"/>
      <c r="C227" s="30"/>
      <c r="D227" s="30"/>
      <c r="E227" s="30"/>
      <c r="F227" s="30"/>
      <c r="G227" s="30"/>
      <c r="H227" s="30"/>
      <c r="I227" s="30"/>
    </row>
    <row r="228" spans="1:9">
      <c r="A228" s="30"/>
      <c r="B228" s="30"/>
      <c r="C228" s="30"/>
      <c r="D228" s="30"/>
      <c r="E228" s="30"/>
      <c r="F228" s="30"/>
      <c r="G228" s="30"/>
      <c r="H228" s="30"/>
      <c r="I228" s="30"/>
    </row>
    <row r="229" spans="1:9">
      <c r="A229" s="30"/>
      <c r="B229" s="30"/>
      <c r="C229" s="30"/>
      <c r="D229" s="30"/>
      <c r="E229" s="30"/>
      <c r="F229" s="30"/>
      <c r="G229" s="30"/>
      <c r="H229" s="30"/>
      <c r="I229" s="30"/>
    </row>
    <row r="230" spans="1:9">
      <c r="A230" s="30"/>
      <c r="B230" s="30"/>
      <c r="C230" s="30"/>
      <c r="D230" s="30"/>
      <c r="E230" s="30"/>
      <c r="F230" s="30"/>
      <c r="G230" s="30"/>
      <c r="H230" s="30"/>
      <c r="I230" s="30"/>
    </row>
    <row r="231" spans="1:9">
      <c r="A231" s="30"/>
      <c r="B231" s="30"/>
      <c r="C231" s="30"/>
      <c r="D231" s="30"/>
      <c r="E231" s="30"/>
      <c r="F231" s="30"/>
      <c r="G231" s="30"/>
      <c r="H231" s="30"/>
      <c r="I231" s="30"/>
    </row>
    <row r="232" spans="1:9">
      <c r="A232" s="30"/>
      <c r="B232" s="30"/>
      <c r="C232" s="30"/>
      <c r="D232" s="30"/>
      <c r="E232" s="30"/>
      <c r="F232" s="30"/>
      <c r="G232" s="30"/>
      <c r="H232" s="30"/>
      <c r="I232" s="30"/>
    </row>
    <row r="233" spans="1:9">
      <c r="A233" s="30"/>
      <c r="B233" s="30"/>
      <c r="C233" s="30"/>
      <c r="D233" s="30"/>
      <c r="E233" s="30"/>
      <c r="F233" s="30"/>
      <c r="G233" s="30"/>
      <c r="H233" s="30"/>
      <c r="I233" s="30"/>
    </row>
    <row r="234" spans="1:9">
      <c r="A234" s="30"/>
      <c r="B234" s="30"/>
      <c r="C234" s="30"/>
      <c r="D234" s="30"/>
      <c r="E234" s="30"/>
      <c r="F234" s="30"/>
      <c r="G234" s="30"/>
      <c r="H234" s="30"/>
      <c r="I234" s="30"/>
    </row>
    <row r="235" spans="1:9">
      <c r="A235" s="30"/>
      <c r="B235" s="30"/>
      <c r="C235" s="30"/>
      <c r="D235" s="30"/>
      <c r="E235" s="30"/>
      <c r="F235" s="30"/>
      <c r="G235" s="30"/>
      <c r="H235" s="30"/>
      <c r="I235" s="30"/>
    </row>
    <row r="236" spans="1:9">
      <c r="A236" s="30"/>
      <c r="B236" s="30"/>
      <c r="C236" s="30"/>
      <c r="D236" s="30"/>
      <c r="E236" s="30"/>
      <c r="F236" s="30"/>
      <c r="G236" s="30"/>
      <c r="H236" s="30"/>
      <c r="I236" s="30"/>
    </row>
    <row r="237" spans="1:9">
      <c r="C237" s="30"/>
      <c r="D237" s="30"/>
      <c r="E237" s="30"/>
      <c r="F237" s="30"/>
      <c r="G237" s="30"/>
      <c r="H237" s="30"/>
      <c r="I237" s="30"/>
    </row>
    <row r="238" spans="1:9">
      <c r="B238" s="30"/>
      <c r="C238" s="30"/>
      <c r="D238" s="30"/>
      <c r="E238" s="30"/>
      <c r="F238" s="30"/>
      <c r="G238" s="30"/>
      <c r="H238" s="30"/>
      <c r="I238" s="30"/>
    </row>
    <row r="239" spans="1:9">
      <c r="B239" s="30"/>
      <c r="C239" s="30"/>
      <c r="D239" s="30"/>
      <c r="E239" s="30"/>
      <c r="F239" s="30"/>
      <c r="G239" s="30"/>
      <c r="H239" s="30"/>
      <c r="I239" s="30"/>
    </row>
  </sheetData>
  <dataConsolidate/>
  <pageMargins left="0.75" right="0.75" top="1" bottom="1" header="0.5" footer="0.5"/>
  <pageSetup paperSize="9" orientation="portrait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>
  <dimension ref="A1:L67"/>
  <sheetViews>
    <sheetView tabSelected="1" topLeftCell="A46" workbookViewId="0">
      <selection activeCell="H66" sqref="H66"/>
    </sheetView>
  </sheetViews>
  <sheetFormatPr defaultRowHeight="12.75"/>
  <cols>
    <col min="1" max="1" width="21.85546875" customWidth="1"/>
    <col min="2" max="2" width="48.7109375" customWidth="1"/>
    <col min="3" max="3" width="17.7109375" customWidth="1"/>
    <col min="4" max="8" width="9.5703125" bestFit="1" customWidth="1"/>
    <col min="10" max="10" width="21.42578125" customWidth="1"/>
    <col min="11" max="11" width="12.42578125" customWidth="1"/>
  </cols>
  <sheetData>
    <row r="1" spans="1:12" ht="13.5" thickBot="1">
      <c r="A1" s="322" t="s">
        <v>1458</v>
      </c>
      <c r="B1" s="401" t="str">
        <f>A1</f>
        <v>10B_HardHang-Off_10yr</v>
      </c>
      <c r="C1" s="402"/>
      <c r="D1" s="402"/>
      <c r="E1" s="402"/>
      <c r="F1" s="402"/>
      <c r="G1" s="402"/>
      <c r="H1" s="403"/>
    </row>
    <row r="2" spans="1:12" ht="25.5">
      <c r="B2" s="327" t="s">
        <v>1359</v>
      </c>
      <c r="C2" s="328" t="s">
        <v>1324</v>
      </c>
      <c r="D2" s="328" t="s">
        <v>1325</v>
      </c>
      <c r="E2" s="328" t="s">
        <v>1326</v>
      </c>
      <c r="F2" s="328" t="s">
        <v>1327</v>
      </c>
      <c r="G2" s="328" t="s">
        <v>1328</v>
      </c>
      <c r="H2" s="329" t="s">
        <v>1329</v>
      </c>
      <c r="J2" s="153" t="s">
        <v>225</v>
      </c>
      <c r="K2" s="78" t="s">
        <v>226</v>
      </c>
      <c r="L2" s="79"/>
    </row>
    <row r="3" spans="1:12">
      <c r="B3" s="323" t="s">
        <v>1337</v>
      </c>
      <c r="C3" s="330">
        <v>-577.04676549558565</v>
      </c>
      <c r="D3" s="330">
        <v>-577.04676549558565</v>
      </c>
      <c r="E3" s="330">
        <v>-577.04676549558565</v>
      </c>
      <c r="F3" s="330">
        <v>-577.04676549558565</v>
      </c>
      <c r="G3" s="330">
        <v>-577.04676549558565</v>
      </c>
      <c r="H3" s="333">
        <v>-577.04676549558565</v>
      </c>
      <c r="J3" s="154" t="s">
        <v>231</v>
      </c>
      <c r="K3" s="80">
        <v>80</v>
      </c>
      <c r="L3" s="81" t="s">
        <v>227</v>
      </c>
    </row>
    <row r="4" spans="1:12">
      <c r="B4" s="323" t="s">
        <v>1336</v>
      </c>
      <c r="C4" s="330">
        <f>625+C3</f>
        <v>47.953234504414354</v>
      </c>
      <c r="D4" s="330">
        <f t="shared" ref="D4:H4" si="0">625+D3</f>
        <v>47.953234504414354</v>
      </c>
      <c r="E4" s="330">
        <f t="shared" si="0"/>
        <v>47.953234504414354</v>
      </c>
      <c r="F4" s="330">
        <f t="shared" si="0"/>
        <v>47.953234504414354</v>
      </c>
      <c r="G4" s="330">
        <f t="shared" si="0"/>
        <v>47.953234504414354</v>
      </c>
      <c r="H4" s="330">
        <f t="shared" si="0"/>
        <v>47.953234504414354</v>
      </c>
      <c r="J4" s="155" t="s">
        <v>230</v>
      </c>
      <c r="K4" s="107">
        <v>1.45038E-4</v>
      </c>
      <c r="L4" s="113" t="s">
        <v>227</v>
      </c>
    </row>
    <row r="5" spans="1:12" ht="13.5" thickBot="1">
      <c r="B5" s="323" t="s">
        <v>1369</v>
      </c>
      <c r="C5" s="331">
        <v>2322.455078125</v>
      </c>
      <c r="D5" s="331">
        <v>2907.45654296875</v>
      </c>
      <c r="E5" s="331">
        <v>3142.49658203125</v>
      </c>
      <c r="F5" s="331">
        <v>3836.928955078125</v>
      </c>
      <c r="G5" s="331">
        <v>3052.83203125</v>
      </c>
      <c r="H5" s="332">
        <v>2827.767333984375</v>
      </c>
      <c r="J5" s="156" t="s">
        <v>228</v>
      </c>
      <c r="K5" s="82">
        <f xml:space="preserve"> 80/0.000145038</f>
        <v>551579.58603952068</v>
      </c>
      <c r="L5" s="83" t="s">
        <v>229</v>
      </c>
    </row>
    <row r="6" spans="1:12" ht="13.5" thickBot="1">
      <c r="B6" s="323" t="s">
        <v>1370</v>
      </c>
      <c r="C6" s="331">
        <f>C5*$K$6</f>
        <v>522.08790156249995</v>
      </c>
      <c r="D6" s="331">
        <f t="shared" ref="D6:H6" si="1">D5*$K$6</f>
        <v>653.59623085937505</v>
      </c>
      <c r="E6" s="331">
        <f t="shared" si="1"/>
        <v>706.43323164062497</v>
      </c>
      <c r="F6" s="331">
        <f t="shared" si="1"/>
        <v>862.54162910156253</v>
      </c>
      <c r="G6" s="331">
        <f t="shared" si="1"/>
        <v>686.27664062500003</v>
      </c>
      <c r="H6" s="331">
        <f t="shared" si="1"/>
        <v>635.68209667968745</v>
      </c>
      <c r="J6" s="157" t="s">
        <v>275</v>
      </c>
      <c r="K6" s="134">
        <v>0.2248</v>
      </c>
      <c r="L6" s="135" t="s">
        <v>276</v>
      </c>
    </row>
    <row r="7" spans="1:12" ht="13.5" thickBot="1">
      <c r="B7" s="323" t="s">
        <v>1371</v>
      </c>
      <c r="C7" s="331">
        <v>0</v>
      </c>
      <c r="D7" s="331">
        <v>0</v>
      </c>
      <c r="E7" s="331">
        <v>0</v>
      </c>
      <c r="F7" s="331">
        <v>0</v>
      </c>
      <c r="G7" s="331">
        <v>0</v>
      </c>
      <c r="H7" s="332">
        <v>0</v>
      </c>
      <c r="J7" s="2"/>
      <c r="K7" s="31"/>
      <c r="L7" s="31"/>
    </row>
    <row r="8" spans="1:12">
      <c r="B8" s="334" t="s">
        <v>1372</v>
      </c>
      <c r="C8" s="335">
        <f>C7*$K$6</f>
        <v>0</v>
      </c>
      <c r="D8" s="335">
        <f t="shared" ref="D8:H8" si="2">D7*$K$6</f>
        <v>0</v>
      </c>
      <c r="E8" s="335">
        <f t="shared" si="2"/>
        <v>0</v>
      </c>
      <c r="F8" s="335">
        <f t="shared" si="2"/>
        <v>0</v>
      </c>
      <c r="G8" s="335">
        <f t="shared" si="2"/>
        <v>0</v>
      </c>
      <c r="H8" s="335">
        <f t="shared" si="2"/>
        <v>0</v>
      </c>
      <c r="J8" s="160" t="s">
        <v>202</v>
      </c>
      <c r="K8" s="109">
        <v>10</v>
      </c>
      <c r="L8" s="35" t="s">
        <v>131</v>
      </c>
    </row>
    <row r="9" spans="1:12" ht="13.5" thickBot="1">
      <c r="B9" s="323" t="s">
        <v>1373</v>
      </c>
      <c r="C9" s="331">
        <v>68890.169749784138</v>
      </c>
      <c r="D9" s="331">
        <v>112975.65284097036</v>
      </c>
      <c r="E9" s="331">
        <v>112165.47087340031</v>
      </c>
      <c r="F9" s="331">
        <v>133619.34608487017</v>
      </c>
      <c r="G9" s="331">
        <v>99592.161371525901</v>
      </c>
      <c r="H9" s="332">
        <v>112819.95350041612</v>
      </c>
      <c r="J9" s="161" t="s">
        <v>203</v>
      </c>
      <c r="K9" s="110">
        <v>170</v>
      </c>
      <c r="L9" s="36" t="s">
        <v>131</v>
      </c>
    </row>
    <row r="10" spans="1:12">
      <c r="B10" s="323" t="s">
        <v>1374</v>
      </c>
      <c r="C10" s="331">
        <f>C9*$K$4</f>
        <v>9.9916924401691922</v>
      </c>
      <c r="D10" s="331">
        <f t="shared" ref="D10:H10" si="3">D9*$K$4</f>
        <v>16.38576273674866</v>
      </c>
      <c r="E10" s="331">
        <f t="shared" si="3"/>
        <v>16.268255564536233</v>
      </c>
      <c r="F10" s="331">
        <f t="shared" si="3"/>
        <v>19.379882717457399</v>
      </c>
      <c r="G10" s="331">
        <f t="shared" si="3"/>
        <v>14.444647901003373</v>
      </c>
      <c r="H10" s="331">
        <f t="shared" si="3"/>
        <v>16.363180415793352</v>
      </c>
      <c r="J10" s="1"/>
      <c r="K10" s="1"/>
    </row>
    <row r="11" spans="1:12" ht="13.5" thickBot="1">
      <c r="B11" s="323" t="s">
        <v>1375</v>
      </c>
      <c r="C11" s="331">
        <v>-577.04676549558565</v>
      </c>
      <c r="D11" s="331">
        <v>-580.321394611644</v>
      </c>
      <c r="E11" s="331">
        <v>-581.49539821271821</v>
      </c>
      <c r="F11" s="331">
        <v>-583.39361064557954</v>
      </c>
      <c r="G11" s="331">
        <v>-580.95491759900972</v>
      </c>
      <c r="H11" s="332">
        <v>-580.10601990346834</v>
      </c>
      <c r="J11" s="324"/>
      <c r="K11" s="324"/>
    </row>
    <row r="12" spans="1:12" ht="13.5" thickBot="1">
      <c r="B12" s="323" t="s">
        <v>1430</v>
      </c>
      <c r="C12" s="331">
        <v>0.34849999999999998</v>
      </c>
      <c r="D12" s="331">
        <v>0.34596191957312311</v>
      </c>
      <c r="E12" s="331">
        <v>0.3447310038119214</v>
      </c>
      <c r="F12" s="331">
        <v>0.34845685277985622</v>
      </c>
      <c r="G12" s="331">
        <v>0.33832061903435257</v>
      </c>
      <c r="H12" s="331">
        <v>0.33565152818032767</v>
      </c>
      <c r="J12" s="158" t="s">
        <v>1366</v>
      </c>
      <c r="K12" s="325">
        <v>625</v>
      </c>
      <c r="L12" s="38" t="s">
        <v>132</v>
      </c>
    </row>
    <row r="13" spans="1:12" ht="13.5" thickBot="1">
      <c r="B13" s="323" t="s">
        <v>1431</v>
      </c>
      <c r="C13" s="331">
        <v>0.34849999999999998</v>
      </c>
      <c r="D13" s="331">
        <v>0.33563224611445402</v>
      </c>
      <c r="E13" s="331">
        <v>0.33854012638388037</v>
      </c>
      <c r="F13" s="331">
        <v>0.34845596276930341</v>
      </c>
      <c r="G13" s="331">
        <v>0.34457951164631656</v>
      </c>
      <c r="H13" s="331">
        <v>0.34506698091388904</v>
      </c>
    </row>
    <row r="14" spans="1:12" ht="13.5" thickBot="1">
      <c r="B14" s="323" t="s">
        <v>1432</v>
      </c>
      <c r="C14" s="331">
        <v>0.34849999999999998</v>
      </c>
      <c r="D14" s="331">
        <v>0.34849999413531735</v>
      </c>
      <c r="E14" s="331">
        <v>0.3469071809941458</v>
      </c>
      <c r="F14" s="331">
        <v>0.34510246635671343</v>
      </c>
      <c r="G14" s="331">
        <v>0.34583801807280162</v>
      </c>
      <c r="H14" s="331">
        <v>0.3484999931277652</v>
      </c>
      <c r="J14" s="158" t="s">
        <v>248</v>
      </c>
      <c r="K14" s="111">
        <v>50</v>
      </c>
      <c r="L14" s="38" t="s">
        <v>249</v>
      </c>
    </row>
    <row r="15" spans="1:12">
      <c r="B15" s="323" t="s">
        <v>1433</v>
      </c>
      <c r="C15" s="331">
        <v>0.34849999999999998</v>
      </c>
      <c r="D15" s="331">
        <v>0.34849999471658061</v>
      </c>
      <c r="E15" s="331">
        <v>0.34849976975681157</v>
      </c>
      <c r="F15" s="331">
        <v>0.34849955506060454</v>
      </c>
      <c r="G15" s="331">
        <v>0.34849270251297731</v>
      </c>
      <c r="H15" s="331">
        <v>0.34849999391348757</v>
      </c>
      <c r="J15" s="1"/>
      <c r="K15" s="1"/>
    </row>
    <row r="16" spans="1:12">
      <c r="B16" s="334" t="s">
        <v>1434</v>
      </c>
      <c r="C16" s="335">
        <v>0.34849999999999998</v>
      </c>
      <c r="D16" s="335">
        <v>0.19139205404894316</v>
      </c>
      <c r="E16" s="335">
        <v>0.15646663906968766</v>
      </c>
      <c r="F16" s="335">
        <v>0.32828342143488592</v>
      </c>
      <c r="G16" s="335">
        <v>2.9726981050455514E-2</v>
      </c>
      <c r="H16" s="345">
        <v>-1.0671268437416004E-2</v>
      </c>
    </row>
    <row r="17" spans="2:12" ht="13.5" thickBot="1">
      <c r="B17" s="334" t="s">
        <v>1435</v>
      </c>
      <c r="C17" s="335">
        <v>0.34849999999999998</v>
      </c>
      <c r="D17" s="335">
        <v>-1.0945902125363394E-2</v>
      </c>
      <c r="E17" s="335">
        <v>3.3267749797189661E-2</v>
      </c>
      <c r="F17" s="335">
        <v>0.32807559181536933</v>
      </c>
      <c r="G17" s="335">
        <v>0.15258176184592703</v>
      </c>
      <c r="H17" s="335">
        <v>0.16536614102520542</v>
      </c>
      <c r="J17" s="2"/>
      <c r="K17" s="2"/>
      <c r="L17" s="2"/>
    </row>
    <row r="18" spans="2:12" ht="13.5" thickBot="1">
      <c r="B18" s="334" t="s">
        <v>1436</v>
      </c>
      <c r="C18" s="335">
        <v>0.34849999999999998</v>
      </c>
      <c r="D18" s="335">
        <v>0.34826596925111591</v>
      </c>
      <c r="E18" s="335">
        <v>0.2244161644567873</v>
      </c>
      <c r="F18" s="335">
        <v>0.16633460494868774</v>
      </c>
      <c r="G18" s="335">
        <v>0.18754836124979923</v>
      </c>
      <c r="H18" s="335">
        <v>0.34824595092079585</v>
      </c>
      <c r="J18" s="159" t="s">
        <v>123</v>
      </c>
      <c r="K18" s="111">
        <v>16.5</v>
      </c>
      <c r="L18" s="38" t="s">
        <v>132</v>
      </c>
    </row>
    <row r="19" spans="2:12" ht="13.5" thickBot="1">
      <c r="B19" s="334" t="s">
        <v>1437</v>
      </c>
      <c r="C19" s="331">
        <v>0.34849999999999998</v>
      </c>
      <c r="D19" s="331">
        <v>0.34827681277261885</v>
      </c>
      <c r="E19" s="331">
        <v>0.36689069831461879</v>
      </c>
      <c r="F19" s="331">
        <v>0.35684719567932227</v>
      </c>
      <c r="G19" s="331">
        <v>0.34021069212498206</v>
      </c>
      <c r="H19" s="332">
        <v>0.34826242185615169</v>
      </c>
      <c r="J19" s="161"/>
      <c r="K19" s="326"/>
      <c r="L19" s="36"/>
    </row>
    <row r="20" spans="2:12">
      <c r="B20" s="336" t="s">
        <v>1442</v>
      </c>
      <c r="C20" s="338">
        <v>2.9884999999999997</v>
      </c>
      <c r="D20" s="338">
        <v>1.3932984090344025</v>
      </c>
      <c r="E20" s="338">
        <v>1.0420007011222363</v>
      </c>
      <c r="F20" s="338">
        <v>2.7818198867854091</v>
      </c>
      <c r="G20" s="338">
        <v>-0.22314681100236505</v>
      </c>
      <c r="H20" s="339">
        <v>-0.2712688575968531</v>
      </c>
    </row>
    <row r="21" spans="2:12">
      <c r="B21" s="336" t="s">
        <v>1443</v>
      </c>
      <c r="C21" s="340">
        <v>2.9884999999999997</v>
      </c>
      <c r="D21" s="340">
        <v>-0.27143239673300784</v>
      </c>
      <c r="E21" s="340">
        <v>-0.18800169654890056</v>
      </c>
      <c r="F21" s="340">
        <v>2.7796974087958999</v>
      </c>
      <c r="G21" s="340">
        <v>1.0029967884858668</v>
      </c>
      <c r="H21" s="341">
        <v>1.1314040656488786</v>
      </c>
    </row>
    <row r="22" spans="2:12">
      <c r="B22" s="336" t="s">
        <v>1444</v>
      </c>
      <c r="C22" s="338">
        <v>2.5185</v>
      </c>
      <c r="D22" s="338">
        <v>2.5161049825480353</v>
      </c>
      <c r="E22" s="338">
        <v>1.25776797886058</v>
      </c>
      <c r="F22" s="338">
        <v>0.67371546351059752</v>
      </c>
      <c r="G22" s="338">
        <v>0.88659777695608444</v>
      </c>
      <c r="H22" s="339">
        <v>2.5159001224360447</v>
      </c>
    </row>
    <row r="23" spans="2:12">
      <c r="B23" s="323" t="s">
        <v>1445</v>
      </c>
      <c r="C23" s="331">
        <v>2.5185</v>
      </c>
      <c r="D23" s="331">
        <v>2.5162159508318518</v>
      </c>
      <c r="E23" s="331">
        <v>2.7069146021257104</v>
      </c>
      <c r="F23" s="331">
        <v>2.6039671654964853</v>
      </c>
      <c r="G23" s="331">
        <v>2.4337096229999298</v>
      </c>
      <c r="H23" s="332">
        <v>2.5160686789595856</v>
      </c>
    </row>
    <row r="24" spans="2:12">
      <c r="B24" s="323" t="s">
        <v>1438</v>
      </c>
      <c r="C24" s="331">
        <v>3.8284999999999996</v>
      </c>
      <c r="D24" s="331">
        <v>3.8250872567528185</v>
      </c>
      <c r="E24" s="331">
        <v>2.0598831108422999</v>
      </c>
      <c r="F24" s="331">
        <v>1.1964138175583425</v>
      </c>
      <c r="G24" s="331">
        <v>1.5012913230158051</v>
      </c>
      <c r="H24" s="332">
        <v>3.8247942932600281</v>
      </c>
    </row>
    <row r="25" spans="2:12">
      <c r="B25" s="323" t="s">
        <v>1439</v>
      </c>
      <c r="C25" s="331">
        <v>3.8284999999999996</v>
      </c>
      <c r="D25" s="331">
        <v>3.8252464855887109</v>
      </c>
      <c r="E25" s="331">
        <v>4.1248727572463117</v>
      </c>
      <c r="F25" s="331">
        <v>3.9804078022369329</v>
      </c>
      <c r="G25" s="331">
        <v>3.7167096198107181</v>
      </c>
      <c r="H25" s="332">
        <v>3.8250356838357598</v>
      </c>
    </row>
    <row r="26" spans="2:12">
      <c r="B26" s="336" t="s">
        <v>1440</v>
      </c>
      <c r="C26" s="338">
        <v>3.3285</v>
      </c>
      <c r="D26" s="338">
        <v>1.0517706264136357</v>
      </c>
      <c r="E26" s="338">
        <v>0.55256837632493983</v>
      </c>
      <c r="F26" s="338">
        <v>3.0341230742059895</v>
      </c>
      <c r="G26" s="338">
        <v>-0.27017873049213431</v>
      </c>
      <c r="H26" s="339">
        <v>-0.271069345128853</v>
      </c>
    </row>
    <row r="27" spans="2:12">
      <c r="B27" s="342" t="s">
        <v>1441</v>
      </c>
      <c r="C27" s="343">
        <v>3.3285</v>
      </c>
      <c r="D27" s="343">
        <v>-0.27126074242711495</v>
      </c>
      <c r="E27" s="343">
        <v>-0.27111179753481218</v>
      </c>
      <c r="F27" s="343">
        <v>3.0307783511087996</v>
      </c>
      <c r="G27" s="343">
        <v>0.49992785988554606</v>
      </c>
      <c r="H27" s="344">
        <v>0.68626699001495362</v>
      </c>
    </row>
    <row r="28" spans="2:12">
      <c r="B28" s="323" t="s">
        <v>1439</v>
      </c>
      <c r="C28" s="331">
        <v>3.8284999999999996</v>
      </c>
      <c r="D28" s="331">
        <v>3.8252464855887109</v>
      </c>
      <c r="E28" s="331">
        <v>4.1248727572463117</v>
      </c>
      <c r="F28" s="331">
        <v>3.9804078022369329</v>
      </c>
      <c r="G28" s="331">
        <v>3.7167096198107181</v>
      </c>
      <c r="H28" s="332">
        <v>3.8250356838357598</v>
      </c>
    </row>
    <row r="29" spans="2:12">
      <c r="B29" s="336" t="s">
        <v>1440</v>
      </c>
      <c r="C29" s="338">
        <v>3.3285</v>
      </c>
      <c r="D29" s="338">
        <v>1.0517706264136357</v>
      </c>
      <c r="E29" s="338">
        <v>0.55256837632493983</v>
      </c>
      <c r="F29" s="338">
        <v>3.0341230742059895</v>
      </c>
      <c r="G29" s="338">
        <v>-0.27017873049213431</v>
      </c>
      <c r="H29" s="339">
        <v>-0.271069345128853</v>
      </c>
    </row>
    <row r="30" spans="2:12">
      <c r="B30" s="342" t="s">
        <v>1441</v>
      </c>
      <c r="C30" s="343">
        <v>3.3285</v>
      </c>
      <c r="D30" s="343">
        <v>-0.27126074242711495</v>
      </c>
      <c r="E30" s="343">
        <v>-0.27111179753481218</v>
      </c>
      <c r="F30" s="343">
        <v>3.0307783511087996</v>
      </c>
      <c r="G30" s="343">
        <v>0.49992785988554606</v>
      </c>
      <c r="H30" s="344">
        <v>0.68626699001495362</v>
      </c>
    </row>
    <row r="49" spans="2:8">
      <c r="B49" s="401" t="str">
        <f>B1</f>
        <v>10B_HardHang-Off_10yr</v>
      </c>
      <c r="C49" s="402"/>
      <c r="D49" s="402"/>
      <c r="E49" s="403"/>
      <c r="F49" s="404"/>
      <c r="G49" s="404"/>
      <c r="H49" s="405"/>
    </row>
    <row r="50" spans="2:8" ht="25.5" customHeight="1">
      <c r="B50" s="327" t="s">
        <v>1359</v>
      </c>
      <c r="C50" s="328" t="s">
        <v>1324</v>
      </c>
      <c r="D50" s="328" t="s">
        <v>1325</v>
      </c>
      <c r="E50" s="329" t="s">
        <v>1329</v>
      </c>
    </row>
    <row r="51" spans="2:8">
      <c r="B51" s="406" t="s">
        <v>1337</v>
      </c>
      <c r="C51" s="407">
        <v>-577.04676549558565</v>
      </c>
      <c r="D51" s="407">
        <v>-577.04676549558565</v>
      </c>
      <c r="E51" s="408">
        <v>-577.04676549558565</v>
      </c>
    </row>
    <row r="52" spans="2:8">
      <c r="B52" s="323" t="s">
        <v>1336</v>
      </c>
      <c r="C52" s="330">
        <f>625+C51</f>
        <v>47.953234504414354</v>
      </c>
      <c r="D52" s="330">
        <f t="shared" ref="D52:E52" si="4">625+D51</f>
        <v>47.953234504414354</v>
      </c>
      <c r="E52" s="330">
        <f t="shared" si="4"/>
        <v>47.953234504414354</v>
      </c>
    </row>
    <row r="53" spans="2:8">
      <c r="B53" s="323" t="s">
        <v>1369</v>
      </c>
      <c r="C53" s="331">
        <v>2322.455078125</v>
      </c>
      <c r="D53" s="331">
        <v>2907.45654296875</v>
      </c>
      <c r="E53" s="332">
        <v>2827.767333984375</v>
      </c>
    </row>
    <row r="54" spans="2:8">
      <c r="B54" s="323" t="s">
        <v>1370</v>
      </c>
      <c r="C54" s="331">
        <f>C53*$K$6</f>
        <v>522.08790156249995</v>
      </c>
      <c r="D54" s="331">
        <f t="shared" ref="D54:E54" si="5">D53*$K$6</f>
        <v>653.59623085937505</v>
      </c>
      <c r="E54" s="331">
        <f t="shared" si="5"/>
        <v>635.68209667968745</v>
      </c>
    </row>
    <row r="55" spans="2:8">
      <c r="B55" s="323" t="s">
        <v>1371</v>
      </c>
      <c r="C55" s="331">
        <v>0</v>
      </c>
      <c r="D55" s="331">
        <v>0</v>
      </c>
      <c r="E55" s="332">
        <v>0</v>
      </c>
    </row>
    <row r="56" spans="2:8">
      <c r="B56" s="334" t="s">
        <v>1372</v>
      </c>
      <c r="C56" s="335">
        <f>C55*$K$6</f>
        <v>0</v>
      </c>
      <c r="D56" s="335">
        <f t="shared" ref="D56:E56" si="6">D55*$K$6</f>
        <v>0</v>
      </c>
      <c r="E56" s="335">
        <f t="shared" si="6"/>
        <v>0</v>
      </c>
    </row>
    <row r="57" spans="2:8">
      <c r="B57" s="323" t="s">
        <v>1373</v>
      </c>
      <c r="C57" s="331">
        <v>68890.169749784138</v>
      </c>
      <c r="D57" s="331">
        <v>112975.65284097036</v>
      </c>
      <c r="E57" s="332">
        <v>112819.95350041612</v>
      </c>
    </row>
    <row r="58" spans="2:8">
      <c r="B58" s="323" t="s">
        <v>1374</v>
      </c>
      <c r="C58" s="331">
        <f>C57*$K$4</f>
        <v>9.9916924401691922</v>
      </c>
      <c r="D58" s="331">
        <f t="shared" ref="D58:E58" si="7">D57*$K$4</f>
        <v>16.38576273674866</v>
      </c>
      <c r="E58" s="331">
        <f t="shared" si="7"/>
        <v>16.363180415793352</v>
      </c>
    </row>
    <row r="59" spans="2:8">
      <c r="B59" s="323" t="s">
        <v>1375</v>
      </c>
      <c r="C59" s="331">
        <v>-577.04676549558565</v>
      </c>
      <c r="D59" s="331">
        <v>-580.321394611644</v>
      </c>
      <c r="E59" s="332">
        <v>-580.10601990346834</v>
      </c>
    </row>
    <row r="60" spans="2:8">
      <c r="B60" s="323" t="s">
        <v>1430</v>
      </c>
      <c r="C60" s="331">
        <v>0.34849999999999998</v>
      </c>
      <c r="D60" s="331">
        <v>0.34596191957312311</v>
      </c>
      <c r="E60" s="331">
        <v>0.33565152818032767</v>
      </c>
    </row>
    <row r="61" spans="2:8">
      <c r="B61" s="323" t="s">
        <v>1431</v>
      </c>
      <c r="C61" s="331">
        <v>0.34849999999999998</v>
      </c>
      <c r="D61" s="331">
        <v>0.33563224611445402</v>
      </c>
      <c r="E61" s="331">
        <v>0.34506698091388904</v>
      </c>
    </row>
    <row r="62" spans="2:8">
      <c r="B62" s="323" t="s">
        <v>1432</v>
      </c>
      <c r="C62" s="331">
        <v>0.34849999999999998</v>
      </c>
      <c r="D62" s="331">
        <v>0.34849999413531735</v>
      </c>
      <c r="E62" s="331">
        <v>0.3484999931277652</v>
      </c>
    </row>
    <row r="63" spans="2:8">
      <c r="B63" s="323" t="s">
        <v>1433</v>
      </c>
      <c r="C63" s="331">
        <v>0.34849999999999998</v>
      </c>
      <c r="D63" s="331">
        <v>0.34849999471658061</v>
      </c>
      <c r="E63" s="331">
        <v>0.34849999391348757</v>
      </c>
    </row>
    <row r="64" spans="2:8">
      <c r="B64" s="334" t="s">
        <v>1434</v>
      </c>
      <c r="C64" s="335">
        <v>0.34849999999999998</v>
      </c>
      <c r="D64" s="335">
        <v>0.19139205404894316</v>
      </c>
      <c r="E64" s="345">
        <v>-1.0671268437416004E-2</v>
      </c>
    </row>
    <row r="65" spans="2:5">
      <c r="B65" s="334" t="s">
        <v>1435</v>
      </c>
      <c r="C65" s="335">
        <v>0.34849999999999998</v>
      </c>
      <c r="D65" s="335">
        <v>-1.0945902125363394E-2</v>
      </c>
      <c r="E65" s="335">
        <v>0.16536614102520542</v>
      </c>
    </row>
    <row r="66" spans="2:5">
      <c r="B66" s="334" t="s">
        <v>1436</v>
      </c>
      <c r="C66" s="335">
        <v>0.34849999999999998</v>
      </c>
      <c r="D66" s="335">
        <v>0.34826596925111591</v>
      </c>
      <c r="E66" s="335">
        <v>0.34824595092079585</v>
      </c>
    </row>
    <row r="67" spans="2:5">
      <c r="B67" s="409" t="s">
        <v>1437</v>
      </c>
      <c r="C67" s="410">
        <v>0.34849999999999998</v>
      </c>
      <c r="D67" s="410">
        <v>0.34827681277261885</v>
      </c>
      <c r="E67" s="411">
        <v>0.34826242185615169</v>
      </c>
    </row>
  </sheetData>
  <mergeCells count="2">
    <mergeCell ref="B1:H1"/>
    <mergeCell ref="B49:E49"/>
  </mergeCells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MetOcean</vt:lpstr>
      <vt:lpstr>Input</vt:lpstr>
      <vt:lpstr>Pre-process-Soft</vt:lpstr>
      <vt:lpstr>Pre-processing Tp(wind)</vt:lpstr>
      <vt:lpstr>Post-10yr-Hmx-Tmx</vt:lpstr>
      <vt:lpstr>Post-1yr-Hmx-Tmod1</vt:lpstr>
      <vt:lpstr>Post-10yr-Hmx-Tmod1</vt:lpstr>
      <vt:lpstr>Results-10yr-Hmx-T</vt:lpstr>
      <vt:lpstr>Results-1yr</vt:lpstr>
      <vt:lpstr>Post-50yr</vt:lpstr>
      <vt:lpstr>50yr_Hard_10B</vt:lpstr>
      <vt:lpstr>Post-10yr</vt:lpstr>
      <vt:lpstr>10yr_Hard_10B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Riser Analysis</dc:title>
  <dc:creator>Aryatech; admin</dc:creator>
  <cp:lastModifiedBy>admin</cp:lastModifiedBy>
  <dcterms:created xsi:type="dcterms:W3CDTF">1998-07-24T09:46:18Z</dcterms:created>
  <dcterms:modified xsi:type="dcterms:W3CDTF">2015-10-06T07:23:43Z</dcterms:modified>
</cp:coreProperties>
</file>