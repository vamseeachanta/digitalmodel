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ni\Desktop\"/>
    </mc:Choice>
  </mc:AlternateContent>
  <xr:revisionPtr revIDLastSave="0" documentId="13_ncr:1_{BB785105-014A-4B65-A790-682A74646EB6}" xr6:coauthVersionLast="47" xr6:coauthVersionMax="47" xr10:uidLastSave="{00000000-0000-0000-0000-000000000000}"/>
  <bookViews>
    <workbookView xWindow="22920" yWindow="-1020" windowWidth="29040" windowHeight="15720" tabRatio="793" xr2:uid="{9FF087AC-02DD-4717-9B32-A4048B337006}"/>
  </bookViews>
  <sheets>
    <sheet name="Result" sheetId="1" r:id="rId1"/>
    <sheet name="dimension" sheetId="3" r:id="rId2"/>
    <sheet name="bonjean" sheetId="2" r:id="rId3"/>
    <sheet name="hydrostatics" sheetId="4" r:id="rId4"/>
    <sheet name="tanks" sheetId="5" r:id="rId5"/>
    <sheet name="tanks_summary" sheetId="6" r:id="rId6"/>
    <sheet name="density" sheetId="8" r:id="rId7"/>
    <sheet name="lwt" sheetId="9" r:id="rId8"/>
    <sheet name="LC" sheetId="11" r:id="rId9"/>
    <sheet name="LoadingConditions" sheetId="14" r:id="rId10"/>
    <sheet name="DamCase" sheetId="12" r:id="rId11"/>
    <sheet name="opening" sheetId="13" r:id="rId12"/>
    <sheet name="Sheet7" sheetId="7" state="hidden" r:id="rId13"/>
  </sheets>
  <functionGroups builtInGroupCount="19"/>
  <definedNames>
    <definedName name="_xlnm._FilterDatabase" localSheetId="4" hidden="1">tanks!$H$1:$H$4843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" i="8"/>
  <c r="A11" i="1"/>
  <c r="A12" i="1"/>
  <c r="A13" i="1"/>
  <c r="A14" i="1"/>
  <c r="A15" i="1"/>
  <c r="A16" i="1"/>
  <c r="A10" i="1"/>
  <c r="P63" i="1" l="1"/>
  <c r="P58" i="1"/>
  <c r="P59" i="1"/>
  <c r="P60" i="1"/>
  <c r="P61" i="1"/>
  <c r="P62" i="1"/>
  <c r="G19" i="1" l="1"/>
  <c r="L55" i="1" l="1"/>
  <c r="B7" i="3"/>
  <c r="B9" i="3" s="1"/>
  <c r="G23" i="1" l="1"/>
  <c r="B10" i="3"/>
  <c r="B8" i="3"/>
  <c r="L2" i="1"/>
  <c r="B2" i="3"/>
  <c r="U7" i="1"/>
  <c r="V7" i="1"/>
  <c r="W7" i="1"/>
  <c r="X7" i="1"/>
  <c r="Y7" i="1"/>
  <c r="Z7" i="1"/>
  <c r="T7" i="1"/>
  <c r="S7" i="1"/>
  <c r="R7" i="1"/>
  <c r="R10" i="1"/>
  <c r="R6" i="1"/>
  <c r="S3" i="1"/>
  <c r="T3" i="1"/>
  <c r="U3" i="1"/>
  <c r="V3" i="1"/>
  <c r="W3" i="1"/>
  <c r="X3" i="1"/>
  <c r="Y3" i="1"/>
  <c r="Z3" i="1"/>
  <c r="R3" i="1"/>
  <c r="Q8" i="1"/>
  <c r="W8" i="1" s="1"/>
  <c r="Q4" i="1"/>
  <c r="W4" i="1" s="1"/>
  <c r="M2" i="1"/>
  <c r="M1" i="1"/>
  <c r="L1" i="1"/>
  <c r="K3" i="1" l="1"/>
  <c r="T4" i="1"/>
  <c r="R4" i="1"/>
  <c r="X5" i="1"/>
  <c r="U4" i="1"/>
  <c r="Y5" i="1"/>
  <c r="V5" i="1"/>
  <c r="U5" i="1"/>
  <c r="V4" i="1"/>
  <c r="Z5" i="1"/>
  <c r="W5" i="1"/>
  <c r="Z4" i="1"/>
  <c r="T5" i="1"/>
  <c r="S5" i="1"/>
  <c r="Y4" i="1"/>
  <c r="S4" i="1"/>
  <c r="X4" i="1"/>
  <c r="R5" i="1"/>
  <c r="T8" i="1"/>
  <c r="V8" i="1"/>
  <c r="T9" i="1"/>
  <c r="U8" i="1"/>
  <c r="S8" i="1"/>
  <c r="Z9" i="1"/>
  <c r="Y9" i="1"/>
  <c r="X9" i="1"/>
  <c r="W9" i="1"/>
  <c r="V9" i="1"/>
  <c r="U9" i="1"/>
  <c r="Z8" i="1"/>
  <c r="Y8" i="1"/>
  <c r="X8" i="1"/>
  <c r="S9" i="1"/>
  <c r="R9" i="1"/>
  <c r="R8" i="1"/>
  <c r="S10" i="1" l="1"/>
  <c r="G12" i="1" s="1"/>
  <c r="V6" i="1"/>
  <c r="X6" i="1"/>
  <c r="T6" i="1"/>
  <c r="S6" i="1"/>
  <c r="E18" i="1" s="1"/>
  <c r="U6" i="1"/>
  <c r="Z6" i="1"/>
  <c r="W6" i="1"/>
  <c r="Y6" i="1"/>
  <c r="Z10" i="1"/>
  <c r="U10" i="1"/>
  <c r="X10" i="1"/>
  <c r="T10" i="1"/>
  <c r="V10" i="1"/>
  <c r="W10" i="1"/>
  <c r="Y10" i="1"/>
  <c r="T12" i="1" l="1"/>
  <c r="V12" i="1"/>
  <c r="G16" i="1"/>
  <c r="G20" i="1"/>
  <c r="G17" i="1" s="1"/>
  <c r="U1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Sin Ik Jang</author>
  </authors>
  <commentList>
    <comment ref="K2" authorId="0" shapeId="0" xr:uid="{FB626847-28A4-4381-AAFD-EB49902E6B46}">
      <text>
        <r>
          <rPr>
            <b/>
            <sz val="9"/>
            <color indexed="81"/>
            <rFont val="Tahoma"/>
            <family val="2"/>
          </rPr>
          <t>Sin Ik Jang:</t>
        </r>
        <r>
          <rPr>
            <sz val="9"/>
            <color indexed="81"/>
            <rFont val="Tahoma"/>
            <family val="2"/>
          </rPr>
          <t xml:space="preserve">
1 : Sagging
2 : Hogging
0 : No option</t>
        </r>
      </text>
    </comment>
    <comment ref="K9" authorId="0" shapeId="0" xr:uid="{E92AD7D5-0B65-42B3-AB7B-820F26E1ADA6}">
      <text>
        <r>
          <rPr>
            <b/>
            <sz val="9"/>
            <color indexed="81"/>
            <rFont val="Tahoma"/>
            <family val="2"/>
          </rPr>
          <t>Sin Ik Jang:</t>
        </r>
        <r>
          <rPr>
            <sz val="9"/>
            <color indexed="81"/>
            <rFont val="Tahoma"/>
            <family val="2"/>
          </rPr>
          <t xml:space="preserve">
1 : Sagging
2 : Hogging
0 : No option</t>
        </r>
      </text>
    </comment>
    <comment ref="K10" authorId="0" shapeId="0" xr:uid="{BB6CBF6D-62CF-4530-A3BD-0B629088F03F}">
      <text>
        <r>
          <rPr>
            <b/>
            <sz val="9"/>
            <color indexed="81"/>
            <rFont val="Tahoma"/>
            <family val="2"/>
          </rPr>
          <t>Sin Ik Jang:</t>
        </r>
        <r>
          <rPr>
            <sz val="9"/>
            <color indexed="81"/>
            <rFont val="Tahoma"/>
            <family val="2"/>
          </rPr>
          <t xml:space="preserve">
1 : Sagging
2 : Hogging
0 : No option</t>
        </r>
      </text>
    </comment>
  </commentList>
</comments>
</file>

<file path=xl/sharedStrings.xml><?xml version="1.0" encoding="utf-8"?>
<sst xmlns="http://schemas.openxmlformats.org/spreadsheetml/2006/main" count="789" uniqueCount="338">
  <si>
    <t>name</t>
  </si>
  <si>
    <t>value</t>
  </si>
  <si>
    <t>LBP</t>
  </si>
  <si>
    <t>Beam</t>
  </si>
  <si>
    <t>Depthn</t>
  </si>
  <si>
    <t>draft</t>
  </si>
  <si>
    <t>DispMT</t>
  </si>
  <si>
    <t>VolumeMolded</t>
  </si>
  <si>
    <t>KMt</t>
  </si>
  <si>
    <t>LCB</t>
  </si>
  <si>
    <t>KB</t>
  </si>
  <si>
    <t>LCF</t>
  </si>
  <si>
    <t>weight</t>
  </si>
  <si>
    <t>fill</t>
  </si>
  <si>
    <t>lcg</t>
  </si>
  <si>
    <t>vcg</t>
  </si>
  <si>
    <t>tcg</t>
  </si>
  <si>
    <t>fsm</t>
  </si>
  <si>
    <t>aft</t>
  </si>
  <si>
    <t>fwd</t>
  </si>
  <si>
    <t>Tank Name</t>
  </si>
  <si>
    <t>density</t>
  </si>
  <si>
    <t>COT_5.S</t>
  </si>
  <si>
    <t>WBT_2.S</t>
  </si>
  <si>
    <t>WBT_3.S</t>
  </si>
  <si>
    <t>WBT_4.S</t>
  </si>
  <si>
    <t>WBT_5.S</t>
  </si>
  <si>
    <t>WBT_6.S</t>
  </si>
  <si>
    <t>WBT_7.S</t>
  </si>
  <si>
    <t>WBT_8.S</t>
  </si>
  <si>
    <t>Result</t>
  </si>
  <si>
    <t>bonjean</t>
  </si>
  <si>
    <t>dimension</t>
  </si>
  <si>
    <t>hydrostatics</t>
  </si>
  <si>
    <t>tanks</t>
  </si>
  <si>
    <t>tanks_summary</t>
  </si>
  <si>
    <t>CO</t>
  </si>
  <si>
    <t>OFFSPEC_WTR</t>
  </si>
  <si>
    <t>SLOP</t>
  </si>
  <si>
    <t>MGO</t>
  </si>
  <si>
    <t>Spaces</t>
  </si>
  <si>
    <t>MaxBendMOment</t>
  </si>
  <si>
    <t>com2</t>
  </si>
  <si>
    <t>lwt</t>
  </si>
  <si>
    <t>lwt_lcg</t>
  </si>
  <si>
    <t>lwt_tcg</t>
  </si>
  <si>
    <t>lwt_vcg</t>
  </si>
  <si>
    <t>"a"</t>
  </si>
  <si>
    <t>Target</t>
  </si>
  <si>
    <t>Draft</t>
  </si>
  <si>
    <t>LCG</t>
  </si>
  <si>
    <t>TCG</t>
  </si>
  <si>
    <t>Trim</t>
  </si>
  <si>
    <t>Heel</t>
  </si>
  <si>
    <t>Group List</t>
  </si>
  <si>
    <t>VCG</t>
  </si>
  <si>
    <t>Index</t>
  </si>
  <si>
    <t>Name</t>
  </si>
  <si>
    <t>Fill</t>
  </si>
  <si>
    <t>BD</t>
  </si>
  <si>
    <t>Disp.</t>
  </si>
  <si>
    <t>Control</t>
  </si>
  <si>
    <t>WD</t>
  </si>
  <si>
    <t>MD</t>
  </si>
  <si>
    <t>Cargo LD</t>
  </si>
  <si>
    <t>Weight</t>
  </si>
  <si>
    <t>remarks</t>
  </si>
  <si>
    <t>calc</t>
  </si>
  <si>
    <t>negative is port</t>
  </si>
  <si>
    <t>Bonjean</t>
  </si>
  <si>
    <t>Weight Dist</t>
  </si>
  <si>
    <t>Displace interpolation</t>
  </si>
  <si>
    <t>Draft interpolation</t>
  </si>
  <si>
    <t>Monitor</t>
  </si>
  <si>
    <t>&lt;Compute&gt;</t>
  </si>
  <si>
    <t>tLCG</t>
  </si>
  <si>
    <t>Trim(aft +)</t>
  </si>
  <si>
    <t>Max BM</t>
  </si>
  <si>
    <t>TCG(Port -)</t>
  </si>
  <si>
    <t>Wk Group</t>
  </si>
  <si>
    <t>LOAD</t>
  </si>
  <si>
    <t>WE</t>
  </si>
  <si>
    <t>load</t>
  </si>
  <si>
    <t>weight_lc</t>
  </si>
  <si>
    <t>Disp</t>
  </si>
  <si>
    <t>Df</t>
  </si>
  <si>
    <t>Da</t>
  </si>
  <si>
    <t>Deq</t>
  </si>
  <si>
    <t>GHS verification Result</t>
  </si>
  <si>
    <t>FileName :</t>
  </si>
  <si>
    <t>Status</t>
  </si>
  <si>
    <t>Strength</t>
  </si>
  <si>
    <t>Stability</t>
  </si>
  <si>
    <t>Intact stability</t>
  </si>
  <si>
    <t>Damage stability</t>
  </si>
  <si>
    <t>Limit(1) Area From 0 To abs 30 &gt; 0.055</t>
  </si>
  <si>
    <t>Limit(2) Area From 0 To abs 40 Or Fld &gt; 0.09</t>
  </si>
  <si>
    <t>Limit(3) Area From abs 30 To abs 40 Or Fld &gt; 0.03</t>
  </si>
  <si>
    <t>Limit(4) RA At abs 30 Or Max &gt; 0.20</t>
  </si>
  <si>
    <t>Limit(5) Angle From 0 To Max &gt; 25</t>
  </si>
  <si>
    <t>Limit(6) GM Upright &gt; 0.15</t>
  </si>
  <si>
    <t>Limit (1) Absolute Angle At Equil &lt; {HEELANG}</t>
  </si>
  <si>
    <t>Limit (2) Angle From Equil To Ra0 or FLD &gt; 20</t>
  </si>
  <si>
    <t>Limit (3) RA At Max to 20 &gt; 0.1</t>
  </si>
  <si>
    <t>Limit (4) Area from Equil to FLD OR {HEEL20} &gt; 0.0175</t>
  </si>
  <si>
    <t>Limit (5) Angle From Equil To FLD OR TFLD &gt; 0</t>
  </si>
  <si>
    <t>Limit (1)</t>
  </si>
  <si>
    <t>Limit (2)</t>
  </si>
  <si>
    <t>Limit (3)</t>
  </si>
  <si>
    <t>Limit (4)</t>
  </si>
  <si>
    <t>Limit (5)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</si>
  <si>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</si>
  <si>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</si>
  <si>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</si>
  <si>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</si>
  <si>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</si>
  <si>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</si>
  <si>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</si>
  <si>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</si>
  <si>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</si>
  <si>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LongiStrengthManager</t>
  </si>
  <si>
    <t>SlackTankManager</t>
  </si>
  <si>
    <t>DamageStabilityManager</t>
  </si>
  <si>
    <t>LSM_on</t>
  </si>
  <si>
    <t>Animation_off</t>
  </si>
  <si>
    <t>Sequence_on</t>
  </si>
  <si>
    <t>Run</t>
  </si>
  <si>
    <t>BM chk</t>
  </si>
  <si>
    <t>SF chk</t>
  </si>
  <si>
    <t>Intact chk</t>
  </si>
  <si>
    <t>Damage chk</t>
  </si>
  <si>
    <t>SQ00</t>
  </si>
  <si>
    <t>SQ01</t>
  </si>
  <si>
    <t>SQ02</t>
  </si>
  <si>
    <t>SQ03</t>
  </si>
  <si>
    <t>SQ04</t>
  </si>
  <si>
    <t>SQ05</t>
  </si>
  <si>
    <t>SQ06</t>
  </si>
  <si>
    <t>SQ07</t>
  </si>
  <si>
    <t>SQ08</t>
  </si>
  <si>
    <t>SQ09</t>
  </si>
  <si>
    <t>SQ10</t>
  </si>
  <si>
    <t>SQ11</t>
  </si>
  <si>
    <t>SQ12</t>
  </si>
  <si>
    <t>SQ13</t>
  </si>
  <si>
    <t>SQ14</t>
  </si>
  <si>
    <t>SQ15</t>
  </si>
  <si>
    <t>SQ16</t>
  </si>
  <si>
    <t>SQ17</t>
  </si>
  <si>
    <t>SQ18</t>
  </si>
  <si>
    <t>SQ19</t>
  </si>
  <si>
    <t>SQ20</t>
  </si>
  <si>
    <t>SQ21</t>
  </si>
  <si>
    <t>SQ22</t>
  </si>
  <si>
    <t>Exclude</t>
  </si>
  <si>
    <t>CRT (1) "OPU1_ER VENT ON DECK B" 10.4f,24p,44 /FL /TA:ENGINE_RM.C</t>
  </si>
  <si>
    <t>CRT (2) "OPU2_ASSUMED POINT ON DECK B" 10.4f,24s,44 /FL /TA:ENGINE_RM.C</t>
  </si>
  <si>
    <t>CRT (3) "OPU3_AIR INLET-AFT FEED PP" 8.3f,18.188s,50.2 /FL /TA:ENGINE_RM.C</t>
  </si>
  <si>
    <t>CRT (4) "OPU4_AIR INLET-AFT FEED PP" 8.05f,8.24p,50.2 /FL /TA:ENGINE_RM.C</t>
  </si>
  <si>
    <t>CRT (5) "OPU5_AIR INLET-FWD FEED PP" 324.08f,11.25s,42.24 /FL /TA:ENGINE_RM.C</t>
  </si>
  <si>
    <t>CRT (6) "OPU6_AIR INLET-FWD FEED PP" 324.43f,7.65p,42.24 /FL /TA:ENGINE_RM.C</t>
  </si>
  <si>
    <t>CRT (7) "OPW1_FPTP AIR PIPE" 320.9f,13.9s,39.76 /TI /TA:FPT.P</t>
  </si>
  <si>
    <t>CRT (8) "OPW2_FPTP AIR PIPE" 320.9f,12.9s,39.76 /TI /TA:FPT.P</t>
  </si>
  <si>
    <t>CRT (9) "OPW3_FPTS AIR PIPE" 320.9f,12.9p,39.76 /TI /TA:FPT.S</t>
  </si>
  <si>
    <t>CRT (10) "OPW4_FPTS AIR PIPE" 320.9f,13.9p,39.76 /TI /TA:FPT.S</t>
  </si>
  <si>
    <t>CRT (11) "OPW5_FPTC AIR PIPE" 335.86f,27.06s,39.76 /TI /TA:FPT.C</t>
  </si>
  <si>
    <t>CRT (12) "OPW6_FPTC AIR PIPE" 335.86f,27.06p,39.76 /TI /TA:FPT.C</t>
  </si>
  <si>
    <t>CRT (13) "OPW7_VOID1P AIR PIPE" 315.3f,30.74s,33.76 /TI /TA:VOID_1.P</t>
  </si>
  <si>
    <t>CRT (14) "OPW8_VOID1P AIR PIPE" 309.66f,30.74s,33.76 /TI /TA:VOID_1.P</t>
  </si>
  <si>
    <t>CRT (15) "OPW9_VOID1S AIR PIPE" 315.3f,30.74p,33.76 /TI /TA:VOID_1.S</t>
  </si>
  <si>
    <t>CRT (16) "OPW10_VOID1S AIR PIPE" 309.66f,30.74p,33.76 /TI /TA:VOID_1.S</t>
  </si>
  <si>
    <t>CRT (17) "OPW11_NO1 WBT(P) AIR PIPE" 305.06f,30.74s,33.76 /TI /TA:WBT_1.P</t>
  </si>
  <si>
    <t>CRT (18) "OPW12_NO1 WBT(P) AIR PIPE" 284.35f,30.74s,33.76 /TI /TA:WBT_1.P</t>
  </si>
  <si>
    <t>CRT (19) "OPW13_NO1 WBT(S) AIR PIPE" 305.06f,30.74p,33.76 /TI /TA:WBT_1.S</t>
  </si>
  <si>
    <t>CRT (20) "OPW14_NO1 WBT(S) AIR PIPE" 284.35f,30.74p,33.76 /TI /TA:WBT_1.S</t>
  </si>
  <si>
    <t>CRT (21) "OPW15_NO2 WBT(P) AIR PIPE" 279.45f,30.74s,33.76 /TI /TA:WBT_2.P</t>
  </si>
  <si>
    <t>CRT (22) "OPW16_NO2 WBT(P) AIR PIPE" 248.28f,30.74s,33.76 /TI /TA:WBT_2.P</t>
  </si>
  <si>
    <t>CRT (23) "OPW17_NO2 WBT(S) AIR PIPE" 279.45f,30.74p,33.76 /TI /TA:WBT_2.S</t>
  </si>
  <si>
    <t>CRT (24) "OPW18_NO2 WBT(S) AIR PIPE" 248.28f,30.74p,33.76 /TI /TA:WBT_2.S</t>
  </si>
  <si>
    <t>CRT (25) "OPW19_NO3 WBT(P) AIR PIPE" 243.57f,30.74s,33.76 /TI /TA:WBT_3.P</t>
  </si>
  <si>
    <t>CRT (26) "OPW20_NO3 WBT(P) AIR PIPE" 212.4f,30.74s,33.76 /TI /TA:WBT_3.P</t>
  </si>
  <si>
    <t>CRT (27) "OPW21_NO3 WBT(S) AIR PIPE" 243.57f,30.74p,33.76 /TI /TA:WBT_3.S</t>
  </si>
  <si>
    <t>CRT (28) "OPW22_NO3 WBT(S) AIR PIPE" 212.4f,30.74p,33.76 /TI /TA:WBT_3.S</t>
  </si>
  <si>
    <t>CRT (29) "OPW23_NO4 WBT(P) AIR PIPE" 208.53f,30.74s,33.76 /TI /TA:WBT_4.P</t>
  </si>
  <si>
    <t>CRT (30) "OPW24_NO4 WBT(P) AIR PIPE" 176.735f,30.74s,33.76 /TI /TA:WBT_4.P</t>
  </si>
  <si>
    <t>CRT (31) "OPW25_NO4 WBT(S) AIR PIPE" 208.53f,30.74p,33.76 /TI /TA:WBT_4.S</t>
  </si>
  <si>
    <t>CRT (32) "OPW26_NO4 WBT(S) AIR PIPE" 176.735f,30.74p,33.76 /TI /TA:WBT_4.S</t>
  </si>
  <si>
    <t>CRT (33) "OPW27_NO5 WBT(P) AIR PIPE" 172.1f,30.74s,33.76 /TI /TA:WBT_5.P</t>
  </si>
  <si>
    <t>CRT (34) "OPW28_NO5 WBT(P) AIR PIPE" 141f,30.74s,33.76 /TI /TA:WBT_5.P</t>
  </si>
  <si>
    <t>CRT (35) "OPW29_NO5 WBT(S) AIR PIPE" 172.1f,30.74p,33.76 /TI /TA:WBT_5.S</t>
  </si>
  <si>
    <t>CRT (36) "OPW30_NO5 WBT(S) AIR PIPE" 141f,30.74p,33.76 /TI /TA:WBT_5.S</t>
  </si>
  <si>
    <t>CRT (37) "OPW31_NO6 WBT(P) AIR PIPE" 136f,30.74s,33.76 /TI /TA:WBT_6.P</t>
  </si>
  <si>
    <t>CRT (38) "OPW32_NO6 WBT(P) AIR PIPE" 105.2f,30.74s,33.76 /TI /TA:WBT_6.P</t>
  </si>
  <si>
    <t>CRT (39) "OPW33_NO6 WBT(S) AIR PIPE" 136f,30.74p,33.76 /TI /TA:WBT_6.S</t>
  </si>
  <si>
    <t>CRT (40) "OPW34_NO6 WBT(S) AIR PIPE" 105.2f,30.74p,33.76 /TI /TA:WBT_6.S</t>
  </si>
  <si>
    <t>CRT (41) "OPW35_NO7 WBT(P) AIR PIPE" 100.64f,30.74s,33.76 /TI /TA:WBT_7.P</t>
  </si>
  <si>
    <t>CRT (42) "OPW36_NO7 WBT(P) AIR PIPE" 69.1f,30.74s,33.76 /TI /TA:WBT_7.P</t>
  </si>
  <si>
    <t>CRT (43) "OPW37_NO7 WBT(S) AIR PIPE" 100.05f,30.74p,33.76 /TI /TA:WBT_7.S</t>
  </si>
  <si>
    <t>CRT (44) "OPW38_NO7 WBT(S) AIR PIPE" 69.1f,30.74p,33.76 /TI /TA:WBT_7.S</t>
  </si>
  <si>
    <t>CRT (45) "OPW39_NO8 WBT(P) AIR PIPE" 64.82f,30.74s,33.76 /TI /TA:WBT_8.P</t>
  </si>
  <si>
    <t>CRT (46) "OPW40_NO8 WBT(P) AIR PIPE" 37.98f,30.74s,33.76 /TI /TA:WBT_8.P</t>
  </si>
  <si>
    <t>CRT (47) "OPW41_NO8 WBT(S) AIR PIPE" 64.82f,30.74p,33.76 /TI /TA:WBT_8.S</t>
  </si>
  <si>
    <t>CRT (48) "OPW42_NO8 WBT(S) AIR PIPE" 37.98f,30.74p,33.76 /TI /TA:WBT_8.S</t>
  </si>
  <si>
    <t>CRT (49) "OPW43_FWD HPU &amp; FW FEED PP RM EXH" 336.5f,17.135s,41 /TI /TA:FWDFDPPRM.C</t>
  </si>
  <si>
    <t>CRT (50) "OPW44_FWD HPU &amp; FW FEED PP RM IN" 336.5f,10p,41 /TI /TA:FWDFDPPRM.C</t>
  </si>
  <si>
    <t>CRT (51) "OPW45_FWD PS Fire PP RM IN" 326.6f,17.85s,40 /TI /TA:FWDFDPPRM.C</t>
  </si>
  <si>
    <t>CRT (52) "OPW46_FWD PS Fire PP RM Outlet" 325.05f,8.3s,39.9 /TI /TA:FWDFDPPRM.C</t>
  </si>
  <si>
    <t>CRT (53) "OPW47_FWD SB Fire PP RM INLET" 326.6f,8.8p,40 /TI /TA:FWDFDPPRM.C</t>
  </si>
  <si>
    <t>CRT (54) "OPW48_FWD SB Fire PP RM OUTLET" 325.05f,3.1p,39.9 /TI /TA:FWDFDPPRM.C</t>
  </si>
  <si>
    <t>CRT (55) "OPW49_VOID FORE AIR PIPE" 318.936f,30.74s,33.76 /TI /TA:VOID_FORE.C</t>
  </si>
  <si>
    <t>CRT (56) "OPW50_VOID FORE AIR PIPE" 318.936f,30.74p,33.76 /TI /TA:VOID_FORE.C</t>
  </si>
  <si>
    <t>CRT (57) "OPW51_APTC AIR PIPE" 7.363f,22.057p,34.335 /TI /TA:APT.C</t>
  </si>
  <si>
    <t>CRT (58) "OPW52_DIST_WTR TK (S) AIR PIPE" 5.895f,31.562p,34.174 /TI /TA:DIST_WTR.S</t>
  </si>
  <si>
    <t>CRT (59) "OPW53_DIST_WTR TK (S) AIR PIPE" 13.045f,31.562p,34.174 /TI /TA:DIST_WTR.S</t>
  </si>
  <si>
    <t>CRT (60) "OPW54_POT_WTR TK (S) AIR PIPE" 15.195f,31.512p,34.174 /TI /TA:POT_WTR.S</t>
  </si>
  <si>
    <t>CRT (61) "OPW55_POT_WTR TK (S) AIR PIPE" 21.245f,31.562p,34.174 /TI /TA:POT_WTR.S</t>
  </si>
  <si>
    <t>CRT (62) "OPW56_FW TK (S) AIR PIPE" 21.945f,31.562p,34.206 /TI /TA:FWT.S</t>
  </si>
  <si>
    <t>CRT (63) "OPW57_VOID AFT4 AIR PIPE" 26.554f,25.45p,34.168 /TI /TA:VOID_AFT4.S</t>
  </si>
  <si>
    <t>CRT (64) "OPW58_VOID AFT (3S) AIR PIPE" 26.554f,25.821p,34.168 /TI /TA:VOID_AFT3.S</t>
  </si>
  <si>
    <t>CRT (65) "OPW59_VOID AFT(2S) AIR PIPE" 27.354f,25.508p,34.179 /TI /TA:VOID_AFT2.S</t>
  </si>
  <si>
    <t>CRT (66) "OPW60_VOID AFT(2S) AIR PIPE" 27.354f,25.858p,34.179 /TI /TA:VOID_AFT2.S</t>
  </si>
  <si>
    <t>CRT (67) "OPW61_FW TK (S) AIR PIPE" 33.595f,31.36p,33.998 /TI /TA:FWT.S</t>
  </si>
  <si>
    <t>CRT (68) "OPW62_VOID AFT(1S) AIR PIPE" 35.625f,30.942p,34.127 /TI /TA:VOID_AFT1.S</t>
  </si>
  <si>
    <t>CRT (69) "OPW63_APTC AIR PIPE" 8.563f,22.043s,34.335 /TI /TA:APT.C</t>
  </si>
  <si>
    <t>CRT (70) "OPW64_VOID AFT AIR PIPE" 1.345f,31.588s,34.423 /TI /TA:VOID_AFT.C</t>
  </si>
  <si>
    <t>CRT (71) "OPW65_DIST_WTR TK (P) AIR PIPE" 7.645f,31.588s,34.174 /TI /TA:DIST_WTR.P</t>
  </si>
  <si>
    <t>CRT (72) "OPW66_DIST_WTR TK (P) AIR PIPE" 12.845f,31.588s,34.174 /TI /TA:DIST_WTR.P</t>
  </si>
  <si>
    <t>CRT (73) "OPW67_POT_WTR TK (P) AIR PIPE" 15.845f,31.588s,34.174 /TI /TA:POT_WTR.P</t>
  </si>
  <si>
    <t>CRT (74) "OPW68_POT_WTR TK (P) AIR PIPE" 21.245f,31.588s,34.174 /TI /TA:POT_WTR.P</t>
  </si>
  <si>
    <t>CRT (75) "OPW69_FW TK (P) AIR PIPE" 21.945f,31.588s,34.206 /TI /TA:FWT.P</t>
  </si>
  <si>
    <t>CRT (76) "OPW70_WASTE OIL DN TK AIR PIPE" 33f,26.4s,34.195 /TI /TA:WASTE_OIL.P</t>
  </si>
  <si>
    <t>CRT (77) "OPW71_FW TK (P) AIR PIPE" 33.595f,31.588s,34.174 /TI /TA:FWT.P</t>
  </si>
  <si>
    <t>CRT (78) "OPW72_VOID AFT(1P) AIR PIPE" 35.625f,29.168s,34.127 /TI /TA:VOID_AFT1.P</t>
  </si>
  <si>
    <t>CRT (79) "OPW73_VOID AFT5 AIR PIPE" 18.327f,24.95s,34.171 /TI /TA:VOID_AFT5.P</t>
  </si>
  <si>
    <t>CRT (80) "OPW74_BILGE HOLDING TK AIR PIPE" 19.147f,24.95s,34.19 /TI /TA:BILGE_HOLD.P</t>
  </si>
  <si>
    <t>CRT (81) "OPW75_SLUDGE TK AIR PIPE" 19.55f,24.95s,34.19 /TI /TA:SLUDGE_TK.P</t>
  </si>
  <si>
    <t>CRT (82) "OPW76_VOID AFT (3P) AIR PIPE" 20f,24.95s,34.19 /TI /TA:VOID_AFT3.P</t>
  </si>
  <si>
    <t>CRT (83) "OPW77_VOID AFT5 AIR PIPE" 17.65f,27.321s,33.939 /TI /TA:VOID_AFT5.P</t>
  </si>
  <si>
    <t>CRT (84) "OPW78_VOID AFT(2P) AIR PIPE" 17.65f,26.688s,34.171 /TI /TA:VOID_AFT2.P</t>
  </si>
  <si>
    <t>CRT (85) "OPW79_VOID AFT(2P) AIR PIPE" 17.65f,26.31s,34.171 /TI /TA:VOID_AFT2.P</t>
  </si>
  <si>
    <t>CRT (86) "OPW80_VOID AFT AIR PIPE" 2.545f,31.512p,34.423 /TI /TA:APT.C</t>
  </si>
  <si>
    <t>CRT (87) "OPW81_HVAC INLET(P) ON MAINDECK" 18.16f,28.56s,37.5 /TI /TA:ENGINE_RM.C</t>
  </si>
  <si>
    <t>CRT (88) "OPW82_NO1 HVAC INLET(S) ON MAINDECK" 24.08f,28.56p,37.5 /TI /TA:ENGINE_RM.C</t>
  </si>
  <si>
    <t>CRT (89) "OPW83_NO2 HVAC INLET(S) ON MAINDECK" 15.1f,28.56p,37.5 /TI /TA:ENGINE_RM.C</t>
  </si>
  <si>
    <t>CRT (90) "OPW84_DOOR-EXHFAN RM" 21.6f,28.56s,33.6 /TI /TA:ENGINE_RM.C</t>
  </si>
  <si>
    <t>CRT (91) "OPW85_DOOR-EXHFAN RM" 20.95f,28.56p,33.6 /TI /TA:ENGINE_RM.C</t>
  </si>
  <si>
    <t>CRT (92) "OPW86_DOOR-CARGO LIFT" 32.4f,24.3p,33.6 /TI /TA:ENGINE_RM.C</t>
  </si>
  <si>
    <t>CRT (93) "OPW87_DOOR-LOBBY" 28.75f,22.5p,33.6 /TI /TA:ENGINE_RM.C</t>
  </si>
  <si>
    <t>CRT (94) "OPW88_DOOR-FIRE STATION(B)" 26.85f,22.5p,33.6 /TI /TA:ENGINE_RM.C</t>
  </si>
  <si>
    <t>CRT (95) "OPW89_DOOR-LOBBY" 23.94f,22.5p,33.6 /TI /TA:ENGINE_RM.C</t>
  </si>
  <si>
    <t>CRT (96) "OPW90_DOOR-LAUNDRY MACHINERY RM" 9f,4.13p,33.6 /TI /TA:ENGINE_RM.C</t>
  </si>
  <si>
    <t>CRT (97) "OPW91_DOOR-FAN RM" 9f,1.5s,33.6 /TI /TA:ENGINE_RM.C</t>
  </si>
  <si>
    <t>CRT (98) "OPW92_DOOR-EMERGENCY ESCAPE TRUNK" 9f,3.7s,33.6 /TI /TA:ENGINE_RM.C</t>
  </si>
  <si>
    <t>CRT (99) "OPW93_DOOR-HIGH EXPANSION FOAM RM" 9f,15.3s,33.6 /TI /TA:ENGINE_RM.C</t>
  </si>
  <si>
    <t>CRT (100) "OPW94_DOOR-NOVEC 1230 BOTTLE RM" 9f,17.9s,33.6 /TI /TA:ENGINE_RM.C</t>
  </si>
  <si>
    <t>CRT (101) "OPW95_DOOR-FAN RM" 9f,23.4s,33.6 /TI /TA:ENGINE_RM.C</t>
  </si>
  <si>
    <t>CRT (102) "OPW96_DOOR-BATTERY RM(B)" 15.95f,24.3s,33.6 /TI /TA:ENGINE_RM.C</t>
  </si>
  <si>
    <t>CRT (103) "OPW97_DOOR-FIRE STATION(A)" 26.1f,22.5s,33.6 /TI /TA:ENGINE_RM.C</t>
  </si>
  <si>
    <t>CRT (104) "OPW98_DOOR-LOBBY" 28.5f,22.5s,33.6 /TI /TA:ENGINE_RM.C</t>
  </si>
  <si>
    <t>BMT</t>
  </si>
  <si>
    <t>BML</t>
  </si>
  <si>
    <t>Heel(Deg)</t>
  </si>
  <si>
    <t>Trim(m)</t>
  </si>
  <si>
    <t>Draft(m)</t>
  </si>
  <si>
    <t>LCG(m)</t>
  </si>
  <si>
    <t>TCG(m)</t>
  </si>
  <si>
    <t>VCG(m)</t>
  </si>
  <si>
    <t>GM(m)</t>
  </si>
  <si>
    <t>tTCG</t>
  </si>
  <si>
    <t>Heel(deg)</t>
  </si>
  <si>
    <t>Attained</t>
  </si>
  <si>
    <t>Required</t>
  </si>
  <si>
    <t>wbt1p</t>
  </si>
  <si>
    <t>wbt1s</t>
  </si>
  <si>
    <t>wbt2p</t>
  </si>
  <si>
    <t>wbt2s</t>
  </si>
  <si>
    <t>wbt3p</t>
  </si>
  <si>
    <t>wbt3s</t>
  </si>
  <si>
    <t>wbt4p</t>
  </si>
  <si>
    <t>wbt4s</t>
  </si>
  <si>
    <t>wbt5p</t>
  </si>
  <si>
    <t>wbt5s</t>
  </si>
  <si>
    <t>wbt6p</t>
  </si>
  <si>
    <t>wbt6s</t>
  </si>
  <si>
    <t>wbt7s</t>
  </si>
  <si>
    <t>wbt8c</t>
  </si>
  <si>
    <t>wbt8s</t>
  </si>
  <si>
    <t>wbt9c</t>
  </si>
  <si>
    <t>wbt9s</t>
  </si>
  <si>
    <t>fwt1p</t>
  </si>
  <si>
    <t>fwt2p</t>
  </si>
  <si>
    <t>fot1p</t>
  </si>
  <si>
    <t>cot1c</t>
  </si>
  <si>
    <t>cot2c</t>
  </si>
  <si>
    <t>cot3c</t>
  </si>
  <si>
    <t>cot4c</t>
  </si>
  <si>
    <t>cot5c</t>
  </si>
  <si>
    <t>cot6c</t>
  </si>
  <si>
    <t>cot7c</t>
  </si>
  <si>
    <t>str1</t>
  </si>
  <si>
    <t>str2</t>
  </si>
  <si>
    <t>str3</t>
  </si>
  <si>
    <t>str4</t>
  </si>
  <si>
    <t>str5</t>
  </si>
  <si>
    <t>str6</t>
  </si>
  <si>
    <t>str7</t>
  </si>
  <si>
    <t>str8</t>
  </si>
  <si>
    <t>str9</t>
  </si>
  <si>
    <t>`59</t>
  </si>
  <si>
    <t>`60</t>
  </si>
  <si>
    <t>`61</t>
  </si>
  <si>
    <t>`62</t>
  </si>
  <si>
    <t>`63</t>
  </si>
  <si>
    <t>`64</t>
  </si>
  <si>
    <t>`65</t>
  </si>
  <si>
    <t>`66</t>
  </si>
  <si>
    <t>`67</t>
  </si>
  <si>
    <t>`68</t>
  </si>
  <si>
    <t>`69</t>
  </si>
  <si>
    <t>`70</t>
  </si>
  <si>
    <t>`71</t>
  </si>
  <si>
    <t>`72</t>
  </si>
  <si>
    <t>`73</t>
  </si>
  <si>
    <t>`74</t>
  </si>
  <si>
    <t>`75</t>
  </si>
  <si>
    <t>MaxShearForce</t>
  </si>
  <si>
    <t>FW</t>
  </si>
  <si>
    <t>FO</t>
  </si>
  <si>
    <t>C:\My Project\2024-Apr</t>
  </si>
  <si>
    <t>box.GF</t>
  </si>
  <si>
    <t>BALLAST</t>
  </si>
  <si>
    <t>{"BALLAST":[1,2,3,4,5,6,7,8,9,10,11,12,13,14,15,16,17],"FW":[18,19],"FO":[20],"CO":[21,22,23,24,25,26,27]}</t>
  </si>
  <si>
    <t>Data loading completed</t>
  </si>
  <si>
    <t>2025-02-26 오후 10:11:21  General Data Loaded</t>
  </si>
  <si>
    <t>2025-02-26 오후 10:11:22  Hydrostatics Loaded</t>
  </si>
  <si>
    <t>2025-02-26 오후 10:11:23  Bonjean Loaded</t>
  </si>
  <si>
    <t>2025-02-26 오후 10:11:26  Tank Tables Loaded</t>
  </si>
  <si>
    <t>2025-02-26 오후 10:11:29  Weight Distribution Loaded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</si>
</sst>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0.0"/>
  </numFmts>
  <fonts count="22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b/>
      <sz val="11"/>
      <color theme="1"/>
      <name val="Calibri"/>
      <family val="2"/>
      <scheme val="minor"/>
    </font>
    <font>
      <sz val="11"/>
      <color rgb="FF92D050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rgb="FFFF0000"/>
      <name val="Calibri"/>
      <family val="2"/>
      <charset val="129"/>
      <scheme val="minor"/>
    </font>
    <font>
      <sz val="11"/>
      <color theme="0" tint="-0.249977111117893"/>
      <name val="Calibri"/>
      <family val="2"/>
      <charset val="129"/>
      <scheme val="minor"/>
    </font>
    <font>
      <b/>
      <sz val="9.8000000000000007"/>
      <color rgb="FFFF0000"/>
      <name val="JetBrains Mono"/>
    </font>
    <font>
      <sz val="11"/>
      <color rgb="FFFF0000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14999847407452621"/>
      <name val="Calibri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39997558519241921"/>
        <bgColor indexed="64"/>
      </patternFill>
    </fill>
  </fills>
  <borders count="5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double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double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double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ck">
        <color indexed="64"/>
      </left>
      <right/>
      <top/>
      <bottom/>
      <diagonal/>
    </border>
    <border>
      <left/>
      <right style="thin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/>
      <right style="thick">
        <color auto="1"/>
      </right>
      <top/>
      <bottom style="medium">
        <color indexed="64"/>
      </bottom>
      <diagonal/>
    </border>
    <border>
      <left/>
      <right style="thick">
        <color auto="1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double">
        <color indexed="64"/>
      </bottom>
      <diagonal/>
    </border>
    <border>
      <left/>
      <right/>
      <top style="thick">
        <color indexed="64"/>
      </top>
      <bottom style="double">
        <color indexed="64"/>
      </bottom>
      <diagonal/>
    </border>
    <border>
      <left/>
      <right style="medium">
        <color indexed="64"/>
      </right>
      <top style="thick">
        <color indexed="64"/>
      </top>
      <bottom style="double">
        <color indexed="64"/>
      </bottom>
      <diagonal/>
    </border>
    <border>
      <left style="medium">
        <color indexed="64"/>
      </left>
      <right/>
      <top style="thick">
        <color indexed="64"/>
      </top>
      <bottom style="double">
        <color indexed="64"/>
      </bottom>
      <diagonal/>
    </border>
    <border>
      <left/>
      <right style="thick">
        <color indexed="64"/>
      </right>
      <top style="thick">
        <color indexed="64"/>
      </top>
      <bottom style="double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31">
    <xf numFmtId="0" fontId="0" fillId="0" borderId="0" xfId="0"/>
    <xf numFmtId="0" fontId="0" fillId="2" borderId="0" xfId="0" applyFill="1"/>
    <xf numFmtId="0" fontId="0" fillId="0" borderId="0" xfId="0" applyAlignment="1">
      <alignment wrapText="1"/>
    </xf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8" fillId="0" borderId="3" xfId="0" applyFont="1" applyBorder="1"/>
    <xf numFmtId="1" fontId="0" fillId="0" borderId="1" xfId="0" applyNumberFormat="1" applyBorder="1" applyAlignment="1">
      <alignment wrapText="1"/>
    </xf>
    <xf numFmtId="1" fontId="0" fillId="0" borderId="1" xfId="0" applyNumberFormat="1" applyBorder="1"/>
    <xf numFmtId="1" fontId="0" fillId="0" borderId="4" xfId="0" applyNumberFormat="1" applyBorder="1"/>
    <xf numFmtId="0" fontId="0" fillId="3" borderId="0" xfId="0" quotePrefix="1" applyFill="1"/>
    <xf numFmtId="0" fontId="4" fillId="0" borderId="3" xfId="0" applyFont="1" applyBorder="1"/>
    <xf numFmtId="0" fontId="3" fillId="0" borderId="3" xfId="0" applyFont="1" applyBorder="1"/>
    <xf numFmtId="0" fontId="13" fillId="0" borderId="0" xfId="0" applyFont="1"/>
    <xf numFmtId="1" fontId="13" fillId="0" borderId="0" xfId="0" applyNumberFormat="1" applyFont="1"/>
    <xf numFmtId="0" fontId="0" fillId="0" borderId="5" xfId="0" applyBorder="1"/>
    <xf numFmtId="0" fontId="13" fillId="0" borderId="6" xfId="0" applyFont="1" applyBorder="1"/>
    <xf numFmtId="0" fontId="13" fillId="0" borderId="7" xfId="0" applyFont="1" applyBorder="1"/>
    <xf numFmtId="0" fontId="13" fillId="0" borderId="8" xfId="0" applyFont="1" applyBorder="1"/>
    <xf numFmtId="0" fontId="13" fillId="0" borderId="9" xfId="0" applyFont="1" applyBorder="1"/>
    <xf numFmtId="0" fontId="13" fillId="0" borderId="10" xfId="0" applyFont="1" applyBorder="1"/>
    <xf numFmtId="0" fontId="0" fillId="0" borderId="10" xfId="0" applyBorder="1"/>
    <xf numFmtId="0" fontId="0" fillId="0" borderId="11" xfId="0" applyBorder="1"/>
    <xf numFmtId="164" fontId="13" fillId="0" borderId="12" xfId="0" applyNumberFormat="1" applyFont="1" applyBorder="1"/>
    <xf numFmtId="0" fontId="13" fillId="0" borderId="14" xfId="0" applyFont="1" applyBorder="1"/>
    <xf numFmtId="0" fontId="0" fillId="0" borderId="14" xfId="0" applyBorder="1"/>
    <xf numFmtId="0" fontId="0" fillId="0" borderId="15" xfId="0" applyBorder="1"/>
    <xf numFmtId="0" fontId="13" fillId="0" borderId="16" xfId="0" applyFont="1" applyBorder="1"/>
    <xf numFmtId="0" fontId="13" fillId="0" borderId="17" xfId="0" applyFont="1" applyBorder="1"/>
    <xf numFmtId="1" fontId="13" fillId="0" borderId="18" xfId="0" applyNumberFormat="1" applyFont="1" applyBorder="1"/>
    <xf numFmtId="0" fontId="0" fillId="0" borderId="3" xfId="0" applyBorder="1" applyAlignment="1">
      <alignment horizontal="left"/>
    </xf>
    <xf numFmtId="0" fontId="0" fillId="0" borderId="20" xfId="0" applyBorder="1"/>
    <xf numFmtId="0" fontId="6" fillId="0" borderId="18" xfId="0" applyFont="1" applyBorder="1"/>
    <xf numFmtId="0" fontId="0" fillId="0" borderId="20" xfId="0" applyBorder="1" applyAlignment="1">
      <alignment horizontal="right"/>
    </xf>
    <xf numFmtId="0" fontId="14" fillId="0" borderId="20" xfId="0" applyFont="1" applyBorder="1" applyAlignment="1">
      <alignment vertical="center"/>
    </xf>
    <xf numFmtId="0" fontId="15" fillId="0" borderId="1" xfId="0" applyFont="1" applyBorder="1"/>
    <xf numFmtId="0" fontId="0" fillId="3" borderId="22" xfId="0" applyFill="1" applyBorder="1"/>
    <xf numFmtId="164" fontId="0" fillId="0" borderId="22" xfId="0" applyNumberFormat="1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6" xfId="0" applyBorder="1"/>
    <xf numFmtId="0" fontId="13" fillId="0" borderId="27" xfId="0" applyFont="1" applyBorder="1"/>
    <xf numFmtId="0" fontId="13" fillId="0" borderId="28" xfId="0" applyFont="1" applyBorder="1"/>
    <xf numFmtId="0" fontId="13" fillId="0" borderId="29" xfId="0" applyFont="1" applyBorder="1"/>
    <xf numFmtId="0" fontId="13" fillId="0" borderId="30" xfId="0" applyFont="1" applyBorder="1"/>
    <xf numFmtId="0" fontId="13" fillId="0" borderId="31" xfId="0" applyFont="1" applyBorder="1"/>
    <xf numFmtId="0" fontId="13" fillId="0" borderId="32" xfId="0" applyFont="1" applyBorder="1"/>
    <xf numFmtId="0" fontId="7" fillId="4" borderId="33" xfId="0" applyFont="1" applyFill="1" applyBorder="1"/>
    <xf numFmtId="0" fontId="7" fillId="4" borderId="22" xfId="0" applyFont="1" applyFill="1" applyBorder="1"/>
    <xf numFmtId="0" fontId="9" fillId="0" borderId="21" xfId="0" applyFont="1" applyBorder="1"/>
    <xf numFmtId="0" fontId="0" fillId="0" borderId="33" xfId="0" applyBorder="1"/>
    <xf numFmtId="2" fontId="0" fillId="0" borderId="4" xfId="0" applyNumberFormat="1" applyBorder="1"/>
    <xf numFmtId="164" fontId="0" fillId="0" borderId="4" xfId="0" applyNumberFormat="1" applyBorder="1"/>
    <xf numFmtId="0" fontId="0" fillId="3" borderId="1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13" fillId="0" borderId="34" xfId="0" applyFont="1" applyBorder="1"/>
    <xf numFmtId="0" fontId="7" fillId="4" borderId="0" xfId="0" applyFont="1" applyFill="1"/>
    <xf numFmtId="1" fontId="7" fillId="4" borderId="0" xfId="0" applyNumberFormat="1" applyFont="1" applyFill="1"/>
    <xf numFmtId="0" fontId="9" fillId="4" borderId="22" xfId="0" applyFont="1" applyFill="1" applyBorder="1"/>
    <xf numFmtId="0" fontId="12" fillId="4" borderId="0" xfId="0" applyFont="1" applyFill="1"/>
    <xf numFmtId="0" fontId="0" fillId="0" borderId="0" xfId="0" applyAlignment="1">
      <alignment horizontal="center"/>
    </xf>
    <xf numFmtId="0" fontId="9" fillId="0" borderId="22" xfId="0" applyFont="1" applyBorder="1"/>
    <xf numFmtId="0" fontId="0" fillId="3" borderId="33" xfId="0" applyFill="1" applyBorder="1"/>
    <xf numFmtId="9" fontId="0" fillId="0" borderId="0" xfId="1" applyFont="1" applyBorder="1"/>
    <xf numFmtId="1" fontId="0" fillId="0" borderId="0" xfId="0" applyNumberFormat="1"/>
    <xf numFmtId="164" fontId="0" fillId="0" borderId="0" xfId="0" applyNumberFormat="1"/>
    <xf numFmtId="1" fontId="0" fillId="0" borderId="21" xfId="0" applyNumberFormat="1" applyBorder="1"/>
    <xf numFmtId="0" fontId="0" fillId="3" borderId="0" xfId="0" applyFill="1" applyAlignment="1">
      <alignment horizontal="center" wrapText="1"/>
    </xf>
    <xf numFmtId="1" fontId="0" fillId="0" borderId="0" xfId="0" applyNumberFormat="1" applyAlignment="1">
      <alignment wrapText="1"/>
    </xf>
    <xf numFmtId="1" fontId="0" fillId="0" borderId="22" xfId="0" applyNumberFormat="1" applyBorder="1"/>
    <xf numFmtId="1" fontId="0" fillId="0" borderId="35" xfId="0" applyNumberFormat="1" applyBorder="1"/>
    <xf numFmtId="164" fontId="0" fillId="0" borderId="0" xfId="1" applyNumberFormat="1" applyFont="1" applyBorder="1"/>
    <xf numFmtId="0" fontId="0" fillId="0" borderId="21" xfId="0" applyBorder="1"/>
    <xf numFmtId="0" fontId="0" fillId="0" borderId="36" xfId="0" applyBorder="1"/>
    <xf numFmtId="0" fontId="0" fillId="0" borderId="35" xfId="0" applyBorder="1"/>
    <xf numFmtId="2" fontId="0" fillId="0" borderId="0" xfId="1" applyNumberFormat="1" applyFont="1" applyBorder="1"/>
    <xf numFmtId="0" fontId="0" fillId="3" borderId="0" xfId="0" applyFill="1" applyAlignment="1">
      <alignment horizontal="center"/>
    </xf>
    <xf numFmtId="0" fontId="2" fillId="0" borderId="3" xfId="0" applyFont="1" applyBorder="1"/>
    <xf numFmtId="0" fontId="6" fillId="3" borderId="37" xfId="0" applyFont="1" applyFill="1" applyBorder="1" applyAlignment="1">
      <alignment horizontal="center" vertical="center"/>
    </xf>
    <xf numFmtId="0" fontId="10" fillId="3" borderId="38" xfId="0" applyFont="1" applyFill="1" applyBorder="1" applyAlignment="1">
      <alignment horizontal="centerContinuous"/>
    </xf>
    <xf numFmtId="0" fontId="11" fillId="3" borderId="39" xfId="0" applyFont="1" applyFill="1" applyBorder="1" applyAlignment="1">
      <alignment horizontal="centerContinuous"/>
    </xf>
    <xf numFmtId="0" fontId="10" fillId="3" borderId="40" xfId="0" applyFont="1" applyFill="1" applyBorder="1" applyAlignment="1">
      <alignment horizontal="centerContinuous"/>
    </xf>
    <xf numFmtId="0" fontId="0" fillId="3" borderId="41" xfId="0" applyFill="1" applyBorder="1" applyAlignment="1">
      <alignment horizontal="centerContinuous"/>
    </xf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2" fontId="0" fillId="0" borderId="0" xfId="0" applyNumberFormat="1"/>
    <xf numFmtId="9" fontId="0" fillId="0" borderId="0" xfId="1" applyFont="1"/>
    <xf numFmtId="164" fontId="0" fillId="3" borderId="4" xfId="0" applyNumberFormat="1" applyFill="1" applyBorder="1"/>
    <xf numFmtId="0" fontId="0" fillId="0" borderId="0" xfId="0" applyAlignment="1">
      <alignment horizontal="centerContinuous"/>
    </xf>
    <xf numFmtId="164" fontId="6" fillId="2" borderId="2" xfId="0" applyNumberFormat="1" applyFont="1" applyFill="1" applyBorder="1"/>
    <xf numFmtId="0" fontId="6" fillId="2" borderId="2" xfId="0" applyFont="1" applyFill="1" applyBorder="1"/>
    <xf numFmtId="164" fontId="8" fillId="0" borderId="2" xfId="0" applyNumberFormat="1" applyFont="1" applyBorder="1"/>
    <xf numFmtId="1" fontId="8" fillId="0" borderId="2" xfId="0" applyNumberFormat="1" applyFont="1" applyBorder="1"/>
    <xf numFmtId="0" fontId="8" fillId="0" borderId="2" xfId="0" applyFont="1" applyBorder="1"/>
    <xf numFmtId="0" fontId="0" fillId="0" borderId="25" xfId="0" applyBorder="1"/>
    <xf numFmtId="164" fontId="0" fillId="0" borderId="22" xfId="0" applyNumberFormat="1" applyBorder="1" applyAlignment="1">
      <alignment wrapText="1"/>
    </xf>
    <xf numFmtId="164" fontId="8" fillId="2" borderId="2" xfId="0" applyNumberFormat="1" applyFont="1" applyFill="1" applyBorder="1"/>
    <xf numFmtId="0" fontId="0" fillId="0" borderId="0" xfId="0" applyAlignment="1">
      <alignment horizontal="right"/>
    </xf>
    <xf numFmtId="0" fontId="17" fillId="5" borderId="46" xfId="0" applyFont="1" applyFill="1" applyBorder="1" applyAlignment="1">
      <alignment horizontal="center" vertical="center"/>
    </xf>
    <xf numFmtId="0" fontId="17" fillId="5" borderId="46" xfId="0" applyFont="1" applyFill="1" applyBorder="1" applyAlignment="1">
      <alignment horizontal="left" vertical="center"/>
    </xf>
    <xf numFmtId="0" fontId="17" fillId="5" borderId="47" xfId="0" applyFont="1" applyFill="1" applyBorder="1" applyAlignment="1">
      <alignment horizontal="center" vertical="center"/>
    </xf>
    <xf numFmtId="0" fontId="17" fillId="5" borderId="48" xfId="0" applyFont="1" applyFill="1" applyBorder="1" applyAlignment="1">
      <alignment horizontal="center" vertical="center"/>
    </xf>
    <xf numFmtId="0" fontId="17" fillId="5" borderId="49" xfId="0" applyFont="1" applyFill="1" applyBorder="1" applyAlignment="1">
      <alignment horizontal="center" vertical="center"/>
    </xf>
    <xf numFmtId="0" fontId="18" fillId="0" borderId="46" xfId="0" applyFont="1" applyBorder="1" applyAlignment="1">
      <alignment horizontal="center"/>
    </xf>
    <xf numFmtId="0" fontId="18" fillId="0" borderId="46" xfId="0" applyFont="1" applyBorder="1"/>
    <xf numFmtId="9" fontId="18" fillId="0" borderId="46" xfId="0" applyNumberFormat="1" applyFont="1" applyBorder="1"/>
    <xf numFmtId="0" fontId="18" fillId="0" borderId="47" xfId="0" applyFont="1" applyBorder="1" applyAlignment="1">
      <alignment horizontal="center"/>
    </xf>
    <xf numFmtId="0" fontId="18" fillId="0" borderId="48" xfId="0" applyFont="1" applyBorder="1" applyAlignment="1">
      <alignment horizontal="center"/>
    </xf>
    <xf numFmtId="0" fontId="18" fillId="0" borderId="49" xfId="0" applyFont="1" applyBorder="1" applyAlignment="1">
      <alignment horizontal="center"/>
    </xf>
    <xf numFmtId="165" fontId="0" fillId="0" borderId="0" xfId="0" applyNumberFormat="1"/>
    <xf numFmtId="164" fontId="0" fillId="0" borderId="10" xfId="0" applyNumberFormat="1" applyBorder="1"/>
    <xf numFmtId="0" fontId="1" fillId="0" borderId="3" xfId="0" applyFont="1" applyBorder="1"/>
    <xf numFmtId="164" fontId="6" fillId="0" borderId="10" xfId="0" applyNumberFormat="1" applyFont="1" applyBorder="1"/>
    <xf numFmtId="164" fontId="21" fillId="0" borderId="10" xfId="0" applyNumberFormat="1" applyFont="1" applyBorder="1"/>
    <xf numFmtId="164" fontId="13" fillId="0" borderId="6" xfId="0" applyNumberFormat="1" applyFont="1" applyBorder="1"/>
    <xf numFmtId="164" fontId="13" fillId="0" borderId="9" xfId="0" applyNumberFormat="1" applyFont="1" applyBorder="1"/>
    <xf numFmtId="164" fontId="13" fillId="0" borderId="13" xfId="0" applyNumberFormat="1" applyFont="1" applyBorder="1"/>
    <xf numFmtId="166" fontId="13" fillId="0" borderId="6" xfId="0" applyNumberFormat="1" applyFont="1" applyBorder="1"/>
    <xf numFmtId="166" fontId="6" fillId="0" borderId="12" xfId="0" applyNumberFormat="1" applyFont="1" applyBorder="1"/>
    <xf numFmtId="164" fontId="13" fillId="0" borderId="18" xfId="0" applyNumberFormat="1" applyFont="1" applyBorder="1"/>
    <xf numFmtId="164" fontId="13" fillId="0" borderId="19" xfId="0" applyNumberFormat="1" applyFont="1" applyBorder="1"/>
    <xf numFmtId="1" fontId="13" fillId="0" borderId="6" xfId="0" applyNumberFormat="1" applyFont="1" applyBorder="1"/>
    <xf numFmtId="1" fontId="13" fillId="0" borderId="12" xfId="0" applyNumberFormat="1" applyFont="1" applyBorder="1"/>
    <xf numFmtId="0" fontId="0" fillId="0" borderId="22" xfId="0" applyBorder="1" applyAlignment="1">
      <alignment horizontal="right"/>
    </xf>
    <xf numFmtId="0" fontId="6" fillId="0" borderId="0" xfId="0" applyFont="1"/>
    <xf numFmtId="0" fontId="0" fillId="0" borderId="33" xfId="0" applyBorder="1" applyAlignment="1">
      <alignment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L. Strength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5875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Result!$J$27:$CV$27</c:f>
              <c:numCache>
                <c:formatCode>0</c:formatCode>
                <c:ptCount val="91"/>
                <c:pt idx="0">
                  <c:v>208.44</c:v>
                </c:pt>
                <c:pt idx="1">
                  <c:v>207.90799999999999</c:v>
                </c:pt>
                <c:pt idx="2">
                  <c:v>207.37700000000001</c:v>
                </c:pt>
                <c:pt idx="3">
                  <c:v>206.846</c:v>
                </c:pt>
                <c:pt idx="4">
                  <c:v>206.31399999999999</c:v>
                </c:pt>
                <c:pt idx="5">
                  <c:v>205.78299999999999</c:v>
                </c:pt>
                <c:pt idx="6">
                  <c:v>205.251</c:v>
                </c:pt>
                <c:pt idx="7">
                  <c:v>204.72</c:v>
                </c:pt>
                <c:pt idx="8">
                  <c:v>204.18899999999999</c:v>
                </c:pt>
                <c:pt idx="9">
                  <c:v>203.65700000000001</c:v>
                </c:pt>
                <c:pt idx="10">
                  <c:v>203.126</c:v>
                </c:pt>
                <c:pt idx="11">
                  <c:v>202.595</c:v>
                </c:pt>
                <c:pt idx="12">
                  <c:v>202.06299999999999</c:v>
                </c:pt>
                <c:pt idx="13">
                  <c:v>201.53200000000001</c:v>
                </c:pt>
                <c:pt idx="14">
                  <c:v>201</c:v>
                </c:pt>
                <c:pt idx="15">
                  <c:v>200.46899999999999</c:v>
                </c:pt>
                <c:pt idx="16">
                  <c:v>199.93799999999999</c:v>
                </c:pt>
                <c:pt idx="17">
                  <c:v>199.40600000000001</c:v>
                </c:pt>
                <c:pt idx="18">
                  <c:v>198.875</c:v>
                </c:pt>
                <c:pt idx="19">
                  <c:v>198.34399999999999</c:v>
                </c:pt>
                <c:pt idx="20">
                  <c:v>197.81200000000001</c:v>
                </c:pt>
                <c:pt idx="21">
                  <c:v>197.28100000000001</c:v>
                </c:pt>
                <c:pt idx="22">
                  <c:v>196.749</c:v>
                </c:pt>
                <c:pt idx="23">
                  <c:v>196.21799999999999</c:v>
                </c:pt>
                <c:pt idx="24">
                  <c:v>195.68700000000001</c:v>
                </c:pt>
                <c:pt idx="25">
                  <c:v>195.155</c:v>
                </c:pt>
                <c:pt idx="26">
                  <c:v>194.624</c:v>
                </c:pt>
                <c:pt idx="27">
                  <c:v>194.09299999999999</c:v>
                </c:pt>
                <c:pt idx="28">
                  <c:v>193.56100000000001</c:v>
                </c:pt>
                <c:pt idx="29">
                  <c:v>193.03</c:v>
                </c:pt>
                <c:pt idx="30">
                  <c:v>192.49799999999999</c:v>
                </c:pt>
                <c:pt idx="31">
                  <c:v>191.96700000000001</c:v>
                </c:pt>
                <c:pt idx="32">
                  <c:v>191.43600000000001</c:v>
                </c:pt>
                <c:pt idx="33">
                  <c:v>190.904</c:v>
                </c:pt>
                <c:pt idx="34">
                  <c:v>190.37299999999999</c:v>
                </c:pt>
                <c:pt idx="35">
                  <c:v>189.84200000000001</c:v>
                </c:pt>
                <c:pt idx="36">
                  <c:v>189.31</c:v>
                </c:pt>
                <c:pt idx="37">
                  <c:v>188.779</c:v>
                </c:pt>
                <c:pt idx="38">
                  <c:v>188.24700000000001</c:v>
                </c:pt>
                <c:pt idx="39">
                  <c:v>187.71600000000001</c:v>
                </c:pt>
                <c:pt idx="40">
                  <c:v>187.185</c:v>
                </c:pt>
                <c:pt idx="41">
                  <c:v>186.65299999999999</c:v>
                </c:pt>
                <c:pt idx="42">
                  <c:v>186.12200000000001</c:v>
                </c:pt>
                <c:pt idx="43">
                  <c:v>185.59100000000001</c:v>
                </c:pt>
                <c:pt idx="44">
                  <c:v>185.059</c:v>
                </c:pt>
                <c:pt idx="45">
                  <c:v>184.52799999999999</c:v>
                </c:pt>
                <c:pt idx="46">
                  <c:v>183.99600000000001</c:v>
                </c:pt>
                <c:pt idx="47">
                  <c:v>183.465</c:v>
                </c:pt>
                <c:pt idx="48">
                  <c:v>182.934</c:v>
                </c:pt>
                <c:pt idx="49">
                  <c:v>182.40199999999999</c:v>
                </c:pt>
                <c:pt idx="50">
                  <c:v>181.87100000000001</c:v>
                </c:pt>
                <c:pt idx="51">
                  <c:v>181.34</c:v>
                </c:pt>
                <c:pt idx="52">
                  <c:v>180.80799999999999</c:v>
                </c:pt>
                <c:pt idx="53">
                  <c:v>180.27699999999999</c:v>
                </c:pt>
                <c:pt idx="54">
                  <c:v>179.745</c:v>
                </c:pt>
                <c:pt idx="55">
                  <c:v>179.214</c:v>
                </c:pt>
                <c:pt idx="56">
                  <c:v>178.68299999999999</c:v>
                </c:pt>
                <c:pt idx="57">
                  <c:v>178.15100000000001</c:v>
                </c:pt>
                <c:pt idx="58">
                  <c:v>177.62</c:v>
                </c:pt>
                <c:pt idx="59">
                  <c:v>177.089</c:v>
                </c:pt>
                <c:pt idx="60">
                  <c:v>176.55699999999999</c:v>
                </c:pt>
                <c:pt idx="61">
                  <c:v>176.02600000000001</c:v>
                </c:pt>
                <c:pt idx="62">
                  <c:v>175.494</c:v>
                </c:pt>
                <c:pt idx="63">
                  <c:v>174.96299999999999</c:v>
                </c:pt>
                <c:pt idx="64">
                  <c:v>174.43199999999999</c:v>
                </c:pt>
                <c:pt idx="65">
                  <c:v>173.9</c:v>
                </c:pt>
                <c:pt idx="66">
                  <c:v>173.369</c:v>
                </c:pt>
                <c:pt idx="67">
                  <c:v>172.83799999999999</c:v>
                </c:pt>
                <c:pt idx="68">
                  <c:v>172.30600000000001</c:v>
                </c:pt>
                <c:pt idx="69">
                  <c:v>171.77500000000001</c:v>
                </c:pt>
                <c:pt idx="70">
                  <c:v>171.24299999999999</c:v>
                </c:pt>
                <c:pt idx="71">
                  <c:v>170.71199999999999</c:v>
                </c:pt>
                <c:pt idx="72">
                  <c:v>170.18100000000001</c:v>
                </c:pt>
                <c:pt idx="73">
                  <c:v>169.649</c:v>
                </c:pt>
                <c:pt idx="74">
                  <c:v>169.11799999999999</c:v>
                </c:pt>
                <c:pt idx="75">
                  <c:v>168.58699999999999</c:v>
                </c:pt>
                <c:pt idx="76">
                  <c:v>168.05500000000001</c:v>
                </c:pt>
                <c:pt idx="77">
                  <c:v>167.524</c:v>
                </c:pt>
                <c:pt idx="78">
                  <c:v>166.99199999999999</c:v>
                </c:pt>
                <c:pt idx="79">
                  <c:v>166.46100000000001</c:v>
                </c:pt>
                <c:pt idx="80">
                  <c:v>165.93</c:v>
                </c:pt>
                <c:pt idx="81">
                  <c:v>165.398</c:v>
                </c:pt>
                <c:pt idx="82">
                  <c:v>164.86699999999999</c:v>
                </c:pt>
                <c:pt idx="83">
                  <c:v>164.33600000000001</c:v>
                </c:pt>
                <c:pt idx="84">
                  <c:v>163.804</c:v>
                </c:pt>
                <c:pt idx="85">
                  <c:v>163.273</c:v>
                </c:pt>
                <c:pt idx="86">
                  <c:v>162.74100000000001</c:v>
                </c:pt>
                <c:pt idx="87">
                  <c:v>162.21</c:v>
                </c:pt>
                <c:pt idx="88">
                  <c:v>161.679</c:v>
                </c:pt>
                <c:pt idx="89">
                  <c:v>161.14699999999999</c:v>
                </c:pt>
                <c:pt idx="90">
                  <c:v>160.61600000000001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7C-45C3-A5B9-A38A72FF34B7}"/>
            </c:ext>
          </c:extLst>
        </c:ser>
        <c:ser>
          <c:idx val="1"/>
          <c:order val="1"/>
          <c:spPr>
            <a:ln w="15875" cap="rnd" cmpd="dbl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Result!$J$28:$CV$28</c:f>
              <c:numCache>
                <c:formatCode>0</c:formatCode>
                <c:ptCount val="91"/>
                <c:pt idx="0">
                  <c:v>0</c:v>
                </c:pt>
                <c:pt idx="1">
                  <c:v>0.174325024890714</c:v>
                </c:pt>
                <c:pt idx="2">
                  <c:v>0.52303678343423898</c:v>
                </c:pt>
                <c:pt idx="3">
                  <c:v>1.04666665037079</c:v>
                </c:pt>
                <c:pt idx="4">
                  <c:v>1.74574600044057</c:v>
                </c:pt>
                <c:pt idx="5">
                  <c:v>2.6208062083838102</c:v>
                </c:pt>
                <c:pt idx="6">
                  <c:v>3.67237864894072</c:v>
                </c:pt>
                <c:pt idx="7">
                  <c:v>4.9009946968515097</c:v>
                </c:pt>
                <c:pt idx="8">
                  <c:v>6.3071857268563898</c:v>
                </c:pt>
                <c:pt idx="9">
                  <c:v>7.8914831136955801</c:v>
                </c:pt>
                <c:pt idx="10">
                  <c:v>9.6544182321092897</c:v>
                </c:pt>
                <c:pt idx="11">
                  <c:v>11.3062774568377</c:v>
                </c:pt>
                <c:pt idx="12">
                  <c:v>12.847592162621099</c:v>
                </c:pt>
                <c:pt idx="13">
                  <c:v>14.278893724199699</c:v>
                </c:pt>
                <c:pt idx="14">
                  <c:v>15.600713516313601</c:v>
                </c:pt>
                <c:pt idx="15">
                  <c:v>16.813582913703101</c:v>
                </c:pt>
                <c:pt idx="16">
                  <c:v>17.9180332911085</c:v>
                </c:pt>
                <c:pt idx="17">
                  <c:v>18.914596023269802</c:v>
                </c:pt>
                <c:pt idx="18">
                  <c:v>19.803802484927399</c:v>
                </c:pt>
                <c:pt idx="19">
                  <c:v>20.586184050821402</c:v>
                </c:pt>
                <c:pt idx="20">
                  <c:v>21.262272095692101</c:v>
                </c:pt>
                <c:pt idx="21">
                  <c:v>21.941247994279699</c:v>
                </c:pt>
                <c:pt idx="22">
                  <c:v>22.623643121324399</c:v>
                </c:pt>
                <c:pt idx="23">
                  <c:v>23.309988851566299</c:v>
                </c:pt>
                <c:pt idx="24">
                  <c:v>24.0008165597458</c:v>
                </c:pt>
                <c:pt idx="25">
                  <c:v>24.696657620602998</c:v>
                </c:pt>
                <c:pt idx="26">
                  <c:v>25.398043408878198</c:v>
                </c:pt>
                <c:pt idx="27">
                  <c:v>26.105505299311499</c:v>
                </c:pt>
                <c:pt idx="28">
                  <c:v>26.819574666643099</c:v>
                </c:pt>
                <c:pt idx="29">
                  <c:v>27.5407828856134</c:v>
                </c:pt>
                <c:pt idx="30">
                  <c:v>28.269661330962499</c:v>
                </c:pt>
                <c:pt idx="31">
                  <c:v>28.906041377430601</c:v>
                </c:pt>
                <c:pt idx="32">
                  <c:v>29.450454399757898</c:v>
                </c:pt>
                <c:pt idx="33">
                  <c:v>29.903431772684598</c:v>
                </c:pt>
                <c:pt idx="34">
                  <c:v>30.265504870950998</c:v>
                </c:pt>
                <c:pt idx="35">
                  <c:v>30.5372050692973</c:v>
                </c:pt>
                <c:pt idx="36">
                  <c:v>30.7190637424637</c:v>
                </c:pt>
                <c:pt idx="37">
                  <c:v>30.811612265190298</c:v>
                </c:pt>
                <c:pt idx="38">
                  <c:v>30.815382012217501</c:v>
                </c:pt>
                <c:pt idx="39">
                  <c:v>30.7309043582854</c:v>
                </c:pt>
                <c:pt idx="40">
                  <c:v>30.558710678134201</c:v>
                </c:pt>
                <c:pt idx="41">
                  <c:v>30.336539846504198</c:v>
                </c:pt>
                <c:pt idx="42">
                  <c:v>30.064923238135599</c:v>
                </c:pt>
                <c:pt idx="43">
                  <c:v>29.7443922277685</c:v>
                </c:pt>
                <c:pt idx="44">
                  <c:v>29.375478190143198</c:v>
                </c:pt>
                <c:pt idx="45">
                  <c:v>28.958712499999901</c:v>
                </c:pt>
                <c:pt idx="46">
                  <c:v>28.4946265320789</c:v>
                </c:pt>
                <c:pt idx="47">
                  <c:v>27.983751661120301</c:v>
                </c:pt>
                <c:pt idx="48">
                  <c:v>27.426619261864399</c:v>
                </c:pt>
                <c:pt idx="49">
                  <c:v>26.8237607090513</c:v>
                </c:pt>
                <c:pt idx="50">
                  <c:v>26.175707377421201</c:v>
                </c:pt>
                <c:pt idx="51">
                  <c:v>25.595945641714501</c:v>
                </c:pt>
                <c:pt idx="52">
                  <c:v>25.085006876671301</c:v>
                </c:pt>
                <c:pt idx="53">
                  <c:v>24.6434224570318</c:v>
                </c:pt>
                <c:pt idx="54">
                  <c:v>24.271723757536201</c:v>
                </c:pt>
                <c:pt idx="55">
                  <c:v>23.9704421529248</c:v>
                </c:pt>
                <c:pt idx="56">
                  <c:v>23.740109017937801</c:v>
                </c:pt>
                <c:pt idx="57">
                  <c:v>23.581255727315298</c:v>
                </c:pt>
                <c:pt idx="58">
                  <c:v>23.494413655797601</c:v>
                </c:pt>
                <c:pt idx="59">
                  <c:v>23.4801141781249</c:v>
                </c:pt>
                <c:pt idx="60">
                  <c:v>23.538888669037402</c:v>
                </c:pt>
                <c:pt idx="61">
                  <c:v>23.511106003275401</c:v>
                </c:pt>
                <c:pt idx="62">
                  <c:v>23.397297555579001</c:v>
                </c:pt>
                <c:pt idx="63">
                  <c:v>23.197994700688401</c:v>
                </c:pt>
                <c:pt idx="64">
                  <c:v>22.913728813344001</c:v>
                </c:pt>
                <c:pt idx="65">
                  <c:v>22.545031268285801</c:v>
                </c:pt>
                <c:pt idx="66">
                  <c:v>22.092433440254101</c:v>
                </c:pt>
                <c:pt idx="67">
                  <c:v>21.556466703989202</c:v>
                </c:pt>
                <c:pt idx="68">
                  <c:v>20.9376624342311</c:v>
                </c:pt>
                <c:pt idx="69">
                  <c:v>20.236552005720199</c:v>
                </c:pt>
                <c:pt idx="70">
                  <c:v>19.4536667931967</c:v>
                </c:pt>
                <c:pt idx="71">
                  <c:v>18.589538171400701</c:v>
                </c:pt>
                <c:pt idx="72">
                  <c:v>17.644697515072501</c:v>
                </c:pt>
                <c:pt idx="73">
                  <c:v>16.619676198952298</c:v>
                </c:pt>
                <c:pt idx="74">
                  <c:v>15.5150055977804</c:v>
                </c:pt>
                <c:pt idx="75">
                  <c:v>14.3312170862968</c:v>
                </c:pt>
                <c:pt idx="76">
                  <c:v>13.0688420392419</c:v>
                </c:pt>
                <c:pt idx="77">
                  <c:v>11.7284118313558</c:v>
                </c:pt>
                <c:pt idx="78">
                  <c:v>10.310457837378801</c:v>
                </c:pt>
                <c:pt idx="79">
                  <c:v>8.8155114320511601</c:v>
                </c:pt>
                <c:pt idx="80">
                  <c:v>7.2441039901129498</c:v>
                </c:pt>
                <c:pt idx="81">
                  <c:v>5.8251018863044299</c:v>
                </c:pt>
                <c:pt idx="82">
                  <c:v>4.5590364953658398</c:v>
                </c:pt>
                <c:pt idx="83">
                  <c:v>3.4464391920374098</c:v>
                </c:pt>
                <c:pt idx="84">
                  <c:v>2.4878413510592501</c:v>
                </c:pt>
                <c:pt idx="85">
                  <c:v>1.6837743471717601</c:v>
                </c:pt>
                <c:pt idx="86">
                  <c:v>1.03476955511499</c:v>
                </c:pt>
                <c:pt idx="87">
                  <c:v>0.54135834962921103</c:v>
                </c:pt>
                <c:pt idx="88">
                  <c:v>0.20407210545466301</c:v>
                </c:pt>
                <c:pt idx="89">
                  <c:v>2.3442197331555999E-2</c:v>
                </c:pt>
                <c:pt idx="90">
                  <c:v>-1.8179902028236899E-15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C-45C3-A5B9-A38A72FF34B7}"/>
            </c:ext>
          </c:extLst>
        </c:ser>
        <c:ser>
          <c:idx val="2"/>
          <c:order val="2"/>
          <c:spPr>
            <a:ln w="15875" cap="rnd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Result!$J$29:$CV$29</c:f>
              <c:numCache>
                <c:formatCode>0</c:formatCode>
                <c:ptCount val="91"/>
                <c:pt idx="0">
                  <c:v>382.29499999999899</c:v>
                </c:pt>
                <c:pt idx="1">
                  <c:v>382.29499999999899</c:v>
                </c:pt>
                <c:pt idx="2">
                  <c:v>382.29499999999899</c:v>
                </c:pt>
                <c:pt idx="3">
                  <c:v>382.29499999999899</c:v>
                </c:pt>
                <c:pt idx="4">
                  <c:v>382.29499999999899</c:v>
                </c:pt>
                <c:pt idx="5">
                  <c:v>382.29499999999899</c:v>
                </c:pt>
                <c:pt idx="6">
                  <c:v>382.29499999999899</c:v>
                </c:pt>
                <c:pt idx="7">
                  <c:v>382.29499999999899</c:v>
                </c:pt>
                <c:pt idx="8">
                  <c:v>382.29499999999899</c:v>
                </c:pt>
                <c:pt idx="9">
                  <c:v>382.29499999999899</c:v>
                </c:pt>
                <c:pt idx="10">
                  <c:v>92.05</c:v>
                </c:pt>
                <c:pt idx="11">
                  <c:v>92.05</c:v>
                </c:pt>
                <c:pt idx="12">
                  <c:v>92.05</c:v>
                </c:pt>
                <c:pt idx="13">
                  <c:v>92.05</c:v>
                </c:pt>
                <c:pt idx="14">
                  <c:v>92.05</c:v>
                </c:pt>
                <c:pt idx="15">
                  <c:v>92.05</c:v>
                </c:pt>
                <c:pt idx="16">
                  <c:v>92.05</c:v>
                </c:pt>
                <c:pt idx="17">
                  <c:v>92.05</c:v>
                </c:pt>
                <c:pt idx="18">
                  <c:v>92.05</c:v>
                </c:pt>
                <c:pt idx="19">
                  <c:v>92.05</c:v>
                </c:pt>
                <c:pt idx="20">
                  <c:v>200.7</c:v>
                </c:pt>
                <c:pt idx="21">
                  <c:v>200.7</c:v>
                </c:pt>
                <c:pt idx="22">
                  <c:v>200.7</c:v>
                </c:pt>
                <c:pt idx="23">
                  <c:v>200.7</c:v>
                </c:pt>
                <c:pt idx="24">
                  <c:v>200.7</c:v>
                </c:pt>
                <c:pt idx="25">
                  <c:v>200.7</c:v>
                </c:pt>
                <c:pt idx="26">
                  <c:v>200.7</c:v>
                </c:pt>
                <c:pt idx="27">
                  <c:v>200.7</c:v>
                </c:pt>
                <c:pt idx="28">
                  <c:v>200.7</c:v>
                </c:pt>
                <c:pt idx="29">
                  <c:v>200.7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137.20749999999899</c:v>
                </c:pt>
                <c:pt idx="41">
                  <c:v>137.20749999999899</c:v>
                </c:pt>
                <c:pt idx="42">
                  <c:v>137.20749999999899</c:v>
                </c:pt>
                <c:pt idx="43">
                  <c:v>137.20749999999899</c:v>
                </c:pt>
                <c:pt idx="44">
                  <c:v>137.20749999999899</c:v>
                </c:pt>
                <c:pt idx="45">
                  <c:v>137.20749999999899</c:v>
                </c:pt>
                <c:pt idx="46">
                  <c:v>137.20749999999899</c:v>
                </c:pt>
                <c:pt idx="47">
                  <c:v>137.20749999999899</c:v>
                </c:pt>
                <c:pt idx="48">
                  <c:v>137.20749999999899</c:v>
                </c:pt>
                <c:pt idx="49">
                  <c:v>137.20749999999899</c:v>
                </c:pt>
                <c:pt idx="50">
                  <c:v>250.162499999999</c:v>
                </c:pt>
                <c:pt idx="51">
                  <c:v>250.162499999999</c:v>
                </c:pt>
                <c:pt idx="52">
                  <c:v>250.162499999999</c:v>
                </c:pt>
                <c:pt idx="53">
                  <c:v>250.162499999999</c:v>
                </c:pt>
                <c:pt idx="54">
                  <c:v>250.162499999999</c:v>
                </c:pt>
                <c:pt idx="55">
                  <c:v>250.162499999999</c:v>
                </c:pt>
                <c:pt idx="56">
                  <c:v>250.162499999999</c:v>
                </c:pt>
                <c:pt idx="57">
                  <c:v>250.162499999999</c:v>
                </c:pt>
                <c:pt idx="58">
                  <c:v>250.162499999999</c:v>
                </c:pt>
                <c:pt idx="59">
                  <c:v>250.162499999999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318.33499999999998</c:v>
                </c:pt>
                <c:pt idx="81">
                  <c:v>318.33499999999998</c:v>
                </c:pt>
                <c:pt idx="82">
                  <c:v>318.33499999999998</c:v>
                </c:pt>
                <c:pt idx="83">
                  <c:v>318.33499999999998</c:v>
                </c:pt>
                <c:pt idx="84">
                  <c:v>318.33499999999998</c:v>
                </c:pt>
                <c:pt idx="85">
                  <c:v>318.33499999999998</c:v>
                </c:pt>
                <c:pt idx="86">
                  <c:v>318.33499999999998</c:v>
                </c:pt>
                <c:pt idx="87">
                  <c:v>318.33499999999998</c:v>
                </c:pt>
                <c:pt idx="88">
                  <c:v>318.33499999999998</c:v>
                </c:pt>
                <c:pt idx="89">
                  <c:v>318.33499999999998</c:v>
                </c:pt>
                <c:pt idx="9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7C-45C3-A5B9-A38A72FF3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4236256"/>
        <c:axId val="774233376"/>
      </c:lineChart>
      <c:catAx>
        <c:axId val="7742362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233376"/>
        <c:crosses val="autoZero"/>
        <c:auto val="1"/>
        <c:lblAlgn val="ctr"/>
        <c:lblOffset val="100"/>
        <c:noMultiLvlLbl val="0"/>
      </c:catAx>
      <c:valAx>
        <c:axId val="77423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236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7.emf"/><Relationship Id="rId7" Type="http://schemas.openxmlformats.org/officeDocument/2006/relationships/image" Target="../media/image2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3.emf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0" Type="http://schemas.openxmlformats.org/officeDocument/2006/relationships/image" Target="../media/image1.emf"/><Relationship Id="rId4" Type="http://schemas.openxmlformats.org/officeDocument/2006/relationships/image" Target="../media/image4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48</xdr:row>
          <xdr:rowOff>95250</xdr:rowOff>
        </xdr:from>
        <xdr:to>
          <xdr:col>9</xdr:col>
          <xdr:colOff>0</xdr:colOff>
          <xdr:row>50</xdr:row>
          <xdr:rowOff>104775</xdr:rowOff>
        </xdr:to>
        <xdr:sp macro="" textlink="">
          <xdr:nvSpPr>
            <xdr:cNvPr id="1025" name="GHS_API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47625</xdr:rowOff>
        </xdr:from>
        <xdr:to>
          <xdr:col>9</xdr:col>
          <xdr:colOff>133350</xdr:colOff>
          <xdr:row>17</xdr:row>
          <xdr:rowOff>0</xdr:rowOff>
        </xdr:to>
        <xdr:sp macro="" textlink="">
          <xdr:nvSpPr>
            <xdr:cNvPr id="1028" name="ReadLW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17</xdr:row>
          <xdr:rowOff>85725</xdr:rowOff>
        </xdr:from>
        <xdr:to>
          <xdr:col>11</xdr:col>
          <xdr:colOff>238125</xdr:colOff>
          <xdr:row>23</xdr:row>
          <xdr:rowOff>123825</xdr:rowOff>
        </xdr:to>
        <xdr:sp macro="" textlink="">
          <xdr:nvSpPr>
            <xdr:cNvPr id="1029" name="Run_Draf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17</xdr:row>
          <xdr:rowOff>95250</xdr:rowOff>
        </xdr:from>
        <xdr:to>
          <xdr:col>13</xdr:col>
          <xdr:colOff>276225</xdr:colOff>
          <xdr:row>23</xdr:row>
          <xdr:rowOff>123825</xdr:rowOff>
        </xdr:to>
        <xdr:sp macro="" textlink="">
          <xdr:nvSpPr>
            <xdr:cNvPr id="1030" name="Run_Trim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17</xdr:row>
          <xdr:rowOff>85725</xdr:rowOff>
        </xdr:from>
        <xdr:to>
          <xdr:col>9</xdr:col>
          <xdr:colOff>133350</xdr:colOff>
          <xdr:row>23</xdr:row>
          <xdr:rowOff>142875</xdr:rowOff>
        </xdr:to>
        <xdr:sp macro="" textlink="">
          <xdr:nvSpPr>
            <xdr:cNvPr id="1031" name="read_data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28575</xdr:colOff>
      <xdr:row>29</xdr:row>
      <xdr:rowOff>76199</xdr:rowOff>
    </xdr:from>
    <xdr:to>
      <xdr:col>15</xdr:col>
      <xdr:colOff>666750</xdr:colOff>
      <xdr:row>48</xdr:row>
      <xdr:rowOff>33616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0A7EE4B-9CEC-3BEA-C088-E24741EFF1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11</xdr:row>
          <xdr:rowOff>95250</xdr:rowOff>
        </xdr:from>
        <xdr:to>
          <xdr:col>9</xdr:col>
          <xdr:colOff>590550</xdr:colOff>
          <xdr:row>12</xdr:row>
          <xdr:rowOff>114300</xdr:rowOff>
        </xdr:to>
        <xdr:sp macro="" textlink="">
          <xdr:nvSpPr>
            <xdr:cNvPr id="1033" name="SlackTankManagerOn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9</xdr:row>
          <xdr:rowOff>200025</xdr:rowOff>
        </xdr:from>
        <xdr:to>
          <xdr:col>10</xdr:col>
          <xdr:colOff>85725</xdr:colOff>
          <xdr:row>11</xdr:row>
          <xdr:rowOff>66675</xdr:rowOff>
        </xdr:to>
        <xdr:sp macro="" textlink="">
          <xdr:nvSpPr>
            <xdr:cNvPr id="1034" name="LongiStrengthManager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8</xdr:row>
          <xdr:rowOff>171450</xdr:rowOff>
        </xdr:from>
        <xdr:to>
          <xdr:col>9</xdr:col>
          <xdr:colOff>685800</xdr:colOff>
          <xdr:row>10</xdr:row>
          <xdr:rowOff>9525</xdr:rowOff>
        </xdr:to>
        <xdr:sp macro="" textlink="">
          <xdr:nvSpPr>
            <xdr:cNvPr id="1035" name="GHS_Verification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15</xdr:row>
          <xdr:rowOff>47625</xdr:rowOff>
        </xdr:from>
        <xdr:to>
          <xdr:col>11</xdr:col>
          <xdr:colOff>219075</xdr:colOff>
          <xdr:row>17</xdr:row>
          <xdr:rowOff>28575</xdr:rowOff>
        </xdr:to>
        <xdr:sp macro="" textlink="">
          <xdr:nvSpPr>
            <xdr:cNvPr id="1036" name="Read_LC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13</xdr:row>
          <xdr:rowOff>38100</xdr:rowOff>
        </xdr:from>
        <xdr:to>
          <xdr:col>11</xdr:col>
          <xdr:colOff>219075</xdr:colOff>
          <xdr:row>15</xdr:row>
          <xdr:rowOff>9525</xdr:rowOff>
        </xdr:to>
        <xdr:sp macro="" textlink="">
          <xdr:nvSpPr>
            <xdr:cNvPr id="1038" name="Read_Result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7</xdr:row>
          <xdr:rowOff>228600</xdr:rowOff>
        </xdr:from>
        <xdr:to>
          <xdr:col>9</xdr:col>
          <xdr:colOff>695325</xdr:colOff>
          <xdr:row>8</xdr:row>
          <xdr:rowOff>142875</xdr:rowOff>
        </xdr:to>
        <xdr:sp macro="" textlink="">
          <xdr:nvSpPr>
            <xdr:cNvPr id="1039" name="DamCheck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0D8E7-A987-4112-B86B-AE438318F673}">
  <sheetPr codeName="Sheet1">
    <tabColor rgb="FFFF0000"/>
  </sheetPr>
  <dimension ref="A1:NE105"/>
  <sheetViews>
    <sheetView tabSelected="1" zoomScale="85" zoomScaleNormal="85" workbookViewId="0">
      <selection activeCell="O16" sqref="O16"/>
    </sheetView>
  </sheetViews>
  <sheetFormatPr defaultRowHeight="15"/>
  <cols>
    <col min="1" max="1" width="14.42578125" customWidth="1"/>
    <col min="3" max="3" width="10.5703125" customWidth="1"/>
    <col min="4" max="4" width="10.5703125" bestFit="1" customWidth="1"/>
    <col min="6" max="6" width="11.28515625" customWidth="1"/>
    <col min="9" max="9" width="10.5703125" bestFit="1" customWidth="1"/>
    <col min="10" max="16" width="10.85546875" customWidth="1"/>
    <col min="17" max="17" width="11.140625" customWidth="1"/>
    <col min="18" max="18" width="8.42578125" customWidth="1"/>
    <col min="19" max="19" width="12.85546875" bestFit="1" customWidth="1"/>
    <col min="20" max="20" width="15.42578125" bestFit="1" customWidth="1"/>
    <col min="21" max="31" width="14.42578125" customWidth="1"/>
    <col min="32" max="364" width="4.85546875" customWidth="1"/>
  </cols>
  <sheetData>
    <row r="1" spans="1:26" ht="15.75" thickBot="1">
      <c r="A1" s="50" t="s">
        <v>30</v>
      </c>
      <c r="B1" s="59">
        <v>0</v>
      </c>
      <c r="C1" s="59">
        <v>26</v>
      </c>
      <c r="D1" s="59">
        <v>17</v>
      </c>
      <c r="E1" s="59"/>
      <c r="F1" s="59" t="s">
        <v>333</v>
      </c>
      <c r="G1" s="59"/>
      <c r="H1" s="59"/>
      <c r="I1" s="59"/>
      <c r="J1" s="59"/>
      <c r="K1" s="59" t="s">
        <v>69</v>
      </c>
      <c r="L1" s="60">
        <f>MIN(bonjean!A1:A1000)</f>
        <v>0</v>
      </c>
      <c r="M1" s="60">
        <f>MAX(bonjean!A1:A1000)</f>
        <v>90</v>
      </c>
      <c r="N1" s="59"/>
      <c r="O1" s="59"/>
      <c r="P1" s="61" t="s">
        <v>73</v>
      </c>
      <c r="Q1" s="15" t="s">
        <v>74</v>
      </c>
      <c r="R1" s="15"/>
    </row>
    <row r="2" spans="1:26">
      <c r="A2" s="50" t="s">
        <v>32</v>
      </c>
      <c r="B2" s="59">
        <v>1</v>
      </c>
      <c r="C2" s="59">
        <v>11</v>
      </c>
      <c r="D2" s="59">
        <v>2</v>
      </c>
      <c r="E2" s="59"/>
      <c r="F2" s="59" t="s">
        <v>334</v>
      </c>
      <c r="G2" s="59"/>
      <c r="H2" s="59"/>
      <c r="I2" s="59"/>
      <c r="J2" s="59"/>
      <c r="K2" s="59" t="s">
        <v>70</v>
      </c>
      <c r="L2" s="59">
        <f>MIN(lwt!H2:I57)</f>
        <v>0</v>
      </c>
      <c r="M2" s="59">
        <f>MAX(lwt!H2:I57)</f>
        <v>90</v>
      </c>
      <c r="N2" s="59"/>
      <c r="O2" s="59"/>
      <c r="P2" s="51"/>
      <c r="Q2" s="58"/>
      <c r="R2" s="19">
        <v>0</v>
      </c>
      <c r="S2" s="19">
        <v>1</v>
      </c>
      <c r="T2" s="19">
        <v>2</v>
      </c>
      <c r="U2" s="19">
        <v>3</v>
      </c>
      <c r="V2" s="19">
        <v>4</v>
      </c>
      <c r="W2" s="19">
        <v>5</v>
      </c>
      <c r="X2" s="19">
        <v>6</v>
      </c>
      <c r="Y2" s="19">
        <v>7</v>
      </c>
      <c r="Z2" s="20">
        <v>8</v>
      </c>
    </row>
    <row r="3" spans="1:26" ht="15.75">
      <c r="A3" s="50" t="s">
        <v>31</v>
      </c>
      <c r="B3" s="59">
        <v>2</v>
      </c>
      <c r="C3" s="59">
        <v>92</v>
      </c>
      <c r="D3" s="59">
        <v>16</v>
      </c>
      <c r="E3" s="59"/>
      <c r="F3" s="59" t="s">
        <v>335</v>
      </c>
      <c r="G3" s="59"/>
      <c r="H3" s="59"/>
      <c r="I3" s="59"/>
      <c r="J3" s="59"/>
      <c r="K3" s="62" t="str">
        <f>IF(OR(L2&lt;L1,M2&gt;M1), "WD range exceeds BD range !!!!!!","")</f>
        <v/>
      </c>
      <c r="L3" s="59"/>
      <c r="M3" s="59"/>
      <c r="N3" s="59"/>
      <c r="O3" s="59"/>
      <c r="P3" s="51"/>
      <c r="Q3" s="44" t="s">
        <v>71</v>
      </c>
      <c r="R3" s="18" t="str">
        <f>hydrostatics!B1</f>
        <v>draft</v>
      </c>
      <c r="S3" s="18" t="str">
        <f>hydrostatics!C1</f>
        <v>DispMT</v>
      </c>
      <c r="T3" s="18" t="str">
        <f>hydrostatics!D1</f>
        <v>VolumeMolded</v>
      </c>
      <c r="U3" s="18" t="str">
        <f>hydrostatics!E1</f>
        <v>KMt</v>
      </c>
      <c r="V3" s="18" t="str">
        <f>hydrostatics!F1</f>
        <v>LCB</v>
      </c>
      <c r="W3" s="18" t="str">
        <f>hydrostatics!G1</f>
        <v>KB</v>
      </c>
      <c r="X3" s="18" t="str">
        <f>hydrostatics!H1</f>
        <v>LCF</v>
      </c>
      <c r="Y3" s="18" t="str">
        <f>hydrostatics!I1</f>
        <v>BMT</v>
      </c>
      <c r="Z3" s="21" t="str">
        <f>hydrostatics!J1</f>
        <v>BML</v>
      </c>
    </row>
    <row r="4" spans="1:26">
      <c r="A4" s="50" t="s">
        <v>33</v>
      </c>
      <c r="B4" s="59">
        <v>3</v>
      </c>
      <c r="C4" s="59">
        <v>1</v>
      </c>
      <c r="D4" s="59">
        <v>10</v>
      </c>
      <c r="E4" s="59"/>
      <c r="F4" s="59" t="s">
        <v>336</v>
      </c>
      <c r="G4" s="59"/>
      <c r="H4" s="59"/>
      <c r="I4" s="59"/>
      <c r="J4" s="59"/>
      <c r="K4" s="59"/>
      <c r="L4" s="59"/>
      <c r="M4" s="59"/>
      <c r="N4" s="59"/>
      <c r="O4" s="59"/>
      <c r="P4" s="51"/>
      <c r="Q4" s="44">
        <f>MATCH(E12,hydrostatics!B2:B300)</f>
        <v>26</v>
      </c>
      <c r="R4" s="18">
        <f ca="1">OFFSET(hydrostatics!$B$1,Result!$Q$4,R2)</f>
        <v>6</v>
      </c>
      <c r="S4" s="122">
        <f ca="1">OFFSET(hydrostatics!$B$1,Result!$Q$4,S2)</f>
        <v>16605</v>
      </c>
      <c r="T4" s="126">
        <f ca="1">OFFSET(hydrostatics!$B$1,Result!$Q$4,T2)</f>
        <v>16200</v>
      </c>
      <c r="U4" s="119">
        <f ca="1">OFFSET(hydrostatics!$B$1,Result!$Q$4,U2)</f>
        <v>15.499999999999901</v>
      </c>
      <c r="V4" s="119">
        <f ca="1">OFFSET(hydrostatics!$B$1,Result!$Q$4,V2)</f>
        <v>45</v>
      </c>
      <c r="W4" s="119">
        <f ca="1">OFFSET(hydrostatics!$B$1,Result!$Q$4,W2)</f>
        <v>3</v>
      </c>
      <c r="X4" s="119">
        <f ca="1">OFFSET(hydrostatics!$B$1,Result!$Q$4,X2)</f>
        <v>45</v>
      </c>
      <c r="Y4" s="119">
        <f ca="1">OFFSET(hydrostatics!$B$1,Result!$Q$4,Y2)</f>
        <v>12.499999999999901</v>
      </c>
      <c r="Z4" s="120">
        <f ca="1">OFFSET(hydrostatics!$B$1,Result!$Q$4,Z2)</f>
        <v>112.49999999999901</v>
      </c>
    </row>
    <row r="5" spans="1:26">
      <c r="A5" s="50" t="s">
        <v>34</v>
      </c>
      <c r="B5" s="59">
        <v>4</v>
      </c>
      <c r="C5" s="59">
        <v>943</v>
      </c>
      <c r="D5" s="59">
        <v>9</v>
      </c>
      <c r="E5" s="59"/>
      <c r="F5" s="59" t="s">
        <v>337</v>
      </c>
      <c r="G5" s="59"/>
      <c r="H5" s="59"/>
      <c r="I5" s="59"/>
      <c r="J5" s="59"/>
      <c r="K5" s="59"/>
      <c r="L5" s="59"/>
      <c r="M5" s="59"/>
      <c r="N5" s="59"/>
      <c r="O5" s="59"/>
      <c r="P5" s="51"/>
      <c r="Q5" s="44"/>
      <c r="R5" s="18">
        <f ca="1">OFFSET(hydrostatics!$B$1,Result!$Q$4+1,R2)</f>
        <v>6.2</v>
      </c>
      <c r="S5" s="122">
        <f ca="1">OFFSET(hydrostatics!$B$1,Result!$Q$4+1,S2)</f>
        <v>17158.5</v>
      </c>
      <c r="T5" s="126">
        <f ca="1">OFFSET(hydrostatics!$B$1,Result!$Q$4+1,T2)</f>
        <v>16740</v>
      </c>
      <c r="U5" s="119">
        <f ca="1">OFFSET(hydrostatics!$B$1,Result!$Q$4+1,U2)</f>
        <v>15.196774193548301</v>
      </c>
      <c r="V5" s="119">
        <f ca="1">OFFSET(hydrostatics!$B$1,Result!$Q$4+1,V2)</f>
        <v>45</v>
      </c>
      <c r="W5" s="119">
        <f ca="1">OFFSET(hydrostatics!$B$1,Result!$Q$4+1,W2)</f>
        <v>3.1</v>
      </c>
      <c r="X5" s="119">
        <f ca="1">OFFSET(hydrostatics!$B$1,Result!$Q$4+1,X2)</f>
        <v>45</v>
      </c>
      <c r="Y5" s="119">
        <f ca="1">OFFSET(hydrostatics!$B$1,Result!$Q$4+1,Y2)</f>
        <v>12.096774193548301</v>
      </c>
      <c r="Z5" s="120">
        <f ca="1">OFFSET(hydrostatics!$B$1,Result!$Q$4+1,Z2)</f>
        <v>108.870967741935</v>
      </c>
    </row>
    <row r="6" spans="1:26" ht="15.75" thickBot="1">
      <c r="A6" s="50" t="s">
        <v>35</v>
      </c>
      <c r="B6" s="59">
        <v>5</v>
      </c>
      <c r="C6" s="59">
        <v>27</v>
      </c>
      <c r="D6" s="59">
        <v>13</v>
      </c>
      <c r="E6" s="59"/>
      <c r="F6" s="59" t="s">
        <v>332</v>
      </c>
      <c r="G6" s="59"/>
      <c r="H6" s="59"/>
      <c r="I6" s="59"/>
      <c r="J6" s="59"/>
      <c r="K6" s="59"/>
      <c r="L6" s="59"/>
      <c r="M6" s="59"/>
      <c r="N6" s="59"/>
      <c r="O6" s="59"/>
      <c r="P6" s="51"/>
      <c r="Q6" s="45"/>
      <c r="R6" s="25">
        <f>E12</f>
        <v>6</v>
      </c>
      <c r="S6" s="123">
        <f t="shared" ref="S6:Z6" ca="1" si="0">S4+(S5-S4)*($E$12-$R$4)/($R$5-$R$4)</f>
        <v>16605</v>
      </c>
      <c r="T6" s="127">
        <f t="shared" ca="1" si="0"/>
        <v>16200</v>
      </c>
      <c r="U6" s="25">
        <f t="shared" ca="1" si="0"/>
        <v>15.499999999999901</v>
      </c>
      <c r="V6" s="25">
        <f t="shared" ca="1" si="0"/>
        <v>45</v>
      </c>
      <c r="W6" s="25">
        <f t="shared" ca="1" si="0"/>
        <v>3</v>
      </c>
      <c r="X6" s="25">
        <f t="shared" ca="1" si="0"/>
        <v>45</v>
      </c>
      <c r="Y6" s="25">
        <f t="shared" ca="1" si="0"/>
        <v>12.499999999999901</v>
      </c>
      <c r="Z6" s="121">
        <f t="shared" ca="1" si="0"/>
        <v>112.49999999999901</v>
      </c>
    </row>
    <row r="7" spans="1:26" ht="16.5" thickTop="1" thickBot="1">
      <c r="A7" s="50" t="s">
        <v>21</v>
      </c>
      <c r="B7" s="59">
        <v>6</v>
      </c>
      <c r="C7" s="59">
        <v>28</v>
      </c>
      <c r="D7" s="59">
        <v>3</v>
      </c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1"/>
      <c r="Q7" s="46" t="s">
        <v>72</v>
      </c>
      <c r="R7" s="29" t="str">
        <f>hydrostatics!C1</f>
        <v>DispMT</v>
      </c>
      <c r="S7" s="29" t="str">
        <f>hydrostatics!B1</f>
        <v>draft</v>
      </c>
      <c r="T7" s="29" t="str">
        <f>hydrostatics!D1</f>
        <v>VolumeMolded</v>
      </c>
      <c r="U7" s="29" t="str">
        <f>hydrostatics!E1</f>
        <v>KMt</v>
      </c>
      <c r="V7" s="29" t="str">
        <f>hydrostatics!F1</f>
        <v>LCB</v>
      </c>
      <c r="W7" s="29" t="str">
        <f>hydrostatics!G1</f>
        <v>KB</v>
      </c>
      <c r="X7" s="29" t="str">
        <f>hydrostatics!H1</f>
        <v>LCF</v>
      </c>
      <c r="Y7" s="29" t="str">
        <f>hydrostatics!I1</f>
        <v>BMT</v>
      </c>
      <c r="Z7" s="30" t="str">
        <f>hydrostatics!J1</f>
        <v>BML</v>
      </c>
    </row>
    <row r="8" spans="1:26" ht="27.75" thickTop="1" thickBot="1">
      <c r="A8" s="81" t="s">
        <v>54</v>
      </c>
      <c r="B8" s="82" t="s">
        <v>154</v>
      </c>
      <c r="C8" s="83"/>
      <c r="D8" s="84" t="s">
        <v>48</v>
      </c>
      <c r="E8" s="83"/>
      <c r="F8" s="84" t="s">
        <v>30</v>
      </c>
      <c r="G8" s="85"/>
      <c r="K8" s="4"/>
      <c r="L8" s="4"/>
      <c r="M8" s="4"/>
      <c r="N8" s="4"/>
      <c r="P8" s="52" t="s">
        <v>61</v>
      </c>
      <c r="Q8" s="44">
        <f>MATCH(G18,hydrostatics!C2:C300)</f>
        <v>26</v>
      </c>
      <c r="R8" s="18">
        <f ca="1">OFFSET(hydrostatics!B1,Result!Q8,1)</f>
        <v>16605</v>
      </c>
      <c r="S8" s="18">
        <f ca="1">OFFSET(hydrostatics!$B$1,Result!$Q$8,0)</f>
        <v>6</v>
      </c>
      <c r="T8" s="126">
        <f ca="1">OFFSET(hydrostatics!$B$1,Result!$Q$8,T2)</f>
        <v>16200</v>
      </c>
      <c r="U8" s="119">
        <f ca="1">OFFSET(hydrostatics!$B$1,Result!$Q$8,U2)</f>
        <v>15.499999999999901</v>
      </c>
      <c r="V8" s="119">
        <f ca="1">OFFSET(hydrostatics!$B$1,Result!$Q$8,V2)</f>
        <v>45</v>
      </c>
      <c r="W8" s="119">
        <f ca="1">OFFSET(hydrostatics!$B$1,Result!$Q$8,W2)</f>
        <v>3</v>
      </c>
      <c r="X8" s="119">
        <f ca="1">OFFSET(hydrostatics!$B$1,Result!$Q$8,X2)</f>
        <v>45</v>
      </c>
      <c r="Y8" s="119">
        <f ca="1">OFFSET(hydrostatics!$B$1,Result!$Q$8,Y2)</f>
        <v>12.499999999999901</v>
      </c>
      <c r="Z8" s="120">
        <f ca="1">OFFSET(hydrostatics!$B$1,Result!$Q$8,Z2)</f>
        <v>112.49999999999901</v>
      </c>
    </row>
    <row r="9" spans="1:26" ht="15.75" thickTop="1">
      <c r="A9" s="86"/>
      <c r="B9" t="s">
        <v>275</v>
      </c>
      <c r="D9" s="6"/>
      <c r="E9" s="5"/>
      <c r="F9" s="6"/>
      <c r="G9" s="40"/>
      <c r="P9" s="40"/>
      <c r="Q9" s="44"/>
      <c r="R9" s="18">
        <f ca="1">OFFSET(hydrostatics!B1,Result!Q8+1,1)</f>
        <v>17158.5</v>
      </c>
      <c r="S9" s="18">
        <f ca="1">OFFSET(hydrostatics!$B$1,Result!$Q$8+1,0)</f>
        <v>6.2</v>
      </c>
      <c r="T9" s="126">
        <f ca="1">OFFSET(hydrostatics!$B$1,Result!$Q$8+1,T2)</f>
        <v>16740</v>
      </c>
      <c r="U9" s="119">
        <f ca="1">OFFSET(hydrostatics!$B$1,Result!$Q$8+1,U2)</f>
        <v>15.196774193548301</v>
      </c>
      <c r="V9" s="119">
        <f ca="1">OFFSET(hydrostatics!$B$1,Result!$Q$8+1,V2)</f>
        <v>45</v>
      </c>
      <c r="W9" s="119">
        <f ca="1">OFFSET(hydrostatics!$B$1,Result!$Q$8+1,W2)</f>
        <v>3.1</v>
      </c>
      <c r="X9" s="119">
        <f ca="1">OFFSET(hydrostatics!$B$1,Result!$Q$8+1,X2)</f>
        <v>45</v>
      </c>
      <c r="Y9" s="119">
        <f ca="1">OFFSET(hydrostatics!$B$1,Result!$Q$8+1,Y2)</f>
        <v>12.096774193548301</v>
      </c>
      <c r="Z9" s="120">
        <f ca="1">OFFSET(hydrostatics!$B$1,Result!$Q$8+1,Z2)</f>
        <v>108.870967741935</v>
      </c>
    </row>
    <row r="10" spans="1:26" ht="15.75" thickBot="1">
      <c r="A10" s="87" t="str">
        <f>tanks_summary!O2</f>
        <v>BALLAST</v>
      </c>
      <c r="B10" t="s">
        <v>276</v>
      </c>
      <c r="D10" s="6"/>
      <c r="E10" s="5"/>
      <c r="F10" s="6"/>
      <c r="G10" s="40"/>
      <c r="P10" s="40"/>
      <c r="Q10" s="47"/>
      <c r="R10" s="31">
        <f>G18</f>
        <v>16607.5</v>
      </c>
      <c r="S10" s="34">
        <f ca="1">S8+(S9-S8)*($G$18-$R$8)/($R$9-$R$8)</f>
        <v>6.0009033423667573</v>
      </c>
      <c r="T10" s="124">
        <f t="shared" ref="T10:Z10" ca="1" si="1">T8+(T9-T8)*($G$18-$R$8)/($R$9-$R$8)</f>
        <v>16202.439024390244</v>
      </c>
      <c r="U10" s="124">
        <f t="shared" ca="1" si="1"/>
        <v>15.498630416411592</v>
      </c>
      <c r="V10" s="124">
        <f t="shared" ca="1" si="1"/>
        <v>45</v>
      </c>
      <c r="W10" s="124">
        <f t="shared" ca="1" si="1"/>
        <v>3.0004516711833786</v>
      </c>
      <c r="X10" s="124">
        <f t="shared" ca="1" si="1"/>
        <v>45</v>
      </c>
      <c r="Y10" s="124">
        <f t="shared" ca="1" si="1"/>
        <v>12.498178745228213</v>
      </c>
      <c r="Z10" s="125">
        <f t="shared" ca="1" si="1"/>
        <v>112.48360870705382</v>
      </c>
    </row>
    <row r="11" spans="1:26" ht="15.75" thickTop="1">
      <c r="A11" s="87" t="str">
        <f>tanks_summary!O3</f>
        <v>FW</v>
      </c>
      <c r="D11" s="6"/>
      <c r="E11" s="5"/>
      <c r="F11" s="6"/>
      <c r="G11" s="40"/>
      <c r="K11" s="63"/>
      <c r="P11" s="40"/>
      <c r="Q11" s="48"/>
      <c r="R11" s="26"/>
      <c r="S11" s="26"/>
      <c r="T11" s="26" t="s">
        <v>75</v>
      </c>
      <c r="U11" s="29" t="s">
        <v>268</v>
      </c>
      <c r="V11" s="29" t="s">
        <v>269</v>
      </c>
      <c r="W11" s="27"/>
      <c r="X11" s="27"/>
      <c r="Y11" s="27"/>
      <c r="Z11" s="28"/>
    </row>
    <row r="12" spans="1:26" ht="15.75" thickBot="1">
      <c r="A12" s="87" t="str">
        <f>tanks_summary!O4</f>
        <v>FO</v>
      </c>
      <c r="D12" s="8" t="s">
        <v>49</v>
      </c>
      <c r="E12" s="94">
        <v>6</v>
      </c>
      <c r="F12" s="116" t="s">
        <v>263</v>
      </c>
      <c r="G12" s="100">
        <f ca="1">S10</f>
        <v>6.0009033423667573</v>
      </c>
      <c r="K12" s="63"/>
      <c r="P12" s="40"/>
      <c r="Q12" s="49"/>
      <c r="R12" s="22"/>
      <c r="S12" s="23"/>
      <c r="T12" s="117">
        <f ca="1">+V10-E16/dimension!B4*Z10</f>
        <v>45</v>
      </c>
      <c r="U12" s="117">
        <f ca="1">G20*TAN(RADIANS(E17))</f>
        <v>0</v>
      </c>
      <c r="V12" s="118">
        <f ca="1">(V10-G13)/Z10*dimension!B4</f>
        <v>1.6054243369511025</v>
      </c>
      <c r="W12" s="23"/>
      <c r="X12" s="23"/>
      <c r="Y12" s="115"/>
      <c r="Z12" s="24"/>
    </row>
    <row r="13" spans="1:26">
      <c r="A13" s="87" t="str">
        <f>tanks_summary!O5</f>
        <v>CO</v>
      </c>
      <c r="D13" s="8" t="s">
        <v>50</v>
      </c>
      <c r="E13" s="101">
        <v>43.750182125477181</v>
      </c>
      <c r="F13" s="116" t="s">
        <v>264</v>
      </c>
      <c r="G13" s="100">
        <v>42.993511967484565</v>
      </c>
      <c r="P13" s="40"/>
    </row>
    <row r="14" spans="1:26">
      <c r="A14" s="87">
        <f>tanks_summary!O6</f>
        <v>0</v>
      </c>
      <c r="D14" s="14" t="s">
        <v>78</v>
      </c>
      <c r="E14" s="101">
        <v>0</v>
      </c>
      <c r="F14" s="116" t="s">
        <v>265</v>
      </c>
      <c r="G14" s="100">
        <v>6.6039440012042636E-2</v>
      </c>
      <c r="P14" s="40"/>
      <c r="T14" s="17"/>
    </row>
    <row r="15" spans="1:26">
      <c r="A15" s="87">
        <f>tanks_summary!O7</f>
        <v>0</v>
      </c>
      <c r="D15" s="8" t="s">
        <v>55</v>
      </c>
      <c r="E15" s="96"/>
      <c r="F15" s="116" t="s">
        <v>266</v>
      </c>
      <c r="G15" s="100">
        <v>5.8513529129236197</v>
      </c>
      <c r="P15" s="40"/>
      <c r="T15" s="90"/>
      <c r="U15" s="90"/>
      <c r="V15" s="90"/>
      <c r="W15" s="90"/>
    </row>
    <row r="16" spans="1:26">
      <c r="A16" s="87">
        <f>tanks_summary!O8</f>
        <v>0</v>
      </c>
      <c r="D16" s="13" t="s">
        <v>76</v>
      </c>
      <c r="E16" s="95"/>
      <c r="F16" s="116" t="s">
        <v>262</v>
      </c>
      <c r="G16" s="100">
        <f ca="1">(V10-G13)/Z10*dimension!B4</f>
        <v>1.6054243369511025</v>
      </c>
      <c r="J16" s="2"/>
      <c r="P16" s="40"/>
      <c r="T16" s="114"/>
      <c r="U16" s="90"/>
      <c r="V16" s="90"/>
      <c r="W16" s="90"/>
    </row>
    <row r="17" spans="1:369">
      <c r="A17" s="87"/>
      <c r="D17" s="8" t="s">
        <v>53</v>
      </c>
      <c r="E17" s="95"/>
      <c r="F17" s="116" t="s">
        <v>261</v>
      </c>
      <c r="G17" s="39">
        <f ca="1">DEGREES(ATAN(G14/G20))</f>
        <v>0.39220620453985799</v>
      </c>
      <c r="P17" s="40"/>
      <c r="T17" s="90"/>
      <c r="U17" s="90"/>
      <c r="V17" s="90"/>
      <c r="W17" s="90"/>
    </row>
    <row r="18" spans="1:369">
      <c r="A18" s="87"/>
      <c r="D18" s="8" t="s">
        <v>60</v>
      </c>
      <c r="E18" s="97">
        <f ca="1">S6</f>
        <v>16605</v>
      </c>
      <c r="F18" s="80" t="s">
        <v>60</v>
      </c>
      <c r="G18" s="72">
        <v>16607.5</v>
      </c>
      <c r="O18" s="2"/>
      <c r="P18" s="40"/>
      <c r="T18" s="90"/>
      <c r="U18" s="90"/>
      <c r="V18" s="90"/>
      <c r="W18" s="90"/>
    </row>
    <row r="19" spans="1:369">
      <c r="A19" s="87"/>
      <c r="D19" s="13" t="s">
        <v>77</v>
      </c>
      <c r="E19" s="98">
        <v>800</v>
      </c>
      <c r="F19" s="13" t="s">
        <v>77</v>
      </c>
      <c r="G19" s="72">
        <f>MAX(I28:NE28)</f>
        <v>30.815382012217501</v>
      </c>
      <c r="P19" s="40"/>
      <c r="T19" s="90"/>
      <c r="U19" s="90"/>
      <c r="V19" s="90"/>
      <c r="W19" s="90"/>
    </row>
    <row r="20" spans="1:369">
      <c r="A20" s="87"/>
      <c r="D20" s="6" t="s">
        <v>64</v>
      </c>
      <c r="E20" s="5">
        <v>0.65</v>
      </c>
      <c r="F20" s="6" t="s">
        <v>267</v>
      </c>
      <c r="G20" s="39">
        <f ca="1">(Y10+W10-G15)</f>
        <v>9.6472775034879721</v>
      </c>
      <c r="P20" s="40"/>
      <c r="T20" s="90"/>
      <c r="U20" s="90"/>
      <c r="V20" s="90"/>
      <c r="W20" s="90"/>
    </row>
    <row r="21" spans="1:369">
      <c r="A21" s="87"/>
      <c r="D21" s="32" t="s">
        <v>79</v>
      </c>
      <c r="E21" s="95" t="s">
        <v>330</v>
      </c>
      <c r="F21" s="6"/>
      <c r="G21" s="40"/>
      <c r="P21" s="40"/>
      <c r="T21" s="90"/>
      <c r="U21" s="90"/>
      <c r="V21" s="90"/>
      <c r="W21" s="90"/>
    </row>
    <row r="22" spans="1:369">
      <c r="A22" s="88"/>
      <c r="D22" s="6"/>
      <c r="E22" s="5"/>
      <c r="F22" s="6"/>
      <c r="G22" s="40"/>
      <c r="P22" s="40"/>
      <c r="T22" s="90"/>
      <c r="U22" s="90"/>
      <c r="V22" s="90"/>
      <c r="W22" s="90"/>
    </row>
    <row r="23" spans="1:369">
      <c r="A23" s="88"/>
      <c r="D23" s="6"/>
      <c r="E23" s="5"/>
      <c r="F23" s="6"/>
      <c r="G23" s="72">
        <f>G18-dimension!B7</f>
        <v>8507.5</v>
      </c>
      <c r="P23" s="40"/>
    </row>
    <row r="24" spans="1:369" ht="15.75" thickBot="1">
      <c r="A24" s="89"/>
      <c r="B24" s="41"/>
      <c r="C24" s="41"/>
      <c r="D24" s="42"/>
      <c r="E24" s="99"/>
      <c r="F24" s="42"/>
      <c r="G24" s="43"/>
      <c r="H24" s="41"/>
      <c r="I24" s="41"/>
      <c r="J24" s="41"/>
      <c r="K24" s="41"/>
      <c r="L24" s="41"/>
      <c r="M24" s="41"/>
      <c r="N24" s="41"/>
      <c r="O24" s="41"/>
      <c r="P24" s="43"/>
    </row>
    <row r="25" spans="1:369" ht="15.75" thickTop="1">
      <c r="A25" s="53"/>
      <c r="G25" s="40"/>
      <c r="P25" s="64" t="s">
        <v>30</v>
      </c>
    </row>
    <row r="26" spans="1:369" ht="15.75" thickBot="1">
      <c r="A26" s="65" t="s">
        <v>56</v>
      </c>
      <c r="B26" s="3" t="s">
        <v>57</v>
      </c>
      <c r="C26" s="3" t="s">
        <v>58</v>
      </c>
      <c r="D26" s="3" t="s">
        <v>65</v>
      </c>
      <c r="E26" s="3" t="s">
        <v>50</v>
      </c>
      <c r="F26" s="3" t="s">
        <v>51</v>
      </c>
      <c r="G26" s="38" t="s">
        <v>55</v>
      </c>
      <c r="P26" s="40"/>
    </row>
    <row r="27" spans="1:369">
      <c r="A27" s="53">
        <v>1</v>
      </c>
      <c r="B27" t="s">
        <v>272</v>
      </c>
      <c r="C27" s="66">
        <v>0.99933333333333296</v>
      </c>
      <c r="D27" s="67">
        <v>1536.4749999999999</v>
      </c>
      <c r="E27" s="68">
        <v>5</v>
      </c>
      <c r="F27" s="68">
        <v>-10</v>
      </c>
      <c r="G27" s="39">
        <v>7.5</v>
      </c>
      <c r="H27" s="56" t="s">
        <v>59</v>
      </c>
      <c r="I27" s="9"/>
      <c r="J27" s="10">
        <v>208.44</v>
      </c>
      <c r="K27" s="10">
        <v>207.90799999999999</v>
      </c>
      <c r="L27" s="10">
        <v>207.37700000000001</v>
      </c>
      <c r="M27" s="10">
        <v>206.846</v>
      </c>
      <c r="N27" s="10">
        <v>206.31399999999999</v>
      </c>
      <c r="O27" s="10">
        <v>205.78299999999999</v>
      </c>
      <c r="P27" s="69">
        <v>205.251</v>
      </c>
      <c r="Q27" s="16">
        <v>204.72</v>
      </c>
      <c r="R27" s="16">
        <v>204.18899999999999</v>
      </c>
      <c r="S27" s="16">
        <v>203.65700000000001</v>
      </c>
      <c r="T27" s="16">
        <v>203.126</v>
      </c>
      <c r="U27" s="16">
        <v>202.595</v>
      </c>
      <c r="V27" s="16">
        <v>202.06299999999999</v>
      </c>
      <c r="W27" s="16">
        <v>201.53200000000001</v>
      </c>
      <c r="X27" s="16">
        <v>201</v>
      </c>
      <c r="Y27" s="16">
        <v>200.46899999999999</v>
      </c>
      <c r="Z27" s="16">
        <v>199.93799999999999</v>
      </c>
      <c r="AA27" s="16">
        <v>199.40600000000001</v>
      </c>
      <c r="AB27" s="16">
        <v>198.875</v>
      </c>
      <c r="AC27" s="16">
        <v>198.34399999999999</v>
      </c>
      <c r="AD27" s="16">
        <v>197.81200000000001</v>
      </c>
      <c r="AE27" s="16">
        <v>197.28100000000001</v>
      </c>
      <c r="AF27" s="16">
        <v>196.749</v>
      </c>
      <c r="AG27" s="16">
        <v>196.21799999999999</v>
      </c>
      <c r="AH27" s="16">
        <v>195.68700000000001</v>
      </c>
      <c r="AI27" s="16">
        <v>195.155</v>
      </c>
      <c r="AJ27" s="16">
        <v>194.624</v>
      </c>
      <c r="AK27" s="16">
        <v>194.09299999999999</v>
      </c>
      <c r="AL27" s="16">
        <v>193.56100000000001</v>
      </c>
      <c r="AM27" s="16">
        <v>193.03</v>
      </c>
      <c r="AN27" s="16">
        <v>192.49799999999999</v>
      </c>
      <c r="AO27" s="16">
        <v>191.96700000000001</v>
      </c>
      <c r="AP27" s="16">
        <v>191.43600000000001</v>
      </c>
      <c r="AQ27" s="16">
        <v>190.904</v>
      </c>
      <c r="AR27" s="16">
        <v>190.37299999999999</v>
      </c>
      <c r="AS27" s="16">
        <v>189.84200000000001</v>
      </c>
      <c r="AT27" s="16">
        <v>189.31</v>
      </c>
      <c r="AU27" s="16">
        <v>188.779</v>
      </c>
      <c r="AV27" s="16">
        <v>188.24700000000001</v>
      </c>
      <c r="AW27" s="16">
        <v>187.71600000000001</v>
      </c>
      <c r="AX27" s="16">
        <v>187.185</v>
      </c>
      <c r="AY27" s="16">
        <v>186.65299999999999</v>
      </c>
      <c r="AZ27" s="16">
        <v>186.12200000000001</v>
      </c>
      <c r="BA27" s="16">
        <v>185.59100000000001</v>
      </c>
      <c r="BB27" s="16">
        <v>185.059</v>
      </c>
      <c r="BC27" s="16">
        <v>184.52799999999999</v>
      </c>
      <c r="BD27" s="16">
        <v>183.99600000000001</v>
      </c>
      <c r="BE27" s="16">
        <v>183.465</v>
      </c>
      <c r="BF27" s="16">
        <v>182.934</v>
      </c>
      <c r="BG27" s="16">
        <v>182.40199999999999</v>
      </c>
      <c r="BH27" s="16">
        <v>181.87100000000001</v>
      </c>
      <c r="BI27" s="16">
        <v>181.34</v>
      </c>
      <c r="BJ27" s="16">
        <v>180.80799999999999</v>
      </c>
      <c r="BK27" s="16">
        <v>180.27699999999999</v>
      </c>
      <c r="BL27" s="16">
        <v>179.745</v>
      </c>
      <c r="BM27" s="16">
        <v>179.214</v>
      </c>
      <c r="BN27" s="16">
        <v>178.68299999999999</v>
      </c>
      <c r="BO27" s="16">
        <v>178.15100000000001</v>
      </c>
      <c r="BP27" s="16">
        <v>177.62</v>
      </c>
      <c r="BQ27" s="16">
        <v>177.089</v>
      </c>
      <c r="BR27" s="16">
        <v>176.55699999999999</v>
      </c>
      <c r="BS27" s="16">
        <v>176.02600000000001</v>
      </c>
      <c r="BT27" s="16">
        <v>175.494</v>
      </c>
      <c r="BU27" s="16">
        <v>174.96299999999999</v>
      </c>
      <c r="BV27" s="16">
        <v>174.43199999999999</v>
      </c>
      <c r="BW27" s="16">
        <v>173.9</v>
      </c>
      <c r="BX27" s="16">
        <v>173.369</v>
      </c>
      <c r="BY27" s="16">
        <v>172.83799999999999</v>
      </c>
      <c r="BZ27" s="16">
        <v>172.30600000000001</v>
      </c>
      <c r="CA27" s="16">
        <v>171.77500000000001</v>
      </c>
      <c r="CB27" s="16">
        <v>171.24299999999999</v>
      </c>
      <c r="CC27" s="16">
        <v>170.71199999999999</v>
      </c>
      <c r="CD27" s="16">
        <v>170.18100000000001</v>
      </c>
      <c r="CE27" s="16">
        <v>169.649</v>
      </c>
      <c r="CF27" s="16">
        <v>169.11799999999999</v>
      </c>
      <c r="CG27" s="16">
        <v>168.58699999999999</v>
      </c>
      <c r="CH27" s="16">
        <v>168.05500000000001</v>
      </c>
      <c r="CI27" s="16">
        <v>167.524</v>
      </c>
      <c r="CJ27" s="16">
        <v>166.99199999999999</v>
      </c>
      <c r="CK27" s="16">
        <v>166.46100000000001</v>
      </c>
      <c r="CL27" s="16">
        <v>165.93</v>
      </c>
      <c r="CM27" s="16">
        <v>165.398</v>
      </c>
      <c r="CN27" s="16">
        <v>164.86699999999999</v>
      </c>
      <c r="CO27" s="16">
        <v>164.33600000000001</v>
      </c>
      <c r="CP27" s="16">
        <v>163.804</v>
      </c>
      <c r="CQ27" s="16">
        <v>163.273</v>
      </c>
      <c r="CR27" s="16">
        <v>162.74100000000001</v>
      </c>
      <c r="CS27" s="16">
        <v>162.21</v>
      </c>
      <c r="CT27" s="16">
        <v>161.679</v>
      </c>
      <c r="CU27" s="16">
        <v>161.14699999999999</v>
      </c>
      <c r="CV27" s="16">
        <v>160.61600000000001</v>
      </c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  <c r="EF27" s="16"/>
      <c r="EG27" s="16"/>
      <c r="EH27" s="16"/>
      <c r="EI27" s="16"/>
      <c r="EJ27" s="16"/>
      <c r="EK27" s="16"/>
      <c r="EL27" s="16"/>
      <c r="EM27" s="16"/>
      <c r="EN27" s="16"/>
      <c r="EO27" s="16"/>
      <c r="EP27" s="16"/>
      <c r="EQ27" s="16"/>
      <c r="ER27" s="16"/>
      <c r="ES27" s="16"/>
      <c r="ET27" s="16"/>
      <c r="EU27" s="16"/>
      <c r="EV27" s="16"/>
      <c r="EW27" s="16"/>
      <c r="EX27" s="16"/>
      <c r="EY27" s="16"/>
      <c r="EZ27" s="16"/>
      <c r="FA27" s="16"/>
      <c r="FB27" s="16"/>
      <c r="FC27" s="16"/>
      <c r="FD27" s="16"/>
      <c r="FE27" s="16"/>
      <c r="FF27" s="16"/>
      <c r="FG27" s="16"/>
      <c r="FH27" s="16"/>
      <c r="FI27" s="16"/>
      <c r="FJ27" s="16"/>
      <c r="FK27" s="16"/>
      <c r="FL27" s="16"/>
      <c r="FM27" s="16"/>
      <c r="FN27" s="16"/>
      <c r="FO27" s="16"/>
      <c r="FP27" s="16"/>
      <c r="FQ27" s="16"/>
      <c r="FR27" s="16"/>
      <c r="FS27" s="16"/>
      <c r="FT27" s="16"/>
      <c r="FU27" s="16"/>
      <c r="FV27" s="16"/>
      <c r="FW27" s="16"/>
      <c r="FX27" s="16"/>
      <c r="FY27" s="16"/>
      <c r="FZ27" s="16"/>
      <c r="GA27" s="16"/>
      <c r="GB27" s="16"/>
      <c r="GC27" s="16"/>
      <c r="GD27" s="16"/>
      <c r="GE27" s="16"/>
      <c r="GF27" s="16"/>
      <c r="GG27" s="16"/>
      <c r="GH27" s="16"/>
      <c r="GI27" s="16"/>
      <c r="GJ27" s="16"/>
      <c r="GK27" s="16"/>
      <c r="GL27" s="16"/>
      <c r="GM27" s="16"/>
      <c r="GN27" s="16"/>
      <c r="GO27" s="16"/>
      <c r="GP27" s="16"/>
      <c r="GQ27" s="16"/>
      <c r="GR27" s="16"/>
      <c r="GS27" s="16"/>
      <c r="GT27" s="16"/>
      <c r="GU27" s="16"/>
      <c r="GV27" s="16"/>
      <c r="GW27" s="16"/>
      <c r="GX27" s="16"/>
      <c r="GY27" s="16"/>
      <c r="GZ27" s="16"/>
      <c r="HA27" s="16"/>
      <c r="HB27" s="16"/>
      <c r="HC27" s="16"/>
      <c r="HD27" s="16"/>
      <c r="HE27" s="16"/>
      <c r="HF27" s="16"/>
      <c r="HG27" s="16"/>
      <c r="HH27" s="16"/>
      <c r="HI27" s="16"/>
      <c r="HJ27" s="16"/>
      <c r="HK27" s="16"/>
      <c r="HL27" s="16"/>
      <c r="HM27" s="16"/>
      <c r="HN27" s="16"/>
      <c r="HO27" s="16"/>
      <c r="HP27" s="16"/>
      <c r="HQ27" s="16"/>
      <c r="HR27" s="16"/>
      <c r="HS27" s="16"/>
      <c r="HT27" s="16"/>
      <c r="HU27" s="16"/>
      <c r="HV27" s="16"/>
      <c r="HW27" s="16"/>
      <c r="HX27" s="16"/>
      <c r="HY27" s="16"/>
      <c r="HZ27" s="16"/>
      <c r="IA27" s="16"/>
      <c r="IB27" s="16"/>
      <c r="IC27" s="16"/>
      <c r="ID27" s="16"/>
      <c r="IE27" s="16"/>
      <c r="IF27" s="16"/>
      <c r="IG27" s="16"/>
      <c r="IH27" s="16"/>
      <c r="II27" s="16"/>
      <c r="IJ27" s="16"/>
      <c r="IK27" s="16"/>
      <c r="IL27" s="16"/>
      <c r="IM27" s="16"/>
      <c r="IN27" s="16"/>
      <c r="IO27" s="16"/>
      <c r="IP27" s="16"/>
      <c r="IQ27" s="16"/>
      <c r="IR27" s="16"/>
      <c r="IS27" s="16"/>
      <c r="IT27" s="16"/>
      <c r="IU27" s="16"/>
      <c r="IV27" s="16"/>
      <c r="IW27" s="16"/>
      <c r="IX27" s="16"/>
      <c r="IY27" s="16"/>
      <c r="IZ27" s="16"/>
      <c r="JA27" s="16"/>
      <c r="JB27" s="16"/>
      <c r="JC27" s="16"/>
      <c r="JD27" s="16"/>
      <c r="JE27" s="16"/>
      <c r="JF27" s="16"/>
      <c r="JG27" s="16"/>
      <c r="JH27" s="16"/>
      <c r="JI27" s="16"/>
      <c r="JJ27" s="16"/>
      <c r="JK27" s="16"/>
      <c r="JL27" s="16"/>
      <c r="JM27" s="16"/>
      <c r="JN27" s="16"/>
      <c r="JO27" s="16"/>
      <c r="JP27" s="16"/>
      <c r="JQ27" s="16"/>
      <c r="JR27" s="16"/>
      <c r="JS27" s="16"/>
      <c r="JT27" s="16"/>
      <c r="JU27" s="16"/>
      <c r="JV27" s="16"/>
      <c r="JW27" s="16"/>
      <c r="JX27" s="16"/>
      <c r="JY27" s="16"/>
      <c r="JZ27" s="16"/>
      <c r="KA27" s="16"/>
      <c r="KB27" s="16"/>
      <c r="KC27" s="16"/>
      <c r="KD27" s="16"/>
      <c r="KE27" s="16"/>
      <c r="KF27" s="16"/>
      <c r="KG27" s="16"/>
      <c r="KH27" s="16"/>
      <c r="KI27" s="16"/>
      <c r="KJ27" s="16"/>
      <c r="KK27" s="16"/>
      <c r="KL27" s="16"/>
      <c r="KM27" s="16"/>
      <c r="KN27" s="16"/>
      <c r="KO27" s="16"/>
      <c r="KP27" s="16"/>
      <c r="KQ27" s="16"/>
      <c r="KR27" s="16"/>
      <c r="KS27" s="16"/>
      <c r="KT27" s="16"/>
      <c r="KU27" s="16"/>
      <c r="KV27" s="16"/>
      <c r="KW27" s="16"/>
      <c r="KX27" s="16"/>
      <c r="KY27" s="16"/>
      <c r="KZ27" s="16"/>
      <c r="LA27" s="16"/>
      <c r="LB27" s="16"/>
      <c r="LC27" s="16"/>
      <c r="LD27" s="16"/>
      <c r="LE27" s="16"/>
      <c r="LF27" s="16"/>
      <c r="LG27" s="16"/>
      <c r="LH27" s="16"/>
      <c r="LI27" s="16"/>
      <c r="LJ27" s="16"/>
      <c r="LK27" s="16"/>
      <c r="LL27" s="16"/>
      <c r="LM27" s="16"/>
      <c r="LN27" s="16"/>
      <c r="LO27" s="16"/>
      <c r="LP27" s="16"/>
      <c r="LQ27" s="16"/>
      <c r="LR27" s="16"/>
      <c r="LS27" s="16"/>
      <c r="LT27" s="16"/>
      <c r="LU27" s="16"/>
      <c r="LV27" s="16"/>
      <c r="LW27" s="16"/>
      <c r="LX27" s="16"/>
      <c r="LY27" s="16"/>
      <c r="LZ27" s="16"/>
      <c r="MA27" s="16"/>
      <c r="MB27" s="16"/>
      <c r="MC27" s="16"/>
      <c r="MD27" s="16"/>
      <c r="ME27" s="16"/>
      <c r="MF27" s="16"/>
      <c r="MG27" s="16"/>
      <c r="MH27" s="16"/>
      <c r="MI27" s="16"/>
      <c r="MJ27" s="16"/>
      <c r="MK27" s="16"/>
      <c r="ML27" s="16"/>
      <c r="MM27" s="16"/>
      <c r="MN27" s="16"/>
      <c r="MO27" s="16"/>
      <c r="MP27" s="16"/>
      <c r="MQ27" s="16"/>
      <c r="MR27" s="16"/>
      <c r="MS27" s="16"/>
      <c r="MT27" s="16"/>
      <c r="MU27" s="16"/>
      <c r="MV27" s="16"/>
      <c r="MW27" s="16"/>
      <c r="MX27" s="16"/>
      <c r="MY27" s="16"/>
      <c r="MZ27" s="16"/>
      <c r="NA27" s="15"/>
      <c r="NB27" s="15"/>
      <c r="NC27" s="15"/>
      <c r="ND27" s="15"/>
      <c r="NE27" s="15"/>
    </row>
    <row r="28" spans="1:369">
      <c r="A28" s="53">
        <v>2</v>
      </c>
      <c r="B28" t="s">
        <v>273</v>
      </c>
      <c r="C28" s="66">
        <v>0.99933333333333296</v>
      </c>
      <c r="D28" s="67">
        <v>1536.4749999999999</v>
      </c>
      <c r="E28" s="68">
        <v>5</v>
      </c>
      <c r="F28" s="68">
        <v>10</v>
      </c>
      <c r="G28" s="39">
        <v>7.5</v>
      </c>
      <c r="H28" s="70" t="s">
        <v>63</v>
      </c>
      <c r="I28" s="71"/>
      <c r="J28" s="67">
        <v>0</v>
      </c>
      <c r="K28" s="67">
        <v>0.174325024890714</v>
      </c>
      <c r="L28" s="67">
        <v>0.52303678343423898</v>
      </c>
      <c r="M28" s="67">
        <v>1.04666665037079</v>
      </c>
      <c r="N28" s="67">
        <v>1.74574600044057</v>
      </c>
      <c r="O28" s="67">
        <v>2.6208062083838102</v>
      </c>
      <c r="P28" s="72">
        <v>3.67237864894072</v>
      </c>
      <c r="Q28" s="16">
        <v>4.9009946968515097</v>
      </c>
      <c r="R28" s="16">
        <v>6.3071857268563898</v>
      </c>
      <c r="S28" s="16">
        <v>7.8914831136955801</v>
      </c>
      <c r="T28" s="16">
        <v>9.6544182321092897</v>
      </c>
      <c r="U28" s="16">
        <v>11.3062774568377</v>
      </c>
      <c r="V28" s="16">
        <v>12.847592162621099</v>
      </c>
      <c r="W28" s="16">
        <v>14.278893724199699</v>
      </c>
      <c r="X28" s="16">
        <v>15.600713516313601</v>
      </c>
      <c r="Y28" s="16">
        <v>16.813582913703101</v>
      </c>
      <c r="Z28" s="16">
        <v>17.9180332911085</v>
      </c>
      <c r="AA28" s="16">
        <v>18.914596023269802</v>
      </c>
      <c r="AB28" s="16">
        <v>19.803802484927399</v>
      </c>
      <c r="AC28" s="16">
        <v>20.586184050821402</v>
      </c>
      <c r="AD28" s="16">
        <v>21.262272095692101</v>
      </c>
      <c r="AE28" s="16">
        <v>21.941247994279699</v>
      </c>
      <c r="AF28" s="16">
        <v>22.623643121324399</v>
      </c>
      <c r="AG28" s="16">
        <v>23.309988851566299</v>
      </c>
      <c r="AH28" s="16">
        <v>24.0008165597458</v>
      </c>
      <c r="AI28" s="16">
        <v>24.696657620602998</v>
      </c>
      <c r="AJ28" s="16">
        <v>25.398043408878198</v>
      </c>
      <c r="AK28" s="16">
        <v>26.105505299311499</v>
      </c>
      <c r="AL28" s="16">
        <v>26.819574666643099</v>
      </c>
      <c r="AM28" s="16">
        <v>27.5407828856134</v>
      </c>
      <c r="AN28" s="16">
        <v>28.269661330962499</v>
      </c>
      <c r="AO28" s="16">
        <v>28.906041377430601</v>
      </c>
      <c r="AP28" s="16">
        <v>29.450454399757898</v>
      </c>
      <c r="AQ28" s="16">
        <v>29.903431772684598</v>
      </c>
      <c r="AR28" s="16">
        <v>30.265504870950998</v>
      </c>
      <c r="AS28" s="16">
        <v>30.5372050692973</v>
      </c>
      <c r="AT28" s="16">
        <v>30.7190637424637</v>
      </c>
      <c r="AU28" s="16">
        <v>30.811612265190298</v>
      </c>
      <c r="AV28" s="16">
        <v>30.815382012217501</v>
      </c>
      <c r="AW28" s="16">
        <v>30.7309043582854</v>
      </c>
      <c r="AX28" s="16">
        <v>30.558710678134201</v>
      </c>
      <c r="AY28" s="16">
        <v>30.336539846504198</v>
      </c>
      <c r="AZ28" s="16">
        <v>30.064923238135599</v>
      </c>
      <c r="BA28" s="16">
        <v>29.7443922277685</v>
      </c>
      <c r="BB28" s="16">
        <v>29.375478190143198</v>
      </c>
      <c r="BC28" s="16">
        <v>28.958712499999901</v>
      </c>
      <c r="BD28" s="16">
        <v>28.4946265320789</v>
      </c>
      <c r="BE28" s="16">
        <v>27.983751661120301</v>
      </c>
      <c r="BF28" s="16">
        <v>27.426619261864399</v>
      </c>
      <c r="BG28" s="16">
        <v>26.8237607090513</v>
      </c>
      <c r="BH28" s="16">
        <v>26.175707377421201</v>
      </c>
      <c r="BI28" s="16">
        <v>25.595945641714501</v>
      </c>
      <c r="BJ28" s="16">
        <v>25.085006876671301</v>
      </c>
      <c r="BK28" s="16">
        <v>24.6434224570318</v>
      </c>
      <c r="BL28" s="16">
        <v>24.271723757536201</v>
      </c>
      <c r="BM28" s="16">
        <v>23.9704421529248</v>
      </c>
      <c r="BN28" s="16">
        <v>23.740109017937801</v>
      </c>
      <c r="BO28" s="16">
        <v>23.581255727315298</v>
      </c>
      <c r="BP28" s="16">
        <v>23.494413655797601</v>
      </c>
      <c r="BQ28" s="16">
        <v>23.4801141781249</v>
      </c>
      <c r="BR28" s="16">
        <v>23.538888669037402</v>
      </c>
      <c r="BS28" s="16">
        <v>23.511106003275401</v>
      </c>
      <c r="BT28" s="16">
        <v>23.397297555579001</v>
      </c>
      <c r="BU28" s="16">
        <v>23.197994700688401</v>
      </c>
      <c r="BV28" s="16">
        <v>22.913728813344001</v>
      </c>
      <c r="BW28" s="16">
        <v>22.545031268285801</v>
      </c>
      <c r="BX28" s="16">
        <v>22.092433440254101</v>
      </c>
      <c r="BY28" s="16">
        <v>21.556466703989202</v>
      </c>
      <c r="BZ28" s="16">
        <v>20.9376624342311</v>
      </c>
      <c r="CA28" s="16">
        <v>20.236552005720199</v>
      </c>
      <c r="CB28" s="16">
        <v>19.4536667931967</v>
      </c>
      <c r="CC28" s="16">
        <v>18.589538171400701</v>
      </c>
      <c r="CD28" s="16">
        <v>17.644697515072501</v>
      </c>
      <c r="CE28" s="16">
        <v>16.619676198952298</v>
      </c>
      <c r="CF28" s="16">
        <v>15.5150055977804</v>
      </c>
      <c r="CG28" s="16">
        <v>14.3312170862968</v>
      </c>
      <c r="CH28" s="16">
        <v>13.0688420392419</v>
      </c>
      <c r="CI28" s="16">
        <v>11.7284118313558</v>
      </c>
      <c r="CJ28" s="16">
        <v>10.310457837378801</v>
      </c>
      <c r="CK28" s="16">
        <v>8.8155114320511601</v>
      </c>
      <c r="CL28" s="16">
        <v>7.2441039901129498</v>
      </c>
      <c r="CM28" s="16">
        <v>5.8251018863044299</v>
      </c>
      <c r="CN28" s="16">
        <v>4.5590364953658398</v>
      </c>
      <c r="CO28" s="16">
        <v>3.4464391920374098</v>
      </c>
      <c r="CP28" s="16">
        <v>2.4878413510592501</v>
      </c>
      <c r="CQ28" s="16">
        <v>1.6837743471717601</v>
      </c>
      <c r="CR28" s="16">
        <v>1.03476955511499</v>
      </c>
      <c r="CS28" s="16">
        <v>0.54135834962921103</v>
      </c>
      <c r="CT28" s="16">
        <v>0.20407210545466301</v>
      </c>
      <c r="CU28" s="16">
        <v>2.3442197331555999E-2</v>
      </c>
      <c r="CV28" s="16">
        <v>-1.8179902028236899E-15</v>
      </c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  <c r="EF28" s="16"/>
      <c r="EG28" s="16"/>
      <c r="EH28" s="16"/>
      <c r="EI28" s="16"/>
      <c r="EJ28" s="16"/>
      <c r="EK28" s="16"/>
      <c r="EL28" s="16"/>
      <c r="EM28" s="16"/>
      <c r="EN28" s="16"/>
      <c r="EO28" s="16"/>
      <c r="EP28" s="16"/>
      <c r="EQ28" s="16"/>
      <c r="ER28" s="16"/>
      <c r="ES28" s="16"/>
      <c r="ET28" s="16"/>
      <c r="EU28" s="16"/>
      <c r="EV28" s="16"/>
      <c r="EW28" s="16"/>
      <c r="EX28" s="16"/>
      <c r="EY28" s="16"/>
      <c r="EZ28" s="16"/>
      <c r="FA28" s="16"/>
      <c r="FB28" s="16"/>
      <c r="FC28" s="16"/>
      <c r="FD28" s="16"/>
      <c r="FE28" s="16"/>
      <c r="FF28" s="16"/>
      <c r="FG28" s="16"/>
      <c r="FH28" s="16"/>
      <c r="FI28" s="16"/>
      <c r="FJ28" s="16"/>
      <c r="FK28" s="16"/>
      <c r="FL28" s="16"/>
      <c r="FM28" s="16"/>
      <c r="FN28" s="16"/>
      <c r="FO28" s="16"/>
      <c r="FP28" s="16"/>
      <c r="FQ28" s="16"/>
      <c r="FR28" s="16"/>
      <c r="FS28" s="16"/>
      <c r="FT28" s="16"/>
      <c r="FU28" s="16"/>
      <c r="FV28" s="16"/>
      <c r="FW28" s="16"/>
      <c r="FX28" s="16"/>
      <c r="FY28" s="16"/>
      <c r="FZ28" s="16"/>
      <c r="GA28" s="16"/>
      <c r="GB28" s="16"/>
      <c r="GC28" s="16"/>
      <c r="GD28" s="16"/>
      <c r="GE28" s="16"/>
      <c r="GF28" s="16"/>
      <c r="GG28" s="16"/>
      <c r="GH28" s="16"/>
      <c r="GI28" s="16"/>
      <c r="GJ28" s="16"/>
      <c r="GK28" s="16"/>
      <c r="GL28" s="16"/>
      <c r="GM28" s="16"/>
      <c r="GN28" s="16"/>
      <c r="GO28" s="16"/>
      <c r="GP28" s="16"/>
      <c r="GQ28" s="16"/>
      <c r="GR28" s="16"/>
      <c r="GS28" s="16"/>
      <c r="GT28" s="16"/>
      <c r="GU28" s="16"/>
      <c r="GV28" s="16"/>
      <c r="GW28" s="16"/>
      <c r="GX28" s="16"/>
      <c r="GY28" s="16"/>
      <c r="GZ28" s="16"/>
      <c r="HA28" s="16"/>
      <c r="HB28" s="16"/>
      <c r="HC28" s="16"/>
      <c r="HD28" s="16"/>
      <c r="HE28" s="16"/>
      <c r="HF28" s="16"/>
      <c r="HG28" s="16"/>
      <c r="HH28" s="16"/>
      <c r="HI28" s="16"/>
      <c r="HJ28" s="16"/>
      <c r="HK28" s="16"/>
      <c r="HL28" s="16"/>
      <c r="HM28" s="16"/>
      <c r="HN28" s="16"/>
      <c r="HO28" s="16"/>
      <c r="HP28" s="16"/>
      <c r="HQ28" s="16"/>
      <c r="HR28" s="16"/>
      <c r="HS28" s="16"/>
      <c r="HT28" s="16"/>
      <c r="HU28" s="16"/>
      <c r="HV28" s="16"/>
      <c r="HW28" s="16"/>
      <c r="HX28" s="16"/>
      <c r="HY28" s="16"/>
      <c r="HZ28" s="16"/>
      <c r="IA28" s="16"/>
      <c r="IB28" s="16"/>
      <c r="IC28" s="16"/>
      <c r="ID28" s="16"/>
      <c r="IE28" s="16"/>
      <c r="IF28" s="16"/>
      <c r="IG28" s="16"/>
      <c r="IH28" s="16"/>
      <c r="II28" s="16"/>
      <c r="IJ28" s="16"/>
      <c r="IK28" s="16"/>
      <c r="IL28" s="16"/>
      <c r="IM28" s="16"/>
      <c r="IN28" s="16"/>
      <c r="IO28" s="16"/>
      <c r="IP28" s="16"/>
      <c r="IQ28" s="16"/>
      <c r="IR28" s="16"/>
      <c r="IS28" s="16"/>
      <c r="IT28" s="16"/>
      <c r="IU28" s="16"/>
      <c r="IV28" s="16"/>
      <c r="IW28" s="16"/>
      <c r="IX28" s="16"/>
      <c r="IY28" s="16"/>
      <c r="IZ28" s="16"/>
      <c r="JA28" s="16"/>
      <c r="JB28" s="16"/>
      <c r="JC28" s="16"/>
      <c r="JD28" s="16"/>
      <c r="JE28" s="16"/>
      <c r="JF28" s="16"/>
      <c r="JG28" s="16"/>
      <c r="JH28" s="16"/>
      <c r="JI28" s="16"/>
      <c r="JJ28" s="16"/>
      <c r="JK28" s="16"/>
      <c r="JL28" s="16"/>
      <c r="JM28" s="16"/>
      <c r="JN28" s="16"/>
      <c r="JO28" s="16"/>
      <c r="JP28" s="16"/>
      <c r="JQ28" s="16"/>
      <c r="JR28" s="16"/>
      <c r="JS28" s="16"/>
      <c r="JT28" s="16"/>
      <c r="JU28" s="16"/>
      <c r="JV28" s="16"/>
      <c r="JW28" s="16"/>
      <c r="JX28" s="16"/>
      <c r="JY28" s="16"/>
      <c r="JZ28" s="16"/>
      <c r="KA28" s="16"/>
      <c r="KB28" s="16"/>
      <c r="KC28" s="16"/>
      <c r="KD28" s="16"/>
      <c r="KE28" s="16"/>
      <c r="KF28" s="16"/>
      <c r="KG28" s="16"/>
      <c r="KH28" s="16"/>
      <c r="KI28" s="16"/>
      <c r="KJ28" s="16"/>
      <c r="KK28" s="16"/>
      <c r="KL28" s="16"/>
      <c r="KM28" s="16"/>
      <c r="KN28" s="16"/>
      <c r="KO28" s="16"/>
      <c r="KP28" s="16"/>
      <c r="KQ28" s="16"/>
      <c r="KR28" s="16"/>
      <c r="KS28" s="16"/>
      <c r="KT28" s="16"/>
      <c r="KU28" s="16"/>
      <c r="KV28" s="16"/>
      <c r="KW28" s="16"/>
      <c r="KX28" s="16"/>
      <c r="KY28" s="16"/>
      <c r="KZ28" s="16"/>
      <c r="LA28" s="16"/>
      <c r="LB28" s="16"/>
      <c r="LC28" s="16"/>
      <c r="LD28" s="16"/>
      <c r="LE28" s="16"/>
      <c r="LF28" s="16"/>
      <c r="LG28" s="16"/>
      <c r="LH28" s="16"/>
      <c r="LI28" s="16"/>
      <c r="LJ28" s="16"/>
      <c r="LK28" s="16"/>
      <c r="LL28" s="16"/>
      <c r="LM28" s="16"/>
      <c r="LN28" s="16"/>
      <c r="LO28" s="16"/>
      <c r="LP28" s="16"/>
      <c r="LQ28" s="16"/>
      <c r="LR28" s="16"/>
      <c r="LS28" s="16"/>
      <c r="LT28" s="16"/>
      <c r="LU28" s="16"/>
      <c r="LV28" s="16"/>
      <c r="LW28" s="16"/>
      <c r="LX28" s="16"/>
      <c r="LY28" s="16"/>
      <c r="LZ28" s="16"/>
      <c r="MA28" s="16"/>
      <c r="MB28" s="16"/>
      <c r="MC28" s="16"/>
      <c r="MD28" s="16"/>
      <c r="ME28" s="16"/>
      <c r="MF28" s="16"/>
      <c r="MG28" s="16"/>
      <c r="MH28" s="16"/>
      <c r="MI28" s="16"/>
      <c r="MJ28" s="16"/>
      <c r="MK28" s="16"/>
      <c r="ML28" s="16"/>
      <c r="MM28" s="16"/>
      <c r="MN28" s="16"/>
      <c r="MO28" s="16"/>
      <c r="MP28" s="16"/>
      <c r="MQ28" s="16"/>
      <c r="MR28" s="16"/>
      <c r="MS28" s="16"/>
      <c r="MT28" s="16"/>
      <c r="MU28" s="16"/>
      <c r="MV28" s="16"/>
      <c r="MW28" s="16"/>
      <c r="MX28" s="16"/>
      <c r="MY28" s="16"/>
      <c r="MZ28" s="16"/>
      <c r="NA28" s="15"/>
      <c r="NB28" s="15"/>
      <c r="NC28" s="15"/>
      <c r="ND28" s="15"/>
      <c r="NE28" s="15"/>
    </row>
    <row r="29" spans="1:369" ht="15.75" thickBot="1">
      <c r="A29" s="53">
        <v>3</v>
      </c>
      <c r="B29" t="s">
        <v>274</v>
      </c>
      <c r="C29" s="66">
        <v>1.3333333333333299E-2</v>
      </c>
      <c r="D29" s="67">
        <v>20.5</v>
      </c>
      <c r="E29" s="68">
        <v>15</v>
      </c>
      <c r="F29" s="68">
        <v>-10</v>
      </c>
      <c r="G29" s="39">
        <v>0.102470494098819</v>
      </c>
      <c r="H29" s="57" t="s">
        <v>62</v>
      </c>
      <c r="I29" s="11"/>
      <c r="J29" s="11">
        <v>382.29499999999899</v>
      </c>
      <c r="K29" s="11">
        <v>382.29499999999899</v>
      </c>
      <c r="L29" s="11">
        <v>382.29499999999899</v>
      </c>
      <c r="M29" s="11">
        <v>382.29499999999899</v>
      </c>
      <c r="N29" s="11">
        <v>382.29499999999899</v>
      </c>
      <c r="O29" s="11">
        <v>382.29499999999899</v>
      </c>
      <c r="P29" s="73">
        <v>382.29499999999899</v>
      </c>
      <c r="Q29" s="16">
        <v>382.29499999999899</v>
      </c>
      <c r="R29" s="16">
        <v>382.29499999999899</v>
      </c>
      <c r="S29" s="16">
        <v>382.29499999999899</v>
      </c>
      <c r="T29" s="16">
        <v>92.05</v>
      </c>
      <c r="U29" s="16">
        <v>92.05</v>
      </c>
      <c r="V29" s="16">
        <v>92.05</v>
      </c>
      <c r="W29" s="16">
        <v>92.05</v>
      </c>
      <c r="X29" s="16">
        <v>92.05</v>
      </c>
      <c r="Y29" s="16">
        <v>92.05</v>
      </c>
      <c r="Z29" s="16">
        <v>92.05</v>
      </c>
      <c r="AA29" s="16">
        <v>92.05</v>
      </c>
      <c r="AB29" s="16">
        <v>92.05</v>
      </c>
      <c r="AC29" s="16">
        <v>92.05</v>
      </c>
      <c r="AD29" s="16">
        <v>200.7</v>
      </c>
      <c r="AE29" s="16">
        <v>200.7</v>
      </c>
      <c r="AF29" s="16">
        <v>200.7</v>
      </c>
      <c r="AG29" s="16">
        <v>200.7</v>
      </c>
      <c r="AH29" s="16">
        <v>200.7</v>
      </c>
      <c r="AI29" s="16">
        <v>200.7</v>
      </c>
      <c r="AJ29" s="16">
        <v>200.7</v>
      </c>
      <c r="AK29" s="16">
        <v>200.7</v>
      </c>
      <c r="AL29" s="16">
        <v>200.7</v>
      </c>
      <c r="AM29" s="16">
        <v>200.7</v>
      </c>
      <c r="AN29" s="16">
        <v>100</v>
      </c>
      <c r="AO29" s="16">
        <v>100</v>
      </c>
      <c r="AP29" s="16">
        <v>100</v>
      </c>
      <c r="AQ29" s="16">
        <v>100</v>
      </c>
      <c r="AR29" s="16">
        <v>100</v>
      </c>
      <c r="AS29" s="16">
        <v>100</v>
      </c>
      <c r="AT29" s="16">
        <v>100</v>
      </c>
      <c r="AU29" s="16">
        <v>100</v>
      </c>
      <c r="AV29" s="16">
        <v>100</v>
      </c>
      <c r="AW29" s="16">
        <v>100</v>
      </c>
      <c r="AX29" s="16">
        <v>137.20749999999899</v>
      </c>
      <c r="AY29" s="16">
        <v>137.20749999999899</v>
      </c>
      <c r="AZ29" s="16">
        <v>137.20749999999899</v>
      </c>
      <c r="BA29" s="16">
        <v>137.20749999999899</v>
      </c>
      <c r="BB29" s="16">
        <v>137.20749999999899</v>
      </c>
      <c r="BC29" s="16">
        <v>137.20749999999899</v>
      </c>
      <c r="BD29" s="16">
        <v>137.20749999999899</v>
      </c>
      <c r="BE29" s="16">
        <v>137.20749999999899</v>
      </c>
      <c r="BF29" s="16">
        <v>137.20749999999899</v>
      </c>
      <c r="BG29" s="16">
        <v>137.20749999999899</v>
      </c>
      <c r="BH29" s="16">
        <v>250.162499999999</v>
      </c>
      <c r="BI29" s="16">
        <v>250.162499999999</v>
      </c>
      <c r="BJ29" s="16">
        <v>250.162499999999</v>
      </c>
      <c r="BK29" s="16">
        <v>250.162499999999</v>
      </c>
      <c r="BL29" s="16">
        <v>250.162499999999</v>
      </c>
      <c r="BM29" s="16">
        <v>250.162499999999</v>
      </c>
      <c r="BN29" s="16">
        <v>250.162499999999</v>
      </c>
      <c r="BO29" s="16">
        <v>250.162499999999</v>
      </c>
      <c r="BP29" s="16">
        <v>250.162499999999</v>
      </c>
      <c r="BQ29" s="16">
        <v>250.162499999999</v>
      </c>
      <c r="BR29" s="16">
        <v>90</v>
      </c>
      <c r="BS29" s="16">
        <v>90</v>
      </c>
      <c r="BT29" s="16">
        <v>90</v>
      </c>
      <c r="BU29" s="16">
        <v>90</v>
      </c>
      <c r="BV29" s="16">
        <v>90</v>
      </c>
      <c r="BW29" s="16">
        <v>90</v>
      </c>
      <c r="BX29" s="16">
        <v>90</v>
      </c>
      <c r="BY29" s="16">
        <v>90</v>
      </c>
      <c r="BZ29" s="16">
        <v>90</v>
      </c>
      <c r="CA29" s="16">
        <v>90</v>
      </c>
      <c r="CB29" s="16">
        <v>90</v>
      </c>
      <c r="CC29" s="16">
        <v>90</v>
      </c>
      <c r="CD29" s="16">
        <v>90</v>
      </c>
      <c r="CE29" s="16">
        <v>90</v>
      </c>
      <c r="CF29" s="16">
        <v>90</v>
      </c>
      <c r="CG29" s="16">
        <v>90</v>
      </c>
      <c r="CH29" s="16">
        <v>90</v>
      </c>
      <c r="CI29" s="16">
        <v>90</v>
      </c>
      <c r="CJ29" s="16">
        <v>90</v>
      </c>
      <c r="CK29" s="16">
        <v>90</v>
      </c>
      <c r="CL29" s="16">
        <v>318.33499999999998</v>
      </c>
      <c r="CM29" s="16">
        <v>318.33499999999998</v>
      </c>
      <c r="CN29" s="16">
        <v>318.33499999999998</v>
      </c>
      <c r="CO29" s="16">
        <v>318.33499999999998</v>
      </c>
      <c r="CP29" s="16">
        <v>318.33499999999998</v>
      </c>
      <c r="CQ29" s="16">
        <v>318.33499999999998</v>
      </c>
      <c r="CR29" s="16">
        <v>318.33499999999998</v>
      </c>
      <c r="CS29" s="16">
        <v>318.33499999999998</v>
      </c>
      <c r="CT29" s="16">
        <v>318.33499999999998</v>
      </c>
      <c r="CU29" s="16">
        <v>318.33499999999998</v>
      </c>
      <c r="CV29" s="16">
        <v>0</v>
      </c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5"/>
      <c r="NB29" s="15"/>
      <c r="NC29" s="15"/>
      <c r="ND29" s="15"/>
      <c r="NE29" s="15"/>
    </row>
    <row r="30" spans="1:369">
      <c r="A30" s="53">
        <v>4</v>
      </c>
      <c r="B30" t="s">
        <v>275</v>
      </c>
      <c r="C30" s="66">
        <v>0</v>
      </c>
      <c r="D30" s="67">
        <v>0</v>
      </c>
      <c r="E30" s="68">
        <v>15</v>
      </c>
      <c r="F30" s="68">
        <v>10</v>
      </c>
      <c r="G30" s="39">
        <v>0</v>
      </c>
      <c r="P30" s="40"/>
      <c r="T30" s="67"/>
    </row>
    <row r="31" spans="1:369">
      <c r="A31" s="53">
        <v>5</v>
      </c>
      <c r="B31" t="s">
        <v>276</v>
      </c>
      <c r="C31" s="66">
        <v>0</v>
      </c>
      <c r="D31" s="67">
        <v>0</v>
      </c>
      <c r="E31" s="68">
        <v>25</v>
      </c>
      <c r="F31" s="68">
        <v>-10</v>
      </c>
      <c r="G31" s="39">
        <v>0</v>
      </c>
      <c r="P31" s="40"/>
      <c r="T31" s="67"/>
    </row>
    <row r="32" spans="1:369">
      <c r="A32" s="130">
        <v>6</v>
      </c>
      <c r="B32" t="s">
        <v>277</v>
      </c>
      <c r="C32" s="66">
        <v>0.72</v>
      </c>
      <c r="D32" s="67">
        <v>1107</v>
      </c>
      <c r="E32" s="68">
        <v>25</v>
      </c>
      <c r="F32" s="68">
        <v>10</v>
      </c>
      <c r="G32" s="39">
        <v>5.5350000000000001</v>
      </c>
      <c r="P32" s="40"/>
      <c r="T32" s="67"/>
    </row>
    <row r="33" spans="1:20">
      <c r="A33" s="53">
        <v>7</v>
      </c>
      <c r="B33" t="s">
        <v>278</v>
      </c>
      <c r="C33" s="66">
        <v>0</v>
      </c>
      <c r="D33" s="67">
        <v>0</v>
      </c>
      <c r="E33" s="68">
        <v>35</v>
      </c>
      <c r="F33" s="68">
        <v>-10</v>
      </c>
      <c r="G33" s="39">
        <v>0</v>
      </c>
      <c r="P33" s="40"/>
      <c r="T33" s="67"/>
    </row>
    <row r="34" spans="1:20">
      <c r="A34" s="53">
        <v>8</v>
      </c>
      <c r="B34" t="s">
        <v>279</v>
      </c>
      <c r="C34" s="66">
        <v>0</v>
      </c>
      <c r="D34" s="67">
        <v>0</v>
      </c>
      <c r="E34" s="68">
        <v>35</v>
      </c>
      <c r="F34" s="68">
        <v>10</v>
      </c>
      <c r="G34" s="39">
        <v>0</v>
      </c>
      <c r="P34" s="40"/>
      <c r="T34" s="67"/>
    </row>
    <row r="35" spans="1:20">
      <c r="A35" s="53">
        <v>9</v>
      </c>
      <c r="B35" t="s">
        <v>280</v>
      </c>
      <c r="C35" s="66">
        <v>0.24199999999999999</v>
      </c>
      <c r="D35" s="67">
        <v>372.07499999999999</v>
      </c>
      <c r="E35" s="68">
        <v>45</v>
      </c>
      <c r="F35" s="68">
        <v>-10</v>
      </c>
      <c r="G35" s="39">
        <v>1.8603749999999999</v>
      </c>
      <c r="P35" s="40"/>
      <c r="T35" s="67"/>
    </row>
    <row r="36" spans="1:20">
      <c r="A36" s="53">
        <v>10</v>
      </c>
      <c r="B36" t="s">
        <v>281</v>
      </c>
      <c r="C36" s="66">
        <v>0</v>
      </c>
      <c r="D36" s="67">
        <v>0</v>
      </c>
      <c r="E36" s="68">
        <v>45</v>
      </c>
      <c r="F36" s="68">
        <v>10</v>
      </c>
      <c r="G36" s="39">
        <v>0</v>
      </c>
      <c r="P36" s="40"/>
      <c r="T36" s="67"/>
    </row>
    <row r="37" spans="1:20">
      <c r="A37" s="53">
        <v>11</v>
      </c>
      <c r="B37" t="s">
        <v>282</v>
      </c>
      <c r="C37" s="66">
        <v>0.97666666666666602</v>
      </c>
      <c r="D37" s="67">
        <v>1501.6249999999998</v>
      </c>
      <c r="E37" s="68">
        <v>55</v>
      </c>
      <c r="F37" s="68">
        <v>-10</v>
      </c>
      <c r="G37" s="39">
        <v>7.5</v>
      </c>
      <c r="P37" s="40"/>
      <c r="T37" s="67"/>
    </row>
    <row r="38" spans="1:20">
      <c r="A38" s="53">
        <v>12</v>
      </c>
      <c r="B38" t="s">
        <v>283</v>
      </c>
      <c r="C38" s="66">
        <v>0</v>
      </c>
      <c r="D38" s="67">
        <v>0</v>
      </c>
      <c r="E38" s="68">
        <v>55</v>
      </c>
      <c r="F38" s="68">
        <v>10</v>
      </c>
      <c r="G38" s="39">
        <v>0</v>
      </c>
      <c r="P38" s="40"/>
      <c r="T38" s="67"/>
    </row>
    <row r="39" spans="1:20">
      <c r="A39" s="53">
        <v>13</v>
      </c>
      <c r="B39" t="s">
        <v>284</v>
      </c>
      <c r="C39" s="66">
        <v>0</v>
      </c>
      <c r="D39" s="67">
        <v>0</v>
      </c>
      <c r="E39" s="68">
        <v>65</v>
      </c>
      <c r="F39" s="68">
        <v>10</v>
      </c>
      <c r="G39" s="39">
        <v>0</v>
      </c>
      <c r="P39" s="40"/>
      <c r="T39" s="67"/>
    </row>
    <row r="40" spans="1:20">
      <c r="A40" s="53">
        <v>14</v>
      </c>
      <c r="B40" t="s">
        <v>285</v>
      </c>
      <c r="C40" s="66">
        <v>0</v>
      </c>
      <c r="D40" s="67">
        <v>0</v>
      </c>
      <c r="E40" s="68">
        <v>75</v>
      </c>
      <c r="F40" s="68">
        <v>0</v>
      </c>
      <c r="G40" s="39">
        <v>0</v>
      </c>
      <c r="P40" s="40"/>
      <c r="T40" s="67"/>
    </row>
    <row r="41" spans="1:20">
      <c r="A41" s="53">
        <v>15</v>
      </c>
      <c r="B41" t="s">
        <v>286</v>
      </c>
      <c r="C41" s="66">
        <v>0</v>
      </c>
      <c r="D41" s="67">
        <v>0</v>
      </c>
      <c r="E41" s="68">
        <v>75</v>
      </c>
      <c r="F41" s="68">
        <v>10</v>
      </c>
      <c r="G41" s="39">
        <v>0</v>
      </c>
      <c r="P41" s="40"/>
      <c r="T41" s="67"/>
    </row>
    <row r="42" spans="1:20">
      <c r="A42" s="53">
        <v>16</v>
      </c>
      <c r="B42" t="s">
        <v>287</v>
      </c>
      <c r="C42" s="66">
        <v>0.99933333333333296</v>
      </c>
      <c r="D42" s="67">
        <v>1536.4749999999999</v>
      </c>
      <c r="E42" s="68">
        <v>85</v>
      </c>
      <c r="F42" s="68">
        <v>0</v>
      </c>
      <c r="G42" s="39">
        <v>7.5</v>
      </c>
      <c r="P42" s="40"/>
      <c r="T42" s="67"/>
    </row>
    <row r="43" spans="1:20">
      <c r="A43" s="53">
        <v>17</v>
      </c>
      <c r="B43" t="s">
        <v>288</v>
      </c>
      <c r="C43" s="66">
        <v>0.58333333333333304</v>
      </c>
      <c r="D43" s="67">
        <v>896.87499999999989</v>
      </c>
      <c r="E43" s="68">
        <v>85</v>
      </c>
      <c r="F43" s="68">
        <v>10</v>
      </c>
      <c r="G43" s="39">
        <v>4.4843749999999902</v>
      </c>
      <c r="P43" s="40"/>
      <c r="T43" s="67"/>
    </row>
    <row r="44" spans="1:20">
      <c r="A44" s="53"/>
      <c r="C44" s="66"/>
      <c r="D44" s="67"/>
      <c r="E44" s="68"/>
      <c r="F44" s="68"/>
      <c r="G44" s="39"/>
      <c r="P44" s="40"/>
      <c r="T44" s="67"/>
    </row>
    <row r="45" spans="1:20">
      <c r="A45" s="53"/>
      <c r="C45" s="66"/>
      <c r="D45" s="67"/>
      <c r="E45" s="68"/>
      <c r="F45" s="68"/>
      <c r="G45" s="39"/>
      <c r="P45" s="40"/>
      <c r="T45" s="67"/>
    </row>
    <row r="46" spans="1:20">
      <c r="A46" s="53"/>
      <c r="C46" s="66"/>
      <c r="D46" s="67"/>
      <c r="E46" s="68"/>
      <c r="F46" s="68"/>
      <c r="G46" s="39"/>
      <c r="P46" s="40"/>
      <c r="T46" s="67"/>
    </row>
    <row r="47" spans="1:20">
      <c r="A47" s="53"/>
      <c r="C47" s="66"/>
      <c r="D47" s="67"/>
      <c r="E47" s="68"/>
      <c r="F47" s="68"/>
      <c r="G47" s="39"/>
      <c r="P47" s="40"/>
      <c r="T47" s="67"/>
    </row>
    <row r="48" spans="1:20">
      <c r="A48" s="53"/>
      <c r="C48" s="66"/>
      <c r="D48" s="67"/>
      <c r="E48" s="68"/>
      <c r="F48" s="68"/>
      <c r="G48" s="39"/>
      <c r="P48" s="40"/>
      <c r="T48" s="67"/>
    </row>
    <row r="49" spans="1:20">
      <c r="A49" s="53"/>
      <c r="C49" s="66"/>
      <c r="D49" s="67"/>
      <c r="E49" s="68"/>
      <c r="F49" s="68"/>
      <c r="G49" s="39"/>
      <c r="P49" s="40"/>
      <c r="T49" s="67"/>
    </row>
    <row r="50" spans="1:20">
      <c r="A50" s="53"/>
      <c r="C50" s="66"/>
      <c r="D50" s="67"/>
      <c r="E50" s="68"/>
      <c r="F50" s="68"/>
      <c r="G50" s="39"/>
      <c r="P50" s="40"/>
      <c r="T50" s="67"/>
    </row>
    <row r="51" spans="1:20" ht="15.75" thickBot="1">
      <c r="A51" s="53"/>
      <c r="C51" s="66"/>
      <c r="D51" s="67"/>
      <c r="E51" s="68"/>
      <c r="F51" s="68"/>
      <c r="G51" s="39"/>
      <c r="P51" s="40"/>
      <c r="T51" s="67"/>
    </row>
    <row r="52" spans="1:20">
      <c r="A52" s="53"/>
      <c r="C52" s="66"/>
      <c r="D52" s="67"/>
      <c r="E52" s="68"/>
      <c r="F52" s="68"/>
      <c r="G52" s="39"/>
      <c r="H52" s="4"/>
      <c r="I52" s="4"/>
      <c r="J52" s="4"/>
      <c r="K52" s="4"/>
      <c r="L52" s="37" t="s">
        <v>328</v>
      </c>
      <c r="M52" s="4"/>
      <c r="N52" s="4"/>
      <c r="O52" s="4"/>
      <c r="P52" s="75"/>
      <c r="T52" s="67"/>
    </row>
    <row r="53" spans="1:20">
      <c r="A53" s="53"/>
      <c r="C53" s="66"/>
      <c r="D53" s="67"/>
      <c r="E53" s="68"/>
      <c r="F53" s="68"/>
      <c r="G53" s="39"/>
      <c r="H53" s="33" t="s">
        <v>88</v>
      </c>
      <c r="I53" s="33"/>
      <c r="J53" s="33"/>
      <c r="K53" s="35" t="s">
        <v>89</v>
      </c>
      <c r="L53" s="36" t="s">
        <v>329</v>
      </c>
      <c r="M53" s="33"/>
      <c r="N53" s="33"/>
      <c r="O53" s="33"/>
      <c r="P53" s="76"/>
      <c r="Q53" s="93"/>
      <c r="R53" s="93"/>
      <c r="T53" s="67"/>
    </row>
    <row r="54" spans="1:20">
      <c r="A54" s="53"/>
      <c r="C54" s="66"/>
      <c r="D54" s="67"/>
      <c r="E54" s="68"/>
      <c r="F54" s="74"/>
      <c r="G54" s="39"/>
      <c r="H54" t="s">
        <v>84</v>
      </c>
      <c r="I54" t="s">
        <v>85</v>
      </c>
      <c r="J54" t="s">
        <v>86</v>
      </c>
      <c r="K54" t="s">
        <v>87</v>
      </c>
      <c r="L54" t="s">
        <v>52</v>
      </c>
      <c r="M54" t="s">
        <v>53</v>
      </c>
      <c r="N54" t="s">
        <v>92</v>
      </c>
      <c r="O54" t="s">
        <v>91</v>
      </c>
      <c r="P54" s="40" t="s">
        <v>90</v>
      </c>
      <c r="Q54" s="63"/>
      <c r="R54" s="63"/>
      <c r="T54" s="67"/>
    </row>
    <row r="55" spans="1:20" ht="15.75" thickBot="1">
      <c r="A55" s="53"/>
      <c r="C55" s="66"/>
      <c r="D55" s="67"/>
      <c r="E55" s="68"/>
      <c r="F55" s="74"/>
      <c r="G55" s="39"/>
      <c r="H55" s="7">
        <v>161532.09400000001</v>
      </c>
      <c r="I55" s="55">
        <v>7.5</v>
      </c>
      <c r="J55" s="7">
        <v>8.51</v>
      </c>
      <c r="K55" s="7">
        <v>8.0030000000000001</v>
      </c>
      <c r="L55" s="92">
        <f>J55-I55</f>
        <v>1.0099999999999998</v>
      </c>
      <c r="M55" s="7">
        <v>2.4E-2</v>
      </c>
      <c r="N55" s="54">
        <v>15230.310546875</v>
      </c>
      <c r="O55" s="11">
        <v>770680.25</v>
      </c>
      <c r="P55" s="77"/>
    </row>
    <row r="56" spans="1:20">
      <c r="A56" s="53"/>
      <c r="C56" s="66"/>
      <c r="D56" s="67"/>
      <c r="E56" s="68"/>
      <c r="F56" s="74"/>
      <c r="G56" s="39"/>
      <c r="P56" s="40"/>
    </row>
    <row r="57" spans="1:20">
      <c r="A57" s="53"/>
      <c r="C57" s="66"/>
      <c r="D57" s="67"/>
      <c r="E57" s="68"/>
      <c r="F57" s="74"/>
      <c r="G57" s="39"/>
      <c r="H57" t="s">
        <v>93</v>
      </c>
      <c r="N57" t="s">
        <v>270</v>
      </c>
      <c r="O57" t="s">
        <v>271</v>
      </c>
      <c r="P57" s="40"/>
    </row>
    <row r="58" spans="1:20">
      <c r="A58" s="53"/>
      <c r="C58" s="66"/>
      <c r="D58" s="67"/>
      <c r="E58" s="68"/>
      <c r="F58" s="74"/>
      <c r="G58" s="39"/>
      <c r="I58" t="s">
        <v>95</v>
      </c>
      <c r="N58" s="90">
        <v>3.0524659999999999</v>
      </c>
      <c r="O58">
        <v>5.5E-2</v>
      </c>
      <c r="P58" s="128" t="str">
        <f t="shared" ref="P58:P63" si="2">IF(N58&gt;=O58,"Pass","Fail")</f>
        <v>Pass</v>
      </c>
    </row>
    <row r="59" spans="1:20">
      <c r="A59" s="53"/>
      <c r="C59" s="91"/>
      <c r="D59" s="67"/>
      <c r="F59" s="78"/>
      <c r="G59" s="40"/>
      <c r="I59" t="s">
        <v>96</v>
      </c>
      <c r="N59" s="90">
        <v>4.5937080000000003</v>
      </c>
      <c r="O59">
        <v>0.09</v>
      </c>
      <c r="P59" s="128" t="str">
        <f t="shared" si="2"/>
        <v>Pass</v>
      </c>
    </row>
    <row r="60" spans="1:20">
      <c r="A60" s="53"/>
      <c r="C60" s="91"/>
      <c r="D60" s="67"/>
      <c r="F60" s="78"/>
      <c r="G60" s="40"/>
      <c r="I60" t="s">
        <v>97</v>
      </c>
      <c r="N60" s="90">
        <v>1.541239</v>
      </c>
      <c r="O60">
        <v>0.03</v>
      </c>
      <c r="P60" s="128" t="str">
        <f t="shared" si="2"/>
        <v>Pass</v>
      </c>
    </row>
    <row r="61" spans="1:20">
      <c r="A61" s="53"/>
      <c r="C61" s="91"/>
      <c r="D61" s="67"/>
      <c r="F61" s="78"/>
      <c r="G61" s="40"/>
      <c r="I61" t="s">
        <v>98</v>
      </c>
      <c r="N61" s="90">
        <v>9.0031420000000004</v>
      </c>
      <c r="O61">
        <v>0.2</v>
      </c>
      <c r="P61" s="128" t="str">
        <f t="shared" si="2"/>
        <v>Pass</v>
      </c>
    </row>
    <row r="62" spans="1:20">
      <c r="A62" s="53"/>
      <c r="C62" s="91"/>
      <c r="D62" s="67"/>
      <c r="F62" s="78"/>
      <c r="G62" s="40"/>
      <c r="I62" t="s">
        <v>99</v>
      </c>
      <c r="N62" s="90">
        <v>29.755955</v>
      </c>
      <c r="O62" s="90">
        <v>25</v>
      </c>
      <c r="P62" s="128" t="str">
        <f>IF(N62&gt;=O62,"Pass","Fail")</f>
        <v>Pass</v>
      </c>
    </row>
    <row r="63" spans="1:20">
      <c r="A63" s="53"/>
      <c r="C63" s="91"/>
      <c r="D63" s="67"/>
      <c r="F63" s="78"/>
      <c r="G63" s="40"/>
      <c r="I63" t="s">
        <v>100</v>
      </c>
      <c r="N63" s="90">
        <v>22.995466</v>
      </c>
      <c r="O63">
        <v>0.15</v>
      </c>
      <c r="P63" s="128" t="str">
        <f t="shared" si="2"/>
        <v>Pass</v>
      </c>
    </row>
    <row r="64" spans="1:20">
      <c r="A64" s="53"/>
      <c r="C64" s="91"/>
      <c r="D64" s="67"/>
      <c r="F64" s="78"/>
      <c r="G64" s="40"/>
      <c r="P64" s="40"/>
    </row>
    <row r="65" spans="1:16">
      <c r="A65" s="53"/>
      <c r="C65" s="91"/>
      <c r="F65" s="78"/>
      <c r="G65" s="40"/>
      <c r="H65" t="s">
        <v>94</v>
      </c>
      <c r="P65" s="40"/>
    </row>
    <row r="66" spans="1:16">
      <c r="A66" s="53"/>
      <c r="C66" s="91"/>
      <c r="F66" s="78"/>
      <c r="G66" s="40"/>
      <c r="I66" t="s">
        <v>101</v>
      </c>
      <c r="N66" s="68"/>
      <c r="O66" s="68"/>
      <c r="P66" s="40"/>
    </row>
    <row r="67" spans="1:16">
      <c r="A67" s="53"/>
      <c r="C67" s="91"/>
      <c r="F67" s="78"/>
      <c r="G67" s="40"/>
      <c r="I67" t="s">
        <v>102</v>
      </c>
      <c r="N67" s="68"/>
      <c r="O67" s="68"/>
      <c r="P67" s="40"/>
    </row>
    <row r="68" spans="1:16">
      <c r="A68" s="53"/>
      <c r="C68" s="91"/>
      <c r="G68" s="40"/>
      <c r="I68" t="s">
        <v>103</v>
      </c>
      <c r="N68" s="68"/>
      <c r="O68" s="68"/>
      <c r="P68" s="40"/>
    </row>
    <row r="69" spans="1:16">
      <c r="A69" s="53"/>
      <c r="C69" s="91"/>
      <c r="G69" s="40"/>
      <c r="I69" t="s">
        <v>104</v>
      </c>
      <c r="N69" s="68"/>
      <c r="O69" s="68"/>
      <c r="P69" s="40"/>
    </row>
    <row r="70" spans="1:16">
      <c r="A70" s="53"/>
      <c r="C70" s="91"/>
      <c r="G70" s="40"/>
      <c r="I70" t="s">
        <v>105</v>
      </c>
      <c r="N70" s="68"/>
      <c r="O70" s="68"/>
      <c r="P70" s="40"/>
    </row>
    <row r="71" spans="1:16">
      <c r="A71" s="53"/>
      <c r="C71" s="91"/>
      <c r="G71" s="40"/>
      <c r="P71" s="40"/>
    </row>
    <row r="72" spans="1:16">
      <c r="A72" s="53"/>
      <c r="C72" s="91"/>
      <c r="G72" s="40"/>
      <c r="I72" t="s">
        <v>106</v>
      </c>
      <c r="J72" t="s">
        <v>107</v>
      </c>
      <c r="K72" t="s">
        <v>108</v>
      </c>
      <c r="L72" t="s">
        <v>109</v>
      </c>
      <c r="M72" t="s">
        <v>110</v>
      </c>
      <c r="P72" s="40"/>
    </row>
    <row r="73" spans="1:16">
      <c r="A73" s="53"/>
      <c r="C73" s="91"/>
      <c r="G73" s="40"/>
      <c r="H73" s="102"/>
      <c r="I73" s="90"/>
      <c r="J73" s="90"/>
      <c r="K73" s="90"/>
      <c r="L73" s="90"/>
      <c r="M73" s="90"/>
      <c r="P73" s="40"/>
    </row>
    <row r="74" spans="1:16">
      <c r="A74" s="53"/>
      <c r="C74" s="91"/>
      <c r="G74" s="40"/>
      <c r="H74" s="102"/>
      <c r="I74" s="90"/>
      <c r="J74" s="90"/>
      <c r="K74" s="90"/>
      <c r="L74" s="90"/>
      <c r="M74" s="90"/>
      <c r="P74" s="40"/>
    </row>
    <row r="75" spans="1:16">
      <c r="A75" s="53"/>
      <c r="C75" s="91"/>
      <c r="G75" s="40"/>
      <c r="H75" s="102"/>
      <c r="I75" s="90"/>
      <c r="J75" s="90"/>
      <c r="K75" s="90"/>
      <c r="L75" s="90"/>
      <c r="M75" s="90"/>
      <c r="P75" s="40"/>
    </row>
    <row r="76" spans="1:16">
      <c r="A76" s="53"/>
      <c r="C76" s="91"/>
      <c r="G76" s="40"/>
      <c r="H76" s="102"/>
      <c r="I76" s="90"/>
      <c r="J76" s="90"/>
      <c r="K76" s="90"/>
      <c r="L76" s="90"/>
      <c r="M76" s="90"/>
      <c r="P76" s="40"/>
    </row>
    <row r="77" spans="1:16">
      <c r="A77" s="53"/>
      <c r="C77" s="91"/>
      <c r="G77" s="40"/>
      <c r="H77" s="102"/>
      <c r="I77" s="90"/>
      <c r="J77" s="90"/>
      <c r="K77" s="90"/>
      <c r="L77" s="90"/>
      <c r="M77" s="90"/>
      <c r="P77" s="40"/>
    </row>
    <row r="78" spans="1:16">
      <c r="A78" s="53"/>
      <c r="C78" s="91"/>
      <c r="G78" s="40"/>
      <c r="H78" s="102"/>
      <c r="I78" s="90"/>
      <c r="J78" s="90"/>
      <c r="K78" s="90"/>
      <c r="L78" s="90"/>
      <c r="M78" s="90"/>
      <c r="P78" s="40"/>
    </row>
    <row r="79" spans="1:16">
      <c r="A79" s="53"/>
      <c r="C79" s="91"/>
      <c r="G79" s="40"/>
      <c r="H79" s="102"/>
      <c r="I79" s="90"/>
      <c r="J79" s="90"/>
      <c r="K79" s="90"/>
      <c r="L79" s="90"/>
      <c r="M79" s="90"/>
      <c r="P79" s="40"/>
    </row>
    <row r="80" spans="1:16">
      <c r="A80" s="53"/>
      <c r="C80" s="91"/>
      <c r="G80" s="40"/>
      <c r="H80" s="102"/>
      <c r="I80" s="90"/>
      <c r="J80" s="90"/>
      <c r="K80" s="90"/>
      <c r="L80" s="90"/>
      <c r="M80" s="90"/>
      <c r="P80" s="40"/>
    </row>
    <row r="81" spans="1:16">
      <c r="A81" s="53"/>
      <c r="C81" s="91"/>
      <c r="G81" s="40"/>
      <c r="H81" s="102"/>
      <c r="I81" s="90"/>
      <c r="J81" s="90"/>
      <c r="K81" s="90"/>
      <c r="L81" s="90"/>
      <c r="M81" s="90"/>
      <c r="P81" s="40"/>
    </row>
    <row r="82" spans="1:16">
      <c r="A82" s="53"/>
      <c r="C82" s="91"/>
      <c r="G82" s="40"/>
      <c r="H82" s="102"/>
      <c r="I82" s="90"/>
      <c r="J82" s="90"/>
      <c r="K82" s="90"/>
      <c r="L82" s="90"/>
      <c r="M82" s="90"/>
      <c r="P82" s="40"/>
    </row>
    <row r="83" spans="1:16">
      <c r="A83" s="53"/>
      <c r="C83" s="91"/>
      <c r="G83" s="40"/>
      <c r="I83" s="90"/>
      <c r="J83" s="90"/>
      <c r="K83" s="90"/>
      <c r="L83" s="90"/>
      <c r="M83" s="90"/>
      <c r="P83" s="40"/>
    </row>
    <row r="84" spans="1:16">
      <c r="A84" s="53"/>
      <c r="C84" s="91"/>
      <c r="G84" s="40"/>
      <c r="P84" s="40"/>
    </row>
    <row r="85" spans="1:16">
      <c r="A85" s="53"/>
      <c r="C85" s="91"/>
      <c r="G85" s="40"/>
      <c r="P85" s="40"/>
    </row>
    <row r="86" spans="1:16">
      <c r="A86" s="53"/>
      <c r="C86" s="91"/>
      <c r="G86" s="40"/>
      <c r="P86" s="40"/>
    </row>
    <row r="87" spans="1:16">
      <c r="A87" s="53"/>
      <c r="C87" s="91"/>
      <c r="G87" s="40"/>
      <c r="P87" s="40"/>
    </row>
    <row r="88" spans="1:16">
      <c r="A88" s="53"/>
      <c r="C88" s="91"/>
      <c r="G88" s="40"/>
      <c r="P88" s="40"/>
    </row>
    <row r="89" spans="1:16">
      <c r="A89" s="53"/>
      <c r="C89" s="91"/>
      <c r="G89" s="40"/>
      <c r="P89" s="40"/>
    </row>
    <row r="90" spans="1:16">
      <c r="A90" s="53"/>
      <c r="C90" s="91"/>
      <c r="G90" s="40"/>
      <c r="P90" s="40"/>
    </row>
    <row r="91" spans="1:16">
      <c r="A91" s="53"/>
      <c r="C91" s="91"/>
      <c r="G91" s="40"/>
      <c r="P91" s="40"/>
    </row>
    <row r="92" spans="1:16">
      <c r="A92" s="53"/>
      <c r="C92" s="91"/>
      <c r="G92" s="40"/>
      <c r="P92" s="40"/>
    </row>
    <row r="93" spans="1:16">
      <c r="A93" s="53"/>
      <c r="C93" s="91"/>
      <c r="G93" s="40"/>
      <c r="P93" s="40"/>
    </row>
    <row r="94" spans="1:16">
      <c r="A94" s="53"/>
      <c r="C94" s="91"/>
      <c r="G94" s="40"/>
      <c r="P94" s="40"/>
    </row>
    <row r="95" spans="1:16">
      <c r="A95" s="53"/>
      <c r="C95" s="91"/>
      <c r="G95" s="40"/>
      <c r="P95" s="40"/>
    </row>
    <row r="96" spans="1:16">
      <c r="A96" s="53"/>
      <c r="C96" s="91"/>
      <c r="G96" s="40"/>
      <c r="P96" s="40"/>
    </row>
    <row r="97" spans="1:16">
      <c r="A97" s="53"/>
      <c r="C97" s="91"/>
      <c r="G97" s="40"/>
      <c r="P97" s="40"/>
    </row>
    <row r="98" spans="1:16">
      <c r="A98" s="53"/>
      <c r="C98" s="91"/>
      <c r="G98" s="40"/>
      <c r="P98" s="40"/>
    </row>
    <row r="99" spans="1:16">
      <c r="A99" s="53"/>
      <c r="C99" s="91"/>
      <c r="G99" s="40"/>
      <c r="P99" s="40"/>
    </row>
    <row r="100" spans="1:16">
      <c r="A100" s="53"/>
      <c r="C100" s="91"/>
      <c r="G100" s="40"/>
      <c r="P100" s="40"/>
    </row>
    <row r="101" spans="1:16">
      <c r="A101" s="53"/>
      <c r="C101" s="91"/>
      <c r="G101" s="40"/>
      <c r="P101" s="40"/>
    </row>
    <row r="102" spans="1:16">
      <c r="A102" s="53"/>
      <c r="C102" s="91"/>
      <c r="G102" s="40"/>
      <c r="P102" s="40"/>
    </row>
    <row r="103" spans="1:16">
      <c r="C103" s="91"/>
    </row>
    <row r="104" spans="1:16">
      <c r="C104" s="91"/>
    </row>
    <row r="105" spans="1:16">
      <c r="C105" s="91"/>
    </row>
  </sheetData>
  <phoneticPr fontId="16" type="noConversion"/>
  <conditionalFormatting sqref="C27:C58">
    <cfRule type="colorScale" priority="7">
      <colorScale>
        <cfvo type="min"/>
        <cfvo type="max"/>
        <color rgb="FFFCFCFF"/>
        <color rgb="FF63BE7B"/>
      </colorScale>
    </cfRule>
  </conditionalFormatting>
  <conditionalFormatting sqref="C27:C106">
    <cfRule type="colorScale" priority="9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Read_Result">
          <controlPr defaultSize="0" autoLine="0" r:id="rId5">
            <anchor moveWithCells="1">
              <from>
                <xdr:col>9</xdr:col>
                <xdr:colOff>190500</xdr:colOff>
                <xdr:row>13</xdr:row>
                <xdr:rowOff>38100</xdr:rowOff>
              </from>
              <to>
                <xdr:col>11</xdr:col>
                <xdr:colOff>219075</xdr:colOff>
                <xdr:row>15</xdr:row>
                <xdr:rowOff>9525</xdr:rowOff>
              </to>
            </anchor>
          </controlPr>
        </control>
      </mc:Choice>
      <mc:Fallback>
        <control shapeId="1038" r:id="rId4" name="Read_Result"/>
      </mc:Fallback>
    </mc:AlternateContent>
    <mc:AlternateContent xmlns:mc="http://schemas.openxmlformats.org/markup-compatibility/2006">
      <mc:Choice Requires="x14">
        <control shapeId="1034" r:id="rId6" name="LongiStrengthManagerOn">
          <controlPr defaultSize="0" autoLine="0" autoPict="0" r:id="rId7">
            <anchor moveWithCells="1">
              <from>
                <xdr:col>7</xdr:col>
                <xdr:colOff>180975</xdr:colOff>
                <xdr:row>9</xdr:row>
                <xdr:rowOff>200025</xdr:rowOff>
              </from>
              <to>
                <xdr:col>10</xdr:col>
                <xdr:colOff>85725</xdr:colOff>
                <xdr:row>11</xdr:row>
                <xdr:rowOff>66675</xdr:rowOff>
              </to>
            </anchor>
          </controlPr>
        </control>
      </mc:Choice>
      <mc:Fallback>
        <control shapeId="1034" r:id="rId6" name="LongiStrengthManagerOn"/>
      </mc:Fallback>
    </mc:AlternateContent>
    <mc:AlternateContent xmlns:mc="http://schemas.openxmlformats.org/markup-compatibility/2006">
      <mc:Choice Requires="x14">
        <control shapeId="1033" r:id="rId8" name="SlackTankManagerOn">
          <controlPr defaultSize="0" autoLine="0" r:id="rId9">
            <anchor moveWithCells="1">
              <from>
                <xdr:col>7</xdr:col>
                <xdr:colOff>171450</xdr:colOff>
                <xdr:row>11</xdr:row>
                <xdr:rowOff>95250</xdr:rowOff>
              </from>
              <to>
                <xdr:col>9</xdr:col>
                <xdr:colOff>590550</xdr:colOff>
                <xdr:row>12</xdr:row>
                <xdr:rowOff>114300</xdr:rowOff>
              </to>
            </anchor>
          </controlPr>
        </control>
      </mc:Choice>
      <mc:Fallback>
        <control shapeId="1033" r:id="rId8" name="SlackTankManagerOn"/>
      </mc:Fallback>
    </mc:AlternateContent>
    <mc:AlternateContent xmlns:mc="http://schemas.openxmlformats.org/markup-compatibility/2006">
      <mc:Choice Requires="x14">
        <control shapeId="1030" r:id="rId10" name="Run_Trim">
          <controlPr defaultSize="0" autoLine="0" r:id="rId11">
            <anchor moveWithCells="1">
              <from>
                <xdr:col>11</xdr:col>
                <xdr:colOff>295275</xdr:colOff>
                <xdr:row>17</xdr:row>
                <xdr:rowOff>95250</xdr:rowOff>
              </from>
              <to>
                <xdr:col>13</xdr:col>
                <xdr:colOff>276225</xdr:colOff>
                <xdr:row>23</xdr:row>
                <xdr:rowOff>123825</xdr:rowOff>
              </to>
            </anchor>
          </controlPr>
        </control>
      </mc:Choice>
      <mc:Fallback>
        <control shapeId="1030" r:id="rId10" name="Run_Trim"/>
      </mc:Fallback>
    </mc:AlternateContent>
    <mc:AlternateContent xmlns:mc="http://schemas.openxmlformats.org/markup-compatibility/2006">
      <mc:Choice Requires="x14">
        <control shapeId="1025" r:id="rId12" name="GHS_API">
          <controlPr defaultSize="0" autoLine="0" r:id="rId13">
            <anchor moveWithCells="1">
              <from>
                <xdr:col>7</xdr:col>
                <xdr:colOff>114300</xdr:colOff>
                <xdr:row>48</xdr:row>
                <xdr:rowOff>95250</xdr:rowOff>
              </from>
              <to>
                <xdr:col>9</xdr:col>
                <xdr:colOff>0</xdr:colOff>
                <xdr:row>50</xdr:row>
                <xdr:rowOff>104775</xdr:rowOff>
              </to>
            </anchor>
          </controlPr>
        </control>
      </mc:Choice>
      <mc:Fallback>
        <control shapeId="1025" r:id="rId12" name="GHS_API"/>
      </mc:Fallback>
    </mc:AlternateContent>
    <mc:AlternateContent xmlns:mc="http://schemas.openxmlformats.org/markup-compatibility/2006">
      <mc:Choice Requires="x14">
        <control shapeId="1028" r:id="rId14" name="ReadLWT">
          <controlPr defaultSize="0" autoLine="0" r:id="rId15">
            <anchor moveWithCells="1">
              <from>
                <xdr:col>7</xdr:col>
                <xdr:colOff>133350</xdr:colOff>
                <xdr:row>15</xdr:row>
                <xdr:rowOff>47625</xdr:rowOff>
              </from>
              <to>
                <xdr:col>9</xdr:col>
                <xdr:colOff>133350</xdr:colOff>
                <xdr:row>17</xdr:row>
                <xdr:rowOff>0</xdr:rowOff>
              </to>
            </anchor>
          </controlPr>
        </control>
      </mc:Choice>
      <mc:Fallback>
        <control shapeId="1028" r:id="rId14" name="ReadLWT"/>
      </mc:Fallback>
    </mc:AlternateContent>
    <mc:AlternateContent xmlns:mc="http://schemas.openxmlformats.org/markup-compatibility/2006">
      <mc:Choice Requires="x14">
        <control shapeId="1029" r:id="rId16" name="Run_Draft">
          <controlPr defaultSize="0" autoLine="0" r:id="rId17">
            <anchor moveWithCells="1">
              <from>
                <xdr:col>9</xdr:col>
                <xdr:colOff>190500</xdr:colOff>
                <xdr:row>17</xdr:row>
                <xdr:rowOff>85725</xdr:rowOff>
              </from>
              <to>
                <xdr:col>11</xdr:col>
                <xdr:colOff>238125</xdr:colOff>
                <xdr:row>23</xdr:row>
                <xdr:rowOff>123825</xdr:rowOff>
              </to>
            </anchor>
          </controlPr>
        </control>
      </mc:Choice>
      <mc:Fallback>
        <control shapeId="1029" r:id="rId16" name="Run_Draft"/>
      </mc:Fallback>
    </mc:AlternateContent>
    <mc:AlternateContent xmlns:mc="http://schemas.openxmlformats.org/markup-compatibility/2006">
      <mc:Choice Requires="x14">
        <control shapeId="1031" r:id="rId18" name="read_data">
          <controlPr defaultSize="0" autoLine="0" r:id="rId19">
            <anchor moveWithCells="1">
              <from>
                <xdr:col>7</xdr:col>
                <xdr:colOff>95250</xdr:colOff>
                <xdr:row>17</xdr:row>
                <xdr:rowOff>85725</xdr:rowOff>
              </from>
              <to>
                <xdr:col>9</xdr:col>
                <xdr:colOff>133350</xdr:colOff>
                <xdr:row>23</xdr:row>
                <xdr:rowOff>142875</xdr:rowOff>
              </to>
            </anchor>
          </controlPr>
        </control>
      </mc:Choice>
      <mc:Fallback>
        <control shapeId="1031" r:id="rId18" name="read_data"/>
      </mc:Fallback>
    </mc:AlternateContent>
    <mc:AlternateContent xmlns:mc="http://schemas.openxmlformats.org/markup-compatibility/2006">
      <mc:Choice Requires="x14">
        <control shapeId="1035" r:id="rId20" name="GHS_Verification">
          <controlPr defaultSize="0" autoLine="0" r:id="rId21">
            <anchor moveWithCells="1">
              <from>
                <xdr:col>7</xdr:col>
                <xdr:colOff>180975</xdr:colOff>
                <xdr:row>8</xdr:row>
                <xdr:rowOff>171450</xdr:rowOff>
              </from>
              <to>
                <xdr:col>9</xdr:col>
                <xdr:colOff>685800</xdr:colOff>
                <xdr:row>10</xdr:row>
                <xdr:rowOff>9525</xdr:rowOff>
              </to>
            </anchor>
          </controlPr>
        </control>
      </mc:Choice>
      <mc:Fallback>
        <control shapeId="1035" r:id="rId20" name="GHS_Verification"/>
      </mc:Fallback>
    </mc:AlternateContent>
    <mc:AlternateContent xmlns:mc="http://schemas.openxmlformats.org/markup-compatibility/2006">
      <mc:Choice Requires="x14">
        <control shapeId="1036" r:id="rId22" name="Read_LC">
          <controlPr defaultSize="0" autoLine="0" r:id="rId23">
            <anchor moveWithCells="1">
              <from>
                <xdr:col>9</xdr:col>
                <xdr:colOff>190500</xdr:colOff>
                <xdr:row>15</xdr:row>
                <xdr:rowOff>47625</xdr:rowOff>
              </from>
              <to>
                <xdr:col>11</xdr:col>
                <xdr:colOff>219075</xdr:colOff>
                <xdr:row>17</xdr:row>
                <xdr:rowOff>28575</xdr:rowOff>
              </to>
            </anchor>
          </controlPr>
        </control>
      </mc:Choice>
      <mc:Fallback>
        <control shapeId="1036" r:id="rId22" name="Read_LC"/>
      </mc:Fallback>
    </mc:AlternateContent>
    <mc:AlternateContent xmlns:mc="http://schemas.openxmlformats.org/markup-compatibility/2006">
      <mc:Choice Requires="x14">
        <control shapeId="1039" r:id="rId24" name="DamCheck">
          <controlPr defaultSize="0" autoLine="0" r:id="rId25">
            <anchor moveWithCells="1">
              <from>
                <xdr:col>7</xdr:col>
                <xdr:colOff>180975</xdr:colOff>
                <xdr:row>7</xdr:row>
                <xdr:rowOff>228600</xdr:rowOff>
              </from>
              <to>
                <xdr:col>9</xdr:col>
                <xdr:colOff>695325</xdr:colOff>
                <xdr:row>8</xdr:row>
                <xdr:rowOff>142875</xdr:rowOff>
              </to>
            </anchor>
          </controlPr>
        </control>
      </mc:Choice>
      <mc:Fallback>
        <control shapeId="1039" r:id="rId24" name="DamCheck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2C1B0-33A6-4257-B4C0-0419EC7B4282}">
  <sheetPr codeName="Sheet3"/>
  <dimension ref="A1:B11"/>
  <sheetViews>
    <sheetView workbookViewId="0">
      <selection activeCell="A29" sqref="A29"/>
    </sheetView>
  </sheetViews>
  <sheetFormatPr defaultRowHeight="15"/>
  <cols>
    <col min="1" max="1" width="17.7109375" customWidth="1"/>
  </cols>
  <sheetData>
    <row r="1" spans="1:2">
      <c r="A1" t="s">
        <v>0</v>
      </c>
      <c r="B1" t="s">
        <v>1</v>
      </c>
    </row>
    <row r="2" spans="1:2">
      <c r="A2" t="s">
        <v>41</v>
      </c>
      <c r="B2">
        <f>Result!E19</f>
        <v>800</v>
      </c>
    </row>
    <row r="3" spans="1:2">
      <c r="A3" t="s">
        <v>42</v>
      </c>
      <c r="B3" s="12" t="s">
        <v>47</v>
      </c>
    </row>
    <row r="4" spans="1:2">
      <c r="A4" t="s">
        <v>2</v>
      </c>
      <c r="B4" s="1">
        <v>90</v>
      </c>
    </row>
    <row r="5" spans="1:2">
      <c r="A5" t="s">
        <v>3</v>
      </c>
      <c r="B5" s="1">
        <v>30</v>
      </c>
    </row>
    <row r="6" spans="1:2">
      <c r="A6" t="s">
        <v>4</v>
      </c>
      <c r="B6" s="1">
        <v>15</v>
      </c>
    </row>
    <row r="7" spans="1:2">
      <c r="A7" t="s">
        <v>43</v>
      </c>
      <c r="B7" s="3">
        <f>SUMPRODUCT(lwt!B2:B1001,lwt!G2:G1001)</f>
        <v>8100</v>
      </c>
    </row>
    <row r="8" spans="1:2">
      <c r="A8" t="s">
        <v>44</v>
      </c>
      <c r="B8" s="3">
        <f>SUMPRODUCT(lwt!$B$2:$B$1001,lwt!C2:C1001,lwt!G2:G1001)/dimension!$B$7</f>
        <v>45</v>
      </c>
    </row>
    <row r="9" spans="1:2">
      <c r="A9" t="s">
        <v>45</v>
      </c>
      <c r="B9" s="3">
        <f>SUMPRODUCT(lwt!$B$2:$B$1001,lwt!D2:D1001,lwt!G2:G1001)/dimension!$B$7</f>
        <v>0</v>
      </c>
    </row>
    <row r="10" spans="1:2">
      <c r="A10" t="s">
        <v>46</v>
      </c>
      <c r="B10" s="3">
        <f>SUMPRODUCT(lwt!$B$2:$B$1001,lwt!E2:E1001,lwt!G2:G1001)/dimension!$B$7</f>
        <v>5</v>
      </c>
    </row>
    <row r="11" spans="1:2">
      <c r="A11" t="s">
        <v>325</v>
      </c>
      <c r="B11" s="3">
        <v>1500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7F633-3224-450B-B8FB-C6D1D3F57BAA}">
  <sheetPr codeName="Sheet2"/>
  <dimension ref="A1:P92"/>
  <sheetViews>
    <sheetView workbookViewId="0">
      <selection activeCell="V12" sqref="V12"/>
    </sheetView>
  </sheetViews>
  <sheetFormatPr defaultColWidth="7.28515625" defaultRowHeight="15"/>
  <sheetData>
    <row r="1" spans="1:16">
      <c r="A1"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6">
      <c r="A2">
        <v>0</v>
      </c>
      <c r="B2">
        <v>30</v>
      </c>
      <c r="C2">
        <v>60</v>
      </c>
      <c r="D2">
        <v>90</v>
      </c>
      <c r="E2">
        <v>120</v>
      </c>
      <c r="F2">
        <v>150</v>
      </c>
      <c r="G2">
        <v>180</v>
      </c>
      <c r="H2">
        <v>210</v>
      </c>
      <c r="I2">
        <v>240</v>
      </c>
      <c r="J2">
        <v>270</v>
      </c>
      <c r="K2">
        <v>300</v>
      </c>
      <c r="L2">
        <v>330</v>
      </c>
      <c r="M2">
        <v>360</v>
      </c>
      <c r="N2">
        <v>390</v>
      </c>
      <c r="O2">
        <v>420</v>
      </c>
      <c r="P2">
        <v>450</v>
      </c>
    </row>
    <row r="3" spans="1:16">
      <c r="A3">
        <v>1</v>
      </c>
      <c r="B3">
        <v>30</v>
      </c>
      <c r="C3">
        <v>60</v>
      </c>
      <c r="D3">
        <v>90</v>
      </c>
      <c r="E3">
        <v>120</v>
      </c>
      <c r="F3">
        <v>150</v>
      </c>
      <c r="G3">
        <v>180</v>
      </c>
      <c r="H3">
        <v>210</v>
      </c>
      <c r="I3">
        <v>240</v>
      </c>
      <c r="J3">
        <v>270</v>
      </c>
      <c r="K3">
        <v>300</v>
      </c>
      <c r="L3">
        <v>330</v>
      </c>
      <c r="M3">
        <v>360</v>
      </c>
      <c r="N3">
        <v>390</v>
      </c>
      <c r="O3">
        <v>420</v>
      </c>
      <c r="P3">
        <v>450</v>
      </c>
    </row>
    <row r="4" spans="1:16">
      <c r="A4">
        <v>2</v>
      </c>
      <c r="B4">
        <v>30</v>
      </c>
      <c r="C4">
        <v>60</v>
      </c>
      <c r="D4">
        <v>90</v>
      </c>
      <c r="E4">
        <v>120</v>
      </c>
      <c r="F4">
        <v>150</v>
      </c>
      <c r="G4">
        <v>180</v>
      </c>
      <c r="H4">
        <v>210</v>
      </c>
      <c r="I4">
        <v>240</v>
      </c>
      <c r="J4">
        <v>270</v>
      </c>
      <c r="K4">
        <v>300</v>
      </c>
      <c r="L4">
        <v>330</v>
      </c>
      <c r="M4">
        <v>360</v>
      </c>
      <c r="N4">
        <v>390</v>
      </c>
      <c r="O4">
        <v>420</v>
      </c>
      <c r="P4">
        <v>450</v>
      </c>
    </row>
    <row r="5" spans="1:16">
      <c r="A5">
        <v>3</v>
      </c>
      <c r="B5">
        <v>30</v>
      </c>
      <c r="C5">
        <v>60</v>
      </c>
      <c r="D5">
        <v>90</v>
      </c>
      <c r="E5">
        <v>120</v>
      </c>
      <c r="F5">
        <v>150</v>
      </c>
      <c r="G5">
        <v>180</v>
      </c>
      <c r="H5">
        <v>210</v>
      </c>
      <c r="I5">
        <v>240</v>
      </c>
      <c r="J5">
        <v>270</v>
      </c>
      <c r="K5">
        <v>300</v>
      </c>
      <c r="L5">
        <v>330</v>
      </c>
      <c r="M5">
        <v>360</v>
      </c>
      <c r="N5">
        <v>390</v>
      </c>
      <c r="O5">
        <v>420</v>
      </c>
      <c r="P5">
        <v>450</v>
      </c>
    </row>
    <row r="6" spans="1:16">
      <c r="A6">
        <v>4</v>
      </c>
      <c r="B6">
        <v>30</v>
      </c>
      <c r="C6">
        <v>60</v>
      </c>
      <c r="D6">
        <v>90</v>
      </c>
      <c r="E6">
        <v>120</v>
      </c>
      <c r="F6">
        <v>150</v>
      </c>
      <c r="G6">
        <v>180</v>
      </c>
      <c r="H6">
        <v>210</v>
      </c>
      <c r="I6">
        <v>240</v>
      </c>
      <c r="J6">
        <v>270</v>
      </c>
      <c r="K6">
        <v>300</v>
      </c>
      <c r="L6">
        <v>330</v>
      </c>
      <c r="M6">
        <v>360</v>
      </c>
      <c r="N6">
        <v>390</v>
      </c>
      <c r="O6">
        <v>420</v>
      </c>
      <c r="P6">
        <v>450</v>
      </c>
    </row>
    <row r="7" spans="1:16">
      <c r="A7">
        <v>5</v>
      </c>
      <c r="B7">
        <v>30</v>
      </c>
      <c r="C7">
        <v>60</v>
      </c>
      <c r="D7">
        <v>90</v>
      </c>
      <c r="E7">
        <v>120</v>
      </c>
      <c r="F7">
        <v>150</v>
      </c>
      <c r="G7">
        <v>180</v>
      </c>
      <c r="H7">
        <v>210</v>
      </c>
      <c r="I7">
        <v>240</v>
      </c>
      <c r="J7">
        <v>270</v>
      </c>
      <c r="K7">
        <v>300</v>
      </c>
      <c r="L7">
        <v>330</v>
      </c>
      <c r="M7">
        <v>360</v>
      </c>
      <c r="N7">
        <v>390</v>
      </c>
      <c r="O7">
        <v>420</v>
      </c>
      <c r="P7">
        <v>450</v>
      </c>
    </row>
    <row r="8" spans="1:16">
      <c r="A8">
        <v>6</v>
      </c>
      <c r="B8">
        <v>30</v>
      </c>
      <c r="C8">
        <v>60</v>
      </c>
      <c r="D8">
        <v>90</v>
      </c>
      <c r="E8">
        <v>120</v>
      </c>
      <c r="F8">
        <v>150</v>
      </c>
      <c r="G8">
        <v>180</v>
      </c>
      <c r="H8">
        <v>210</v>
      </c>
      <c r="I8">
        <v>240</v>
      </c>
      <c r="J8">
        <v>270</v>
      </c>
      <c r="K8">
        <v>300</v>
      </c>
      <c r="L8">
        <v>330</v>
      </c>
      <c r="M8">
        <v>360</v>
      </c>
      <c r="N8">
        <v>390</v>
      </c>
      <c r="O8">
        <v>420</v>
      </c>
      <c r="P8">
        <v>450</v>
      </c>
    </row>
    <row r="9" spans="1:16">
      <c r="A9">
        <v>7</v>
      </c>
      <c r="B9">
        <v>30</v>
      </c>
      <c r="C9">
        <v>60</v>
      </c>
      <c r="D9">
        <v>90</v>
      </c>
      <c r="E9">
        <v>120</v>
      </c>
      <c r="F9">
        <v>150</v>
      </c>
      <c r="G9">
        <v>180</v>
      </c>
      <c r="H9">
        <v>210</v>
      </c>
      <c r="I9">
        <v>240</v>
      </c>
      <c r="J9">
        <v>270</v>
      </c>
      <c r="K9">
        <v>300</v>
      </c>
      <c r="L9">
        <v>330</v>
      </c>
      <c r="M9">
        <v>360</v>
      </c>
      <c r="N9">
        <v>390</v>
      </c>
      <c r="O9">
        <v>420</v>
      </c>
      <c r="P9">
        <v>450</v>
      </c>
    </row>
    <row r="10" spans="1:16">
      <c r="A10">
        <v>8</v>
      </c>
      <c r="B10">
        <v>30</v>
      </c>
      <c r="C10">
        <v>60</v>
      </c>
      <c r="D10">
        <v>90</v>
      </c>
      <c r="E10">
        <v>120</v>
      </c>
      <c r="F10">
        <v>150</v>
      </c>
      <c r="G10">
        <v>180</v>
      </c>
      <c r="H10">
        <v>210</v>
      </c>
      <c r="I10">
        <v>240</v>
      </c>
      <c r="J10">
        <v>270</v>
      </c>
      <c r="K10">
        <v>300</v>
      </c>
      <c r="L10">
        <v>330</v>
      </c>
      <c r="M10">
        <v>360</v>
      </c>
      <c r="N10">
        <v>390</v>
      </c>
      <c r="O10">
        <v>420</v>
      </c>
      <c r="P10">
        <v>450</v>
      </c>
    </row>
    <row r="11" spans="1:16">
      <c r="A11">
        <v>9</v>
      </c>
      <c r="B11">
        <v>30</v>
      </c>
      <c r="C11">
        <v>60</v>
      </c>
      <c r="D11">
        <v>90</v>
      </c>
      <c r="E11">
        <v>120</v>
      </c>
      <c r="F11">
        <v>150</v>
      </c>
      <c r="G11">
        <v>180</v>
      </c>
      <c r="H11">
        <v>210</v>
      </c>
      <c r="I11">
        <v>240</v>
      </c>
      <c r="J11">
        <v>270</v>
      </c>
      <c r="K11">
        <v>300</v>
      </c>
      <c r="L11">
        <v>330</v>
      </c>
      <c r="M11">
        <v>360</v>
      </c>
      <c r="N11">
        <v>390</v>
      </c>
      <c r="O11">
        <v>420</v>
      </c>
      <c r="P11">
        <v>450</v>
      </c>
    </row>
    <row r="12" spans="1:16">
      <c r="A12">
        <v>10</v>
      </c>
      <c r="B12">
        <v>30</v>
      </c>
      <c r="C12">
        <v>60</v>
      </c>
      <c r="D12">
        <v>90</v>
      </c>
      <c r="E12">
        <v>120</v>
      </c>
      <c r="F12">
        <v>150</v>
      </c>
      <c r="G12">
        <v>180</v>
      </c>
      <c r="H12">
        <v>210</v>
      </c>
      <c r="I12">
        <v>240</v>
      </c>
      <c r="J12">
        <v>270</v>
      </c>
      <c r="K12">
        <v>300</v>
      </c>
      <c r="L12">
        <v>330</v>
      </c>
      <c r="M12">
        <v>360</v>
      </c>
      <c r="N12">
        <v>390</v>
      </c>
      <c r="O12">
        <v>420</v>
      </c>
      <c r="P12">
        <v>450</v>
      </c>
    </row>
    <row r="13" spans="1:16">
      <c r="A13">
        <v>11</v>
      </c>
      <c r="B13">
        <v>30</v>
      </c>
      <c r="C13">
        <v>60</v>
      </c>
      <c r="D13">
        <v>90</v>
      </c>
      <c r="E13">
        <v>120</v>
      </c>
      <c r="F13">
        <v>150</v>
      </c>
      <c r="G13">
        <v>180</v>
      </c>
      <c r="H13">
        <v>210</v>
      </c>
      <c r="I13">
        <v>240</v>
      </c>
      <c r="J13">
        <v>270</v>
      </c>
      <c r="K13">
        <v>300</v>
      </c>
      <c r="L13">
        <v>330</v>
      </c>
      <c r="M13">
        <v>360</v>
      </c>
      <c r="N13">
        <v>390</v>
      </c>
      <c r="O13">
        <v>420</v>
      </c>
      <c r="P13">
        <v>450</v>
      </c>
    </row>
    <row r="14" spans="1:16">
      <c r="A14">
        <v>12</v>
      </c>
      <c r="B14">
        <v>30</v>
      </c>
      <c r="C14">
        <v>60</v>
      </c>
      <c r="D14">
        <v>90</v>
      </c>
      <c r="E14">
        <v>120</v>
      </c>
      <c r="F14">
        <v>150</v>
      </c>
      <c r="G14">
        <v>180</v>
      </c>
      <c r="H14">
        <v>210</v>
      </c>
      <c r="I14">
        <v>240</v>
      </c>
      <c r="J14">
        <v>270</v>
      </c>
      <c r="K14">
        <v>300</v>
      </c>
      <c r="L14">
        <v>330</v>
      </c>
      <c r="M14">
        <v>360</v>
      </c>
      <c r="N14">
        <v>390</v>
      </c>
      <c r="O14">
        <v>420</v>
      </c>
      <c r="P14">
        <v>450</v>
      </c>
    </row>
    <row r="15" spans="1:16">
      <c r="A15">
        <v>13</v>
      </c>
      <c r="B15">
        <v>30</v>
      </c>
      <c r="C15">
        <v>60</v>
      </c>
      <c r="D15">
        <v>90</v>
      </c>
      <c r="E15">
        <v>120</v>
      </c>
      <c r="F15">
        <v>150</v>
      </c>
      <c r="G15">
        <v>180</v>
      </c>
      <c r="H15">
        <v>210</v>
      </c>
      <c r="I15">
        <v>240</v>
      </c>
      <c r="J15">
        <v>270</v>
      </c>
      <c r="K15">
        <v>300</v>
      </c>
      <c r="L15">
        <v>330</v>
      </c>
      <c r="M15">
        <v>360</v>
      </c>
      <c r="N15">
        <v>390</v>
      </c>
      <c r="O15">
        <v>420</v>
      </c>
      <c r="P15">
        <v>450</v>
      </c>
    </row>
    <row r="16" spans="1:16">
      <c r="A16">
        <v>14</v>
      </c>
      <c r="B16">
        <v>30</v>
      </c>
      <c r="C16">
        <v>60</v>
      </c>
      <c r="D16">
        <v>90</v>
      </c>
      <c r="E16">
        <v>120</v>
      </c>
      <c r="F16">
        <v>150</v>
      </c>
      <c r="G16">
        <v>180</v>
      </c>
      <c r="H16">
        <v>210</v>
      </c>
      <c r="I16">
        <v>240</v>
      </c>
      <c r="J16">
        <v>270</v>
      </c>
      <c r="K16">
        <v>300</v>
      </c>
      <c r="L16">
        <v>330</v>
      </c>
      <c r="M16">
        <v>360</v>
      </c>
      <c r="N16">
        <v>390</v>
      </c>
      <c r="O16">
        <v>420</v>
      </c>
      <c r="P16">
        <v>450</v>
      </c>
    </row>
    <row r="17" spans="1:16">
      <c r="A17">
        <v>15</v>
      </c>
      <c r="B17">
        <v>30</v>
      </c>
      <c r="C17">
        <v>60</v>
      </c>
      <c r="D17">
        <v>90</v>
      </c>
      <c r="E17">
        <v>120</v>
      </c>
      <c r="F17">
        <v>150</v>
      </c>
      <c r="G17">
        <v>180</v>
      </c>
      <c r="H17">
        <v>210</v>
      </c>
      <c r="I17">
        <v>240</v>
      </c>
      <c r="J17">
        <v>270</v>
      </c>
      <c r="K17">
        <v>300</v>
      </c>
      <c r="L17">
        <v>330</v>
      </c>
      <c r="M17">
        <v>360</v>
      </c>
      <c r="N17">
        <v>390</v>
      </c>
      <c r="O17">
        <v>420</v>
      </c>
      <c r="P17">
        <v>450</v>
      </c>
    </row>
    <row r="18" spans="1:16">
      <c r="A18">
        <v>16</v>
      </c>
      <c r="B18">
        <v>30</v>
      </c>
      <c r="C18">
        <v>60</v>
      </c>
      <c r="D18">
        <v>90</v>
      </c>
      <c r="E18">
        <v>120</v>
      </c>
      <c r="F18">
        <v>150</v>
      </c>
      <c r="G18">
        <v>180</v>
      </c>
      <c r="H18">
        <v>210</v>
      </c>
      <c r="I18">
        <v>240</v>
      </c>
      <c r="J18">
        <v>270</v>
      </c>
      <c r="K18">
        <v>300</v>
      </c>
      <c r="L18">
        <v>330</v>
      </c>
      <c r="M18">
        <v>360</v>
      </c>
      <c r="N18">
        <v>390</v>
      </c>
      <c r="O18">
        <v>420</v>
      </c>
      <c r="P18">
        <v>450</v>
      </c>
    </row>
    <row r="19" spans="1:16">
      <c r="A19">
        <v>17</v>
      </c>
      <c r="B19">
        <v>30</v>
      </c>
      <c r="C19">
        <v>60</v>
      </c>
      <c r="D19">
        <v>90</v>
      </c>
      <c r="E19">
        <v>120</v>
      </c>
      <c r="F19">
        <v>150</v>
      </c>
      <c r="G19">
        <v>180</v>
      </c>
      <c r="H19">
        <v>210</v>
      </c>
      <c r="I19">
        <v>240</v>
      </c>
      <c r="J19">
        <v>270</v>
      </c>
      <c r="K19">
        <v>300</v>
      </c>
      <c r="L19">
        <v>330</v>
      </c>
      <c r="M19">
        <v>360</v>
      </c>
      <c r="N19">
        <v>390</v>
      </c>
      <c r="O19">
        <v>420</v>
      </c>
      <c r="P19">
        <v>450</v>
      </c>
    </row>
    <row r="20" spans="1:16">
      <c r="A20">
        <v>18</v>
      </c>
      <c r="B20">
        <v>30</v>
      </c>
      <c r="C20">
        <v>60</v>
      </c>
      <c r="D20">
        <v>90</v>
      </c>
      <c r="E20">
        <v>120</v>
      </c>
      <c r="F20">
        <v>150</v>
      </c>
      <c r="G20">
        <v>180</v>
      </c>
      <c r="H20">
        <v>210</v>
      </c>
      <c r="I20">
        <v>240</v>
      </c>
      <c r="J20">
        <v>270</v>
      </c>
      <c r="K20">
        <v>300</v>
      </c>
      <c r="L20">
        <v>330</v>
      </c>
      <c r="M20">
        <v>360</v>
      </c>
      <c r="N20">
        <v>390</v>
      </c>
      <c r="O20">
        <v>420</v>
      </c>
      <c r="P20">
        <v>450</v>
      </c>
    </row>
    <row r="21" spans="1:16">
      <c r="A21">
        <v>19</v>
      </c>
      <c r="B21">
        <v>30</v>
      </c>
      <c r="C21">
        <v>60</v>
      </c>
      <c r="D21">
        <v>90</v>
      </c>
      <c r="E21">
        <v>120</v>
      </c>
      <c r="F21">
        <v>150</v>
      </c>
      <c r="G21">
        <v>180</v>
      </c>
      <c r="H21">
        <v>210</v>
      </c>
      <c r="I21">
        <v>240</v>
      </c>
      <c r="J21">
        <v>270</v>
      </c>
      <c r="K21">
        <v>300</v>
      </c>
      <c r="L21">
        <v>330</v>
      </c>
      <c r="M21">
        <v>360</v>
      </c>
      <c r="N21">
        <v>390</v>
      </c>
      <c r="O21">
        <v>420</v>
      </c>
      <c r="P21">
        <v>450</v>
      </c>
    </row>
    <row r="22" spans="1:16">
      <c r="A22">
        <v>20</v>
      </c>
      <c r="B22">
        <v>30</v>
      </c>
      <c r="C22">
        <v>60</v>
      </c>
      <c r="D22">
        <v>90</v>
      </c>
      <c r="E22">
        <v>120</v>
      </c>
      <c r="F22">
        <v>150</v>
      </c>
      <c r="G22">
        <v>180</v>
      </c>
      <c r="H22">
        <v>210</v>
      </c>
      <c r="I22">
        <v>240</v>
      </c>
      <c r="J22">
        <v>270</v>
      </c>
      <c r="K22">
        <v>300</v>
      </c>
      <c r="L22">
        <v>330</v>
      </c>
      <c r="M22">
        <v>360</v>
      </c>
      <c r="N22">
        <v>390</v>
      </c>
      <c r="O22">
        <v>420</v>
      </c>
      <c r="P22">
        <v>450</v>
      </c>
    </row>
    <row r="23" spans="1:16">
      <c r="A23">
        <v>21</v>
      </c>
      <c r="B23">
        <v>30</v>
      </c>
      <c r="C23">
        <v>60</v>
      </c>
      <c r="D23">
        <v>90</v>
      </c>
      <c r="E23">
        <v>120</v>
      </c>
      <c r="F23">
        <v>150</v>
      </c>
      <c r="G23">
        <v>180</v>
      </c>
      <c r="H23">
        <v>210</v>
      </c>
      <c r="I23">
        <v>240</v>
      </c>
      <c r="J23">
        <v>270</v>
      </c>
      <c r="K23">
        <v>300</v>
      </c>
      <c r="L23">
        <v>330</v>
      </c>
      <c r="M23">
        <v>360</v>
      </c>
      <c r="N23">
        <v>390</v>
      </c>
      <c r="O23">
        <v>420</v>
      </c>
      <c r="P23">
        <v>450</v>
      </c>
    </row>
    <row r="24" spans="1:16">
      <c r="A24">
        <v>22</v>
      </c>
      <c r="B24">
        <v>30</v>
      </c>
      <c r="C24">
        <v>60</v>
      </c>
      <c r="D24">
        <v>90</v>
      </c>
      <c r="E24">
        <v>120</v>
      </c>
      <c r="F24">
        <v>150</v>
      </c>
      <c r="G24">
        <v>180</v>
      </c>
      <c r="H24">
        <v>210</v>
      </c>
      <c r="I24">
        <v>240</v>
      </c>
      <c r="J24">
        <v>270</v>
      </c>
      <c r="K24">
        <v>300</v>
      </c>
      <c r="L24">
        <v>330</v>
      </c>
      <c r="M24">
        <v>360</v>
      </c>
      <c r="N24">
        <v>390</v>
      </c>
      <c r="O24">
        <v>420</v>
      </c>
      <c r="P24">
        <v>450</v>
      </c>
    </row>
    <row r="25" spans="1:16">
      <c r="A25">
        <v>23</v>
      </c>
      <c r="B25">
        <v>30</v>
      </c>
      <c r="C25">
        <v>60</v>
      </c>
      <c r="D25">
        <v>90</v>
      </c>
      <c r="E25">
        <v>120</v>
      </c>
      <c r="F25">
        <v>150</v>
      </c>
      <c r="G25">
        <v>180</v>
      </c>
      <c r="H25">
        <v>210</v>
      </c>
      <c r="I25">
        <v>240</v>
      </c>
      <c r="J25">
        <v>270</v>
      </c>
      <c r="K25">
        <v>300</v>
      </c>
      <c r="L25">
        <v>330</v>
      </c>
      <c r="M25">
        <v>360</v>
      </c>
      <c r="N25">
        <v>390</v>
      </c>
      <c r="O25">
        <v>420</v>
      </c>
      <c r="P25">
        <v>450</v>
      </c>
    </row>
    <row r="26" spans="1:16">
      <c r="A26">
        <v>24</v>
      </c>
      <c r="B26">
        <v>30</v>
      </c>
      <c r="C26">
        <v>60</v>
      </c>
      <c r="D26">
        <v>90</v>
      </c>
      <c r="E26">
        <v>120</v>
      </c>
      <c r="F26">
        <v>150</v>
      </c>
      <c r="G26">
        <v>180</v>
      </c>
      <c r="H26">
        <v>210</v>
      </c>
      <c r="I26">
        <v>240</v>
      </c>
      <c r="J26">
        <v>270</v>
      </c>
      <c r="K26">
        <v>300</v>
      </c>
      <c r="L26">
        <v>330</v>
      </c>
      <c r="M26">
        <v>360</v>
      </c>
      <c r="N26">
        <v>390</v>
      </c>
      <c r="O26">
        <v>420</v>
      </c>
      <c r="P26">
        <v>450</v>
      </c>
    </row>
    <row r="27" spans="1:16">
      <c r="A27">
        <v>25</v>
      </c>
      <c r="B27">
        <v>30</v>
      </c>
      <c r="C27">
        <v>60</v>
      </c>
      <c r="D27">
        <v>90</v>
      </c>
      <c r="E27">
        <v>120</v>
      </c>
      <c r="F27">
        <v>150</v>
      </c>
      <c r="G27">
        <v>180</v>
      </c>
      <c r="H27">
        <v>210</v>
      </c>
      <c r="I27">
        <v>240</v>
      </c>
      <c r="J27">
        <v>270</v>
      </c>
      <c r="K27">
        <v>300</v>
      </c>
      <c r="L27">
        <v>330</v>
      </c>
      <c r="M27">
        <v>360</v>
      </c>
      <c r="N27">
        <v>390</v>
      </c>
      <c r="O27">
        <v>420</v>
      </c>
      <c r="P27">
        <v>450</v>
      </c>
    </row>
    <row r="28" spans="1:16">
      <c r="A28">
        <v>26</v>
      </c>
      <c r="B28">
        <v>30</v>
      </c>
      <c r="C28">
        <v>60</v>
      </c>
      <c r="D28">
        <v>90</v>
      </c>
      <c r="E28">
        <v>120</v>
      </c>
      <c r="F28">
        <v>150</v>
      </c>
      <c r="G28">
        <v>180</v>
      </c>
      <c r="H28">
        <v>210</v>
      </c>
      <c r="I28">
        <v>240</v>
      </c>
      <c r="J28">
        <v>270</v>
      </c>
      <c r="K28">
        <v>300</v>
      </c>
      <c r="L28">
        <v>330</v>
      </c>
      <c r="M28">
        <v>360</v>
      </c>
      <c r="N28">
        <v>390</v>
      </c>
      <c r="O28">
        <v>420</v>
      </c>
      <c r="P28">
        <v>450</v>
      </c>
    </row>
    <row r="29" spans="1:16">
      <c r="A29">
        <v>27</v>
      </c>
      <c r="B29">
        <v>30</v>
      </c>
      <c r="C29">
        <v>60</v>
      </c>
      <c r="D29">
        <v>90</v>
      </c>
      <c r="E29">
        <v>120</v>
      </c>
      <c r="F29">
        <v>150</v>
      </c>
      <c r="G29">
        <v>180</v>
      </c>
      <c r="H29">
        <v>210</v>
      </c>
      <c r="I29">
        <v>240</v>
      </c>
      <c r="J29">
        <v>270</v>
      </c>
      <c r="K29">
        <v>300</v>
      </c>
      <c r="L29">
        <v>330</v>
      </c>
      <c r="M29">
        <v>360</v>
      </c>
      <c r="N29">
        <v>390</v>
      </c>
      <c r="O29">
        <v>420</v>
      </c>
      <c r="P29">
        <v>450</v>
      </c>
    </row>
    <row r="30" spans="1:16">
      <c r="A30">
        <v>28</v>
      </c>
      <c r="B30">
        <v>30</v>
      </c>
      <c r="C30">
        <v>60</v>
      </c>
      <c r="D30">
        <v>90</v>
      </c>
      <c r="E30">
        <v>120</v>
      </c>
      <c r="F30">
        <v>150</v>
      </c>
      <c r="G30">
        <v>180</v>
      </c>
      <c r="H30">
        <v>210</v>
      </c>
      <c r="I30">
        <v>240</v>
      </c>
      <c r="J30">
        <v>270</v>
      </c>
      <c r="K30">
        <v>300</v>
      </c>
      <c r="L30">
        <v>330</v>
      </c>
      <c r="M30">
        <v>360</v>
      </c>
      <c r="N30">
        <v>390</v>
      </c>
      <c r="O30">
        <v>420</v>
      </c>
      <c r="P30">
        <v>450</v>
      </c>
    </row>
    <row r="31" spans="1:16">
      <c r="A31">
        <v>29</v>
      </c>
      <c r="B31">
        <v>30</v>
      </c>
      <c r="C31">
        <v>60</v>
      </c>
      <c r="D31">
        <v>90</v>
      </c>
      <c r="E31">
        <v>120</v>
      </c>
      <c r="F31">
        <v>150</v>
      </c>
      <c r="G31">
        <v>180</v>
      </c>
      <c r="H31">
        <v>210</v>
      </c>
      <c r="I31">
        <v>240</v>
      </c>
      <c r="J31">
        <v>270</v>
      </c>
      <c r="K31">
        <v>300</v>
      </c>
      <c r="L31">
        <v>330</v>
      </c>
      <c r="M31">
        <v>360</v>
      </c>
      <c r="N31">
        <v>390</v>
      </c>
      <c r="O31">
        <v>420</v>
      </c>
      <c r="P31">
        <v>450</v>
      </c>
    </row>
    <row r="32" spans="1:16">
      <c r="A32">
        <v>30</v>
      </c>
      <c r="B32">
        <v>30</v>
      </c>
      <c r="C32">
        <v>60</v>
      </c>
      <c r="D32">
        <v>90</v>
      </c>
      <c r="E32">
        <v>120</v>
      </c>
      <c r="F32">
        <v>150</v>
      </c>
      <c r="G32">
        <v>180</v>
      </c>
      <c r="H32">
        <v>210</v>
      </c>
      <c r="I32">
        <v>240</v>
      </c>
      <c r="J32">
        <v>270</v>
      </c>
      <c r="K32">
        <v>300</v>
      </c>
      <c r="L32">
        <v>330</v>
      </c>
      <c r="M32">
        <v>360</v>
      </c>
      <c r="N32">
        <v>390</v>
      </c>
      <c r="O32">
        <v>420</v>
      </c>
      <c r="P32">
        <v>450</v>
      </c>
    </row>
    <row r="33" spans="1:16">
      <c r="A33">
        <v>31</v>
      </c>
      <c r="B33">
        <v>30</v>
      </c>
      <c r="C33">
        <v>60</v>
      </c>
      <c r="D33">
        <v>90</v>
      </c>
      <c r="E33">
        <v>120</v>
      </c>
      <c r="F33">
        <v>150</v>
      </c>
      <c r="G33">
        <v>180</v>
      </c>
      <c r="H33">
        <v>210</v>
      </c>
      <c r="I33">
        <v>240</v>
      </c>
      <c r="J33">
        <v>270</v>
      </c>
      <c r="K33">
        <v>300</v>
      </c>
      <c r="L33">
        <v>330</v>
      </c>
      <c r="M33">
        <v>360</v>
      </c>
      <c r="N33">
        <v>390</v>
      </c>
      <c r="O33">
        <v>420</v>
      </c>
      <c r="P33">
        <v>450</v>
      </c>
    </row>
    <row r="34" spans="1:16">
      <c r="A34">
        <v>32</v>
      </c>
      <c r="B34">
        <v>30</v>
      </c>
      <c r="C34">
        <v>60</v>
      </c>
      <c r="D34">
        <v>90</v>
      </c>
      <c r="E34">
        <v>120</v>
      </c>
      <c r="F34">
        <v>150</v>
      </c>
      <c r="G34">
        <v>180</v>
      </c>
      <c r="H34">
        <v>210</v>
      </c>
      <c r="I34">
        <v>240</v>
      </c>
      <c r="J34">
        <v>270</v>
      </c>
      <c r="K34">
        <v>300</v>
      </c>
      <c r="L34">
        <v>330</v>
      </c>
      <c r="M34">
        <v>360</v>
      </c>
      <c r="N34">
        <v>390</v>
      </c>
      <c r="O34">
        <v>420</v>
      </c>
      <c r="P34">
        <v>450</v>
      </c>
    </row>
    <row r="35" spans="1:16">
      <c r="A35">
        <v>33</v>
      </c>
      <c r="B35">
        <v>30</v>
      </c>
      <c r="C35">
        <v>60</v>
      </c>
      <c r="D35">
        <v>90</v>
      </c>
      <c r="E35">
        <v>120</v>
      </c>
      <c r="F35">
        <v>150</v>
      </c>
      <c r="G35">
        <v>180</v>
      </c>
      <c r="H35">
        <v>210</v>
      </c>
      <c r="I35">
        <v>240</v>
      </c>
      <c r="J35">
        <v>270</v>
      </c>
      <c r="K35">
        <v>300</v>
      </c>
      <c r="L35">
        <v>330</v>
      </c>
      <c r="M35">
        <v>360</v>
      </c>
      <c r="N35">
        <v>390</v>
      </c>
      <c r="O35">
        <v>420</v>
      </c>
      <c r="P35">
        <v>450</v>
      </c>
    </row>
    <row r="36" spans="1:16">
      <c r="A36">
        <v>34</v>
      </c>
      <c r="B36">
        <v>30</v>
      </c>
      <c r="C36">
        <v>60</v>
      </c>
      <c r="D36">
        <v>90</v>
      </c>
      <c r="E36">
        <v>120</v>
      </c>
      <c r="F36">
        <v>150</v>
      </c>
      <c r="G36">
        <v>180</v>
      </c>
      <c r="H36">
        <v>210</v>
      </c>
      <c r="I36">
        <v>240</v>
      </c>
      <c r="J36">
        <v>270</v>
      </c>
      <c r="K36">
        <v>300</v>
      </c>
      <c r="L36">
        <v>330</v>
      </c>
      <c r="M36">
        <v>360</v>
      </c>
      <c r="N36">
        <v>390</v>
      </c>
      <c r="O36">
        <v>420</v>
      </c>
      <c r="P36">
        <v>450</v>
      </c>
    </row>
    <row r="37" spans="1:16">
      <c r="A37">
        <v>35</v>
      </c>
      <c r="B37">
        <v>30</v>
      </c>
      <c r="C37">
        <v>60</v>
      </c>
      <c r="D37">
        <v>90</v>
      </c>
      <c r="E37">
        <v>120</v>
      </c>
      <c r="F37">
        <v>150</v>
      </c>
      <c r="G37">
        <v>180</v>
      </c>
      <c r="H37">
        <v>210</v>
      </c>
      <c r="I37">
        <v>240</v>
      </c>
      <c r="J37">
        <v>270</v>
      </c>
      <c r="K37">
        <v>300</v>
      </c>
      <c r="L37">
        <v>330</v>
      </c>
      <c r="M37">
        <v>360</v>
      </c>
      <c r="N37">
        <v>390</v>
      </c>
      <c r="O37">
        <v>420</v>
      </c>
      <c r="P37">
        <v>450</v>
      </c>
    </row>
    <row r="38" spans="1:16">
      <c r="A38">
        <v>36</v>
      </c>
      <c r="B38">
        <v>30</v>
      </c>
      <c r="C38">
        <v>60</v>
      </c>
      <c r="D38">
        <v>90</v>
      </c>
      <c r="E38">
        <v>120</v>
      </c>
      <c r="F38">
        <v>150</v>
      </c>
      <c r="G38">
        <v>180</v>
      </c>
      <c r="H38">
        <v>210</v>
      </c>
      <c r="I38">
        <v>240</v>
      </c>
      <c r="J38">
        <v>270</v>
      </c>
      <c r="K38">
        <v>300</v>
      </c>
      <c r="L38">
        <v>330</v>
      </c>
      <c r="M38">
        <v>360</v>
      </c>
      <c r="N38">
        <v>390</v>
      </c>
      <c r="O38">
        <v>420</v>
      </c>
      <c r="P38">
        <v>450</v>
      </c>
    </row>
    <row r="39" spans="1:16">
      <c r="A39">
        <v>37</v>
      </c>
      <c r="B39">
        <v>30</v>
      </c>
      <c r="C39">
        <v>60</v>
      </c>
      <c r="D39">
        <v>90</v>
      </c>
      <c r="E39">
        <v>120</v>
      </c>
      <c r="F39">
        <v>150</v>
      </c>
      <c r="G39">
        <v>180</v>
      </c>
      <c r="H39">
        <v>210</v>
      </c>
      <c r="I39">
        <v>240</v>
      </c>
      <c r="J39">
        <v>270</v>
      </c>
      <c r="K39">
        <v>300</v>
      </c>
      <c r="L39">
        <v>330</v>
      </c>
      <c r="M39">
        <v>360</v>
      </c>
      <c r="N39">
        <v>390</v>
      </c>
      <c r="O39">
        <v>420</v>
      </c>
      <c r="P39">
        <v>450</v>
      </c>
    </row>
    <row r="40" spans="1:16">
      <c r="A40">
        <v>38</v>
      </c>
      <c r="B40">
        <v>30</v>
      </c>
      <c r="C40">
        <v>60</v>
      </c>
      <c r="D40">
        <v>90</v>
      </c>
      <c r="E40">
        <v>120</v>
      </c>
      <c r="F40">
        <v>150</v>
      </c>
      <c r="G40">
        <v>180</v>
      </c>
      <c r="H40">
        <v>210</v>
      </c>
      <c r="I40">
        <v>240</v>
      </c>
      <c r="J40">
        <v>270</v>
      </c>
      <c r="K40">
        <v>300</v>
      </c>
      <c r="L40">
        <v>330</v>
      </c>
      <c r="M40">
        <v>360</v>
      </c>
      <c r="N40">
        <v>390</v>
      </c>
      <c r="O40">
        <v>420</v>
      </c>
      <c r="P40">
        <v>450</v>
      </c>
    </row>
    <row r="41" spans="1:16">
      <c r="A41">
        <v>39</v>
      </c>
      <c r="B41">
        <v>30</v>
      </c>
      <c r="C41">
        <v>60</v>
      </c>
      <c r="D41">
        <v>90</v>
      </c>
      <c r="E41">
        <v>120</v>
      </c>
      <c r="F41">
        <v>150</v>
      </c>
      <c r="G41">
        <v>180</v>
      </c>
      <c r="H41">
        <v>210</v>
      </c>
      <c r="I41">
        <v>240</v>
      </c>
      <c r="J41">
        <v>270</v>
      </c>
      <c r="K41">
        <v>300</v>
      </c>
      <c r="L41">
        <v>330</v>
      </c>
      <c r="M41">
        <v>360</v>
      </c>
      <c r="N41">
        <v>390</v>
      </c>
      <c r="O41">
        <v>420</v>
      </c>
      <c r="P41">
        <v>450</v>
      </c>
    </row>
    <row r="42" spans="1:16">
      <c r="A42">
        <v>40</v>
      </c>
      <c r="B42">
        <v>30</v>
      </c>
      <c r="C42">
        <v>60</v>
      </c>
      <c r="D42">
        <v>90</v>
      </c>
      <c r="E42">
        <v>120</v>
      </c>
      <c r="F42">
        <v>150</v>
      </c>
      <c r="G42">
        <v>180</v>
      </c>
      <c r="H42">
        <v>210</v>
      </c>
      <c r="I42">
        <v>240</v>
      </c>
      <c r="J42">
        <v>270</v>
      </c>
      <c r="K42">
        <v>300</v>
      </c>
      <c r="L42">
        <v>330</v>
      </c>
      <c r="M42">
        <v>360</v>
      </c>
      <c r="N42">
        <v>390</v>
      </c>
      <c r="O42">
        <v>420</v>
      </c>
      <c r="P42">
        <v>450</v>
      </c>
    </row>
    <row r="43" spans="1:16">
      <c r="A43">
        <v>41</v>
      </c>
      <c r="B43">
        <v>30</v>
      </c>
      <c r="C43">
        <v>60</v>
      </c>
      <c r="D43">
        <v>90</v>
      </c>
      <c r="E43">
        <v>120</v>
      </c>
      <c r="F43">
        <v>150</v>
      </c>
      <c r="G43">
        <v>180</v>
      </c>
      <c r="H43">
        <v>210</v>
      </c>
      <c r="I43">
        <v>240</v>
      </c>
      <c r="J43">
        <v>270</v>
      </c>
      <c r="K43">
        <v>300</v>
      </c>
      <c r="L43">
        <v>330</v>
      </c>
      <c r="M43">
        <v>360</v>
      </c>
      <c r="N43">
        <v>390</v>
      </c>
      <c r="O43">
        <v>420</v>
      </c>
      <c r="P43">
        <v>450</v>
      </c>
    </row>
    <row r="44" spans="1:16">
      <c r="A44">
        <v>42</v>
      </c>
      <c r="B44">
        <v>30</v>
      </c>
      <c r="C44">
        <v>60</v>
      </c>
      <c r="D44">
        <v>90</v>
      </c>
      <c r="E44">
        <v>120</v>
      </c>
      <c r="F44">
        <v>150</v>
      </c>
      <c r="G44">
        <v>180</v>
      </c>
      <c r="H44">
        <v>210</v>
      </c>
      <c r="I44">
        <v>240</v>
      </c>
      <c r="J44">
        <v>270</v>
      </c>
      <c r="K44">
        <v>300</v>
      </c>
      <c r="L44">
        <v>330</v>
      </c>
      <c r="M44">
        <v>360</v>
      </c>
      <c r="N44">
        <v>390</v>
      </c>
      <c r="O44">
        <v>420</v>
      </c>
      <c r="P44">
        <v>450</v>
      </c>
    </row>
    <row r="45" spans="1:16">
      <c r="A45">
        <v>43</v>
      </c>
      <c r="B45">
        <v>30</v>
      </c>
      <c r="C45">
        <v>60</v>
      </c>
      <c r="D45">
        <v>90</v>
      </c>
      <c r="E45">
        <v>120</v>
      </c>
      <c r="F45">
        <v>150</v>
      </c>
      <c r="G45">
        <v>180</v>
      </c>
      <c r="H45">
        <v>210</v>
      </c>
      <c r="I45">
        <v>240</v>
      </c>
      <c r="J45">
        <v>270</v>
      </c>
      <c r="K45">
        <v>300</v>
      </c>
      <c r="L45">
        <v>330</v>
      </c>
      <c r="M45">
        <v>360</v>
      </c>
      <c r="N45">
        <v>390</v>
      </c>
      <c r="O45">
        <v>420</v>
      </c>
      <c r="P45">
        <v>450</v>
      </c>
    </row>
    <row r="46" spans="1:16">
      <c r="A46">
        <v>44</v>
      </c>
      <c r="B46">
        <v>30</v>
      </c>
      <c r="C46">
        <v>60</v>
      </c>
      <c r="D46">
        <v>90</v>
      </c>
      <c r="E46">
        <v>120</v>
      </c>
      <c r="F46">
        <v>150</v>
      </c>
      <c r="G46">
        <v>180</v>
      </c>
      <c r="H46">
        <v>210</v>
      </c>
      <c r="I46">
        <v>240</v>
      </c>
      <c r="J46">
        <v>270</v>
      </c>
      <c r="K46">
        <v>300</v>
      </c>
      <c r="L46">
        <v>330</v>
      </c>
      <c r="M46">
        <v>360</v>
      </c>
      <c r="N46">
        <v>390</v>
      </c>
      <c r="O46">
        <v>420</v>
      </c>
      <c r="P46">
        <v>450</v>
      </c>
    </row>
    <row r="47" spans="1:16">
      <c r="A47">
        <v>45</v>
      </c>
      <c r="B47">
        <v>30</v>
      </c>
      <c r="C47">
        <v>60</v>
      </c>
      <c r="D47">
        <v>90</v>
      </c>
      <c r="E47">
        <v>120</v>
      </c>
      <c r="F47">
        <v>150</v>
      </c>
      <c r="G47">
        <v>180</v>
      </c>
      <c r="H47">
        <v>210</v>
      </c>
      <c r="I47">
        <v>240</v>
      </c>
      <c r="J47">
        <v>270</v>
      </c>
      <c r="K47">
        <v>300</v>
      </c>
      <c r="L47">
        <v>330</v>
      </c>
      <c r="M47">
        <v>360</v>
      </c>
      <c r="N47">
        <v>390</v>
      </c>
      <c r="O47">
        <v>420</v>
      </c>
      <c r="P47">
        <v>450</v>
      </c>
    </row>
    <row r="48" spans="1:16">
      <c r="A48">
        <v>46</v>
      </c>
      <c r="B48">
        <v>30</v>
      </c>
      <c r="C48">
        <v>60</v>
      </c>
      <c r="D48">
        <v>90</v>
      </c>
      <c r="E48">
        <v>120</v>
      </c>
      <c r="F48">
        <v>150</v>
      </c>
      <c r="G48">
        <v>180</v>
      </c>
      <c r="H48">
        <v>210</v>
      </c>
      <c r="I48">
        <v>240</v>
      </c>
      <c r="J48">
        <v>270</v>
      </c>
      <c r="K48">
        <v>300</v>
      </c>
      <c r="L48">
        <v>330</v>
      </c>
      <c r="M48">
        <v>360</v>
      </c>
      <c r="N48">
        <v>390</v>
      </c>
      <c r="O48">
        <v>420</v>
      </c>
      <c r="P48">
        <v>450</v>
      </c>
    </row>
    <row r="49" spans="1:16">
      <c r="A49">
        <v>47</v>
      </c>
      <c r="B49">
        <v>30</v>
      </c>
      <c r="C49">
        <v>60</v>
      </c>
      <c r="D49">
        <v>90</v>
      </c>
      <c r="E49">
        <v>120</v>
      </c>
      <c r="F49">
        <v>150</v>
      </c>
      <c r="G49">
        <v>180</v>
      </c>
      <c r="H49">
        <v>210</v>
      </c>
      <c r="I49">
        <v>240</v>
      </c>
      <c r="J49">
        <v>270</v>
      </c>
      <c r="K49">
        <v>300</v>
      </c>
      <c r="L49">
        <v>330</v>
      </c>
      <c r="M49">
        <v>360</v>
      </c>
      <c r="N49">
        <v>390</v>
      </c>
      <c r="O49">
        <v>420</v>
      </c>
      <c r="P49">
        <v>450</v>
      </c>
    </row>
    <row r="50" spans="1:16">
      <c r="A50">
        <v>48</v>
      </c>
      <c r="B50">
        <v>30</v>
      </c>
      <c r="C50">
        <v>60</v>
      </c>
      <c r="D50">
        <v>90</v>
      </c>
      <c r="E50">
        <v>120</v>
      </c>
      <c r="F50">
        <v>150</v>
      </c>
      <c r="G50">
        <v>180</v>
      </c>
      <c r="H50">
        <v>210</v>
      </c>
      <c r="I50">
        <v>240</v>
      </c>
      <c r="J50">
        <v>270</v>
      </c>
      <c r="K50">
        <v>300</v>
      </c>
      <c r="L50">
        <v>330</v>
      </c>
      <c r="M50">
        <v>360</v>
      </c>
      <c r="N50">
        <v>390</v>
      </c>
      <c r="O50">
        <v>420</v>
      </c>
      <c r="P50">
        <v>450</v>
      </c>
    </row>
    <row r="51" spans="1:16">
      <c r="A51">
        <v>49</v>
      </c>
      <c r="B51">
        <v>30</v>
      </c>
      <c r="C51">
        <v>60</v>
      </c>
      <c r="D51">
        <v>90</v>
      </c>
      <c r="E51">
        <v>120</v>
      </c>
      <c r="F51">
        <v>150</v>
      </c>
      <c r="G51">
        <v>180</v>
      </c>
      <c r="H51">
        <v>210</v>
      </c>
      <c r="I51">
        <v>240</v>
      </c>
      <c r="J51">
        <v>270</v>
      </c>
      <c r="K51">
        <v>300</v>
      </c>
      <c r="L51">
        <v>330</v>
      </c>
      <c r="M51">
        <v>360</v>
      </c>
      <c r="N51">
        <v>390</v>
      </c>
      <c r="O51">
        <v>420</v>
      </c>
      <c r="P51">
        <v>450</v>
      </c>
    </row>
    <row r="52" spans="1:16">
      <c r="A52">
        <v>50</v>
      </c>
      <c r="B52">
        <v>30</v>
      </c>
      <c r="C52">
        <v>60</v>
      </c>
      <c r="D52">
        <v>90</v>
      </c>
      <c r="E52">
        <v>120</v>
      </c>
      <c r="F52">
        <v>150</v>
      </c>
      <c r="G52">
        <v>180</v>
      </c>
      <c r="H52">
        <v>210</v>
      </c>
      <c r="I52">
        <v>240</v>
      </c>
      <c r="J52">
        <v>270</v>
      </c>
      <c r="K52">
        <v>300</v>
      </c>
      <c r="L52">
        <v>330</v>
      </c>
      <c r="M52">
        <v>360</v>
      </c>
      <c r="N52">
        <v>390</v>
      </c>
      <c r="O52">
        <v>420</v>
      </c>
      <c r="P52">
        <v>450</v>
      </c>
    </row>
    <row r="53" spans="1:16">
      <c r="A53">
        <v>51</v>
      </c>
      <c r="B53">
        <v>30</v>
      </c>
      <c r="C53">
        <v>60</v>
      </c>
      <c r="D53">
        <v>90</v>
      </c>
      <c r="E53">
        <v>120</v>
      </c>
      <c r="F53">
        <v>150</v>
      </c>
      <c r="G53">
        <v>180</v>
      </c>
      <c r="H53">
        <v>210</v>
      </c>
      <c r="I53">
        <v>240</v>
      </c>
      <c r="J53">
        <v>270</v>
      </c>
      <c r="K53">
        <v>300</v>
      </c>
      <c r="L53">
        <v>330</v>
      </c>
      <c r="M53">
        <v>360</v>
      </c>
      <c r="N53">
        <v>390</v>
      </c>
      <c r="O53">
        <v>420</v>
      </c>
      <c r="P53">
        <v>450</v>
      </c>
    </row>
    <row r="54" spans="1:16">
      <c r="A54">
        <v>52</v>
      </c>
      <c r="B54">
        <v>30</v>
      </c>
      <c r="C54">
        <v>60</v>
      </c>
      <c r="D54">
        <v>90</v>
      </c>
      <c r="E54">
        <v>120</v>
      </c>
      <c r="F54">
        <v>150</v>
      </c>
      <c r="G54">
        <v>180</v>
      </c>
      <c r="H54">
        <v>210</v>
      </c>
      <c r="I54">
        <v>240</v>
      </c>
      <c r="J54">
        <v>270</v>
      </c>
      <c r="K54">
        <v>300</v>
      </c>
      <c r="L54">
        <v>330</v>
      </c>
      <c r="M54">
        <v>360</v>
      </c>
      <c r="N54">
        <v>390</v>
      </c>
      <c r="O54">
        <v>420</v>
      </c>
      <c r="P54">
        <v>450</v>
      </c>
    </row>
    <row r="55" spans="1:16">
      <c r="A55">
        <v>53</v>
      </c>
      <c r="B55">
        <v>30</v>
      </c>
      <c r="C55">
        <v>60</v>
      </c>
      <c r="D55">
        <v>90</v>
      </c>
      <c r="E55">
        <v>120</v>
      </c>
      <c r="F55">
        <v>150</v>
      </c>
      <c r="G55">
        <v>180</v>
      </c>
      <c r="H55">
        <v>210</v>
      </c>
      <c r="I55">
        <v>240</v>
      </c>
      <c r="J55">
        <v>270</v>
      </c>
      <c r="K55">
        <v>300</v>
      </c>
      <c r="L55">
        <v>330</v>
      </c>
      <c r="M55">
        <v>360</v>
      </c>
      <c r="N55">
        <v>390</v>
      </c>
      <c r="O55">
        <v>420</v>
      </c>
      <c r="P55">
        <v>450</v>
      </c>
    </row>
    <row r="56" spans="1:16">
      <c r="A56">
        <v>54</v>
      </c>
      <c r="B56">
        <v>30</v>
      </c>
      <c r="C56">
        <v>60</v>
      </c>
      <c r="D56">
        <v>90</v>
      </c>
      <c r="E56">
        <v>120</v>
      </c>
      <c r="F56">
        <v>150</v>
      </c>
      <c r="G56">
        <v>180</v>
      </c>
      <c r="H56">
        <v>210</v>
      </c>
      <c r="I56">
        <v>240</v>
      </c>
      <c r="J56">
        <v>270</v>
      </c>
      <c r="K56">
        <v>300</v>
      </c>
      <c r="L56">
        <v>330</v>
      </c>
      <c r="M56">
        <v>360</v>
      </c>
      <c r="N56">
        <v>390</v>
      </c>
      <c r="O56">
        <v>420</v>
      </c>
      <c r="P56">
        <v>450</v>
      </c>
    </row>
    <row r="57" spans="1:16">
      <c r="A57">
        <v>55</v>
      </c>
      <c r="B57">
        <v>30</v>
      </c>
      <c r="C57">
        <v>60</v>
      </c>
      <c r="D57">
        <v>90</v>
      </c>
      <c r="E57">
        <v>120</v>
      </c>
      <c r="F57">
        <v>150</v>
      </c>
      <c r="G57">
        <v>180</v>
      </c>
      <c r="H57">
        <v>210</v>
      </c>
      <c r="I57">
        <v>240</v>
      </c>
      <c r="J57">
        <v>270</v>
      </c>
      <c r="K57">
        <v>300</v>
      </c>
      <c r="L57">
        <v>330</v>
      </c>
      <c r="M57">
        <v>360</v>
      </c>
      <c r="N57">
        <v>390</v>
      </c>
      <c r="O57">
        <v>420</v>
      </c>
      <c r="P57">
        <v>450</v>
      </c>
    </row>
    <row r="58" spans="1:16">
      <c r="A58">
        <v>56</v>
      </c>
      <c r="B58">
        <v>30</v>
      </c>
      <c r="C58">
        <v>60</v>
      </c>
      <c r="D58">
        <v>90</v>
      </c>
      <c r="E58">
        <v>120</v>
      </c>
      <c r="F58">
        <v>150</v>
      </c>
      <c r="G58">
        <v>180</v>
      </c>
      <c r="H58">
        <v>210</v>
      </c>
      <c r="I58">
        <v>240</v>
      </c>
      <c r="J58">
        <v>270</v>
      </c>
      <c r="K58">
        <v>300</v>
      </c>
      <c r="L58">
        <v>330</v>
      </c>
      <c r="M58">
        <v>360</v>
      </c>
      <c r="N58">
        <v>390</v>
      </c>
      <c r="O58">
        <v>420</v>
      </c>
      <c r="P58">
        <v>450</v>
      </c>
    </row>
    <row r="59" spans="1:16">
      <c r="A59">
        <v>57</v>
      </c>
      <c r="B59">
        <v>30</v>
      </c>
      <c r="C59">
        <v>60</v>
      </c>
      <c r="D59">
        <v>90</v>
      </c>
      <c r="E59">
        <v>120</v>
      </c>
      <c r="F59">
        <v>150</v>
      </c>
      <c r="G59">
        <v>180</v>
      </c>
      <c r="H59">
        <v>210</v>
      </c>
      <c r="I59">
        <v>240</v>
      </c>
      <c r="J59">
        <v>270</v>
      </c>
      <c r="K59">
        <v>300</v>
      </c>
      <c r="L59">
        <v>330</v>
      </c>
      <c r="M59">
        <v>360</v>
      </c>
      <c r="N59">
        <v>390</v>
      </c>
      <c r="O59">
        <v>420</v>
      </c>
      <c r="P59">
        <v>450</v>
      </c>
    </row>
    <row r="60" spans="1:16">
      <c r="A60">
        <v>58</v>
      </c>
      <c r="B60">
        <v>30</v>
      </c>
      <c r="C60">
        <v>60</v>
      </c>
      <c r="D60">
        <v>90</v>
      </c>
      <c r="E60">
        <v>120</v>
      </c>
      <c r="F60">
        <v>150</v>
      </c>
      <c r="G60">
        <v>180</v>
      </c>
      <c r="H60">
        <v>210</v>
      </c>
      <c r="I60">
        <v>240</v>
      </c>
      <c r="J60">
        <v>270</v>
      </c>
      <c r="K60">
        <v>300</v>
      </c>
      <c r="L60">
        <v>330</v>
      </c>
      <c r="M60">
        <v>360</v>
      </c>
      <c r="N60">
        <v>390</v>
      </c>
      <c r="O60">
        <v>420</v>
      </c>
      <c r="P60">
        <v>450</v>
      </c>
    </row>
    <row r="61" spans="1:16">
      <c r="A61">
        <v>59</v>
      </c>
      <c r="B61">
        <v>30</v>
      </c>
      <c r="C61">
        <v>60</v>
      </c>
      <c r="D61">
        <v>90</v>
      </c>
      <c r="E61">
        <v>120</v>
      </c>
      <c r="F61">
        <v>150</v>
      </c>
      <c r="G61">
        <v>180</v>
      </c>
      <c r="H61">
        <v>210</v>
      </c>
      <c r="I61">
        <v>240</v>
      </c>
      <c r="J61">
        <v>270</v>
      </c>
      <c r="K61">
        <v>300</v>
      </c>
      <c r="L61">
        <v>330</v>
      </c>
      <c r="M61">
        <v>360</v>
      </c>
      <c r="N61">
        <v>390</v>
      </c>
      <c r="O61">
        <v>420</v>
      </c>
      <c r="P61">
        <v>450</v>
      </c>
    </row>
    <row r="62" spans="1:16">
      <c r="A62">
        <v>60</v>
      </c>
      <c r="B62">
        <v>30</v>
      </c>
      <c r="C62">
        <v>60</v>
      </c>
      <c r="D62">
        <v>90</v>
      </c>
      <c r="E62">
        <v>120</v>
      </c>
      <c r="F62">
        <v>150</v>
      </c>
      <c r="G62">
        <v>180</v>
      </c>
      <c r="H62">
        <v>210</v>
      </c>
      <c r="I62">
        <v>240</v>
      </c>
      <c r="J62">
        <v>270</v>
      </c>
      <c r="K62">
        <v>300</v>
      </c>
      <c r="L62">
        <v>330</v>
      </c>
      <c r="M62">
        <v>360</v>
      </c>
      <c r="N62">
        <v>390</v>
      </c>
      <c r="O62">
        <v>420</v>
      </c>
      <c r="P62">
        <v>450</v>
      </c>
    </row>
    <row r="63" spans="1:16">
      <c r="A63">
        <v>61</v>
      </c>
      <c r="B63">
        <v>30</v>
      </c>
      <c r="C63">
        <v>60</v>
      </c>
      <c r="D63">
        <v>90</v>
      </c>
      <c r="E63">
        <v>120</v>
      </c>
      <c r="F63">
        <v>150</v>
      </c>
      <c r="G63">
        <v>180</v>
      </c>
      <c r="H63">
        <v>210</v>
      </c>
      <c r="I63">
        <v>240</v>
      </c>
      <c r="J63">
        <v>270</v>
      </c>
      <c r="K63">
        <v>300</v>
      </c>
      <c r="L63">
        <v>330</v>
      </c>
      <c r="M63">
        <v>360</v>
      </c>
      <c r="N63">
        <v>390</v>
      </c>
      <c r="O63">
        <v>420</v>
      </c>
      <c r="P63">
        <v>450</v>
      </c>
    </row>
    <row r="64" spans="1:16">
      <c r="A64">
        <v>62</v>
      </c>
      <c r="B64">
        <v>30</v>
      </c>
      <c r="C64">
        <v>60</v>
      </c>
      <c r="D64">
        <v>90</v>
      </c>
      <c r="E64">
        <v>120</v>
      </c>
      <c r="F64">
        <v>150</v>
      </c>
      <c r="G64">
        <v>180</v>
      </c>
      <c r="H64">
        <v>210</v>
      </c>
      <c r="I64">
        <v>240</v>
      </c>
      <c r="J64">
        <v>270</v>
      </c>
      <c r="K64">
        <v>300</v>
      </c>
      <c r="L64">
        <v>330</v>
      </c>
      <c r="M64">
        <v>360</v>
      </c>
      <c r="N64">
        <v>390</v>
      </c>
      <c r="O64">
        <v>420</v>
      </c>
      <c r="P64">
        <v>450</v>
      </c>
    </row>
    <row r="65" spans="1:16">
      <c r="A65">
        <v>63</v>
      </c>
      <c r="B65">
        <v>30</v>
      </c>
      <c r="C65">
        <v>60</v>
      </c>
      <c r="D65">
        <v>90</v>
      </c>
      <c r="E65">
        <v>120</v>
      </c>
      <c r="F65">
        <v>150</v>
      </c>
      <c r="G65">
        <v>180</v>
      </c>
      <c r="H65">
        <v>210</v>
      </c>
      <c r="I65">
        <v>240</v>
      </c>
      <c r="J65">
        <v>270</v>
      </c>
      <c r="K65">
        <v>300</v>
      </c>
      <c r="L65">
        <v>330</v>
      </c>
      <c r="M65">
        <v>360</v>
      </c>
      <c r="N65">
        <v>390</v>
      </c>
      <c r="O65">
        <v>420</v>
      </c>
      <c r="P65">
        <v>450</v>
      </c>
    </row>
    <row r="66" spans="1:16">
      <c r="A66">
        <v>64</v>
      </c>
      <c r="B66">
        <v>30</v>
      </c>
      <c r="C66">
        <v>60</v>
      </c>
      <c r="D66">
        <v>90</v>
      </c>
      <c r="E66">
        <v>120</v>
      </c>
      <c r="F66">
        <v>150</v>
      </c>
      <c r="G66">
        <v>180</v>
      </c>
      <c r="H66">
        <v>210</v>
      </c>
      <c r="I66">
        <v>240</v>
      </c>
      <c r="J66">
        <v>270</v>
      </c>
      <c r="K66">
        <v>300</v>
      </c>
      <c r="L66">
        <v>330</v>
      </c>
      <c r="M66">
        <v>360</v>
      </c>
      <c r="N66">
        <v>390</v>
      </c>
      <c r="O66">
        <v>420</v>
      </c>
      <c r="P66">
        <v>450</v>
      </c>
    </row>
    <row r="67" spans="1:16">
      <c r="A67">
        <v>65</v>
      </c>
      <c r="B67">
        <v>30</v>
      </c>
      <c r="C67">
        <v>60</v>
      </c>
      <c r="D67">
        <v>90</v>
      </c>
      <c r="E67">
        <v>120</v>
      </c>
      <c r="F67">
        <v>150</v>
      </c>
      <c r="G67">
        <v>180</v>
      </c>
      <c r="H67">
        <v>210</v>
      </c>
      <c r="I67">
        <v>240</v>
      </c>
      <c r="J67">
        <v>270</v>
      </c>
      <c r="K67">
        <v>300</v>
      </c>
      <c r="L67">
        <v>330</v>
      </c>
      <c r="M67">
        <v>360</v>
      </c>
      <c r="N67">
        <v>390</v>
      </c>
      <c r="O67">
        <v>420</v>
      </c>
      <c r="P67">
        <v>450</v>
      </c>
    </row>
    <row r="68" spans="1:16">
      <c r="A68">
        <v>66</v>
      </c>
      <c r="B68">
        <v>30</v>
      </c>
      <c r="C68">
        <v>60</v>
      </c>
      <c r="D68">
        <v>90</v>
      </c>
      <c r="E68">
        <v>120</v>
      </c>
      <c r="F68">
        <v>150</v>
      </c>
      <c r="G68">
        <v>180</v>
      </c>
      <c r="H68">
        <v>210</v>
      </c>
      <c r="I68">
        <v>240</v>
      </c>
      <c r="J68">
        <v>270</v>
      </c>
      <c r="K68">
        <v>300</v>
      </c>
      <c r="L68">
        <v>330</v>
      </c>
      <c r="M68">
        <v>360</v>
      </c>
      <c r="N68">
        <v>390</v>
      </c>
      <c r="O68">
        <v>420</v>
      </c>
      <c r="P68">
        <v>450</v>
      </c>
    </row>
    <row r="69" spans="1:16">
      <c r="A69">
        <v>67</v>
      </c>
      <c r="B69">
        <v>30</v>
      </c>
      <c r="C69">
        <v>60</v>
      </c>
      <c r="D69">
        <v>90</v>
      </c>
      <c r="E69">
        <v>120</v>
      </c>
      <c r="F69">
        <v>150</v>
      </c>
      <c r="G69">
        <v>180</v>
      </c>
      <c r="H69">
        <v>210</v>
      </c>
      <c r="I69">
        <v>240</v>
      </c>
      <c r="J69">
        <v>270</v>
      </c>
      <c r="K69">
        <v>300</v>
      </c>
      <c r="L69">
        <v>330</v>
      </c>
      <c r="M69">
        <v>360</v>
      </c>
      <c r="N69">
        <v>390</v>
      </c>
      <c r="O69">
        <v>420</v>
      </c>
      <c r="P69">
        <v>450</v>
      </c>
    </row>
    <row r="70" spans="1:16">
      <c r="A70">
        <v>68</v>
      </c>
      <c r="B70">
        <v>30</v>
      </c>
      <c r="C70">
        <v>60</v>
      </c>
      <c r="D70">
        <v>90</v>
      </c>
      <c r="E70">
        <v>120</v>
      </c>
      <c r="F70">
        <v>150</v>
      </c>
      <c r="G70">
        <v>180</v>
      </c>
      <c r="H70">
        <v>210</v>
      </c>
      <c r="I70">
        <v>240</v>
      </c>
      <c r="J70">
        <v>270</v>
      </c>
      <c r="K70">
        <v>300</v>
      </c>
      <c r="L70">
        <v>330</v>
      </c>
      <c r="M70">
        <v>360</v>
      </c>
      <c r="N70">
        <v>390</v>
      </c>
      <c r="O70">
        <v>420</v>
      </c>
      <c r="P70">
        <v>450</v>
      </c>
    </row>
    <row r="71" spans="1:16">
      <c r="A71">
        <v>69</v>
      </c>
      <c r="B71">
        <v>30</v>
      </c>
      <c r="C71">
        <v>60</v>
      </c>
      <c r="D71">
        <v>90</v>
      </c>
      <c r="E71">
        <v>120</v>
      </c>
      <c r="F71">
        <v>150</v>
      </c>
      <c r="G71">
        <v>180</v>
      </c>
      <c r="H71">
        <v>210</v>
      </c>
      <c r="I71">
        <v>240</v>
      </c>
      <c r="J71">
        <v>270</v>
      </c>
      <c r="K71">
        <v>300</v>
      </c>
      <c r="L71">
        <v>330</v>
      </c>
      <c r="M71">
        <v>360</v>
      </c>
      <c r="N71">
        <v>390</v>
      </c>
      <c r="O71">
        <v>420</v>
      </c>
      <c r="P71">
        <v>450</v>
      </c>
    </row>
    <row r="72" spans="1:16">
      <c r="A72">
        <v>70</v>
      </c>
      <c r="B72">
        <v>30</v>
      </c>
      <c r="C72">
        <v>60</v>
      </c>
      <c r="D72">
        <v>90</v>
      </c>
      <c r="E72">
        <v>120</v>
      </c>
      <c r="F72">
        <v>150</v>
      </c>
      <c r="G72">
        <v>180</v>
      </c>
      <c r="H72">
        <v>210</v>
      </c>
      <c r="I72">
        <v>240</v>
      </c>
      <c r="J72">
        <v>270</v>
      </c>
      <c r="K72">
        <v>300</v>
      </c>
      <c r="L72">
        <v>330</v>
      </c>
      <c r="M72">
        <v>360</v>
      </c>
      <c r="N72">
        <v>390</v>
      </c>
      <c r="O72">
        <v>420</v>
      </c>
      <c r="P72">
        <v>450</v>
      </c>
    </row>
    <row r="73" spans="1:16">
      <c r="A73">
        <v>71</v>
      </c>
      <c r="B73">
        <v>30</v>
      </c>
      <c r="C73">
        <v>60</v>
      </c>
      <c r="D73">
        <v>90</v>
      </c>
      <c r="E73">
        <v>120</v>
      </c>
      <c r="F73">
        <v>150</v>
      </c>
      <c r="G73">
        <v>180</v>
      </c>
      <c r="H73">
        <v>210</v>
      </c>
      <c r="I73">
        <v>240</v>
      </c>
      <c r="J73">
        <v>270</v>
      </c>
      <c r="K73">
        <v>300</v>
      </c>
      <c r="L73">
        <v>330</v>
      </c>
      <c r="M73">
        <v>360</v>
      </c>
      <c r="N73">
        <v>390</v>
      </c>
      <c r="O73">
        <v>420</v>
      </c>
      <c r="P73">
        <v>450</v>
      </c>
    </row>
    <row r="74" spans="1:16">
      <c r="A74">
        <v>72</v>
      </c>
      <c r="B74">
        <v>30</v>
      </c>
      <c r="C74">
        <v>60</v>
      </c>
      <c r="D74">
        <v>90</v>
      </c>
      <c r="E74">
        <v>120</v>
      </c>
      <c r="F74">
        <v>150</v>
      </c>
      <c r="G74">
        <v>180</v>
      </c>
      <c r="H74">
        <v>210</v>
      </c>
      <c r="I74">
        <v>240</v>
      </c>
      <c r="J74">
        <v>270</v>
      </c>
      <c r="K74">
        <v>300</v>
      </c>
      <c r="L74">
        <v>330</v>
      </c>
      <c r="M74">
        <v>360</v>
      </c>
      <c r="N74">
        <v>390</v>
      </c>
      <c r="O74">
        <v>420</v>
      </c>
      <c r="P74">
        <v>450</v>
      </c>
    </row>
    <row r="75" spans="1:16">
      <c r="A75">
        <v>73</v>
      </c>
      <c r="B75">
        <v>30</v>
      </c>
      <c r="C75">
        <v>60</v>
      </c>
      <c r="D75">
        <v>90</v>
      </c>
      <c r="E75">
        <v>120</v>
      </c>
      <c r="F75">
        <v>150</v>
      </c>
      <c r="G75">
        <v>180</v>
      </c>
      <c r="H75">
        <v>210</v>
      </c>
      <c r="I75">
        <v>240</v>
      </c>
      <c r="J75">
        <v>270</v>
      </c>
      <c r="K75">
        <v>300</v>
      </c>
      <c r="L75">
        <v>330</v>
      </c>
      <c r="M75">
        <v>360</v>
      </c>
      <c r="N75">
        <v>390</v>
      </c>
      <c r="O75">
        <v>420</v>
      </c>
      <c r="P75">
        <v>450</v>
      </c>
    </row>
    <row r="76" spans="1:16">
      <c r="A76">
        <v>74</v>
      </c>
      <c r="B76">
        <v>30</v>
      </c>
      <c r="C76">
        <v>60</v>
      </c>
      <c r="D76">
        <v>90</v>
      </c>
      <c r="E76">
        <v>120</v>
      </c>
      <c r="F76">
        <v>150</v>
      </c>
      <c r="G76">
        <v>180</v>
      </c>
      <c r="H76">
        <v>210</v>
      </c>
      <c r="I76">
        <v>240</v>
      </c>
      <c r="J76">
        <v>270</v>
      </c>
      <c r="K76">
        <v>300</v>
      </c>
      <c r="L76">
        <v>330</v>
      </c>
      <c r="M76">
        <v>360</v>
      </c>
      <c r="N76">
        <v>390</v>
      </c>
      <c r="O76">
        <v>420</v>
      </c>
      <c r="P76">
        <v>450</v>
      </c>
    </row>
    <row r="77" spans="1:16">
      <c r="A77">
        <v>75</v>
      </c>
      <c r="B77">
        <v>30</v>
      </c>
      <c r="C77">
        <v>60</v>
      </c>
      <c r="D77">
        <v>90</v>
      </c>
      <c r="E77">
        <v>120</v>
      </c>
      <c r="F77">
        <v>150</v>
      </c>
      <c r="G77">
        <v>180</v>
      </c>
      <c r="H77">
        <v>210</v>
      </c>
      <c r="I77">
        <v>240</v>
      </c>
      <c r="J77">
        <v>270</v>
      </c>
      <c r="K77">
        <v>300</v>
      </c>
      <c r="L77">
        <v>330</v>
      </c>
      <c r="M77">
        <v>360</v>
      </c>
      <c r="N77">
        <v>390</v>
      </c>
      <c r="O77">
        <v>420</v>
      </c>
      <c r="P77">
        <v>450</v>
      </c>
    </row>
    <row r="78" spans="1:16">
      <c r="A78">
        <v>76</v>
      </c>
      <c r="B78">
        <v>30</v>
      </c>
      <c r="C78">
        <v>60</v>
      </c>
      <c r="D78">
        <v>90</v>
      </c>
      <c r="E78">
        <v>120</v>
      </c>
      <c r="F78">
        <v>150</v>
      </c>
      <c r="G78">
        <v>180</v>
      </c>
      <c r="H78">
        <v>210</v>
      </c>
      <c r="I78">
        <v>240</v>
      </c>
      <c r="J78">
        <v>270</v>
      </c>
      <c r="K78">
        <v>300</v>
      </c>
      <c r="L78">
        <v>330</v>
      </c>
      <c r="M78">
        <v>360</v>
      </c>
      <c r="N78">
        <v>390</v>
      </c>
      <c r="O78">
        <v>420</v>
      </c>
      <c r="P78">
        <v>450</v>
      </c>
    </row>
    <row r="79" spans="1:16">
      <c r="A79">
        <v>77</v>
      </c>
      <c r="B79">
        <v>30</v>
      </c>
      <c r="C79">
        <v>60</v>
      </c>
      <c r="D79">
        <v>90</v>
      </c>
      <c r="E79">
        <v>120</v>
      </c>
      <c r="F79">
        <v>150</v>
      </c>
      <c r="G79">
        <v>180</v>
      </c>
      <c r="H79">
        <v>210</v>
      </c>
      <c r="I79">
        <v>240</v>
      </c>
      <c r="J79">
        <v>270</v>
      </c>
      <c r="K79">
        <v>300</v>
      </c>
      <c r="L79">
        <v>330</v>
      </c>
      <c r="M79">
        <v>360</v>
      </c>
      <c r="N79">
        <v>390</v>
      </c>
      <c r="O79">
        <v>420</v>
      </c>
      <c r="P79">
        <v>450</v>
      </c>
    </row>
    <row r="80" spans="1:16">
      <c r="A80">
        <v>78</v>
      </c>
      <c r="B80">
        <v>30</v>
      </c>
      <c r="C80">
        <v>60</v>
      </c>
      <c r="D80">
        <v>90</v>
      </c>
      <c r="E80">
        <v>120</v>
      </c>
      <c r="F80">
        <v>150</v>
      </c>
      <c r="G80">
        <v>180</v>
      </c>
      <c r="H80">
        <v>210</v>
      </c>
      <c r="I80">
        <v>240</v>
      </c>
      <c r="J80">
        <v>270</v>
      </c>
      <c r="K80">
        <v>300</v>
      </c>
      <c r="L80">
        <v>330</v>
      </c>
      <c r="M80">
        <v>360</v>
      </c>
      <c r="N80">
        <v>390</v>
      </c>
      <c r="O80">
        <v>420</v>
      </c>
      <c r="P80">
        <v>450</v>
      </c>
    </row>
    <row r="81" spans="1:16">
      <c r="A81">
        <v>79</v>
      </c>
      <c r="B81">
        <v>30</v>
      </c>
      <c r="C81">
        <v>60</v>
      </c>
      <c r="D81">
        <v>90</v>
      </c>
      <c r="E81">
        <v>120</v>
      </c>
      <c r="F81">
        <v>150</v>
      </c>
      <c r="G81">
        <v>180</v>
      </c>
      <c r="H81">
        <v>210</v>
      </c>
      <c r="I81">
        <v>240</v>
      </c>
      <c r="J81">
        <v>270</v>
      </c>
      <c r="K81">
        <v>300</v>
      </c>
      <c r="L81">
        <v>330</v>
      </c>
      <c r="M81">
        <v>360</v>
      </c>
      <c r="N81">
        <v>390</v>
      </c>
      <c r="O81">
        <v>420</v>
      </c>
      <c r="P81">
        <v>450</v>
      </c>
    </row>
    <row r="82" spans="1:16">
      <c r="A82">
        <v>80</v>
      </c>
      <c r="B82">
        <v>30</v>
      </c>
      <c r="C82">
        <v>60</v>
      </c>
      <c r="D82">
        <v>90</v>
      </c>
      <c r="E82">
        <v>120</v>
      </c>
      <c r="F82">
        <v>150</v>
      </c>
      <c r="G82">
        <v>180</v>
      </c>
      <c r="H82">
        <v>210</v>
      </c>
      <c r="I82">
        <v>240</v>
      </c>
      <c r="J82">
        <v>270</v>
      </c>
      <c r="K82">
        <v>300</v>
      </c>
      <c r="L82">
        <v>330</v>
      </c>
      <c r="M82">
        <v>360</v>
      </c>
      <c r="N82">
        <v>390</v>
      </c>
      <c r="O82">
        <v>420</v>
      </c>
      <c r="P82">
        <v>450</v>
      </c>
    </row>
    <row r="83" spans="1:16">
      <c r="A83">
        <v>81</v>
      </c>
      <c r="B83">
        <v>30</v>
      </c>
      <c r="C83">
        <v>60</v>
      </c>
      <c r="D83">
        <v>90</v>
      </c>
      <c r="E83">
        <v>120</v>
      </c>
      <c r="F83">
        <v>150</v>
      </c>
      <c r="G83">
        <v>180</v>
      </c>
      <c r="H83">
        <v>210</v>
      </c>
      <c r="I83">
        <v>240</v>
      </c>
      <c r="J83">
        <v>270</v>
      </c>
      <c r="K83">
        <v>300</v>
      </c>
      <c r="L83">
        <v>330</v>
      </c>
      <c r="M83">
        <v>360</v>
      </c>
      <c r="N83">
        <v>390</v>
      </c>
      <c r="O83">
        <v>420</v>
      </c>
      <c r="P83">
        <v>450</v>
      </c>
    </row>
    <row r="84" spans="1:16">
      <c r="A84">
        <v>82</v>
      </c>
      <c r="B84">
        <v>30</v>
      </c>
      <c r="C84">
        <v>60</v>
      </c>
      <c r="D84">
        <v>90</v>
      </c>
      <c r="E84">
        <v>120</v>
      </c>
      <c r="F84">
        <v>150</v>
      </c>
      <c r="G84">
        <v>180</v>
      </c>
      <c r="H84">
        <v>210</v>
      </c>
      <c r="I84">
        <v>240</v>
      </c>
      <c r="J84">
        <v>270</v>
      </c>
      <c r="K84">
        <v>300</v>
      </c>
      <c r="L84">
        <v>330</v>
      </c>
      <c r="M84">
        <v>360</v>
      </c>
      <c r="N84">
        <v>390</v>
      </c>
      <c r="O84">
        <v>420</v>
      </c>
      <c r="P84">
        <v>450</v>
      </c>
    </row>
    <row r="85" spans="1:16">
      <c r="A85">
        <v>83</v>
      </c>
      <c r="B85">
        <v>30</v>
      </c>
      <c r="C85">
        <v>60</v>
      </c>
      <c r="D85">
        <v>90</v>
      </c>
      <c r="E85">
        <v>120</v>
      </c>
      <c r="F85">
        <v>150</v>
      </c>
      <c r="G85">
        <v>180</v>
      </c>
      <c r="H85">
        <v>210</v>
      </c>
      <c r="I85">
        <v>240</v>
      </c>
      <c r="J85">
        <v>270</v>
      </c>
      <c r="K85">
        <v>300</v>
      </c>
      <c r="L85">
        <v>330</v>
      </c>
      <c r="M85">
        <v>360</v>
      </c>
      <c r="N85">
        <v>390</v>
      </c>
      <c r="O85">
        <v>420</v>
      </c>
      <c r="P85">
        <v>450</v>
      </c>
    </row>
    <row r="86" spans="1:16">
      <c r="A86">
        <v>84</v>
      </c>
      <c r="B86">
        <v>30</v>
      </c>
      <c r="C86">
        <v>60</v>
      </c>
      <c r="D86">
        <v>90</v>
      </c>
      <c r="E86">
        <v>120</v>
      </c>
      <c r="F86">
        <v>150</v>
      </c>
      <c r="G86">
        <v>180</v>
      </c>
      <c r="H86">
        <v>210</v>
      </c>
      <c r="I86">
        <v>240</v>
      </c>
      <c r="J86">
        <v>270</v>
      </c>
      <c r="K86">
        <v>300</v>
      </c>
      <c r="L86">
        <v>330</v>
      </c>
      <c r="M86">
        <v>360</v>
      </c>
      <c r="N86">
        <v>390</v>
      </c>
      <c r="O86">
        <v>420</v>
      </c>
      <c r="P86">
        <v>450</v>
      </c>
    </row>
    <row r="87" spans="1:16">
      <c r="A87">
        <v>85</v>
      </c>
      <c r="B87">
        <v>30</v>
      </c>
      <c r="C87">
        <v>60</v>
      </c>
      <c r="D87">
        <v>90</v>
      </c>
      <c r="E87">
        <v>120</v>
      </c>
      <c r="F87">
        <v>150</v>
      </c>
      <c r="G87">
        <v>180</v>
      </c>
      <c r="H87">
        <v>210</v>
      </c>
      <c r="I87">
        <v>240</v>
      </c>
      <c r="J87">
        <v>270</v>
      </c>
      <c r="K87">
        <v>300</v>
      </c>
      <c r="L87">
        <v>330</v>
      </c>
      <c r="M87">
        <v>360</v>
      </c>
      <c r="N87">
        <v>390</v>
      </c>
      <c r="O87">
        <v>420</v>
      </c>
      <c r="P87">
        <v>450</v>
      </c>
    </row>
    <row r="88" spans="1:16">
      <c r="A88">
        <v>86</v>
      </c>
      <c r="B88">
        <v>30</v>
      </c>
      <c r="C88">
        <v>60</v>
      </c>
      <c r="D88">
        <v>90</v>
      </c>
      <c r="E88">
        <v>120</v>
      </c>
      <c r="F88">
        <v>150</v>
      </c>
      <c r="G88">
        <v>180</v>
      </c>
      <c r="H88">
        <v>210</v>
      </c>
      <c r="I88">
        <v>240</v>
      </c>
      <c r="J88">
        <v>270</v>
      </c>
      <c r="K88">
        <v>300</v>
      </c>
      <c r="L88">
        <v>330</v>
      </c>
      <c r="M88">
        <v>360</v>
      </c>
      <c r="N88">
        <v>390</v>
      </c>
      <c r="O88">
        <v>420</v>
      </c>
      <c r="P88">
        <v>450</v>
      </c>
    </row>
    <row r="89" spans="1:16">
      <c r="A89">
        <v>87</v>
      </c>
      <c r="B89">
        <v>30</v>
      </c>
      <c r="C89">
        <v>60</v>
      </c>
      <c r="D89">
        <v>90</v>
      </c>
      <c r="E89">
        <v>120</v>
      </c>
      <c r="F89">
        <v>150</v>
      </c>
      <c r="G89">
        <v>180</v>
      </c>
      <c r="H89">
        <v>210</v>
      </c>
      <c r="I89">
        <v>240</v>
      </c>
      <c r="J89">
        <v>270</v>
      </c>
      <c r="K89">
        <v>300</v>
      </c>
      <c r="L89">
        <v>330</v>
      </c>
      <c r="M89">
        <v>360</v>
      </c>
      <c r="N89">
        <v>390</v>
      </c>
      <c r="O89">
        <v>420</v>
      </c>
      <c r="P89">
        <v>450</v>
      </c>
    </row>
    <row r="90" spans="1:16">
      <c r="A90">
        <v>88</v>
      </c>
      <c r="B90">
        <v>30</v>
      </c>
      <c r="C90">
        <v>60</v>
      </c>
      <c r="D90">
        <v>90</v>
      </c>
      <c r="E90">
        <v>120</v>
      </c>
      <c r="F90">
        <v>150</v>
      </c>
      <c r="G90">
        <v>180</v>
      </c>
      <c r="H90">
        <v>210</v>
      </c>
      <c r="I90">
        <v>240</v>
      </c>
      <c r="J90">
        <v>270</v>
      </c>
      <c r="K90">
        <v>300</v>
      </c>
      <c r="L90">
        <v>330</v>
      </c>
      <c r="M90">
        <v>360</v>
      </c>
      <c r="N90">
        <v>390</v>
      </c>
      <c r="O90">
        <v>420</v>
      </c>
      <c r="P90">
        <v>450</v>
      </c>
    </row>
    <row r="91" spans="1:16">
      <c r="A91">
        <v>89</v>
      </c>
      <c r="B91">
        <v>30</v>
      </c>
      <c r="C91">
        <v>60</v>
      </c>
      <c r="D91">
        <v>90</v>
      </c>
      <c r="E91">
        <v>120</v>
      </c>
      <c r="F91">
        <v>150</v>
      </c>
      <c r="G91">
        <v>180</v>
      </c>
      <c r="H91">
        <v>210</v>
      </c>
      <c r="I91">
        <v>240</v>
      </c>
      <c r="J91">
        <v>270</v>
      </c>
      <c r="K91">
        <v>300</v>
      </c>
      <c r="L91">
        <v>330</v>
      </c>
      <c r="M91">
        <v>360</v>
      </c>
      <c r="N91">
        <v>390</v>
      </c>
      <c r="O91">
        <v>420</v>
      </c>
      <c r="P91">
        <v>450</v>
      </c>
    </row>
    <row r="92" spans="1:16">
      <c r="A92">
        <v>90</v>
      </c>
      <c r="B92">
        <v>30</v>
      </c>
      <c r="C92">
        <v>60</v>
      </c>
      <c r="D92">
        <v>90</v>
      </c>
      <c r="E92">
        <v>120</v>
      </c>
      <c r="F92">
        <v>150</v>
      </c>
      <c r="G92">
        <v>180</v>
      </c>
      <c r="H92">
        <v>210</v>
      </c>
      <c r="I92">
        <v>240</v>
      </c>
      <c r="J92">
        <v>270</v>
      </c>
      <c r="K92">
        <v>300</v>
      </c>
      <c r="L92">
        <v>330</v>
      </c>
      <c r="M92">
        <v>360</v>
      </c>
      <c r="N92">
        <v>390</v>
      </c>
      <c r="O92">
        <v>420</v>
      </c>
      <c r="P92">
        <v>450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FA2F1-1886-41FA-88DB-1FA592159A35}">
  <sheetPr codeName="Sheet4"/>
  <dimension ref="B1:J71"/>
  <sheetViews>
    <sheetView workbookViewId="0">
      <selection activeCell="D37" sqref="D37"/>
    </sheetView>
  </sheetViews>
  <sheetFormatPr defaultRowHeight="15"/>
  <sheetData>
    <row r="1" spans="2:10"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259</v>
      </c>
      <c r="J1" t="s">
        <v>260</v>
      </c>
    </row>
    <row r="2" spans="2:10">
      <c r="B2">
        <v>1</v>
      </c>
      <c r="C2">
        <v>2767.49999999999</v>
      </c>
      <c r="D2">
        <v>2700</v>
      </c>
      <c r="E2">
        <v>75.5</v>
      </c>
      <c r="F2">
        <v>45</v>
      </c>
      <c r="G2">
        <v>0.5</v>
      </c>
      <c r="H2">
        <v>45</v>
      </c>
      <c r="I2">
        <v>75</v>
      </c>
      <c r="J2">
        <v>675</v>
      </c>
    </row>
    <row r="3" spans="2:10">
      <c r="B3">
        <v>1.2</v>
      </c>
      <c r="C3">
        <v>3320.99999999999</v>
      </c>
      <c r="D3">
        <v>3240</v>
      </c>
      <c r="E3">
        <v>63.1</v>
      </c>
      <c r="F3">
        <v>45</v>
      </c>
      <c r="G3">
        <v>0.6</v>
      </c>
      <c r="H3">
        <v>45</v>
      </c>
      <c r="I3">
        <v>62.5</v>
      </c>
      <c r="J3">
        <v>562.5</v>
      </c>
    </row>
    <row r="4" spans="2:10">
      <c r="B4">
        <v>1.4</v>
      </c>
      <c r="C4">
        <v>3874.49999999999</v>
      </c>
      <c r="D4">
        <v>3780</v>
      </c>
      <c r="E4">
        <v>54.271428571428501</v>
      </c>
      <c r="F4">
        <v>45</v>
      </c>
      <c r="G4">
        <v>0.7</v>
      </c>
      <c r="H4">
        <v>45</v>
      </c>
      <c r="I4">
        <v>53.571428571428498</v>
      </c>
      <c r="J4">
        <v>482.142857142857</v>
      </c>
    </row>
    <row r="5" spans="2:10">
      <c r="B5">
        <v>1.5999999999999901</v>
      </c>
      <c r="C5">
        <v>4427.99999999999</v>
      </c>
      <c r="D5">
        <v>4319.99999999999</v>
      </c>
      <c r="E5">
        <v>47.674999999999997</v>
      </c>
      <c r="F5">
        <v>45</v>
      </c>
      <c r="G5">
        <v>0.8</v>
      </c>
      <c r="H5">
        <v>45</v>
      </c>
      <c r="I5">
        <v>46.875</v>
      </c>
      <c r="J5">
        <v>421.875</v>
      </c>
    </row>
    <row r="6" spans="2:10">
      <c r="B6">
        <v>1.7999999999999901</v>
      </c>
      <c r="C6">
        <v>4981.49999999999</v>
      </c>
      <c r="D6">
        <v>4859.99999999999</v>
      </c>
      <c r="E6">
        <v>42.566666666666599</v>
      </c>
      <c r="F6">
        <v>45</v>
      </c>
      <c r="G6">
        <v>0.9</v>
      </c>
      <c r="H6">
        <v>45</v>
      </c>
      <c r="I6">
        <v>41.6666666666666</v>
      </c>
      <c r="J6">
        <v>375</v>
      </c>
    </row>
    <row r="7" spans="2:10">
      <c r="B7">
        <v>1.99999999999999</v>
      </c>
      <c r="C7">
        <v>5534.99999999999</v>
      </c>
      <c r="D7">
        <v>5399.99999999999</v>
      </c>
      <c r="E7">
        <v>38.5</v>
      </c>
      <c r="F7">
        <v>45</v>
      </c>
      <c r="G7">
        <v>0.999999999999999</v>
      </c>
      <c r="H7">
        <v>45</v>
      </c>
      <c r="I7">
        <v>37.5</v>
      </c>
      <c r="J7">
        <v>337.5</v>
      </c>
    </row>
    <row r="8" spans="2:10">
      <c r="B8">
        <v>2.19999999999999</v>
      </c>
      <c r="C8">
        <v>6088.49999999999</v>
      </c>
      <c r="D8">
        <v>5939.99999999999</v>
      </c>
      <c r="E8">
        <v>35.190909090909003</v>
      </c>
      <c r="F8">
        <v>45</v>
      </c>
      <c r="G8">
        <v>1.1000000000000001</v>
      </c>
      <c r="H8">
        <v>45</v>
      </c>
      <c r="I8">
        <v>34.090909090909001</v>
      </c>
      <c r="J8">
        <v>306.81818181818096</v>
      </c>
    </row>
    <row r="9" spans="2:10">
      <c r="B9">
        <v>2.4</v>
      </c>
      <c r="C9">
        <v>6641.99999999999</v>
      </c>
      <c r="D9">
        <v>6480</v>
      </c>
      <c r="E9">
        <v>32.450000000000003</v>
      </c>
      <c r="F9">
        <v>45</v>
      </c>
      <c r="G9">
        <v>1.2</v>
      </c>
      <c r="H9">
        <v>45</v>
      </c>
      <c r="I9">
        <v>31.250000000000004</v>
      </c>
      <c r="J9">
        <v>281.25</v>
      </c>
    </row>
    <row r="10" spans="2:10">
      <c r="B10">
        <v>2.6</v>
      </c>
      <c r="C10">
        <v>7195.49999999999</v>
      </c>
      <c r="D10">
        <v>7020</v>
      </c>
      <c r="E10">
        <v>30.146153846153801</v>
      </c>
      <c r="F10">
        <v>45</v>
      </c>
      <c r="G10">
        <v>1.3</v>
      </c>
      <c r="H10">
        <v>45</v>
      </c>
      <c r="I10">
        <v>28.846153846153801</v>
      </c>
      <c r="J10">
        <v>259.61538461538402</v>
      </c>
    </row>
    <row r="11" spans="2:10">
      <c r="B11">
        <v>2.8</v>
      </c>
      <c r="C11">
        <v>7749</v>
      </c>
      <c r="D11">
        <v>7560</v>
      </c>
      <c r="E11">
        <v>28.185714285714202</v>
      </c>
      <c r="F11">
        <v>45</v>
      </c>
      <c r="G11">
        <v>1.4</v>
      </c>
      <c r="H11">
        <v>45</v>
      </c>
      <c r="I11">
        <v>26.785714285714203</v>
      </c>
      <c r="J11">
        <v>241.07142857142799</v>
      </c>
    </row>
    <row r="12" spans="2:10">
      <c r="B12">
        <v>3</v>
      </c>
      <c r="C12">
        <v>8302.5</v>
      </c>
      <c r="D12">
        <v>8100</v>
      </c>
      <c r="E12">
        <v>26.499999999999901</v>
      </c>
      <c r="F12">
        <v>45</v>
      </c>
      <c r="G12">
        <v>1.5</v>
      </c>
      <c r="H12">
        <v>45</v>
      </c>
      <c r="I12">
        <v>24.999999999999901</v>
      </c>
      <c r="J12">
        <v>224.99999999999901</v>
      </c>
    </row>
    <row r="13" spans="2:10">
      <c r="B13">
        <v>3.2</v>
      </c>
      <c r="C13">
        <v>8856</v>
      </c>
      <c r="D13">
        <v>8640</v>
      </c>
      <c r="E13">
        <v>25.037499999999898</v>
      </c>
      <c r="F13">
        <v>45</v>
      </c>
      <c r="G13">
        <v>1.6</v>
      </c>
      <c r="H13">
        <v>45</v>
      </c>
      <c r="I13">
        <v>23.437499999999897</v>
      </c>
      <c r="J13">
        <v>210.93749999999901</v>
      </c>
    </row>
    <row r="14" spans="2:10">
      <c r="B14">
        <v>3.4</v>
      </c>
      <c r="C14">
        <v>9409.5</v>
      </c>
      <c r="D14">
        <v>9180</v>
      </c>
      <c r="E14">
        <v>23.7588235294117</v>
      </c>
      <c r="F14">
        <v>45</v>
      </c>
      <c r="G14">
        <v>1.7</v>
      </c>
      <c r="H14">
        <v>45</v>
      </c>
      <c r="I14">
        <v>22.058823529411701</v>
      </c>
      <c r="J14">
        <v>198.529411764705</v>
      </c>
    </row>
    <row r="15" spans="2:10">
      <c r="B15">
        <v>3.6</v>
      </c>
      <c r="C15">
        <v>9963</v>
      </c>
      <c r="D15">
        <v>9720</v>
      </c>
      <c r="E15">
        <v>22.633333333333301</v>
      </c>
      <c r="F15">
        <v>45</v>
      </c>
      <c r="G15">
        <v>1.8</v>
      </c>
      <c r="H15">
        <v>45</v>
      </c>
      <c r="I15">
        <v>20.8333333333333</v>
      </c>
      <c r="J15">
        <v>187.49999999999898</v>
      </c>
    </row>
    <row r="16" spans="2:10">
      <c r="B16">
        <v>3.8</v>
      </c>
      <c r="C16">
        <v>10516.5</v>
      </c>
      <c r="D16">
        <v>10260</v>
      </c>
      <c r="E16">
        <v>21.636842105263099</v>
      </c>
      <c r="F16">
        <v>45</v>
      </c>
      <c r="G16">
        <v>1.9</v>
      </c>
      <c r="H16">
        <v>45</v>
      </c>
      <c r="I16">
        <v>19.736842105263101</v>
      </c>
      <c r="J16">
        <v>177.63157894736798</v>
      </c>
    </row>
    <row r="17" spans="2:10">
      <c r="B17">
        <v>4</v>
      </c>
      <c r="C17">
        <v>11070</v>
      </c>
      <c r="D17">
        <v>10800</v>
      </c>
      <c r="E17">
        <v>20.749999999999901</v>
      </c>
      <c r="F17">
        <v>45</v>
      </c>
      <c r="G17">
        <v>2</v>
      </c>
      <c r="H17">
        <v>45</v>
      </c>
      <c r="I17">
        <v>18.749999999999901</v>
      </c>
      <c r="J17">
        <v>168.74999999999901</v>
      </c>
    </row>
    <row r="18" spans="2:10">
      <c r="B18">
        <v>4.2</v>
      </c>
      <c r="C18">
        <v>11623.5</v>
      </c>
      <c r="D18">
        <v>11340</v>
      </c>
      <c r="E18">
        <v>19.957142857142799</v>
      </c>
      <c r="F18">
        <v>45</v>
      </c>
      <c r="G18">
        <v>2.1</v>
      </c>
      <c r="H18">
        <v>45</v>
      </c>
      <c r="I18">
        <v>17.857142857142797</v>
      </c>
      <c r="J18">
        <v>160.71428571428501</v>
      </c>
    </row>
    <row r="19" spans="2:10">
      <c r="B19">
        <v>4.4000000000000004</v>
      </c>
      <c r="C19">
        <v>12177</v>
      </c>
      <c r="D19">
        <v>11880</v>
      </c>
      <c r="E19">
        <v>19.2454545454545</v>
      </c>
      <c r="F19">
        <v>45</v>
      </c>
      <c r="G19">
        <v>2.2000000000000002</v>
      </c>
      <c r="H19">
        <v>45</v>
      </c>
      <c r="I19">
        <v>17.045454545454501</v>
      </c>
      <c r="J19">
        <v>153.40909090909003</v>
      </c>
    </row>
    <row r="20" spans="2:10">
      <c r="B20">
        <v>4.5999999999999996</v>
      </c>
      <c r="C20">
        <v>12730.5</v>
      </c>
      <c r="D20">
        <v>12420</v>
      </c>
      <c r="E20">
        <v>18.604347826086901</v>
      </c>
      <c r="F20">
        <v>45</v>
      </c>
      <c r="G20">
        <v>2.2999999999999998</v>
      </c>
      <c r="H20">
        <v>45</v>
      </c>
      <c r="I20">
        <v>16.3043478260869</v>
      </c>
      <c r="J20">
        <v>146.739130434782</v>
      </c>
    </row>
    <row r="21" spans="2:10">
      <c r="B21">
        <v>4.8</v>
      </c>
      <c r="C21">
        <v>13284</v>
      </c>
      <c r="D21">
        <v>12960</v>
      </c>
      <c r="E21">
        <v>18.024999999999899</v>
      </c>
      <c r="F21">
        <v>45</v>
      </c>
      <c r="G21">
        <v>2.4</v>
      </c>
      <c r="H21">
        <v>45</v>
      </c>
      <c r="I21">
        <v>15.624999999999899</v>
      </c>
      <c r="J21">
        <v>140.62499999999901</v>
      </c>
    </row>
    <row r="22" spans="2:10">
      <c r="B22">
        <v>5</v>
      </c>
      <c r="C22">
        <v>13837.5</v>
      </c>
      <c r="D22">
        <v>13500</v>
      </c>
      <c r="E22">
        <v>17.499999999999901</v>
      </c>
      <c r="F22">
        <v>45</v>
      </c>
      <c r="G22">
        <v>2.5</v>
      </c>
      <c r="H22">
        <v>45</v>
      </c>
      <c r="I22">
        <v>14.999999999999901</v>
      </c>
      <c r="J22">
        <v>134.99999999999901</v>
      </c>
    </row>
    <row r="23" spans="2:10">
      <c r="B23">
        <v>5.2</v>
      </c>
      <c r="C23">
        <v>14391</v>
      </c>
      <c r="D23">
        <v>14040</v>
      </c>
      <c r="E23">
        <v>17.0230769230769</v>
      </c>
      <c r="F23">
        <v>45</v>
      </c>
      <c r="G23">
        <v>2.6</v>
      </c>
      <c r="H23">
        <v>45</v>
      </c>
      <c r="I23">
        <v>14.4230769230769</v>
      </c>
      <c r="J23">
        <v>129.80769230769201</v>
      </c>
    </row>
    <row r="24" spans="2:10">
      <c r="B24">
        <v>5.4</v>
      </c>
      <c r="C24">
        <v>14944.5</v>
      </c>
      <c r="D24">
        <v>14580</v>
      </c>
      <c r="E24">
        <v>16.5888888888888</v>
      </c>
      <c r="F24">
        <v>45</v>
      </c>
      <c r="G24">
        <v>2.7</v>
      </c>
      <c r="H24">
        <v>45</v>
      </c>
      <c r="I24">
        <v>13.8888888888888</v>
      </c>
      <c r="J24">
        <v>124.99999999999899</v>
      </c>
    </row>
    <row r="25" spans="2:10">
      <c r="B25">
        <v>5.6</v>
      </c>
      <c r="C25">
        <v>15498</v>
      </c>
      <c r="D25">
        <v>15120</v>
      </c>
      <c r="E25">
        <v>16.1928571428571</v>
      </c>
      <c r="F25">
        <v>45</v>
      </c>
      <c r="G25">
        <v>2.8</v>
      </c>
      <c r="H25">
        <v>45</v>
      </c>
      <c r="I25">
        <v>13.3928571428571</v>
      </c>
      <c r="J25">
        <v>120.53571428571401</v>
      </c>
    </row>
    <row r="26" spans="2:10">
      <c r="B26">
        <v>5.8</v>
      </c>
      <c r="C26">
        <v>16051.5</v>
      </c>
      <c r="D26">
        <v>15660</v>
      </c>
      <c r="E26">
        <v>15.8310344827586</v>
      </c>
      <c r="F26">
        <v>45</v>
      </c>
      <c r="G26">
        <v>2.9</v>
      </c>
      <c r="H26">
        <v>45</v>
      </c>
      <c r="I26">
        <v>12.9310344827586</v>
      </c>
      <c r="J26">
        <v>116.37931034482699</v>
      </c>
    </row>
    <row r="27" spans="2:10">
      <c r="B27">
        <v>6</v>
      </c>
      <c r="C27">
        <v>16605</v>
      </c>
      <c r="D27">
        <v>16200</v>
      </c>
      <c r="E27">
        <v>15.499999999999901</v>
      </c>
      <c r="F27">
        <v>45</v>
      </c>
      <c r="G27">
        <v>3</v>
      </c>
      <c r="H27">
        <v>45</v>
      </c>
      <c r="I27">
        <v>12.499999999999901</v>
      </c>
      <c r="J27">
        <v>112.49999999999901</v>
      </c>
    </row>
    <row r="28" spans="2:10">
      <c r="B28">
        <v>6.2</v>
      </c>
      <c r="C28">
        <v>17158.5</v>
      </c>
      <c r="D28">
        <v>16740</v>
      </c>
      <c r="E28">
        <v>15.196774193548301</v>
      </c>
      <c r="F28">
        <v>45</v>
      </c>
      <c r="G28">
        <v>3.1</v>
      </c>
      <c r="H28">
        <v>45</v>
      </c>
      <c r="I28">
        <v>12.096774193548301</v>
      </c>
      <c r="J28">
        <v>108.870967741935</v>
      </c>
    </row>
    <row r="29" spans="2:10">
      <c r="B29">
        <v>6.4</v>
      </c>
      <c r="C29">
        <v>17712</v>
      </c>
      <c r="D29">
        <v>17280</v>
      </c>
      <c r="E29">
        <v>14.9187499999999</v>
      </c>
      <c r="F29">
        <v>45</v>
      </c>
      <c r="G29">
        <v>3.2</v>
      </c>
      <c r="H29">
        <v>45</v>
      </c>
      <c r="I29">
        <v>11.718749999999901</v>
      </c>
      <c r="J29">
        <v>105.46874999999899</v>
      </c>
    </row>
    <row r="30" spans="2:10">
      <c r="B30">
        <v>6.6</v>
      </c>
      <c r="C30">
        <v>18265.5</v>
      </c>
      <c r="D30">
        <v>17820</v>
      </c>
      <c r="E30">
        <v>14.6636363636363</v>
      </c>
      <c r="F30">
        <v>45</v>
      </c>
      <c r="G30">
        <v>3.3</v>
      </c>
      <c r="H30">
        <v>45</v>
      </c>
      <c r="I30">
        <v>11.363636363636299</v>
      </c>
      <c r="J30">
        <v>102.272727272727</v>
      </c>
    </row>
    <row r="31" spans="2:10">
      <c r="B31">
        <v>6.8</v>
      </c>
      <c r="C31">
        <v>18819</v>
      </c>
      <c r="D31">
        <v>18360</v>
      </c>
      <c r="E31">
        <v>14.429411764705799</v>
      </c>
      <c r="F31">
        <v>45</v>
      </c>
      <c r="G31">
        <v>3.4</v>
      </c>
      <c r="H31">
        <v>45</v>
      </c>
      <c r="I31">
        <v>11.029411764705799</v>
      </c>
      <c r="J31">
        <v>99.26470588235199</v>
      </c>
    </row>
    <row r="32" spans="2:10">
      <c r="B32">
        <v>7</v>
      </c>
      <c r="C32">
        <v>19372.5</v>
      </c>
      <c r="D32">
        <v>18900</v>
      </c>
      <c r="E32">
        <v>14.214285714285699</v>
      </c>
      <c r="F32">
        <v>45</v>
      </c>
      <c r="G32">
        <v>3.5</v>
      </c>
      <c r="H32">
        <v>45</v>
      </c>
      <c r="I32">
        <v>10.714285714285699</v>
      </c>
      <c r="J32">
        <v>96.428571428571303</v>
      </c>
    </row>
    <row r="33" spans="2:10">
      <c r="B33">
        <v>7.2</v>
      </c>
      <c r="C33">
        <v>19926</v>
      </c>
      <c r="D33">
        <v>19440</v>
      </c>
      <c r="E33">
        <v>14.0166666666666</v>
      </c>
      <c r="F33">
        <v>45</v>
      </c>
      <c r="G33">
        <v>3.6</v>
      </c>
      <c r="H33">
        <v>45</v>
      </c>
      <c r="I33">
        <v>10.4166666666666</v>
      </c>
      <c r="J33">
        <v>93.749999999999901</v>
      </c>
    </row>
    <row r="34" spans="2:10">
      <c r="B34">
        <v>7.4</v>
      </c>
      <c r="C34">
        <v>20479.5</v>
      </c>
      <c r="D34">
        <v>19980</v>
      </c>
      <c r="E34">
        <v>13.835135135135101</v>
      </c>
      <c r="F34">
        <v>45</v>
      </c>
      <c r="G34">
        <v>3.7</v>
      </c>
      <c r="H34">
        <v>45</v>
      </c>
      <c r="I34">
        <v>10.135135135135101</v>
      </c>
      <c r="J34">
        <v>91.216216216216097</v>
      </c>
    </row>
    <row r="35" spans="2:10">
      <c r="B35">
        <v>7.6</v>
      </c>
      <c r="C35">
        <v>21033</v>
      </c>
      <c r="D35">
        <v>20520</v>
      </c>
      <c r="E35">
        <v>13.6684210526315</v>
      </c>
      <c r="F35">
        <v>45</v>
      </c>
      <c r="G35">
        <v>3.8</v>
      </c>
      <c r="H35">
        <v>45</v>
      </c>
      <c r="I35">
        <v>9.8684210526315006</v>
      </c>
      <c r="J35">
        <v>88.815789473684106</v>
      </c>
    </row>
    <row r="36" spans="2:10">
      <c r="B36">
        <v>7.8</v>
      </c>
      <c r="C36">
        <v>21586.5</v>
      </c>
      <c r="D36">
        <v>21060</v>
      </c>
      <c r="E36">
        <v>13.515384615384599</v>
      </c>
      <c r="F36">
        <v>45</v>
      </c>
      <c r="G36">
        <v>3.9</v>
      </c>
      <c r="H36">
        <v>45</v>
      </c>
      <c r="I36">
        <v>9.615384615384599</v>
      </c>
      <c r="J36">
        <v>86.53846153846149</v>
      </c>
    </row>
    <row r="37" spans="2:10">
      <c r="B37">
        <v>8</v>
      </c>
      <c r="C37">
        <v>22140</v>
      </c>
      <c r="D37">
        <v>21600</v>
      </c>
      <c r="E37">
        <v>13.374999999999901</v>
      </c>
      <c r="F37">
        <v>45</v>
      </c>
      <c r="G37">
        <v>4</v>
      </c>
      <c r="H37">
        <v>45</v>
      </c>
      <c r="I37">
        <v>9.3749999999999005</v>
      </c>
      <c r="J37">
        <v>84.374999999999901</v>
      </c>
    </row>
    <row r="38" spans="2:10">
      <c r="B38">
        <v>8.1999999999999993</v>
      </c>
      <c r="C38">
        <v>22693.5</v>
      </c>
      <c r="D38">
        <v>22140</v>
      </c>
      <c r="E38">
        <v>13.2463414634146</v>
      </c>
      <c r="F38">
        <v>45</v>
      </c>
      <c r="G38">
        <v>4.0999999999999996</v>
      </c>
      <c r="H38">
        <v>45</v>
      </c>
      <c r="I38">
        <v>9.1463414634146005</v>
      </c>
      <c r="J38">
        <v>82.317073170731604</v>
      </c>
    </row>
    <row r="39" spans="2:10">
      <c r="B39">
        <v>8.4</v>
      </c>
      <c r="C39">
        <v>23247</v>
      </c>
      <c r="D39">
        <v>22680</v>
      </c>
      <c r="E39">
        <v>13.1285714285714</v>
      </c>
      <c r="F39">
        <v>45</v>
      </c>
      <c r="G39">
        <v>4.2</v>
      </c>
      <c r="H39">
        <v>45</v>
      </c>
      <c r="I39">
        <v>8.9285714285713986</v>
      </c>
      <c r="J39">
        <v>80.35714285714279</v>
      </c>
    </row>
    <row r="40" spans="2:10">
      <c r="B40">
        <v>8.6</v>
      </c>
      <c r="C40">
        <v>23800.5</v>
      </c>
      <c r="D40">
        <v>23220</v>
      </c>
      <c r="E40">
        <v>13.020930232558101</v>
      </c>
      <c r="F40">
        <v>45</v>
      </c>
      <c r="G40">
        <v>4.3</v>
      </c>
      <c r="H40">
        <v>45</v>
      </c>
      <c r="I40">
        <v>8.7209302325581</v>
      </c>
      <c r="J40">
        <v>78.488372093023202</v>
      </c>
    </row>
    <row r="41" spans="2:10">
      <c r="B41">
        <v>8.8000000000000007</v>
      </c>
      <c r="C41">
        <v>24353.999999999902</v>
      </c>
      <c r="D41">
        <v>23760</v>
      </c>
      <c r="E41">
        <v>12.922727272727199</v>
      </c>
      <c r="F41">
        <v>45</v>
      </c>
      <c r="G41">
        <v>4.4000000000000004</v>
      </c>
      <c r="H41">
        <v>45</v>
      </c>
      <c r="I41">
        <v>8.5227272727271988</v>
      </c>
      <c r="J41">
        <v>76.704545454545396</v>
      </c>
    </row>
    <row r="42" spans="2:10">
      <c r="B42">
        <v>9</v>
      </c>
      <c r="C42">
        <v>24907.499999999902</v>
      </c>
      <c r="D42">
        <v>24300</v>
      </c>
      <c r="E42">
        <v>12.8333333333333</v>
      </c>
      <c r="F42">
        <v>45</v>
      </c>
      <c r="G42">
        <v>4.5</v>
      </c>
      <c r="H42">
        <v>45</v>
      </c>
      <c r="I42">
        <v>8.3333333333333002</v>
      </c>
      <c r="J42">
        <v>75</v>
      </c>
    </row>
    <row r="43" spans="2:10">
      <c r="B43">
        <v>9.1999999999999993</v>
      </c>
      <c r="C43">
        <v>25460.999999999902</v>
      </c>
      <c r="D43">
        <v>24840</v>
      </c>
      <c r="E43">
        <v>12.7521739130434</v>
      </c>
      <c r="F43">
        <v>45</v>
      </c>
      <c r="G43">
        <v>4.5999999999999996</v>
      </c>
      <c r="H43">
        <v>45</v>
      </c>
      <c r="I43">
        <v>8.1521739130434003</v>
      </c>
      <c r="J43">
        <v>73.369565217391212</v>
      </c>
    </row>
    <row r="44" spans="2:10">
      <c r="B44">
        <v>9.3999999999999897</v>
      </c>
      <c r="C44">
        <v>26014.499999999902</v>
      </c>
      <c r="D44">
        <v>25379.999999999902</v>
      </c>
      <c r="E44">
        <v>12.678723404255299</v>
      </c>
      <c r="F44">
        <v>45</v>
      </c>
      <c r="G44">
        <v>4.6999999999999904</v>
      </c>
      <c r="H44">
        <v>45</v>
      </c>
      <c r="I44">
        <v>7.9787234042553088</v>
      </c>
      <c r="J44">
        <v>71.808510638297818</v>
      </c>
    </row>
    <row r="45" spans="2:10">
      <c r="B45">
        <v>9.5999999999999908</v>
      </c>
      <c r="C45">
        <v>26567.999999999902</v>
      </c>
      <c r="D45">
        <v>25919.999999999902</v>
      </c>
      <c r="E45">
        <v>12.612499999999899</v>
      </c>
      <c r="F45">
        <v>45</v>
      </c>
      <c r="G45">
        <v>4.7999999999999901</v>
      </c>
      <c r="H45">
        <v>45</v>
      </c>
      <c r="I45">
        <v>7.8124999999999094</v>
      </c>
      <c r="J45">
        <v>70.3125</v>
      </c>
    </row>
    <row r="46" spans="2:10">
      <c r="B46">
        <v>9.7999999999999901</v>
      </c>
      <c r="C46">
        <v>27121.499999999902</v>
      </c>
      <c r="D46">
        <v>26459.999999999902</v>
      </c>
      <c r="E46">
        <v>12.553061224489699</v>
      </c>
      <c r="F46">
        <v>45</v>
      </c>
      <c r="G46">
        <v>4.8999999999999897</v>
      </c>
      <c r="H46">
        <v>45</v>
      </c>
      <c r="I46">
        <v>7.6530612244897096</v>
      </c>
      <c r="J46">
        <v>68.877551020408205</v>
      </c>
    </row>
    <row r="47" spans="2:10">
      <c r="B47">
        <v>9.9999999999999893</v>
      </c>
      <c r="C47">
        <v>27674.999999999902</v>
      </c>
      <c r="D47">
        <v>26999.999999999902</v>
      </c>
      <c r="E47">
        <v>12.5</v>
      </c>
      <c r="F47">
        <v>45</v>
      </c>
      <c r="G47">
        <v>4.9999999999999902</v>
      </c>
      <c r="H47">
        <v>45</v>
      </c>
      <c r="I47">
        <v>7.5000000000000098</v>
      </c>
      <c r="J47">
        <v>67.500000000000014</v>
      </c>
    </row>
    <row r="48" spans="2:10">
      <c r="B48">
        <v>10.1999999999999</v>
      </c>
      <c r="C48">
        <v>28228.499999999902</v>
      </c>
      <c r="D48">
        <v>27539.999999999902</v>
      </c>
      <c r="E48">
        <v>12.4529411764705</v>
      </c>
      <c r="F48">
        <v>45</v>
      </c>
      <c r="G48">
        <v>5.0999999999999899</v>
      </c>
      <c r="H48">
        <v>45</v>
      </c>
      <c r="I48">
        <v>7.3529411764705097</v>
      </c>
      <c r="J48">
        <v>66.176470588235304</v>
      </c>
    </row>
    <row r="49" spans="2:10">
      <c r="B49">
        <v>10.399999999999901</v>
      </c>
      <c r="C49">
        <v>28781.999999999902</v>
      </c>
      <c r="D49">
        <v>28079.999999999902</v>
      </c>
      <c r="E49">
        <v>12.411538461538401</v>
      </c>
      <c r="F49">
        <v>45</v>
      </c>
      <c r="G49">
        <v>5.1999999999999904</v>
      </c>
      <c r="H49">
        <v>45</v>
      </c>
      <c r="I49">
        <v>7.2115384615384102</v>
      </c>
      <c r="J49">
        <v>64.903846153846118</v>
      </c>
    </row>
    <row r="50" spans="2:10">
      <c r="B50">
        <v>10.5999999999999</v>
      </c>
      <c r="C50">
        <v>29335.499999999902</v>
      </c>
      <c r="D50">
        <v>28619.999999999902</v>
      </c>
      <c r="E50">
        <v>12.3754716981132</v>
      </c>
      <c r="F50">
        <v>45</v>
      </c>
      <c r="G50">
        <v>5.2999999999999901</v>
      </c>
      <c r="H50">
        <v>45</v>
      </c>
      <c r="I50">
        <v>7.0754716981132102</v>
      </c>
      <c r="J50">
        <v>63.679245283018908</v>
      </c>
    </row>
    <row r="51" spans="2:10">
      <c r="B51">
        <v>10.799999999999899</v>
      </c>
      <c r="C51">
        <v>29888.999999999902</v>
      </c>
      <c r="D51">
        <v>29159.999999999902</v>
      </c>
      <c r="E51">
        <v>12.344444444444401</v>
      </c>
      <c r="F51">
        <v>45</v>
      </c>
      <c r="G51">
        <v>5.3999999999999897</v>
      </c>
      <c r="H51">
        <v>45</v>
      </c>
      <c r="I51">
        <v>6.9444444444444109</v>
      </c>
      <c r="J51">
        <v>62.500000000000014</v>
      </c>
    </row>
    <row r="52" spans="2:10">
      <c r="B52">
        <v>10.999999999999901</v>
      </c>
      <c r="C52">
        <v>30442.499999999902</v>
      </c>
      <c r="D52">
        <v>29699.999999999902</v>
      </c>
      <c r="E52">
        <v>12.318181818181801</v>
      </c>
      <c r="F52">
        <v>45</v>
      </c>
      <c r="G52">
        <v>5.4999999999999902</v>
      </c>
      <c r="H52">
        <v>45</v>
      </c>
      <c r="I52">
        <v>6.8181818181818103</v>
      </c>
      <c r="J52">
        <v>61.363636363636409</v>
      </c>
    </row>
    <row r="53" spans="2:10">
      <c r="B53">
        <v>11.1999999999999</v>
      </c>
      <c r="C53">
        <v>30995.999999999902</v>
      </c>
      <c r="D53">
        <v>30239.999999999902</v>
      </c>
      <c r="E53">
        <v>12.2964285714285</v>
      </c>
      <c r="F53">
        <v>45</v>
      </c>
      <c r="G53">
        <v>5.5999999999999899</v>
      </c>
      <c r="H53">
        <v>45</v>
      </c>
      <c r="I53">
        <v>6.6964285714285099</v>
      </c>
      <c r="J53">
        <v>60.267857142857117</v>
      </c>
    </row>
    <row r="54" spans="2:10">
      <c r="B54">
        <v>11.399999999999901</v>
      </c>
      <c r="C54">
        <v>31549.499999999902</v>
      </c>
      <c r="D54">
        <v>30779.999999999902</v>
      </c>
      <c r="E54">
        <v>12.278947368421001</v>
      </c>
      <c r="F54">
        <v>45</v>
      </c>
      <c r="G54">
        <v>5.6999999999999904</v>
      </c>
      <c r="H54">
        <v>45</v>
      </c>
      <c r="I54">
        <v>6.5789473684210105</v>
      </c>
      <c r="J54">
        <v>59.210526315789508</v>
      </c>
    </row>
    <row r="55" spans="2:10">
      <c r="B55">
        <v>11.5999999999999</v>
      </c>
      <c r="C55">
        <v>32102.999999999902</v>
      </c>
      <c r="D55">
        <v>31319.999999999902</v>
      </c>
      <c r="E55">
        <v>12.2655172413793</v>
      </c>
      <c r="F55">
        <v>45</v>
      </c>
      <c r="G55">
        <v>5.7999999999999901</v>
      </c>
      <c r="H55">
        <v>45</v>
      </c>
      <c r="I55">
        <v>6.4655172413793096</v>
      </c>
      <c r="J55">
        <v>58.189655172413808</v>
      </c>
    </row>
    <row r="56" spans="2:10">
      <c r="B56">
        <v>11.799999999999899</v>
      </c>
      <c r="C56">
        <v>32656.499999999902</v>
      </c>
      <c r="D56">
        <v>31859.999999999902</v>
      </c>
      <c r="E56">
        <v>12.255932203389801</v>
      </c>
      <c r="F56">
        <v>45</v>
      </c>
      <c r="G56">
        <v>5.8999999999999897</v>
      </c>
      <c r="H56">
        <v>45</v>
      </c>
      <c r="I56">
        <v>6.3559322033898109</v>
      </c>
      <c r="J56">
        <v>57.203389830508506</v>
      </c>
    </row>
    <row r="57" spans="2:10">
      <c r="B57">
        <v>11.999999999999901</v>
      </c>
      <c r="C57">
        <v>33209.999999999898</v>
      </c>
      <c r="D57">
        <v>32399.999999999902</v>
      </c>
      <c r="E57">
        <v>12.25</v>
      </c>
      <c r="F57">
        <v>45</v>
      </c>
      <c r="G57">
        <v>5.9999999999999902</v>
      </c>
      <c r="H57">
        <v>45</v>
      </c>
      <c r="I57">
        <v>6.2500000000000098</v>
      </c>
      <c r="J57">
        <v>56.250000000000007</v>
      </c>
    </row>
    <row r="58" spans="2:10">
      <c r="B58">
        <v>12.1999999999999</v>
      </c>
      <c r="C58">
        <v>33763.499999999898</v>
      </c>
      <c r="D58">
        <v>32939.999999999898</v>
      </c>
      <c r="E58">
        <v>12.2475409836065</v>
      </c>
      <c r="F58">
        <v>45</v>
      </c>
      <c r="G58">
        <v>6.0999999999999899</v>
      </c>
      <c r="H58">
        <v>45</v>
      </c>
      <c r="I58">
        <v>6.1475409836065102</v>
      </c>
      <c r="J58">
        <v>55.327868852459012</v>
      </c>
    </row>
    <row r="59" spans="2:10">
      <c r="B59">
        <v>12.399999999999901</v>
      </c>
      <c r="C59">
        <v>34316.999999999898</v>
      </c>
      <c r="D59">
        <v>33479.999999999898</v>
      </c>
      <c r="E59">
        <v>12.248387096774101</v>
      </c>
      <c r="F59">
        <v>45</v>
      </c>
      <c r="G59">
        <v>6.1999999999999904</v>
      </c>
      <c r="H59">
        <v>45</v>
      </c>
      <c r="I59">
        <v>6.0483870967741105</v>
      </c>
      <c r="J59">
        <v>54.435483870967708</v>
      </c>
    </row>
    <row r="60" spans="2:10">
      <c r="B60">
        <v>12.5999999999999</v>
      </c>
      <c r="C60">
        <v>34870.499999999898</v>
      </c>
      <c r="D60">
        <v>34019.999999999898</v>
      </c>
      <c r="E60">
        <v>12.2523809523809</v>
      </c>
      <c r="F60">
        <v>45</v>
      </c>
      <c r="G60">
        <v>6.2999999999999901</v>
      </c>
      <c r="H60">
        <v>45</v>
      </c>
      <c r="I60">
        <v>5.9523809523809099</v>
      </c>
      <c r="J60">
        <v>53.571428571428612</v>
      </c>
    </row>
    <row r="61" spans="2:10">
      <c r="B61">
        <v>12.799999999999899</v>
      </c>
      <c r="C61">
        <v>35423.999999999898</v>
      </c>
      <c r="D61">
        <v>34559.999999999898</v>
      </c>
      <c r="E61">
        <v>12.259374999999901</v>
      </c>
      <c r="F61">
        <v>45</v>
      </c>
      <c r="G61">
        <v>6.3999999999999897</v>
      </c>
      <c r="H61">
        <v>45</v>
      </c>
      <c r="I61">
        <v>5.8593749999999112</v>
      </c>
      <c r="J61">
        <v>52.734375000000007</v>
      </c>
    </row>
    <row r="62" spans="2:10">
      <c r="B62">
        <v>12.999999999999901</v>
      </c>
      <c r="C62">
        <v>35977.499999999898</v>
      </c>
      <c r="D62">
        <v>35099.999999999898</v>
      </c>
      <c r="E62">
        <v>12.269230769230701</v>
      </c>
      <c r="F62">
        <v>45</v>
      </c>
      <c r="G62">
        <v>6.4999999999999902</v>
      </c>
      <c r="H62">
        <v>45</v>
      </c>
      <c r="I62">
        <v>5.7692307692307105</v>
      </c>
      <c r="J62">
        <v>51.923076923076906</v>
      </c>
    </row>
    <row r="63" spans="2:10">
      <c r="B63">
        <v>13.1999999999999</v>
      </c>
      <c r="C63">
        <v>36530.999999999898</v>
      </c>
      <c r="D63">
        <v>35639.999999999898</v>
      </c>
      <c r="E63">
        <v>12.2818181818181</v>
      </c>
      <c r="F63">
        <v>45</v>
      </c>
      <c r="G63">
        <v>6.5999999999999899</v>
      </c>
      <c r="H63">
        <v>45</v>
      </c>
      <c r="I63">
        <v>5.6818181818181097</v>
      </c>
      <c r="J63">
        <v>51.136363636363612</v>
      </c>
    </row>
    <row r="64" spans="2:10">
      <c r="B64">
        <v>13.399999999999901</v>
      </c>
      <c r="C64">
        <v>37084.499999999898</v>
      </c>
      <c r="D64">
        <v>36179.999999999898</v>
      </c>
      <c r="E64">
        <v>12.2970149253731</v>
      </c>
      <c r="F64">
        <v>45</v>
      </c>
      <c r="G64">
        <v>6.6999999999999904</v>
      </c>
      <c r="H64">
        <v>45</v>
      </c>
      <c r="I64">
        <v>5.5970149253731094</v>
      </c>
      <c r="J64">
        <v>50.373134328358212</v>
      </c>
    </row>
    <row r="65" spans="2:10">
      <c r="B65">
        <v>13.5999999999999</v>
      </c>
      <c r="C65">
        <v>37637.999999999898</v>
      </c>
      <c r="D65">
        <v>36719.999999999898</v>
      </c>
      <c r="E65">
        <v>12.3147058823529</v>
      </c>
      <c r="F65">
        <v>45</v>
      </c>
      <c r="G65">
        <v>6.7999999999999901</v>
      </c>
      <c r="H65">
        <v>45</v>
      </c>
      <c r="I65">
        <v>5.51470588235291</v>
      </c>
      <c r="J65">
        <v>49.632352941176507</v>
      </c>
    </row>
    <row r="66" spans="2:10">
      <c r="B66">
        <v>13.799999999999899</v>
      </c>
      <c r="C66">
        <v>38191.499999999898</v>
      </c>
      <c r="D66">
        <v>37259.999999999898</v>
      </c>
      <c r="E66">
        <v>12.334782608695599</v>
      </c>
      <c r="F66">
        <v>45</v>
      </c>
      <c r="G66">
        <v>6.8999999999999897</v>
      </c>
      <c r="H66">
        <v>45</v>
      </c>
      <c r="I66">
        <v>5.4347826086956097</v>
      </c>
      <c r="J66">
        <v>48.91304347826091</v>
      </c>
    </row>
    <row r="67" spans="2:10">
      <c r="B67">
        <v>13.999999999999901</v>
      </c>
      <c r="C67">
        <v>38744.999999999898</v>
      </c>
      <c r="D67">
        <v>37799.999999999898</v>
      </c>
      <c r="E67">
        <v>12.357142857142801</v>
      </c>
      <c r="F67">
        <v>45</v>
      </c>
      <c r="G67">
        <v>6.9999999999999902</v>
      </c>
      <c r="H67">
        <v>45</v>
      </c>
      <c r="I67">
        <v>5.3571428571428106</v>
      </c>
      <c r="J67">
        <v>48.214285714285708</v>
      </c>
    </row>
    <row r="68" spans="2:10">
      <c r="B68">
        <v>14.1999999999999</v>
      </c>
      <c r="C68">
        <v>39298.499999999898</v>
      </c>
      <c r="D68">
        <v>38339.999999999898</v>
      </c>
      <c r="E68">
        <v>12.381690140845</v>
      </c>
      <c r="F68">
        <v>45</v>
      </c>
      <c r="G68">
        <v>7.0999999999999899</v>
      </c>
      <c r="H68">
        <v>45</v>
      </c>
      <c r="I68">
        <v>5.2816901408450105</v>
      </c>
      <c r="J68">
        <v>47.535211267605611</v>
      </c>
    </row>
    <row r="69" spans="2:10">
      <c r="B69">
        <v>14.399999999999901</v>
      </c>
      <c r="C69">
        <v>39851.999999999898</v>
      </c>
      <c r="D69">
        <v>38879.999999999898</v>
      </c>
      <c r="E69">
        <v>12.408333333333299</v>
      </c>
      <c r="F69">
        <v>45</v>
      </c>
      <c r="G69">
        <v>7.1999999999999904</v>
      </c>
      <c r="H69">
        <v>45</v>
      </c>
      <c r="I69">
        <v>5.2083333333333091</v>
      </c>
      <c r="J69">
        <v>46.875000000000014</v>
      </c>
    </row>
    <row r="70" spans="2:10">
      <c r="B70">
        <v>14.5999999999999</v>
      </c>
      <c r="C70">
        <v>40405.499999999898</v>
      </c>
      <c r="D70">
        <v>39419.999999999898</v>
      </c>
      <c r="E70">
        <v>12.436986301369799</v>
      </c>
      <c r="F70">
        <v>45</v>
      </c>
      <c r="G70">
        <v>7.2999999999999901</v>
      </c>
      <c r="H70">
        <v>45</v>
      </c>
      <c r="I70">
        <v>5.1369863013698094</v>
      </c>
      <c r="J70">
        <v>46.23287671232881</v>
      </c>
    </row>
    <row r="71" spans="2:10">
      <c r="B71">
        <v>14.799999999999899</v>
      </c>
      <c r="C71">
        <v>40958.999999999898</v>
      </c>
      <c r="D71">
        <v>39959.999999999898</v>
      </c>
      <c r="E71">
        <v>12.4675675675675</v>
      </c>
      <c r="F71">
        <v>45</v>
      </c>
      <c r="G71">
        <v>7.3999999999999799</v>
      </c>
      <c r="H71">
        <v>45</v>
      </c>
      <c r="I71">
        <v>5.0675675675675196</v>
      </c>
      <c r="J71">
        <v>45.608108108108119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7C878-1E8B-41A7-88CB-3F85A0616EAA}">
  <sheetPr codeName="Sheet5"/>
  <dimension ref="A1:I943"/>
  <sheetViews>
    <sheetView zoomScaleNormal="100" workbookViewId="0">
      <selection activeCell="K18" sqref="K18"/>
    </sheetView>
  </sheetViews>
  <sheetFormatPr defaultRowHeight="15"/>
  <cols>
    <col min="1" max="1" width="10.85546875" bestFit="1" customWidth="1"/>
  </cols>
  <sheetData>
    <row r="1" spans="1:9">
      <c r="A1" t="s">
        <v>20</v>
      </c>
      <c r="B1" t="s">
        <v>330</v>
      </c>
      <c r="C1" t="s">
        <v>272</v>
      </c>
      <c r="I1">
        <v>1</v>
      </c>
    </row>
    <row r="2" spans="1:9">
      <c r="A2" t="s">
        <v>0</v>
      </c>
      <c r="B2" t="s">
        <v>12</v>
      </c>
      <c r="C2" t="s">
        <v>13</v>
      </c>
      <c r="D2" t="s">
        <v>14</v>
      </c>
      <c r="E2" t="s">
        <v>15</v>
      </c>
      <c r="F2" t="s">
        <v>16</v>
      </c>
      <c r="G2" t="s">
        <v>17</v>
      </c>
      <c r="H2" t="s">
        <v>18</v>
      </c>
      <c r="I2" t="s">
        <v>19</v>
      </c>
    </row>
    <row r="3" spans="1:9">
      <c r="A3">
        <v>0</v>
      </c>
      <c r="B3">
        <v>0.01</v>
      </c>
      <c r="C3">
        <v>0</v>
      </c>
      <c r="D3">
        <v>5</v>
      </c>
      <c r="E3">
        <v>0</v>
      </c>
      <c r="F3">
        <v>-10</v>
      </c>
      <c r="G3">
        <v>0</v>
      </c>
      <c r="H3">
        <v>0</v>
      </c>
      <c r="I3">
        <v>10</v>
      </c>
    </row>
    <row r="4" spans="1:9">
      <c r="A4">
        <v>0.5</v>
      </c>
      <c r="B4">
        <v>50</v>
      </c>
      <c r="C4">
        <v>0</v>
      </c>
      <c r="D4">
        <v>5</v>
      </c>
      <c r="E4">
        <v>0.25</v>
      </c>
      <c r="F4">
        <v>-10</v>
      </c>
      <c r="G4">
        <v>0</v>
      </c>
      <c r="H4">
        <v>0</v>
      </c>
      <c r="I4">
        <v>10</v>
      </c>
    </row>
    <row r="5" spans="1:9">
      <c r="A5">
        <v>1</v>
      </c>
      <c r="B5">
        <v>100</v>
      </c>
      <c r="C5">
        <v>0</v>
      </c>
      <c r="D5">
        <v>5</v>
      </c>
      <c r="E5">
        <v>0.5</v>
      </c>
      <c r="F5">
        <v>-10</v>
      </c>
      <c r="G5">
        <v>0</v>
      </c>
      <c r="H5">
        <v>0</v>
      </c>
      <c r="I5">
        <v>10</v>
      </c>
    </row>
    <row r="6" spans="1:9">
      <c r="A6">
        <v>1.5</v>
      </c>
      <c r="B6">
        <v>150</v>
      </c>
      <c r="C6">
        <v>0</v>
      </c>
      <c r="D6">
        <v>5</v>
      </c>
      <c r="E6">
        <v>0.75</v>
      </c>
      <c r="F6">
        <v>-10</v>
      </c>
      <c r="G6">
        <v>0</v>
      </c>
      <c r="H6">
        <v>0</v>
      </c>
      <c r="I6">
        <v>10</v>
      </c>
    </row>
    <row r="7" spans="1:9">
      <c r="A7">
        <v>2</v>
      </c>
      <c r="B7">
        <v>200</v>
      </c>
      <c r="C7">
        <v>0</v>
      </c>
      <c r="D7">
        <v>5</v>
      </c>
      <c r="E7">
        <v>1</v>
      </c>
      <c r="F7">
        <v>-10</v>
      </c>
      <c r="G7">
        <v>0</v>
      </c>
      <c r="H7">
        <v>0</v>
      </c>
      <c r="I7">
        <v>10</v>
      </c>
    </row>
    <row r="8" spans="1:9">
      <c r="A8">
        <v>2.5</v>
      </c>
      <c r="B8">
        <v>250</v>
      </c>
      <c r="C8">
        <v>0</v>
      </c>
      <c r="D8">
        <v>5</v>
      </c>
      <c r="E8">
        <v>1.25</v>
      </c>
      <c r="F8">
        <v>-10</v>
      </c>
      <c r="G8">
        <v>0</v>
      </c>
      <c r="H8">
        <v>0</v>
      </c>
      <c r="I8">
        <v>10</v>
      </c>
    </row>
    <row r="9" spans="1:9">
      <c r="A9">
        <v>3</v>
      </c>
      <c r="B9">
        <v>300</v>
      </c>
      <c r="C9">
        <v>0</v>
      </c>
      <c r="D9">
        <v>5</v>
      </c>
      <c r="E9">
        <v>1.5</v>
      </c>
      <c r="F9">
        <v>-10</v>
      </c>
      <c r="G9">
        <v>0</v>
      </c>
      <c r="H9">
        <v>0</v>
      </c>
      <c r="I9">
        <v>10</v>
      </c>
    </row>
    <row r="10" spans="1:9">
      <c r="A10">
        <v>3.5</v>
      </c>
      <c r="B10">
        <v>350</v>
      </c>
      <c r="C10">
        <v>0</v>
      </c>
      <c r="D10">
        <v>5</v>
      </c>
      <c r="E10">
        <v>1.75</v>
      </c>
      <c r="F10">
        <v>-10</v>
      </c>
      <c r="G10">
        <v>0</v>
      </c>
      <c r="H10">
        <v>0</v>
      </c>
      <c r="I10">
        <v>10</v>
      </c>
    </row>
    <row r="11" spans="1:9">
      <c r="A11">
        <v>4</v>
      </c>
      <c r="B11">
        <v>400</v>
      </c>
      <c r="C11">
        <v>0</v>
      </c>
      <c r="D11">
        <v>5</v>
      </c>
      <c r="E11">
        <v>2</v>
      </c>
      <c r="F11">
        <v>-10</v>
      </c>
      <c r="G11">
        <v>0</v>
      </c>
      <c r="H11">
        <v>0</v>
      </c>
      <c r="I11">
        <v>10</v>
      </c>
    </row>
    <row r="12" spans="1:9">
      <c r="A12">
        <v>4.5</v>
      </c>
      <c r="B12">
        <v>450</v>
      </c>
      <c r="C12">
        <v>0</v>
      </c>
      <c r="D12">
        <v>5</v>
      </c>
      <c r="E12">
        <v>2.25</v>
      </c>
      <c r="F12">
        <v>-10</v>
      </c>
      <c r="G12">
        <v>0</v>
      </c>
      <c r="H12">
        <v>0</v>
      </c>
      <c r="I12">
        <v>10</v>
      </c>
    </row>
    <row r="13" spans="1:9">
      <c r="A13">
        <v>5</v>
      </c>
      <c r="B13">
        <v>500</v>
      </c>
      <c r="C13">
        <v>0</v>
      </c>
      <c r="D13">
        <v>5</v>
      </c>
      <c r="E13">
        <v>2.5</v>
      </c>
      <c r="F13">
        <v>-10</v>
      </c>
      <c r="G13">
        <v>0</v>
      </c>
      <c r="H13">
        <v>0</v>
      </c>
      <c r="I13">
        <v>10</v>
      </c>
    </row>
    <row r="14" spans="1:9">
      <c r="A14">
        <v>5.5</v>
      </c>
      <c r="B14">
        <v>550</v>
      </c>
      <c r="C14">
        <v>0</v>
      </c>
      <c r="D14">
        <v>5</v>
      </c>
      <c r="E14">
        <v>2.75</v>
      </c>
      <c r="F14">
        <v>-10</v>
      </c>
      <c r="G14">
        <v>0</v>
      </c>
      <c r="H14">
        <v>0</v>
      </c>
      <c r="I14">
        <v>10</v>
      </c>
    </row>
    <row r="15" spans="1:9">
      <c r="A15">
        <v>6</v>
      </c>
      <c r="B15">
        <v>600</v>
      </c>
      <c r="C15">
        <v>0</v>
      </c>
      <c r="D15">
        <v>5</v>
      </c>
      <c r="E15">
        <v>3</v>
      </c>
      <c r="F15">
        <v>-10</v>
      </c>
      <c r="G15">
        <v>0</v>
      </c>
      <c r="H15">
        <v>0</v>
      </c>
      <c r="I15">
        <v>10</v>
      </c>
    </row>
    <row r="16" spans="1:9">
      <c r="A16">
        <v>6.5</v>
      </c>
      <c r="B16">
        <v>650</v>
      </c>
      <c r="C16">
        <v>0</v>
      </c>
      <c r="D16">
        <v>5</v>
      </c>
      <c r="E16">
        <v>3.25</v>
      </c>
      <c r="F16">
        <v>-10</v>
      </c>
      <c r="G16">
        <v>0</v>
      </c>
      <c r="H16">
        <v>0</v>
      </c>
      <c r="I16">
        <v>10</v>
      </c>
    </row>
    <row r="17" spans="1:9">
      <c r="A17">
        <v>7</v>
      </c>
      <c r="B17">
        <v>700</v>
      </c>
      <c r="C17">
        <v>0</v>
      </c>
      <c r="D17">
        <v>5</v>
      </c>
      <c r="E17">
        <v>3.5</v>
      </c>
      <c r="F17">
        <v>-10</v>
      </c>
      <c r="G17">
        <v>0</v>
      </c>
      <c r="H17">
        <v>0</v>
      </c>
      <c r="I17">
        <v>10</v>
      </c>
    </row>
    <row r="18" spans="1:9">
      <c r="A18">
        <v>7.5</v>
      </c>
      <c r="B18">
        <v>750</v>
      </c>
      <c r="C18">
        <v>0</v>
      </c>
      <c r="D18">
        <v>5</v>
      </c>
      <c r="E18">
        <v>3.75</v>
      </c>
      <c r="F18">
        <v>-10</v>
      </c>
      <c r="G18">
        <v>0</v>
      </c>
      <c r="H18">
        <v>0</v>
      </c>
      <c r="I18">
        <v>10</v>
      </c>
    </row>
    <row r="19" spans="1:9">
      <c r="A19">
        <v>8</v>
      </c>
      <c r="B19">
        <v>800</v>
      </c>
      <c r="C19">
        <v>0</v>
      </c>
      <c r="D19">
        <v>5</v>
      </c>
      <c r="E19">
        <v>4</v>
      </c>
      <c r="F19">
        <v>-10</v>
      </c>
      <c r="G19">
        <v>0</v>
      </c>
      <c r="H19">
        <v>0</v>
      </c>
      <c r="I19">
        <v>10</v>
      </c>
    </row>
    <row r="20" spans="1:9">
      <c r="A20">
        <v>8.5</v>
      </c>
      <c r="B20">
        <v>850</v>
      </c>
      <c r="C20">
        <v>0</v>
      </c>
      <c r="D20">
        <v>5</v>
      </c>
      <c r="E20">
        <v>4.25</v>
      </c>
      <c r="F20">
        <v>-10</v>
      </c>
      <c r="G20">
        <v>0</v>
      </c>
      <c r="H20">
        <v>0</v>
      </c>
      <c r="I20">
        <v>10</v>
      </c>
    </row>
    <row r="21" spans="1:9">
      <c r="A21">
        <v>9</v>
      </c>
      <c r="B21">
        <v>900</v>
      </c>
      <c r="C21">
        <v>0</v>
      </c>
      <c r="D21">
        <v>5</v>
      </c>
      <c r="E21">
        <v>4.5</v>
      </c>
      <c r="F21">
        <v>-10</v>
      </c>
      <c r="G21">
        <v>0</v>
      </c>
      <c r="H21">
        <v>0</v>
      </c>
      <c r="I21">
        <v>10</v>
      </c>
    </row>
    <row r="22" spans="1:9">
      <c r="A22">
        <v>9.5</v>
      </c>
      <c r="B22">
        <v>950</v>
      </c>
      <c r="C22">
        <v>0</v>
      </c>
      <c r="D22">
        <v>5</v>
      </c>
      <c r="E22">
        <v>4.75</v>
      </c>
      <c r="F22">
        <v>-10</v>
      </c>
      <c r="G22">
        <v>0</v>
      </c>
      <c r="H22">
        <v>0</v>
      </c>
      <c r="I22">
        <v>10</v>
      </c>
    </row>
    <row r="23" spans="1:9">
      <c r="A23">
        <v>10</v>
      </c>
      <c r="B23">
        <v>1000</v>
      </c>
      <c r="C23">
        <v>0</v>
      </c>
      <c r="D23">
        <v>5</v>
      </c>
      <c r="E23">
        <v>5</v>
      </c>
      <c r="F23">
        <v>-10</v>
      </c>
      <c r="G23">
        <v>0</v>
      </c>
      <c r="H23">
        <v>0</v>
      </c>
      <c r="I23">
        <v>10</v>
      </c>
    </row>
    <row r="24" spans="1:9">
      <c r="A24">
        <v>10.5</v>
      </c>
      <c r="B24">
        <v>1050</v>
      </c>
      <c r="C24">
        <v>0</v>
      </c>
      <c r="D24">
        <v>5</v>
      </c>
      <c r="E24">
        <v>5.25</v>
      </c>
      <c r="F24">
        <v>-10</v>
      </c>
      <c r="G24">
        <v>0</v>
      </c>
      <c r="H24">
        <v>0</v>
      </c>
      <c r="I24">
        <v>10</v>
      </c>
    </row>
    <row r="25" spans="1:9">
      <c r="A25">
        <v>11</v>
      </c>
      <c r="B25">
        <v>1100</v>
      </c>
      <c r="C25">
        <v>0</v>
      </c>
      <c r="D25">
        <v>5</v>
      </c>
      <c r="E25">
        <v>5.5</v>
      </c>
      <c r="F25">
        <v>-10</v>
      </c>
      <c r="G25">
        <v>0</v>
      </c>
      <c r="H25">
        <v>0</v>
      </c>
      <c r="I25">
        <v>10</v>
      </c>
    </row>
    <row r="26" spans="1:9">
      <c r="A26">
        <v>11.5</v>
      </c>
      <c r="B26">
        <v>1150</v>
      </c>
      <c r="C26">
        <v>0</v>
      </c>
      <c r="D26">
        <v>5</v>
      </c>
      <c r="E26">
        <v>5.75</v>
      </c>
      <c r="F26">
        <v>-10</v>
      </c>
      <c r="G26">
        <v>0</v>
      </c>
      <c r="H26">
        <v>0</v>
      </c>
      <c r="I26">
        <v>10</v>
      </c>
    </row>
    <row r="27" spans="1:9">
      <c r="A27">
        <v>12</v>
      </c>
      <c r="B27">
        <v>1200</v>
      </c>
      <c r="C27">
        <v>0</v>
      </c>
      <c r="D27">
        <v>5</v>
      </c>
      <c r="E27">
        <v>6</v>
      </c>
      <c r="F27">
        <v>-10</v>
      </c>
      <c r="G27">
        <v>0</v>
      </c>
      <c r="H27">
        <v>0</v>
      </c>
      <c r="I27">
        <v>10</v>
      </c>
    </row>
    <row r="28" spans="1:9">
      <c r="A28">
        <v>12.5</v>
      </c>
      <c r="B28">
        <v>1250</v>
      </c>
      <c r="C28">
        <v>0</v>
      </c>
      <c r="D28">
        <v>5</v>
      </c>
      <c r="E28">
        <v>6.25</v>
      </c>
      <c r="F28">
        <v>-10</v>
      </c>
      <c r="G28">
        <v>0</v>
      </c>
      <c r="H28">
        <v>0</v>
      </c>
      <c r="I28">
        <v>10</v>
      </c>
    </row>
    <row r="29" spans="1:9">
      <c r="A29">
        <v>13</v>
      </c>
      <c r="B29">
        <v>1300</v>
      </c>
      <c r="C29">
        <v>0</v>
      </c>
      <c r="D29">
        <v>5</v>
      </c>
      <c r="E29">
        <v>6.5</v>
      </c>
      <c r="F29">
        <v>-10</v>
      </c>
      <c r="G29">
        <v>0</v>
      </c>
      <c r="H29">
        <v>0</v>
      </c>
      <c r="I29">
        <v>10</v>
      </c>
    </row>
    <row r="30" spans="1:9">
      <c r="A30">
        <v>13.5</v>
      </c>
      <c r="B30">
        <v>1350</v>
      </c>
      <c r="C30">
        <v>0</v>
      </c>
      <c r="D30">
        <v>5</v>
      </c>
      <c r="E30">
        <v>6.75</v>
      </c>
      <c r="F30">
        <v>-10</v>
      </c>
      <c r="G30">
        <v>0</v>
      </c>
      <c r="H30">
        <v>0</v>
      </c>
      <c r="I30">
        <v>10</v>
      </c>
    </row>
    <row r="31" spans="1:9">
      <c r="A31">
        <v>14</v>
      </c>
      <c r="B31">
        <v>1400</v>
      </c>
      <c r="C31">
        <v>0</v>
      </c>
      <c r="D31">
        <v>5</v>
      </c>
      <c r="E31">
        <v>7</v>
      </c>
      <c r="F31">
        <v>-10</v>
      </c>
      <c r="G31">
        <v>0</v>
      </c>
      <c r="H31">
        <v>0</v>
      </c>
      <c r="I31">
        <v>10</v>
      </c>
    </row>
    <row r="32" spans="1:9">
      <c r="A32">
        <v>14.5</v>
      </c>
      <c r="B32">
        <v>1450</v>
      </c>
      <c r="C32">
        <v>0</v>
      </c>
      <c r="D32">
        <v>5</v>
      </c>
      <c r="E32">
        <v>7.25</v>
      </c>
      <c r="F32">
        <v>-10</v>
      </c>
      <c r="G32">
        <v>0</v>
      </c>
      <c r="H32">
        <v>0</v>
      </c>
      <c r="I32">
        <v>10</v>
      </c>
    </row>
    <row r="33" spans="1:9">
      <c r="A33">
        <v>15</v>
      </c>
      <c r="B33">
        <v>1500</v>
      </c>
      <c r="C33">
        <v>0</v>
      </c>
      <c r="D33">
        <v>5</v>
      </c>
      <c r="E33">
        <v>7.5</v>
      </c>
      <c r="F33">
        <v>-10</v>
      </c>
      <c r="G33">
        <v>0</v>
      </c>
      <c r="H33">
        <v>0</v>
      </c>
      <c r="I33">
        <v>10</v>
      </c>
    </row>
    <row r="36" spans="1:9">
      <c r="A36" t="s">
        <v>20</v>
      </c>
      <c r="B36" t="s">
        <v>330</v>
      </c>
      <c r="C36" t="s">
        <v>273</v>
      </c>
      <c r="I36">
        <v>2</v>
      </c>
    </row>
    <row r="37" spans="1:9">
      <c r="A37" t="s">
        <v>0</v>
      </c>
      <c r="B37" t="s">
        <v>12</v>
      </c>
      <c r="C37" t="s">
        <v>13</v>
      </c>
      <c r="D37" t="s">
        <v>14</v>
      </c>
      <c r="E37" t="s">
        <v>15</v>
      </c>
      <c r="F37" t="s">
        <v>16</v>
      </c>
      <c r="G37" t="s">
        <v>17</v>
      </c>
      <c r="H37" t="s">
        <v>18</v>
      </c>
      <c r="I37" t="s">
        <v>19</v>
      </c>
    </row>
    <row r="38" spans="1:9">
      <c r="A38">
        <v>0</v>
      </c>
      <c r="B38">
        <v>0.01</v>
      </c>
      <c r="C38">
        <v>0</v>
      </c>
      <c r="D38">
        <v>5</v>
      </c>
      <c r="E38">
        <v>0</v>
      </c>
      <c r="F38">
        <v>10</v>
      </c>
      <c r="G38">
        <v>0</v>
      </c>
      <c r="H38">
        <v>0</v>
      </c>
      <c r="I38">
        <v>10</v>
      </c>
    </row>
    <row r="39" spans="1:9">
      <c r="A39">
        <v>0.5</v>
      </c>
      <c r="B39">
        <v>50</v>
      </c>
      <c r="C39">
        <v>0</v>
      </c>
      <c r="D39">
        <v>5</v>
      </c>
      <c r="E39">
        <v>0.25</v>
      </c>
      <c r="F39">
        <v>10</v>
      </c>
      <c r="G39">
        <v>0</v>
      </c>
      <c r="H39">
        <v>0</v>
      </c>
      <c r="I39">
        <v>10</v>
      </c>
    </row>
    <row r="40" spans="1:9">
      <c r="A40">
        <v>1</v>
      </c>
      <c r="B40">
        <v>100</v>
      </c>
      <c r="C40">
        <v>0</v>
      </c>
      <c r="D40">
        <v>5</v>
      </c>
      <c r="E40">
        <v>0.5</v>
      </c>
      <c r="F40">
        <v>10</v>
      </c>
      <c r="G40">
        <v>0</v>
      </c>
      <c r="H40">
        <v>0</v>
      </c>
      <c r="I40">
        <v>10</v>
      </c>
    </row>
    <row r="41" spans="1:9">
      <c r="A41">
        <v>1.5</v>
      </c>
      <c r="B41">
        <v>150</v>
      </c>
      <c r="C41">
        <v>0</v>
      </c>
      <c r="D41">
        <v>5</v>
      </c>
      <c r="E41">
        <v>0.75</v>
      </c>
      <c r="F41">
        <v>10</v>
      </c>
      <c r="G41">
        <v>0</v>
      </c>
      <c r="H41">
        <v>0</v>
      </c>
      <c r="I41">
        <v>10</v>
      </c>
    </row>
    <row r="42" spans="1:9">
      <c r="A42">
        <v>2</v>
      </c>
      <c r="B42">
        <v>200</v>
      </c>
      <c r="C42">
        <v>0</v>
      </c>
      <c r="D42">
        <v>5</v>
      </c>
      <c r="E42">
        <v>1</v>
      </c>
      <c r="F42">
        <v>10</v>
      </c>
      <c r="G42">
        <v>0</v>
      </c>
      <c r="H42">
        <v>0</v>
      </c>
      <c r="I42">
        <v>10</v>
      </c>
    </row>
    <row r="43" spans="1:9">
      <c r="A43">
        <v>2.5</v>
      </c>
      <c r="B43">
        <v>250</v>
      </c>
      <c r="C43">
        <v>0</v>
      </c>
      <c r="D43">
        <v>5</v>
      </c>
      <c r="E43">
        <v>1.25</v>
      </c>
      <c r="F43">
        <v>10</v>
      </c>
      <c r="G43">
        <v>0</v>
      </c>
      <c r="H43">
        <v>0</v>
      </c>
      <c r="I43">
        <v>10</v>
      </c>
    </row>
    <row r="44" spans="1:9">
      <c r="A44">
        <v>3</v>
      </c>
      <c r="B44">
        <v>300</v>
      </c>
      <c r="C44">
        <v>0</v>
      </c>
      <c r="D44">
        <v>5</v>
      </c>
      <c r="E44">
        <v>1.5</v>
      </c>
      <c r="F44">
        <v>10</v>
      </c>
      <c r="G44">
        <v>0</v>
      </c>
      <c r="H44">
        <v>0</v>
      </c>
      <c r="I44">
        <v>10</v>
      </c>
    </row>
    <row r="45" spans="1:9">
      <c r="A45">
        <v>3.5</v>
      </c>
      <c r="B45">
        <v>350</v>
      </c>
      <c r="C45">
        <v>0</v>
      </c>
      <c r="D45">
        <v>5</v>
      </c>
      <c r="E45">
        <v>1.75</v>
      </c>
      <c r="F45">
        <v>10</v>
      </c>
      <c r="G45">
        <v>0</v>
      </c>
      <c r="H45">
        <v>0</v>
      </c>
      <c r="I45">
        <v>10</v>
      </c>
    </row>
    <row r="46" spans="1:9">
      <c r="A46">
        <v>4</v>
      </c>
      <c r="B46">
        <v>400</v>
      </c>
      <c r="C46">
        <v>0</v>
      </c>
      <c r="D46">
        <v>5</v>
      </c>
      <c r="E46">
        <v>2</v>
      </c>
      <c r="F46">
        <v>10</v>
      </c>
      <c r="G46">
        <v>0</v>
      </c>
      <c r="H46">
        <v>0</v>
      </c>
      <c r="I46">
        <v>10</v>
      </c>
    </row>
    <row r="47" spans="1:9">
      <c r="A47">
        <v>4.5</v>
      </c>
      <c r="B47">
        <v>450</v>
      </c>
      <c r="C47">
        <v>0</v>
      </c>
      <c r="D47">
        <v>5</v>
      </c>
      <c r="E47">
        <v>2.25</v>
      </c>
      <c r="F47">
        <v>10</v>
      </c>
      <c r="G47">
        <v>0</v>
      </c>
      <c r="H47">
        <v>0</v>
      </c>
      <c r="I47">
        <v>10</v>
      </c>
    </row>
    <row r="48" spans="1:9">
      <c r="A48">
        <v>5</v>
      </c>
      <c r="B48">
        <v>500</v>
      </c>
      <c r="C48">
        <v>0</v>
      </c>
      <c r="D48">
        <v>5</v>
      </c>
      <c r="E48">
        <v>2.5</v>
      </c>
      <c r="F48">
        <v>10</v>
      </c>
      <c r="G48">
        <v>0</v>
      </c>
      <c r="H48">
        <v>0</v>
      </c>
      <c r="I48">
        <v>10</v>
      </c>
    </row>
    <row r="49" spans="1:9">
      <c r="A49">
        <v>5.5</v>
      </c>
      <c r="B49">
        <v>550</v>
      </c>
      <c r="C49">
        <v>0</v>
      </c>
      <c r="D49">
        <v>5</v>
      </c>
      <c r="E49">
        <v>2.75</v>
      </c>
      <c r="F49">
        <v>10</v>
      </c>
      <c r="G49">
        <v>0</v>
      </c>
      <c r="H49">
        <v>0</v>
      </c>
      <c r="I49">
        <v>10</v>
      </c>
    </row>
    <row r="50" spans="1:9">
      <c r="A50">
        <v>6</v>
      </c>
      <c r="B50">
        <v>600</v>
      </c>
      <c r="C50">
        <v>0</v>
      </c>
      <c r="D50">
        <v>5</v>
      </c>
      <c r="E50">
        <v>3</v>
      </c>
      <c r="F50">
        <v>10</v>
      </c>
      <c r="G50">
        <v>0</v>
      </c>
      <c r="H50">
        <v>0</v>
      </c>
      <c r="I50">
        <v>10</v>
      </c>
    </row>
    <row r="51" spans="1:9">
      <c r="A51">
        <v>6.5</v>
      </c>
      <c r="B51">
        <v>650</v>
      </c>
      <c r="C51">
        <v>0</v>
      </c>
      <c r="D51">
        <v>5</v>
      </c>
      <c r="E51">
        <v>3.25</v>
      </c>
      <c r="F51">
        <v>10</v>
      </c>
      <c r="G51">
        <v>0</v>
      </c>
      <c r="H51">
        <v>0</v>
      </c>
      <c r="I51">
        <v>10</v>
      </c>
    </row>
    <row r="52" spans="1:9">
      <c r="A52">
        <v>7</v>
      </c>
      <c r="B52">
        <v>700</v>
      </c>
      <c r="C52">
        <v>0</v>
      </c>
      <c r="D52">
        <v>5</v>
      </c>
      <c r="E52">
        <v>3.5</v>
      </c>
      <c r="F52">
        <v>10</v>
      </c>
      <c r="G52">
        <v>0</v>
      </c>
      <c r="H52">
        <v>0</v>
      </c>
      <c r="I52">
        <v>10</v>
      </c>
    </row>
    <row r="53" spans="1:9">
      <c r="A53">
        <v>7.5</v>
      </c>
      <c r="B53">
        <v>750</v>
      </c>
      <c r="C53">
        <v>0</v>
      </c>
      <c r="D53">
        <v>5</v>
      </c>
      <c r="E53">
        <v>3.75</v>
      </c>
      <c r="F53">
        <v>10</v>
      </c>
      <c r="G53">
        <v>0</v>
      </c>
      <c r="H53">
        <v>0</v>
      </c>
      <c r="I53">
        <v>10</v>
      </c>
    </row>
    <row r="54" spans="1:9">
      <c r="A54">
        <v>8</v>
      </c>
      <c r="B54">
        <v>800</v>
      </c>
      <c r="C54">
        <v>0</v>
      </c>
      <c r="D54">
        <v>5</v>
      </c>
      <c r="E54">
        <v>4</v>
      </c>
      <c r="F54">
        <v>10</v>
      </c>
      <c r="G54">
        <v>0</v>
      </c>
      <c r="H54">
        <v>0</v>
      </c>
      <c r="I54">
        <v>10</v>
      </c>
    </row>
    <row r="55" spans="1:9">
      <c r="A55">
        <v>8.5</v>
      </c>
      <c r="B55">
        <v>850</v>
      </c>
      <c r="C55">
        <v>0</v>
      </c>
      <c r="D55">
        <v>5</v>
      </c>
      <c r="E55">
        <v>4.25</v>
      </c>
      <c r="F55">
        <v>10</v>
      </c>
      <c r="G55">
        <v>0</v>
      </c>
      <c r="H55">
        <v>0</v>
      </c>
      <c r="I55">
        <v>10</v>
      </c>
    </row>
    <row r="56" spans="1:9">
      <c r="A56">
        <v>9</v>
      </c>
      <c r="B56">
        <v>900</v>
      </c>
      <c r="C56">
        <v>0</v>
      </c>
      <c r="D56">
        <v>5</v>
      </c>
      <c r="E56">
        <v>4.5</v>
      </c>
      <c r="F56">
        <v>10</v>
      </c>
      <c r="G56">
        <v>0</v>
      </c>
      <c r="H56">
        <v>0</v>
      </c>
      <c r="I56">
        <v>10</v>
      </c>
    </row>
    <row r="57" spans="1:9">
      <c r="A57">
        <v>9.5</v>
      </c>
      <c r="B57">
        <v>950</v>
      </c>
      <c r="C57">
        <v>0</v>
      </c>
      <c r="D57">
        <v>5</v>
      </c>
      <c r="E57">
        <v>4.75</v>
      </c>
      <c r="F57">
        <v>10</v>
      </c>
      <c r="G57">
        <v>0</v>
      </c>
      <c r="H57">
        <v>0</v>
      </c>
      <c r="I57">
        <v>10</v>
      </c>
    </row>
    <row r="58" spans="1:9">
      <c r="A58">
        <v>10</v>
      </c>
      <c r="B58">
        <v>1000</v>
      </c>
      <c r="C58">
        <v>0</v>
      </c>
      <c r="D58">
        <v>5</v>
      </c>
      <c r="E58">
        <v>5</v>
      </c>
      <c r="F58">
        <v>10</v>
      </c>
      <c r="G58">
        <v>0</v>
      </c>
      <c r="H58">
        <v>0</v>
      </c>
      <c r="I58">
        <v>10</v>
      </c>
    </row>
    <row r="59" spans="1:9">
      <c r="A59">
        <v>10.5</v>
      </c>
      <c r="B59">
        <v>1050</v>
      </c>
      <c r="C59">
        <v>0</v>
      </c>
      <c r="D59">
        <v>5</v>
      </c>
      <c r="E59">
        <v>5.25</v>
      </c>
      <c r="F59">
        <v>10</v>
      </c>
      <c r="G59">
        <v>0</v>
      </c>
      <c r="H59">
        <v>0</v>
      </c>
      <c r="I59">
        <v>10</v>
      </c>
    </row>
    <row r="60" spans="1:9">
      <c r="A60">
        <v>11</v>
      </c>
      <c r="B60">
        <v>1100</v>
      </c>
      <c r="C60">
        <v>0</v>
      </c>
      <c r="D60">
        <v>5</v>
      </c>
      <c r="E60">
        <v>5.5</v>
      </c>
      <c r="F60">
        <v>10</v>
      </c>
      <c r="G60">
        <v>0</v>
      </c>
      <c r="H60">
        <v>0</v>
      </c>
      <c r="I60">
        <v>10</v>
      </c>
    </row>
    <row r="61" spans="1:9">
      <c r="A61">
        <v>11.5</v>
      </c>
      <c r="B61">
        <v>1150</v>
      </c>
      <c r="C61">
        <v>0</v>
      </c>
      <c r="D61">
        <v>5</v>
      </c>
      <c r="E61">
        <v>5.75</v>
      </c>
      <c r="F61">
        <v>10</v>
      </c>
      <c r="G61">
        <v>0</v>
      </c>
      <c r="H61">
        <v>0</v>
      </c>
      <c r="I61">
        <v>10</v>
      </c>
    </row>
    <row r="62" spans="1:9">
      <c r="A62">
        <v>12</v>
      </c>
      <c r="B62">
        <v>1200</v>
      </c>
      <c r="C62">
        <v>0</v>
      </c>
      <c r="D62">
        <v>5</v>
      </c>
      <c r="E62">
        <v>6</v>
      </c>
      <c r="F62">
        <v>10</v>
      </c>
      <c r="G62">
        <v>0</v>
      </c>
      <c r="H62">
        <v>0</v>
      </c>
      <c r="I62">
        <v>10</v>
      </c>
    </row>
    <row r="63" spans="1:9">
      <c r="A63">
        <v>12.5</v>
      </c>
      <c r="B63">
        <v>1250</v>
      </c>
      <c r="C63">
        <v>0</v>
      </c>
      <c r="D63">
        <v>5</v>
      </c>
      <c r="E63">
        <v>6.25</v>
      </c>
      <c r="F63">
        <v>10</v>
      </c>
      <c r="G63">
        <v>0</v>
      </c>
      <c r="H63">
        <v>0</v>
      </c>
      <c r="I63">
        <v>10</v>
      </c>
    </row>
    <row r="64" spans="1:9">
      <c r="A64">
        <v>13</v>
      </c>
      <c r="B64">
        <v>1300</v>
      </c>
      <c r="C64">
        <v>0</v>
      </c>
      <c r="D64">
        <v>5</v>
      </c>
      <c r="E64">
        <v>6.5</v>
      </c>
      <c r="F64">
        <v>10</v>
      </c>
      <c r="G64">
        <v>0</v>
      </c>
      <c r="H64">
        <v>0</v>
      </c>
      <c r="I64">
        <v>10</v>
      </c>
    </row>
    <row r="65" spans="1:9">
      <c r="A65">
        <v>13.5</v>
      </c>
      <c r="B65">
        <v>1350</v>
      </c>
      <c r="C65">
        <v>0</v>
      </c>
      <c r="D65">
        <v>5</v>
      </c>
      <c r="E65">
        <v>6.75</v>
      </c>
      <c r="F65">
        <v>10</v>
      </c>
      <c r="G65">
        <v>0</v>
      </c>
      <c r="H65">
        <v>0</v>
      </c>
      <c r="I65">
        <v>10</v>
      </c>
    </row>
    <row r="66" spans="1:9">
      <c r="A66">
        <v>14</v>
      </c>
      <c r="B66">
        <v>1400</v>
      </c>
      <c r="C66">
        <v>0</v>
      </c>
      <c r="D66">
        <v>5</v>
      </c>
      <c r="E66">
        <v>7</v>
      </c>
      <c r="F66">
        <v>10</v>
      </c>
      <c r="G66">
        <v>0</v>
      </c>
      <c r="H66">
        <v>0</v>
      </c>
      <c r="I66">
        <v>10</v>
      </c>
    </row>
    <row r="67" spans="1:9">
      <c r="A67">
        <v>14.5</v>
      </c>
      <c r="B67">
        <v>1450</v>
      </c>
      <c r="C67">
        <v>0</v>
      </c>
      <c r="D67">
        <v>5</v>
      </c>
      <c r="E67">
        <v>7.25</v>
      </c>
      <c r="F67">
        <v>10</v>
      </c>
      <c r="G67">
        <v>0</v>
      </c>
      <c r="H67">
        <v>0</v>
      </c>
      <c r="I67">
        <v>10</v>
      </c>
    </row>
    <row r="68" spans="1:9">
      <c r="A68">
        <v>15</v>
      </c>
      <c r="B68">
        <v>1500</v>
      </c>
      <c r="C68">
        <v>0</v>
      </c>
      <c r="D68">
        <v>5</v>
      </c>
      <c r="E68">
        <v>7.5</v>
      </c>
      <c r="F68">
        <v>10</v>
      </c>
      <c r="G68">
        <v>0</v>
      </c>
      <c r="H68">
        <v>0</v>
      </c>
      <c r="I68">
        <v>10</v>
      </c>
    </row>
    <row r="71" spans="1:9">
      <c r="A71" t="s">
        <v>20</v>
      </c>
      <c r="B71" t="s">
        <v>330</v>
      </c>
      <c r="C71" t="s">
        <v>274</v>
      </c>
      <c r="I71">
        <v>3</v>
      </c>
    </row>
    <row r="72" spans="1:9">
      <c r="A72" t="s">
        <v>0</v>
      </c>
      <c r="B72" t="s">
        <v>12</v>
      </c>
      <c r="C72" t="s">
        <v>13</v>
      </c>
      <c r="D72" t="s">
        <v>14</v>
      </c>
      <c r="E72" t="s">
        <v>15</v>
      </c>
      <c r="F72" t="s">
        <v>16</v>
      </c>
      <c r="G72" t="s">
        <v>17</v>
      </c>
      <c r="H72" t="s">
        <v>18</v>
      </c>
      <c r="I72" t="s">
        <v>19</v>
      </c>
    </row>
    <row r="73" spans="1:9">
      <c r="A73">
        <v>0</v>
      </c>
      <c r="B73">
        <v>0.01</v>
      </c>
      <c r="C73">
        <v>0</v>
      </c>
      <c r="D73">
        <v>15</v>
      </c>
      <c r="E73">
        <v>0</v>
      </c>
      <c r="F73">
        <v>-10</v>
      </c>
      <c r="G73">
        <v>0</v>
      </c>
      <c r="H73">
        <v>10</v>
      </c>
      <c r="I73">
        <v>20</v>
      </c>
    </row>
    <row r="74" spans="1:9">
      <c r="A74">
        <v>0.5</v>
      </c>
      <c r="B74">
        <v>50</v>
      </c>
      <c r="C74">
        <v>0</v>
      </c>
      <c r="D74">
        <v>15</v>
      </c>
      <c r="E74">
        <v>0.25</v>
      </c>
      <c r="F74">
        <v>-10</v>
      </c>
      <c r="G74">
        <v>0</v>
      </c>
      <c r="H74">
        <v>10</v>
      </c>
      <c r="I74">
        <v>20</v>
      </c>
    </row>
    <row r="75" spans="1:9">
      <c r="A75">
        <v>1</v>
      </c>
      <c r="B75">
        <v>100</v>
      </c>
      <c r="C75">
        <v>0</v>
      </c>
      <c r="D75">
        <v>15</v>
      </c>
      <c r="E75">
        <v>0.5</v>
      </c>
      <c r="F75">
        <v>-10</v>
      </c>
      <c r="G75">
        <v>0</v>
      </c>
      <c r="H75">
        <v>10</v>
      </c>
      <c r="I75">
        <v>20</v>
      </c>
    </row>
    <row r="76" spans="1:9">
      <c r="A76">
        <v>1.5</v>
      </c>
      <c r="B76">
        <v>150</v>
      </c>
      <c r="C76">
        <v>0</v>
      </c>
      <c r="D76">
        <v>15</v>
      </c>
      <c r="E76">
        <v>0.75</v>
      </c>
      <c r="F76">
        <v>-10</v>
      </c>
      <c r="G76">
        <v>0</v>
      </c>
      <c r="H76">
        <v>10</v>
      </c>
      <c r="I76">
        <v>20</v>
      </c>
    </row>
    <row r="77" spans="1:9">
      <c r="A77">
        <v>2</v>
      </c>
      <c r="B77">
        <v>200</v>
      </c>
      <c r="C77">
        <v>0</v>
      </c>
      <c r="D77">
        <v>15</v>
      </c>
      <c r="E77">
        <v>1</v>
      </c>
      <c r="F77">
        <v>-10</v>
      </c>
      <c r="G77">
        <v>0</v>
      </c>
      <c r="H77">
        <v>10</v>
      </c>
      <c r="I77">
        <v>20</v>
      </c>
    </row>
    <row r="78" spans="1:9">
      <c r="A78">
        <v>2.5</v>
      </c>
      <c r="B78">
        <v>250</v>
      </c>
      <c r="C78">
        <v>0</v>
      </c>
      <c r="D78">
        <v>15</v>
      </c>
      <c r="E78">
        <v>1.25</v>
      </c>
      <c r="F78">
        <v>-10</v>
      </c>
      <c r="G78">
        <v>0</v>
      </c>
      <c r="H78">
        <v>10</v>
      </c>
      <c r="I78">
        <v>20</v>
      </c>
    </row>
    <row r="79" spans="1:9">
      <c r="A79">
        <v>3</v>
      </c>
      <c r="B79">
        <v>300</v>
      </c>
      <c r="C79">
        <v>0</v>
      </c>
      <c r="D79">
        <v>15</v>
      </c>
      <c r="E79">
        <v>1.5</v>
      </c>
      <c r="F79">
        <v>-10</v>
      </c>
      <c r="G79">
        <v>0</v>
      </c>
      <c r="H79">
        <v>10</v>
      </c>
      <c r="I79">
        <v>20</v>
      </c>
    </row>
    <row r="80" spans="1:9">
      <c r="A80">
        <v>3.5</v>
      </c>
      <c r="B80">
        <v>350</v>
      </c>
      <c r="C80">
        <v>0</v>
      </c>
      <c r="D80">
        <v>15</v>
      </c>
      <c r="E80">
        <v>1.75</v>
      </c>
      <c r="F80">
        <v>-10</v>
      </c>
      <c r="G80">
        <v>0</v>
      </c>
      <c r="H80">
        <v>10</v>
      </c>
      <c r="I80">
        <v>20</v>
      </c>
    </row>
    <row r="81" spans="1:9">
      <c r="A81">
        <v>4</v>
      </c>
      <c r="B81">
        <v>400</v>
      </c>
      <c r="C81">
        <v>0</v>
      </c>
      <c r="D81">
        <v>15</v>
      </c>
      <c r="E81">
        <v>2</v>
      </c>
      <c r="F81">
        <v>-10</v>
      </c>
      <c r="G81">
        <v>0</v>
      </c>
      <c r="H81">
        <v>10</v>
      </c>
      <c r="I81">
        <v>20</v>
      </c>
    </row>
    <row r="82" spans="1:9">
      <c r="A82">
        <v>4.5</v>
      </c>
      <c r="B82">
        <v>450</v>
      </c>
      <c r="C82">
        <v>0</v>
      </c>
      <c r="D82">
        <v>15</v>
      </c>
      <c r="E82">
        <v>2.25</v>
      </c>
      <c r="F82">
        <v>-10</v>
      </c>
      <c r="G82">
        <v>0</v>
      </c>
      <c r="H82">
        <v>10</v>
      </c>
      <c r="I82">
        <v>20</v>
      </c>
    </row>
    <row r="83" spans="1:9">
      <c r="A83">
        <v>5</v>
      </c>
      <c r="B83">
        <v>500</v>
      </c>
      <c r="C83">
        <v>0</v>
      </c>
      <c r="D83">
        <v>15</v>
      </c>
      <c r="E83">
        <v>2.5</v>
      </c>
      <c r="F83">
        <v>-10</v>
      </c>
      <c r="G83">
        <v>0</v>
      </c>
      <c r="H83">
        <v>10</v>
      </c>
      <c r="I83">
        <v>20</v>
      </c>
    </row>
    <row r="84" spans="1:9">
      <c r="A84">
        <v>5.5</v>
      </c>
      <c r="B84">
        <v>550</v>
      </c>
      <c r="C84">
        <v>0</v>
      </c>
      <c r="D84">
        <v>15</v>
      </c>
      <c r="E84">
        <v>2.75</v>
      </c>
      <c r="F84">
        <v>-10</v>
      </c>
      <c r="G84">
        <v>0</v>
      </c>
      <c r="H84">
        <v>10</v>
      </c>
      <c r="I84">
        <v>20</v>
      </c>
    </row>
    <row r="85" spans="1:9">
      <c r="A85">
        <v>6</v>
      </c>
      <c r="B85">
        <v>600</v>
      </c>
      <c r="C85">
        <v>0</v>
      </c>
      <c r="D85">
        <v>15</v>
      </c>
      <c r="E85">
        <v>3</v>
      </c>
      <c r="F85">
        <v>-10</v>
      </c>
      <c r="G85">
        <v>0</v>
      </c>
      <c r="H85">
        <v>10</v>
      </c>
      <c r="I85">
        <v>20</v>
      </c>
    </row>
    <row r="86" spans="1:9">
      <c r="A86">
        <v>6.5</v>
      </c>
      <c r="B86">
        <v>650</v>
      </c>
      <c r="C86">
        <v>0</v>
      </c>
      <c r="D86">
        <v>15</v>
      </c>
      <c r="E86">
        <v>3.25</v>
      </c>
      <c r="F86">
        <v>-10</v>
      </c>
      <c r="G86">
        <v>0</v>
      </c>
      <c r="H86">
        <v>10</v>
      </c>
      <c r="I86">
        <v>20</v>
      </c>
    </row>
    <row r="87" spans="1:9">
      <c r="A87">
        <v>7</v>
      </c>
      <c r="B87">
        <v>700</v>
      </c>
      <c r="C87">
        <v>0</v>
      </c>
      <c r="D87">
        <v>15</v>
      </c>
      <c r="E87">
        <v>3.5</v>
      </c>
      <c r="F87">
        <v>-10</v>
      </c>
      <c r="G87">
        <v>0</v>
      </c>
      <c r="H87">
        <v>10</v>
      </c>
      <c r="I87">
        <v>20</v>
      </c>
    </row>
    <row r="88" spans="1:9">
      <c r="A88">
        <v>7.5</v>
      </c>
      <c r="B88">
        <v>750</v>
      </c>
      <c r="C88">
        <v>0</v>
      </c>
      <c r="D88">
        <v>15</v>
      </c>
      <c r="E88">
        <v>3.75</v>
      </c>
      <c r="F88">
        <v>-10</v>
      </c>
      <c r="G88">
        <v>0</v>
      </c>
      <c r="H88">
        <v>10</v>
      </c>
      <c r="I88">
        <v>20</v>
      </c>
    </row>
    <row r="89" spans="1:9">
      <c r="A89">
        <v>8</v>
      </c>
      <c r="B89">
        <v>800</v>
      </c>
      <c r="C89">
        <v>0</v>
      </c>
      <c r="D89">
        <v>15</v>
      </c>
      <c r="E89">
        <v>4</v>
      </c>
      <c r="F89">
        <v>-10</v>
      </c>
      <c r="G89">
        <v>0</v>
      </c>
      <c r="H89">
        <v>10</v>
      </c>
      <c r="I89">
        <v>20</v>
      </c>
    </row>
    <row r="90" spans="1:9">
      <c r="A90">
        <v>8.5</v>
      </c>
      <c r="B90">
        <v>850</v>
      </c>
      <c r="C90">
        <v>0</v>
      </c>
      <c r="D90">
        <v>15</v>
      </c>
      <c r="E90">
        <v>4.25</v>
      </c>
      <c r="F90">
        <v>-10</v>
      </c>
      <c r="G90">
        <v>0</v>
      </c>
      <c r="H90">
        <v>10</v>
      </c>
      <c r="I90">
        <v>20</v>
      </c>
    </row>
    <row r="91" spans="1:9">
      <c r="A91">
        <v>9</v>
      </c>
      <c r="B91">
        <v>900</v>
      </c>
      <c r="C91">
        <v>0</v>
      </c>
      <c r="D91">
        <v>15</v>
      </c>
      <c r="E91">
        <v>4.5</v>
      </c>
      <c r="F91">
        <v>-10</v>
      </c>
      <c r="G91">
        <v>0</v>
      </c>
      <c r="H91">
        <v>10</v>
      </c>
      <c r="I91">
        <v>20</v>
      </c>
    </row>
    <row r="92" spans="1:9">
      <c r="A92">
        <v>9.5</v>
      </c>
      <c r="B92">
        <v>950</v>
      </c>
      <c r="C92">
        <v>0</v>
      </c>
      <c r="D92">
        <v>15</v>
      </c>
      <c r="E92">
        <v>4.75</v>
      </c>
      <c r="F92">
        <v>-10</v>
      </c>
      <c r="G92">
        <v>0</v>
      </c>
      <c r="H92">
        <v>10</v>
      </c>
      <c r="I92">
        <v>20</v>
      </c>
    </row>
    <row r="93" spans="1:9">
      <c r="A93">
        <v>10</v>
      </c>
      <c r="B93">
        <v>1000</v>
      </c>
      <c r="C93">
        <v>0</v>
      </c>
      <c r="D93">
        <v>15</v>
      </c>
      <c r="E93">
        <v>5</v>
      </c>
      <c r="F93">
        <v>-10</v>
      </c>
      <c r="G93">
        <v>0</v>
      </c>
      <c r="H93">
        <v>10</v>
      </c>
      <c r="I93">
        <v>20</v>
      </c>
    </row>
    <row r="94" spans="1:9">
      <c r="A94">
        <v>10.5</v>
      </c>
      <c r="B94">
        <v>1050</v>
      </c>
      <c r="C94">
        <v>0</v>
      </c>
      <c r="D94">
        <v>15</v>
      </c>
      <c r="E94">
        <v>5.25</v>
      </c>
      <c r="F94">
        <v>-10</v>
      </c>
      <c r="G94">
        <v>0</v>
      </c>
      <c r="H94">
        <v>10</v>
      </c>
      <c r="I94">
        <v>20</v>
      </c>
    </row>
    <row r="95" spans="1:9">
      <c r="A95">
        <v>11</v>
      </c>
      <c r="B95">
        <v>1100</v>
      </c>
      <c r="C95">
        <v>0</v>
      </c>
      <c r="D95">
        <v>15</v>
      </c>
      <c r="E95">
        <v>5.5</v>
      </c>
      <c r="F95">
        <v>-10</v>
      </c>
      <c r="G95">
        <v>0</v>
      </c>
      <c r="H95">
        <v>10</v>
      </c>
      <c r="I95">
        <v>20</v>
      </c>
    </row>
    <row r="96" spans="1:9">
      <c r="A96">
        <v>11.5</v>
      </c>
      <c r="B96">
        <v>1150</v>
      </c>
      <c r="C96">
        <v>0</v>
      </c>
      <c r="D96">
        <v>15</v>
      </c>
      <c r="E96">
        <v>5.75</v>
      </c>
      <c r="F96">
        <v>-10</v>
      </c>
      <c r="G96">
        <v>0</v>
      </c>
      <c r="H96">
        <v>10</v>
      </c>
      <c r="I96">
        <v>20</v>
      </c>
    </row>
    <row r="97" spans="1:9">
      <c r="A97">
        <v>12</v>
      </c>
      <c r="B97">
        <v>1200</v>
      </c>
      <c r="C97">
        <v>0</v>
      </c>
      <c r="D97">
        <v>15</v>
      </c>
      <c r="E97">
        <v>6</v>
      </c>
      <c r="F97">
        <v>-10</v>
      </c>
      <c r="G97">
        <v>0</v>
      </c>
      <c r="H97">
        <v>10</v>
      </c>
      <c r="I97">
        <v>20</v>
      </c>
    </row>
    <row r="98" spans="1:9">
      <c r="A98">
        <v>12.5</v>
      </c>
      <c r="B98">
        <v>1250</v>
      </c>
      <c r="C98">
        <v>0</v>
      </c>
      <c r="D98">
        <v>15</v>
      </c>
      <c r="E98">
        <v>6.25</v>
      </c>
      <c r="F98">
        <v>-10</v>
      </c>
      <c r="G98">
        <v>0</v>
      </c>
      <c r="H98">
        <v>10</v>
      </c>
      <c r="I98">
        <v>20</v>
      </c>
    </row>
    <row r="99" spans="1:9">
      <c r="A99">
        <v>13</v>
      </c>
      <c r="B99">
        <v>1300</v>
      </c>
      <c r="C99">
        <v>0</v>
      </c>
      <c r="D99">
        <v>15</v>
      </c>
      <c r="E99">
        <v>6.5</v>
      </c>
      <c r="F99">
        <v>-10</v>
      </c>
      <c r="G99">
        <v>0</v>
      </c>
      <c r="H99">
        <v>10</v>
      </c>
      <c r="I99">
        <v>20</v>
      </c>
    </row>
    <row r="100" spans="1:9">
      <c r="A100">
        <v>13.5</v>
      </c>
      <c r="B100">
        <v>1350</v>
      </c>
      <c r="C100">
        <v>0</v>
      </c>
      <c r="D100">
        <v>15</v>
      </c>
      <c r="E100">
        <v>6.75</v>
      </c>
      <c r="F100">
        <v>-10</v>
      </c>
      <c r="G100">
        <v>0</v>
      </c>
      <c r="H100">
        <v>10</v>
      </c>
      <c r="I100">
        <v>20</v>
      </c>
    </row>
    <row r="101" spans="1:9">
      <c r="A101">
        <v>14</v>
      </c>
      <c r="B101">
        <v>1400</v>
      </c>
      <c r="C101">
        <v>0</v>
      </c>
      <c r="D101">
        <v>15</v>
      </c>
      <c r="E101">
        <v>7</v>
      </c>
      <c r="F101">
        <v>-10</v>
      </c>
      <c r="G101">
        <v>0</v>
      </c>
      <c r="H101">
        <v>10</v>
      </c>
      <c r="I101">
        <v>20</v>
      </c>
    </row>
    <row r="102" spans="1:9">
      <c r="A102">
        <v>14.5</v>
      </c>
      <c r="B102">
        <v>1450</v>
      </c>
      <c r="C102">
        <v>0</v>
      </c>
      <c r="D102">
        <v>15</v>
      </c>
      <c r="E102">
        <v>7.25</v>
      </c>
      <c r="F102">
        <v>-10</v>
      </c>
      <c r="G102">
        <v>0</v>
      </c>
      <c r="H102">
        <v>10</v>
      </c>
      <c r="I102">
        <v>20</v>
      </c>
    </row>
    <row r="103" spans="1:9">
      <c r="A103">
        <v>15</v>
      </c>
      <c r="B103">
        <v>1500</v>
      </c>
      <c r="C103">
        <v>0</v>
      </c>
      <c r="D103">
        <v>15</v>
      </c>
      <c r="E103">
        <v>7.5</v>
      </c>
      <c r="F103">
        <v>-10</v>
      </c>
      <c r="G103">
        <v>0</v>
      </c>
      <c r="H103">
        <v>10</v>
      </c>
      <c r="I103">
        <v>20</v>
      </c>
    </row>
    <row r="106" spans="1:9">
      <c r="A106" t="s">
        <v>20</v>
      </c>
      <c r="B106" t="s">
        <v>330</v>
      </c>
      <c r="C106" t="s">
        <v>275</v>
      </c>
      <c r="I106">
        <v>4</v>
      </c>
    </row>
    <row r="107" spans="1:9">
      <c r="A107" t="s">
        <v>0</v>
      </c>
      <c r="B107" t="s">
        <v>12</v>
      </c>
      <c r="C107" t="s">
        <v>13</v>
      </c>
      <c r="D107" t="s">
        <v>14</v>
      </c>
      <c r="E107" t="s">
        <v>15</v>
      </c>
      <c r="F107" t="s">
        <v>16</v>
      </c>
      <c r="G107" t="s">
        <v>17</v>
      </c>
      <c r="H107" t="s">
        <v>18</v>
      </c>
      <c r="I107" t="s">
        <v>19</v>
      </c>
    </row>
    <row r="108" spans="1:9">
      <c r="A108">
        <v>0</v>
      </c>
      <c r="B108">
        <v>0.01</v>
      </c>
      <c r="C108">
        <v>0</v>
      </c>
      <c r="D108">
        <v>15</v>
      </c>
      <c r="E108">
        <v>0</v>
      </c>
      <c r="F108">
        <v>10</v>
      </c>
      <c r="G108">
        <v>0</v>
      </c>
      <c r="H108">
        <v>10</v>
      </c>
      <c r="I108">
        <v>20</v>
      </c>
    </row>
    <row r="109" spans="1:9">
      <c r="A109">
        <v>0.5</v>
      </c>
      <c r="B109">
        <v>50</v>
      </c>
      <c r="C109">
        <v>0</v>
      </c>
      <c r="D109">
        <v>15</v>
      </c>
      <c r="E109">
        <v>0.25</v>
      </c>
      <c r="F109">
        <v>10</v>
      </c>
      <c r="G109">
        <v>0</v>
      </c>
      <c r="H109">
        <v>10</v>
      </c>
      <c r="I109">
        <v>20</v>
      </c>
    </row>
    <row r="110" spans="1:9">
      <c r="A110">
        <v>1</v>
      </c>
      <c r="B110">
        <v>100</v>
      </c>
      <c r="C110">
        <v>0</v>
      </c>
      <c r="D110">
        <v>15</v>
      </c>
      <c r="E110">
        <v>0.5</v>
      </c>
      <c r="F110">
        <v>10</v>
      </c>
      <c r="G110">
        <v>0</v>
      </c>
      <c r="H110">
        <v>10</v>
      </c>
      <c r="I110">
        <v>20</v>
      </c>
    </row>
    <row r="111" spans="1:9">
      <c r="A111">
        <v>1.5</v>
      </c>
      <c r="B111">
        <v>150</v>
      </c>
      <c r="C111">
        <v>0</v>
      </c>
      <c r="D111">
        <v>15</v>
      </c>
      <c r="E111">
        <v>0.75</v>
      </c>
      <c r="F111">
        <v>10</v>
      </c>
      <c r="G111">
        <v>0</v>
      </c>
      <c r="H111">
        <v>10</v>
      </c>
      <c r="I111">
        <v>20</v>
      </c>
    </row>
    <row r="112" spans="1:9">
      <c r="A112">
        <v>2</v>
      </c>
      <c r="B112">
        <v>200</v>
      </c>
      <c r="C112">
        <v>0</v>
      </c>
      <c r="D112">
        <v>15</v>
      </c>
      <c r="E112">
        <v>1</v>
      </c>
      <c r="F112">
        <v>10</v>
      </c>
      <c r="G112">
        <v>0</v>
      </c>
      <c r="H112">
        <v>10</v>
      </c>
      <c r="I112">
        <v>20</v>
      </c>
    </row>
    <row r="113" spans="1:9">
      <c r="A113">
        <v>2.5</v>
      </c>
      <c r="B113">
        <v>250</v>
      </c>
      <c r="C113">
        <v>0</v>
      </c>
      <c r="D113">
        <v>15</v>
      </c>
      <c r="E113">
        <v>1.25</v>
      </c>
      <c r="F113">
        <v>10</v>
      </c>
      <c r="G113">
        <v>0</v>
      </c>
      <c r="H113">
        <v>10</v>
      </c>
      <c r="I113">
        <v>20</v>
      </c>
    </row>
    <row r="114" spans="1:9">
      <c r="A114">
        <v>3</v>
      </c>
      <c r="B114">
        <v>300</v>
      </c>
      <c r="C114">
        <v>0</v>
      </c>
      <c r="D114">
        <v>15</v>
      </c>
      <c r="E114">
        <v>1.5</v>
      </c>
      <c r="F114">
        <v>10</v>
      </c>
      <c r="G114">
        <v>0</v>
      </c>
      <c r="H114">
        <v>10</v>
      </c>
      <c r="I114">
        <v>20</v>
      </c>
    </row>
    <row r="115" spans="1:9">
      <c r="A115">
        <v>3.5</v>
      </c>
      <c r="B115">
        <v>350</v>
      </c>
      <c r="C115">
        <v>0</v>
      </c>
      <c r="D115">
        <v>15</v>
      </c>
      <c r="E115">
        <v>1.75</v>
      </c>
      <c r="F115">
        <v>10</v>
      </c>
      <c r="G115">
        <v>0</v>
      </c>
      <c r="H115">
        <v>10</v>
      </c>
      <c r="I115">
        <v>20</v>
      </c>
    </row>
    <row r="116" spans="1:9">
      <c r="A116">
        <v>4</v>
      </c>
      <c r="B116">
        <v>400</v>
      </c>
      <c r="C116">
        <v>0</v>
      </c>
      <c r="D116">
        <v>15</v>
      </c>
      <c r="E116">
        <v>2</v>
      </c>
      <c r="F116">
        <v>10</v>
      </c>
      <c r="G116">
        <v>0</v>
      </c>
      <c r="H116">
        <v>10</v>
      </c>
      <c r="I116">
        <v>20</v>
      </c>
    </row>
    <row r="117" spans="1:9">
      <c r="A117">
        <v>4.5</v>
      </c>
      <c r="B117">
        <v>450</v>
      </c>
      <c r="C117">
        <v>0</v>
      </c>
      <c r="D117">
        <v>15</v>
      </c>
      <c r="E117">
        <v>2.25</v>
      </c>
      <c r="F117">
        <v>10</v>
      </c>
      <c r="G117">
        <v>0</v>
      </c>
      <c r="H117">
        <v>10</v>
      </c>
      <c r="I117">
        <v>20</v>
      </c>
    </row>
    <row r="118" spans="1:9">
      <c r="A118">
        <v>5</v>
      </c>
      <c r="B118">
        <v>500</v>
      </c>
      <c r="C118">
        <v>0</v>
      </c>
      <c r="D118">
        <v>15</v>
      </c>
      <c r="E118">
        <v>2.5</v>
      </c>
      <c r="F118">
        <v>10</v>
      </c>
      <c r="G118">
        <v>0</v>
      </c>
      <c r="H118">
        <v>10</v>
      </c>
      <c r="I118">
        <v>20</v>
      </c>
    </row>
    <row r="119" spans="1:9">
      <c r="A119">
        <v>5.5</v>
      </c>
      <c r="B119">
        <v>550</v>
      </c>
      <c r="C119">
        <v>0</v>
      </c>
      <c r="D119">
        <v>15</v>
      </c>
      <c r="E119">
        <v>2.75</v>
      </c>
      <c r="F119">
        <v>10</v>
      </c>
      <c r="G119">
        <v>0</v>
      </c>
      <c r="H119">
        <v>10</v>
      </c>
      <c r="I119">
        <v>20</v>
      </c>
    </row>
    <row r="120" spans="1:9">
      <c r="A120">
        <v>6</v>
      </c>
      <c r="B120">
        <v>600</v>
      </c>
      <c r="C120">
        <v>0</v>
      </c>
      <c r="D120">
        <v>15</v>
      </c>
      <c r="E120">
        <v>3</v>
      </c>
      <c r="F120">
        <v>10</v>
      </c>
      <c r="G120">
        <v>0</v>
      </c>
      <c r="H120">
        <v>10</v>
      </c>
      <c r="I120">
        <v>20</v>
      </c>
    </row>
    <row r="121" spans="1:9">
      <c r="A121">
        <v>6.5</v>
      </c>
      <c r="B121">
        <v>650</v>
      </c>
      <c r="C121">
        <v>0</v>
      </c>
      <c r="D121">
        <v>15</v>
      </c>
      <c r="E121">
        <v>3.25</v>
      </c>
      <c r="F121">
        <v>10</v>
      </c>
      <c r="G121">
        <v>0</v>
      </c>
      <c r="H121">
        <v>10</v>
      </c>
      <c r="I121">
        <v>20</v>
      </c>
    </row>
    <row r="122" spans="1:9">
      <c r="A122">
        <v>7</v>
      </c>
      <c r="B122">
        <v>700</v>
      </c>
      <c r="C122">
        <v>0</v>
      </c>
      <c r="D122">
        <v>15</v>
      </c>
      <c r="E122">
        <v>3.5</v>
      </c>
      <c r="F122">
        <v>10</v>
      </c>
      <c r="G122">
        <v>0</v>
      </c>
      <c r="H122">
        <v>10</v>
      </c>
      <c r="I122">
        <v>20</v>
      </c>
    </row>
    <row r="123" spans="1:9">
      <c r="A123">
        <v>7.5</v>
      </c>
      <c r="B123">
        <v>750</v>
      </c>
      <c r="C123">
        <v>0</v>
      </c>
      <c r="D123">
        <v>15</v>
      </c>
      <c r="E123">
        <v>3.75</v>
      </c>
      <c r="F123">
        <v>10</v>
      </c>
      <c r="G123">
        <v>0</v>
      </c>
      <c r="H123">
        <v>10</v>
      </c>
      <c r="I123">
        <v>20</v>
      </c>
    </row>
    <row r="124" spans="1:9">
      <c r="A124">
        <v>8</v>
      </c>
      <c r="B124">
        <v>800</v>
      </c>
      <c r="C124">
        <v>0</v>
      </c>
      <c r="D124">
        <v>15</v>
      </c>
      <c r="E124">
        <v>4</v>
      </c>
      <c r="F124">
        <v>10</v>
      </c>
      <c r="G124">
        <v>0</v>
      </c>
      <c r="H124">
        <v>10</v>
      </c>
      <c r="I124">
        <v>20</v>
      </c>
    </row>
    <row r="125" spans="1:9">
      <c r="A125">
        <v>8.5</v>
      </c>
      <c r="B125">
        <v>850</v>
      </c>
      <c r="C125">
        <v>0</v>
      </c>
      <c r="D125">
        <v>15</v>
      </c>
      <c r="E125">
        <v>4.25</v>
      </c>
      <c r="F125">
        <v>10</v>
      </c>
      <c r="G125">
        <v>0</v>
      </c>
      <c r="H125">
        <v>10</v>
      </c>
      <c r="I125">
        <v>20</v>
      </c>
    </row>
    <row r="126" spans="1:9">
      <c r="A126">
        <v>9</v>
      </c>
      <c r="B126">
        <v>900</v>
      </c>
      <c r="C126">
        <v>0</v>
      </c>
      <c r="D126">
        <v>15</v>
      </c>
      <c r="E126">
        <v>4.5</v>
      </c>
      <c r="F126">
        <v>10</v>
      </c>
      <c r="G126">
        <v>0</v>
      </c>
      <c r="H126">
        <v>10</v>
      </c>
      <c r="I126">
        <v>20</v>
      </c>
    </row>
    <row r="127" spans="1:9">
      <c r="A127">
        <v>9.5</v>
      </c>
      <c r="B127">
        <v>950</v>
      </c>
      <c r="C127">
        <v>0</v>
      </c>
      <c r="D127">
        <v>15</v>
      </c>
      <c r="E127">
        <v>4.75</v>
      </c>
      <c r="F127">
        <v>10</v>
      </c>
      <c r="G127">
        <v>0</v>
      </c>
      <c r="H127">
        <v>10</v>
      </c>
      <c r="I127">
        <v>20</v>
      </c>
    </row>
    <row r="128" spans="1:9">
      <c r="A128">
        <v>10</v>
      </c>
      <c r="B128">
        <v>1000</v>
      </c>
      <c r="C128">
        <v>0</v>
      </c>
      <c r="D128">
        <v>15</v>
      </c>
      <c r="E128">
        <v>5</v>
      </c>
      <c r="F128">
        <v>10</v>
      </c>
      <c r="G128">
        <v>0</v>
      </c>
      <c r="H128">
        <v>10</v>
      </c>
      <c r="I128">
        <v>20</v>
      </c>
    </row>
    <row r="129" spans="1:9">
      <c r="A129">
        <v>10.5</v>
      </c>
      <c r="B129">
        <v>1050</v>
      </c>
      <c r="C129">
        <v>0</v>
      </c>
      <c r="D129">
        <v>15</v>
      </c>
      <c r="E129">
        <v>5.25</v>
      </c>
      <c r="F129">
        <v>10</v>
      </c>
      <c r="G129">
        <v>0</v>
      </c>
      <c r="H129">
        <v>10</v>
      </c>
      <c r="I129">
        <v>20</v>
      </c>
    </row>
    <row r="130" spans="1:9">
      <c r="A130">
        <v>11</v>
      </c>
      <c r="B130">
        <v>1100</v>
      </c>
      <c r="C130">
        <v>0</v>
      </c>
      <c r="D130">
        <v>15</v>
      </c>
      <c r="E130">
        <v>5.5</v>
      </c>
      <c r="F130">
        <v>10</v>
      </c>
      <c r="G130">
        <v>0</v>
      </c>
      <c r="H130">
        <v>10</v>
      </c>
      <c r="I130">
        <v>20</v>
      </c>
    </row>
    <row r="131" spans="1:9">
      <c r="A131">
        <v>11.5</v>
      </c>
      <c r="B131">
        <v>1150</v>
      </c>
      <c r="C131">
        <v>0</v>
      </c>
      <c r="D131">
        <v>15</v>
      </c>
      <c r="E131">
        <v>5.75</v>
      </c>
      <c r="F131">
        <v>10</v>
      </c>
      <c r="G131">
        <v>0</v>
      </c>
      <c r="H131">
        <v>10</v>
      </c>
      <c r="I131">
        <v>20</v>
      </c>
    </row>
    <row r="132" spans="1:9">
      <c r="A132">
        <v>12</v>
      </c>
      <c r="B132">
        <v>1200</v>
      </c>
      <c r="C132">
        <v>0</v>
      </c>
      <c r="D132">
        <v>15</v>
      </c>
      <c r="E132">
        <v>6</v>
      </c>
      <c r="F132">
        <v>10</v>
      </c>
      <c r="G132">
        <v>0</v>
      </c>
      <c r="H132">
        <v>10</v>
      </c>
      <c r="I132">
        <v>20</v>
      </c>
    </row>
    <row r="133" spans="1:9">
      <c r="A133">
        <v>12.5</v>
      </c>
      <c r="B133">
        <v>1250</v>
      </c>
      <c r="C133">
        <v>0</v>
      </c>
      <c r="D133">
        <v>15</v>
      </c>
      <c r="E133">
        <v>6.25</v>
      </c>
      <c r="F133">
        <v>10</v>
      </c>
      <c r="G133">
        <v>0</v>
      </c>
      <c r="H133">
        <v>10</v>
      </c>
      <c r="I133">
        <v>20</v>
      </c>
    </row>
    <row r="134" spans="1:9">
      <c r="A134">
        <v>13</v>
      </c>
      <c r="B134">
        <v>1300</v>
      </c>
      <c r="C134">
        <v>0</v>
      </c>
      <c r="D134">
        <v>15</v>
      </c>
      <c r="E134">
        <v>6.5</v>
      </c>
      <c r="F134">
        <v>10</v>
      </c>
      <c r="G134">
        <v>0</v>
      </c>
      <c r="H134">
        <v>10</v>
      </c>
      <c r="I134">
        <v>20</v>
      </c>
    </row>
    <row r="135" spans="1:9">
      <c r="A135">
        <v>13.5</v>
      </c>
      <c r="B135">
        <v>1350</v>
      </c>
      <c r="C135">
        <v>0</v>
      </c>
      <c r="D135">
        <v>15</v>
      </c>
      <c r="E135">
        <v>6.75</v>
      </c>
      <c r="F135">
        <v>10</v>
      </c>
      <c r="G135">
        <v>0</v>
      </c>
      <c r="H135">
        <v>10</v>
      </c>
      <c r="I135">
        <v>20</v>
      </c>
    </row>
    <row r="136" spans="1:9">
      <c r="A136">
        <v>14</v>
      </c>
      <c r="B136">
        <v>1400</v>
      </c>
      <c r="C136">
        <v>0</v>
      </c>
      <c r="D136">
        <v>15</v>
      </c>
      <c r="E136">
        <v>7</v>
      </c>
      <c r="F136">
        <v>10</v>
      </c>
      <c r="G136">
        <v>0</v>
      </c>
      <c r="H136">
        <v>10</v>
      </c>
      <c r="I136">
        <v>20</v>
      </c>
    </row>
    <row r="137" spans="1:9">
      <c r="A137">
        <v>14.5</v>
      </c>
      <c r="B137">
        <v>1450</v>
      </c>
      <c r="C137">
        <v>0</v>
      </c>
      <c r="D137">
        <v>15</v>
      </c>
      <c r="E137">
        <v>7.25</v>
      </c>
      <c r="F137">
        <v>10</v>
      </c>
      <c r="G137">
        <v>0</v>
      </c>
      <c r="H137">
        <v>10</v>
      </c>
      <c r="I137">
        <v>20</v>
      </c>
    </row>
    <row r="138" spans="1:9">
      <c r="A138">
        <v>15</v>
      </c>
      <c r="B138">
        <v>1500</v>
      </c>
      <c r="C138">
        <v>0</v>
      </c>
      <c r="D138">
        <v>15</v>
      </c>
      <c r="E138">
        <v>7.5</v>
      </c>
      <c r="F138">
        <v>10</v>
      </c>
      <c r="G138">
        <v>0</v>
      </c>
      <c r="H138">
        <v>10</v>
      </c>
      <c r="I138">
        <v>20</v>
      </c>
    </row>
    <row r="141" spans="1:9">
      <c r="A141" t="s">
        <v>20</v>
      </c>
      <c r="B141" t="s">
        <v>330</v>
      </c>
      <c r="C141" t="s">
        <v>276</v>
      </c>
      <c r="I141">
        <v>5</v>
      </c>
    </row>
    <row r="142" spans="1:9">
      <c r="A142" t="s">
        <v>0</v>
      </c>
      <c r="B142" t="s">
        <v>12</v>
      </c>
      <c r="C142" t="s">
        <v>13</v>
      </c>
      <c r="D142" t="s">
        <v>14</v>
      </c>
      <c r="E142" t="s">
        <v>15</v>
      </c>
      <c r="F142" t="s">
        <v>16</v>
      </c>
      <c r="G142" t="s">
        <v>17</v>
      </c>
      <c r="H142" t="s">
        <v>18</v>
      </c>
      <c r="I142" t="s">
        <v>19</v>
      </c>
    </row>
    <row r="143" spans="1:9">
      <c r="A143">
        <v>0</v>
      </c>
      <c r="B143">
        <v>0.01</v>
      </c>
      <c r="C143">
        <v>0</v>
      </c>
      <c r="D143">
        <v>25</v>
      </c>
      <c r="E143">
        <v>0</v>
      </c>
      <c r="F143">
        <v>-10</v>
      </c>
      <c r="G143">
        <v>0</v>
      </c>
      <c r="H143">
        <v>20</v>
      </c>
      <c r="I143">
        <v>30</v>
      </c>
    </row>
    <row r="144" spans="1:9">
      <c r="A144">
        <v>0.5</v>
      </c>
      <c r="B144">
        <v>50</v>
      </c>
      <c r="C144">
        <v>0</v>
      </c>
      <c r="D144">
        <v>25</v>
      </c>
      <c r="E144">
        <v>0.25</v>
      </c>
      <c r="F144">
        <v>-10</v>
      </c>
      <c r="G144">
        <v>0</v>
      </c>
      <c r="H144">
        <v>20</v>
      </c>
      <c r="I144">
        <v>30</v>
      </c>
    </row>
    <row r="145" spans="1:9">
      <c r="A145">
        <v>1</v>
      </c>
      <c r="B145">
        <v>100</v>
      </c>
      <c r="C145">
        <v>0</v>
      </c>
      <c r="D145">
        <v>25</v>
      </c>
      <c r="E145">
        <v>0.5</v>
      </c>
      <c r="F145">
        <v>-10</v>
      </c>
      <c r="G145">
        <v>0</v>
      </c>
      <c r="H145">
        <v>20</v>
      </c>
      <c r="I145">
        <v>30</v>
      </c>
    </row>
    <row r="146" spans="1:9">
      <c r="A146">
        <v>1.5</v>
      </c>
      <c r="B146">
        <v>150</v>
      </c>
      <c r="C146">
        <v>0</v>
      </c>
      <c r="D146">
        <v>25</v>
      </c>
      <c r="E146">
        <v>0.75</v>
      </c>
      <c r="F146">
        <v>-10</v>
      </c>
      <c r="G146">
        <v>0</v>
      </c>
      <c r="H146">
        <v>20</v>
      </c>
      <c r="I146">
        <v>30</v>
      </c>
    </row>
    <row r="147" spans="1:9">
      <c r="A147">
        <v>2</v>
      </c>
      <c r="B147">
        <v>200</v>
      </c>
      <c r="C147">
        <v>0</v>
      </c>
      <c r="D147">
        <v>25</v>
      </c>
      <c r="E147">
        <v>1</v>
      </c>
      <c r="F147">
        <v>-10</v>
      </c>
      <c r="G147">
        <v>0</v>
      </c>
      <c r="H147">
        <v>20</v>
      </c>
      <c r="I147">
        <v>30</v>
      </c>
    </row>
    <row r="148" spans="1:9">
      <c r="A148">
        <v>2.5</v>
      </c>
      <c r="B148">
        <v>250</v>
      </c>
      <c r="C148">
        <v>0</v>
      </c>
      <c r="D148">
        <v>25</v>
      </c>
      <c r="E148">
        <v>1.25</v>
      </c>
      <c r="F148">
        <v>-10</v>
      </c>
      <c r="G148">
        <v>0</v>
      </c>
      <c r="H148">
        <v>20</v>
      </c>
      <c r="I148">
        <v>30</v>
      </c>
    </row>
    <row r="149" spans="1:9">
      <c r="A149">
        <v>3</v>
      </c>
      <c r="B149">
        <v>300</v>
      </c>
      <c r="C149">
        <v>0</v>
      </c>
      <c r="D149">
        <v>25</v>
      </c>
      <c r="E149">
        <v>1.5</v>
      </c>
      <c r="F149">
        <v>-10</v>
      </c>
      <c r="G149">
        <v>0</v>
      </c>
      <c r="H149">
        <v>20</v>
      </c>
      <c r="I149">
        <v>30</v>
      </c>
    </row>
    <row r="150" spans="1:9">
      <c r="A150">
        <v>3.5</v>
      </c>
      <c r="B150">
        <v>350</v>
      </c>
      <c r="C150">
        <v>0</v>
      </c>
      <c r="D150">
        <v>25</v>
      </c>
      <c r="E150">
        <v>1.75</v>
      </c>
      <c r="F150">
        <v>-10</v>
      </c>
      <c r="G150">
        <v>0</v>
      </c>
      <c r="H150">
        <v>20</v>
      </c>
      <c r="I150">
        <v>30</v>
      </c>
    </row>
    <row r="151" spans="1:9">
      <c r="A151">
        <v>4</v>
      </c>
      <c r="B151">
        <v>400</v>
      </c>
      <c r="C151">
        <v>0</v>
      </c>
      <c r="D151">
        <v>25</v>
      </c>
      <c r="E151">
        <v>2</v>
      </c>
      <c r="F151">
        <v>-10</v>
      </c>
      <c r="G151">
        <v>0</v>
      </c>
      <c r="H151">
        <v>20</v>
      </c>
      <c r="I151">
        <v>30</v>
      </c>
    </row>
    <row r="152" spans="1:9">
      <c r="A152">
        <v>4.5</v>
      </c>
      <c r="B152">
        <v>450</v>
      </c>
      <c r="C152">
        <v>0</v>
      </c>
      <c r="D152">
        <v>25</v>
      </c>
      <c r="E152">
        <v>2.25</v>
      </c>
      <c r="F152">
        <v>-10</v>
      </c>
      <c r="G152">
        <v>0</v>
      </c>
      <c r="H152">
        <v>20</v>
      </c>
      <c r="I152">
        <v>30</v>
      </c>
    </row>
    <row r="153" spans="1:9">
      <c r="A153">
        <v>5</v>
      </c>
      <c r="B153">
        <v>500</v>
      </c>
      <c r="C153">
        <v>0</v>
      </c>
      <c r="D153">
        <v>25</v>
      </c>
      <c r="E153">
        <v>2.5</v>
      </c>
      <c r="F153">
        <v>-10</v>
      </c>
      <c r="G153">
        <v>0</v>
      </c>
      <c r="H153">
        <v>20</v>
      </c>
      <c r="I153">
        <v>30</v>
      </c>
    </row>
    <row r="154" spans="1:9">
      <c r="A154">
        <v>5.5</v>
      </c>
      <c r="B154">
        <v>550</v>
      </c>
      <c r="C154">
        <v>0</v>
      </c>
      <c r="D154">
        <v>25</v>
      </c>
      <c r="E154">
        <v>2.75</v>
      </c>
      <c r="F154">
        <v>-10</v>
      </c>
      <c r="G154">
        <v>0</v>
      </c>
      <c r="H154">
        <v>20</v>
      </c>
      <c r="I154">
        <v>30</v>
      </c>
    </row>
    <row r="155" spans="1:9">
      <c r="A155">
        <v>6</v>
      </c>
      <c r="B155">
        <v>600</v>
      </c>
      <c r="C155">
        <v>0</v>
      </c>
      <c r="D155">
        <v>25</v>
      </c>
      <c r="E155">
        <v>3</v>
      </c>
      <c r="F155">
        <v>-10</v>
      </c>
      <c r="G155">
        <v>0</v>
      </c>
      <c r="H155">
        <v>20</v>
      </c>
      <c r="I155">
        <v>30</v>
      </c>
    </row>
    <row r="156" spans="1:9">
      <c r="A156">
        <v>6.5</v>
      </c>
      <c r="B156">
        <v>650</v>
      </c>
      <c r="C156">
        <v>0</v>
      </c>
      <c r="D156">
        <v>25</v>
      </c>
      <c r="E156">
        <v>3.25</v>
      </c>
      <c r="F156">
        <v>-10</v>
      </c>
      <c r="G156">
        <v>0</v>
      </c>
      <c r="H156">
        <v>20</v>
      </c>
      <c r="I156">
        <v>30</v>
      </c>
    </row>
    <row r="157" spans="1:9">
      <c r="A157">
        <v>7</v>
      </c>
      <c r="B157">
        <v>700</v>
      </c>
      <c r="C157">
        <v>0</v>
      </c>
      <c r="D157">
        <v>25</v>
      </c>
      <c r="E157">
        <v>3.5</v>
      </c>
      <c r="F157">
        <v>-10</v>
      </c>
      <c r="G157">
        <v>0</v>
      </c>
      <c r="H157">
        <v>20</v>
      </c>
      <c r="I157">
        <v>30</v>
      </c>
    </row>
    <row r="158" spans="1:9">
      <c r="A158">
        <v>7.5</v>
      </c>
      <c r="B158">
        <v>750</v>
      </c>
      <c r="C158">
        <v>0</v>
      </c>
      <c r="D158">
        <v>25</v>
      </c>
      <c r="E158">
        <v>3.75</v>
      </c>
      <c r="F158">
        <v>-10</v>
      </c>
      <c r="G158">
        <v>0</v>
      </c>
      <c r="H158">
        <v>20</v>
      </c>
      <c r="I158">
        <v>30</v>
      </c>
    </row>
    <row r="159" spans="1:9">
      <c r="A159">
        <v>8</v>
      </c>
      <c r="B159">
        <v>800</v>
      </c>
      <c r="C159">
        <v>0</v>
      </c>
      <c r="D159">
        <v>25</v>
      </c>
      <c r="E159">
        <v>4</v>
      </c>
      <c r="F159">
        <v>-10</v>
      </c>
      <c r="G159">
        <v>0</v>
      </c>
      <c r="H159">
        <v>20</v>
      </c>
      <c r="I159">
        <v>30</v>
      </c>
    </row>
    <row r="160" spans="1:9">
      <c r="A160">
        <v>8.5</v>
      </c>
      <c r="B160">
        <v>850</v>
      </c>
      <c r="C160">
        <v>0</v>
      </c>
      <c r="D160">
        <v>25</v>
      </c>
      <c r="E160">
        <v>4.25</v>
      </c>
      <c r="F160">
        <v>-10</v>
      </c>
      <c r="G160">
        <v>0</v>
      </c>
      <c r="H160">
        <v>20</v>
      </c>
      <c r="I160">
        <v>30</v>
      </c>
    </row>
    <row r="161" spans="1:9">
      <c r="A161">
        <v>9</v>
      </c>
      <c r="B161">
        <v>900</v>
      </c>
      <c r="C161">
        <v>0</v>
      </c>
      <c r="D161">
        <v>25</v>
      </c>
      <c r="E161">
        <v>4.5</v>
      </c>
      <c r="F161">
        <v>-10</v>
      </c>
      <c r="G161">
        <v>0</v>
      </c>
      <c r="H161">
        <v>20</v>
      </c>
      <c r="I161">
        <v>30</v>
      </c>
    </row>
    <row r="162" spans="1:9">
      <c r="A162">
        <v>9.5</v>
      </c>
      <c r="B162">
        <v>950</v>
      </c>
      <c r="C162">
        <v>0</v>
      </c>
      <c r="D162">
        <v>25</v>
      </c>
      <c r="E162">
        <v>4.75</v>
      </c>
      <c r="F162">
        <v>-10</v>
      </c>
      <c r="G162">
        <v>0</v>
      </c>
      <c r="H162">
        <v>20</v>
      </c>
      <c r="I162">
        <v>30</v>
      </c>
    </row>
    <row r="163" spans="1:9">
      <c r="A163">
        <v>10</v>
      </c>
      <c r="B163">
        <v>1000</v>
      </c>
      <c r="C163">
        <v>0</v>
      </c>
      <c r="D163">
        <v>25</v>
      </c>
      <c r="E163">
        <v>5</v>
      </c>
      <c r="F163">
        <v>-10</v>
      </c>
      <c r="G163">
        <v>0</v>
      </c>
      <c r="H163">
        <v>20</v>
      </c>
      <c r="I163">
        <v>30</v>
      </c>
    </row>
    <row r="164" spans="1:9">
      <c r="A164">
        <v>10.5</v>
      </c>
      <c r="B164">
        <v>1050</v>
      </c>
      <c r="C164">
        <v>0</v>
      </c>
      <c r="D164">
        <v>25</v>
      </c>
      <c r="E164">
        <v>5.25</v>
      </c>
      <c r="F164">
        <v>-10</v>
      </c>
      <c r="G164">
        <v>0</v>
      </c>
      <c r="H164">
        <v>20</v>
      </c>
      <c r="I164">
        <v>30</v>
      </c>
    </row>
    <row r="165" spans="1:9">
      <c r="A165">
        <v>11</v>
      </c>
      <c r="B165">
        <v>1100</v>
      </c>
      <c r="C165">
        <v>0</v>
      </c>
      <c r="D165">
        <v>25</v>
      </c>
      <c r="E165">
        <v>5.5</v>
      </c>
      <c r="F165">
        <v>-10</v>
      </c>
      <c r="G165">
        <v>0</v>
      </c>
      <c r="H165">
        <v>20</v>
      </c>
      <c r="I165">
        <v>30</v>
      </c>
    </row>
    <row r="166" spans="1:9">
      <c r="A166">
        <v>11.5</v>
      </c>
      <c r="B166">
        <v>1150</v>
      </c>
      <c r="C166">
        <v>0</v>
      </c>
      <c r="D166">
        <v>25</v>
      </c>
      <c r="E166">
        <v>5.75</v>
      </c>
      <c r="F166">
        <v>-10</v>
      </c>
      <c r="G166">
        <v>0</v>
      </c>
      <c r="H166">
        <v>20</v>
      </c>
      <c r="I166">
        <v>30</v>
      </c>
    </row>
    <row r="167" spans="1:9">
      <c r="A167">
        <v>12</v>
      </c>
      <c r="B167">
        <v>1200</v>
      </c>
      <c r="C167">
        <v>0</v>
      </c>
      <c r="D167">
        <v>25</v>
      </c>
      <c r="E167">
        <v>6</v>
      </c>
      <c r="F167">
        <v>-10</v>
      </c>
      <c r="G167">
        <v>0</v>
      </c>
      <c r="H167">
        <v>20</v>
      </c>
      <c r="I167">
        <v>30</v>
      </c>
    </row>
    <row r="168" spans="1:9">
      <c r="A168">
        <v>12.5</v>
      </c>
      <c r="B168">
        <v>1250</v>
      </c>
      <c r="C168">
        <v>0</v>
      </c>
      <c r="D168">
        <v>25</v>
      </c>
      <c r="E168">
        <v>6.25</v>
      </c>
      <c r="F168">
        <v>-10</v>
      </c>
      <c r="G168">
        <v>0</v>
      </c>
      <c r="H168">
        <v>20</v>
      </c>
      <c r="I168">
        <v>30</v>
      </c>
    </row>
    <row r="169" spans="1:9">
      <c r="A169">
        <v>13</v>
      </c>
      <c r="B169">
        <v>1300</v>
      </c>
      <c r="C169">
        <v>0</v>
      </c>
      <c r="D169">
        <v>25</v>
      </c>
      <c r="E169">
        <v>6.5</v>
      </c>
      <c r="F169">
        <v>-10</v>
      </c>
      <c r="G169">
        <v>0</v>
      </c>
      <c r="H169">
        <v>20</v>
      </c>
      <c r="I169">
        <v>30</v>
      </c>
    </row>
    <row r="170" spans="1:9">
      <c r="A170">
        <v>13.5</v>
      </c>
      <c r="B170">
        <v>1350</v>
      </c>
      <c r="C170">
        <v>0</v>
      </c>
      <c r="D170">
        <v>25</v>
      </c>
      <c r="E170">
        <v>6.75</v>
      </c>
      <c r="F170">
        <v>-10</v>
      </c>
      <c r="G170">
        <v>0</v>
      </c>
      <c r="H170">
        <v>20</v>
      </c>
      <c r="I170">
        <v>30</v>
      </c>
    </row>
    <row r="171" spans="1:9">
      <c r="A171">
        <v>14</v>
      </c>
      <c r="B171">
        <v>1400</v>
      </c>
      <c r="C171">
        <v>0</v>
      </c>
      <c r="D171">
        <v>25</v>
      </c>
      <c r="E171">
        <v>7</v>
      </c>
      <c r="F171">
        <v>-10</v>
      </c>
      <c r="G171">
        <v>0</v>
      </c>
      <c r="H171">
        <v>20</v>
      </c>
      <c r="I171">
        <v>30</v>
      </c>
    </row>
    <row r="172" spans="1:9">
      <c r="A172">
        <v>14.5</v>
      </c>
      <c r="B172">
        <v>1450</v>
      </c>
      <c r="C172">
        <v>0</v>
      </c>
      <c r="D172">
        <v>25</v>
      </c>
      <c r="E172">
        <v>7.25</v>
      </c>
      <c r="F172">
        <v>-10</v>
      </c>
      <c r="G172">
        <v>0</v>
      </c>
      <c r="H172">
        <v>20</v>
      </c>
      <c r="I172">
        <v>30</v>
      </c>
    </row>
    <row r="173" spans="1:9">
      <c r="A173">
        <v>15</v>
      </c>
      <c r="B173">
        <v>1500</v>
      </c>
      <c r="C173">
        <v>0</v>
      </c>
      <c r="D173">
        <v>25</v>
      </c>
      <c r="E173">
        <v>7.5</v>
      </c>
      <c r="F173">
        <v>-10</v>
      </c>
      <c r="G173">
        <v>0</v>
      </c>
      <c r="H173">
        <v>20</v>
      </c>
      <c r="I173">
        <v>30</v>
      </c>
    </row>
    <row r="176" spans="1:9">
      <c r="A176" t="s">
        <v>20</v>
      </c>
      <c r="B176" t="s">
        <v>330</v>
      </c>
      <c r="C176" t="s">
        <v>277</v>
      </c>
      <c r="I176">
        <v>6</v>
      </c>
    </row>
    <row r="177" spans="1:9">
      <c r="A177" t="s">
        <v>0</v>
      </c>
      <c r="B177" t="s">
        <v>12</v>
      </c>
      <c r="C177" t="s">
        <v>13</v>
      </c>
      <c r="D177" t="s">
        <v>14</v>
      </c>
      <c r="E177" t="s">
        <v>15</v>
      </c>
      <c r="F177" t="s">
        <v>16</v>
      </c>
      <c r="G177" t="s">
        <v>17</v>
      </c>
      <c r="H177" t="s">
        <v>18</v>
      </c>
      <c r="I177" t="s">
        <v>19</v>
      </c>
    </row>
    <row r="178" spans="1:9">
      <c r="A178">
        <v>0</v>
      </c>
      <c r="B178">
        <v>0.01</v>
      </c>
      <c r="C178">
        <v>0</v>
      </c>
      <c r="D178">
        <v>25</v>
      </c>
      <c r="E178">
        <v>0</v>
      </c>
      <c r="F178">
        <v>10</v>
      </c>
      <c r="G178">
        <v>0</v>
      </c>
      <c r="H178">
        <v>20</v>
      </c>
      <c r="I178">
        <v>30</v>
      </c>
    </row>
    <row r="179" spans="1:9">
      <c r="A179">
        <v>0.5</v>
      </c>
      <c r="B179">
        <v>50</v>
      </c>
      <c r="C179">
        <v>0</v>
      </c>
      <c r="D179">
        <v>25</v>
      </c>
      <c r="E179">
        <v>0.25</v>
      </c>
      <c r="F179">
        <v>10</v>
      </c>
      <c r="G179">
        <v>0</v>
      </c>
      <c r="H179">
        <v>20</v>
      </c>
      <c r="I179">
        <v>30</v>
      </c>
    </row>
    <row r="180" spans="1:9">
      <c r="A180">
        <v>1</v>
      </c>
      <c r="B180">
        <v>100</v>
      </c>
      <c r="C180">
        <v>0</v>
      </c>
      <c r="D180">
        <v>25</v>
      </c>
      <c r="E180">
        <v>0.5</v>
      </c>
      <c r="F180">
        <v>10</v>
      </c>
      <c r="G180">
        <v>0</v>
      </c>
      <c r="H180">
        <v>20</v>
      </c>
      <c r="I180">
        <v>30</v>
      </c>
    </row>
    <row r="181" spans="1:9">
      <c r="A181">
        <v>1.5</v>
      </c>
      <c r="B181">
        <v>150</v>
      </c>
      <c r="C181">
        <v>0</v>
      </c>
      <c r="D181">
        <v>25</v>
      </c>
      <c r="E181">
        <v>0.75</v>
      </c>
      <c r="F181">
        <v>10</v>
      </c>
      <c r="G181">
        <v>0</v>
      </c>
      <c r="H181">
        <v>20</v>
      </c>
      <c r="I181">
        <v>30</v>
      </c>
    </row>
    <row r="182" spans="1:9">
      <c r="A182">
        <v>2</v>
      </c>
      <c r="B182">
        <v>200</v>
      </c>
      <c r="C182">
        <v>0</v>
      </c>
      <c r="D182">
        <v>25</v>
      </c>
      <c r="E182">
        <v>1</v>
      </c>
      <c r="F182">
        <v>10</v>
      </c>
      <c r="G182">
        <v>0</v>
      </c>
      <c r="H182">
        <v>20</v>
      </c>
      <c r="I182">
        <v>30</v>
      </c>
    </row>
    <row r="183" spans="1:9">
      <c r="A183">
        <v>2.5</v>
      </c>
      <c r="B183">
        <v>250</v>
      </c>
      <c r="C183">
        <v>0</v>
      </c>
      <c r="D183">
        <v>25</v>
      </c>
      <c r="E183">
        <v>1.25</v>
      </c>
      <c r="F183">
        <v>10</v>
      </c>
      <c r="G183">
        <v>0</v>
      </c>
      <c r="H183">
        <v>20</v>
      </c>
      <c r="I183">
        <v>30</v>
      </c>
    </row>
    <row r="184" spans="1:9">
      <c r="A184">
        <v>3</v>
      </c>
      <c r="B184">
        <v>300</v>
      </c>
      <c r="C184">
        <v>0</v>
      </c>
      <c r="D184">
        <v>25</v>
      </c>
      <c r="E184">
        <v>1.5</v>
      </c>
      <c r="F184">
        <v>10</v>
      </c>
      <c r="G184">
        <v>0</v>
      </c>
      <c r="H184">
        <v>20</v>
      </c>
      <c r="I184">
        <v>30</v>
      </c>
    </row>
    <row r="185" spans="1:9">
      <c r="A185">
        <v>3.5</v>
      </c>
      <c r="B185">
        <v>350</v>
      </c>
      <c r="C185">
        <v>0</v>
      </c>
      <c r="D185">
        <v>25</v>
      </c>
      <c r="E185">
        <v>1.75</v>
      </c>
      <c r="F185">
        <v>10</v>
      </c>
      <c r="G185">
        <v>0</v>
      </c>
      <c r="H185">
        <v>20</v>
      </c>
      <c r="I185">
        <v>30</v>
      </c>
    </row>
    <row r="186" spans="1:9">
      <c r="A186">
        <v>4</v>
      </c>
      <c r="B186">
        <v>400</v>
      </c>
      <c r="C186">
        <v>0</v>
      </c>
      <c r="D186">
        <v>25</v>
      </c>
      <c r="E186">
        <v>2</v>
      </c>
      <c r="F186">
        <v>10</v>
      </c>
      <c r="G186">
        <v>0</v>
      </c>
      <c r="H186">
        <v>20</v>
      </c>
      <c r="I186">
        <v>30</v>
      </c>
    </row>
    <row r="187" spans="1:9">
      <c r="A187">
        <v>4.5</v>
      </c>
      <c r="B187">
        <v>450</v>
      </c>
      <c r="C187">
        <v>0</v>
      </c>
      <c r="D187">
        <v>25</v>
      </c>
      <c r="E187">
        <v>2.25</v>
      </c>
      <c r="F187">
        <v>10</v>
      </c>
      <c r="G187">
        <v>0</v>
      </c>
      <c r="H187">
        <v>20</v>
      </c>
      <c r="I187">
        <v>30</v>
      </c>
    </row>
    <row r="188" spans="1:9">
      <c r="A188">
        <v>5</v>
      </c>
      <c r="B188">
        <v>500</v>
      </c>
      <c r="C188">
        <v>0</v>
      </c>
      <c r="D188">
        <v>25</v>
      </c>
      <c r="E188">
        <v>2.5</v>
      </c>
      <c r="F188">
        <v>10</v>
      </c>
      <c r="G188">
        <v>0</v>
      </c>
      <c r="H188">
        <v>20</v>
      </c>
      <c r="I188">
        <v>30</v>
      </c>
    </row>
    <row r="189" spans="1:9">
      <c r="A189">
        <v>5.5</v>
      </c>
      <c r="B189">
        <v>550</v>
      </c>
      <c r="C189">
        <v>0</v>
      </c>
      <c r="D189">
        <v>25</v>
      </c>
      <c r="E189">
        <v>2.75</v>
      </c>
      <c r="F189">
        <v>10</v>
      </c>
      <c r="G189">
        <v>0</v>
      </c>
      <c r="H189">
        <v>20</v>
      </c>
      <c r="I189">
        <v>30</v>
      </c>
    </row>
    <row r="190" spans="1:9">
      <c r="A190">
        <v>6</v>
      </c>
      <c r="B190">
        <v>600</v>
      </c>
      <c r="C190">
        <v>0</v>
      </c>
      <c r="D190">
        <v>25</v>
      </c>
      <c r="E190">
        <v>3</v>
      </c>
      <c r="F190">
        <v>10</v>
      </c>
      <c r="G190">
        <v>0</v>
      </c>
      <c r="H190">
        <v>20</v>
      </c>
      <c r="I190">
        <v>30</v>
      </c>
    </row>
    <row r="191" spans="1:9">
      <c r="A191">
        <v>6.5</v>
      </c>
      <c r="B191">
        <v>650</v>
      </c>
      <c r="C191">
        <v>0</v>
      </c>
      <c r="D191">
        <v>25</v>
      </c>
      <c r="E191">
        <v>3.25</v>
      </c>
      <c r="F191">
        <v>10</v>
      </c>
      <c r="G191">
        <v>0</v>
      </c>
      <c r="H191">
        <v>20</v>
      </c>
      <c r="I191">
        <v>30</v>
      </c>
    </row>
    <row r="192" spans="1:9">
      <c r="A192">
        <v>7</v>
      </c>
      <c r="B192">
        <v>700</v>
      </c>
      <c r="C192">
        <v>0</v>
      </c>
      <c r="D192">
        <v>25</v>
      </c>
      <c r="E192">
        <v>3.5</v>
      </c>
      <c r="F192">
        <v>10</v>
      </c>
      <c r="G192">
        <v>0</v>
      </c>
      <c r="H192">
        <v>20</v>
      </c>
      <c r="I192">
        <v>30</v>
      </c>
    </row>
    <row r="193" spans="1:9">
      <c r="A193">
        <v>7.5</v>
      </c>
      <c r="B193">
        <v>750</v>
      </c>
      <c r="C193">
        <v>0</v>
      </c>
      <c r="D193">
        <v>25</v>
      </c>
      <c r="E193">
        <v>3.75</v>
      </c>
      <c r="F193">
        <v>10</v>
      </c>
      <c r="G193">
        <v>0</v>
      </c>
      <c r="H193">
        <v>20</v>
      </c>
      <c r="I193">
        <v>30</v>
      </c>
    </row>
    <row r="194" spans="1:9">
      <c r="A194">
        <v>8</v>
      </c>
      <c r="B194">
        <v>800</v>
      </c>
      <c r="C194">
        <v>0</v>
      </c>
      <c r="D194">
        <v>25</v>
      </c>
      <c r="E194">
        <v>4</v>
      </c>
      <c r="F194">
        <v>10</v>
      </c>
      <c r="G194">
        <v>0</v>
      </c>
      <c r="H194">
        <v>20</v>
      </c>
      <c r="I194">
        <v>30</v>
      </c>
    </row>
    <row r="195" spans="1:9">
      <c r="A195">
        <v>8.5</v>
      </c>
      <c r="B195">
        <v>850</v>
      </c>
      <c r="C195">
        <v>0</v>
      </c>
      <c r="D195">
        <v>25</v>
      </c>
      <c r="E195">
        <v>4.25</v>
      </c>
      <c r="F195">
        <v>10</v>
      </c>
      <c r="G195">
        <v>0</v>
      </c>
      <c r="H195">
        <v>20</v>
      </c>
      <c r="I195">
        <v>30</v>
      </c>
    </row>
    <row r="196" spans="1:9">
      <c r="A196">
        <v>9</v>
      </c>
      <c r="B196">
        <v>900</v>
      </c>
      <c r="C196">
        <v>0</v>
      </c>
      <c r="D196">
        <v>25</v>
      </c>
      <c r="E196">
        <v>4.5</v>
      </c>
      <c r="F196">
        <v>10</v>
      </c>
      <c r="G196">
        <v>0</v>
      </c>
      <c r="H196">
        <v>20</v>
      </c>
      <c r="I196">
        <v>30</v>
      </c>
    </row>
    <row r="197" spans="1:9">
      <c r="A197">
        <v>9.5</v>
      </c>
      <c r="B197">
        <v>950</v>
      </c>
      <c r="C197">
        <v>0</v>
      </c>
      <c r="D197">
        <v>25</v>
      </c>
      <c r="E197">
        <v>4.75</v>
      </c>
      <c r="F197">
        <v>10</v>
      </c>
      <c r="G197">
        <v>0</v>
      </c>
      <c r="H197">
        <v>20</v>
      </c>
      <c r="I197">
        <v>30</v>
      </c>
    </row>
    <row r="198" spans="1:9">
      <c r="A198">
        <v>10</v>
      </c>
      <c r="B198">
        <v>1000</v>
      </c>
      <c r="C198">
        <v>0</v>
      </c>
      <c r="D198">
        <v>25</v>
      </c>
      <c r="E198">
        <v>5</v>
      </c>
      <c r="F198">
        <v>10</v>
      </c>
      <c r="G198">
        <v>0</v>
      </c>
      <c r="H198">
        <v>20</v>
      </c>
      <c r="I198">
        <v>30</v>
      </c>
    </row>
    <row r="199" spans="1:9">
      <c r="A199">
        <v>10.5</v>
      </c>
      <c r="B199">
        <v>1050</v>
      </c>
      <c r="C199">
        <v>0</v>
      </c>
      <c r="D199">
        <v>25</v>
      </c>
      <c r="E199">
        <v>5.25</v>
      </c>
      <c r="F199">
        <v>10</v>
      </c>
      <c r="G199">
        <v>0</v>
      </c>
      <c r="H199">
        <v>20</v>
      </c>
      <c r="I199">
        <v>30</v>
      </c>
    </row>
    <row r="200" spans="1:9">
      <c r="A200">
        <v>11</v>
      </c>
      <c r="B200">
        <v>1100</v>
      </c>
      <c r="C200">
        <v>0</v>
      </c>
      <c r="D200">
        <v>25</v>
      </c>
      <c r="E200">
        <v>5.5</v>
      </c>
      <c r="F200">
        <v>10</v>
      </c>
      <c r="G200">
        <v>0</v>
      </c>
      <c r="H200">
        <v>20</v>
      </c>
      <c r="I200">
        <v>30</v>
      </c>
    </row>
    <row r="201" spans="1:9">
      <c r="A201">
        <v>11.5</v>
      </c>
      <c r="B201">
        <v>1150</v>
      </c>
      <c r="C201">
        <v>0</v>
      </c>
      <c r="D201">
        <v>25</v>
      </c>
      <c r="E201">
        <v>5.75</v>
      </c>
      <c r="F201">
        <v>10</v>
      </c>
      <c r="G201">
        <v>0</v>
      </c>
      <c r="H201">
        <v>20</v>
      </c>
      <c r="I201">
        <v>30</v>
      </c>
    </row>
    <row r="202" spans="1:9">
      <c r="A202">
        <v>12</v>
      </c>
      <c r="B202">
        <v>1200</v>
      </c>
      <c r="C202">
        <v>0</v>
      </c>
      <c r="D202">
        <v>25</v>
      </c>
      <c r="E202">
        <v>6</v>
      </c>
      <c r="F202">
        <v>10</v>
      </c>
      <c r="G202">
        <v>0</v>
      </c>
      <c r="H202">
        <v>20</v>
      </c>
      <c r="I202">
        <v>30</v>
      </c>
    </row>
    <row r="203" spans="1:9">
      <c r="A203">
        <v>12.5</v>
      </c>
      <c r="B203">
        <v>1250</v>
      </c>
      <c r="C203">
        <v>0</v>
      </c>
      <c r="D203">
        <v>25</v>
      </c>
      <c r="E203">
        <v>6.25</v>
      </c>
      <c r="F203">
        <v>10</v>
      </c>
      <c r="G203">
        <v>0</v>
      </c>
      <c r="H203">
        <v>20</v>
      </c>
      <c r="I203">
        <v>30</v>
      </c>
    </row>
    <row r="204" spans="1:9">
      <c r="A204">
        <v>13</v>
      </c>
      <c r="B204">
        <v>1300</v>
      </c>
      <c r="C204">
        <v>0</v>
      </c>
      <c r="D204">
        <v>25</v>
      </c>
      <c r="E204">
        <v>6.5</v>
      </c>
      <c r="F204">
        <v>10</v>
      </c>
      <c r="G204">
        <v>0</v>
      </c>
      <c r="H204">
        <v>20</v>
      </c>
      <c r="I204">
        <v>30</v>
      </c>
    </row>
    <row r="205" spans="1:9">
      <c r="A205">
        <v>13.5</v>
      </c>
      <c r="B205">
        <v>1350</v>
      </c>
      <c r="C205">
        <v>0</v>
      </c>
      <c r="D205">
        <v>25</v>
      </c>
      <c r="E205">
        <v>6.75</v>
      </c>
      <c r="F205">
        <v>10</v>
      </c>
      <c r="G205">
        <v>0</v>
      </c>
      <c r="H205">
        <v>20</v>
      </c>
      <c r="I205">
        <v>30</v>
      </c>
    </row>
    <row r="206" spans="1:9">
      <c r="A206">
        <v>14</v>
      </c>
      <c r="B206">
        <v>1400</v>
      </c>
      <c r="C206">
        <v>0</v>
      </c>
      <c r="D206">
        <v>25</v>
      </c>
      <c r="E206">
        <v>7</v>
      </c>
      <c r="F206">
        <v>10</v>
      </c>
      <c r="G206">
        <v>0</v>
      </c>
      <c r="H206">
        <v>20</v>
      </c>
      <c r="I206">
        <v>30</v>
      </c>
    </row>
    <row r="207" spans="1:9">
      <c r="A207">
        <v>14.5</v>
      </c>
      <c r="B207">
        <v>1450</v>
      </c>
      <c r="C207">
        <v>0</v>
      </c>
      <c r="D207">
        <v>25</v>
      </c>
      <c r="E207">
        <v>7.25</v>
      </c>
      <c r="F207">
        <v>10</v>
      </c>
      <c r="G207">
        <v>0</v>
      </c>
      <c r="H207">
        <v>20</v>
      </c>
      <c r="I207">
        <v>30</v>
      </c>
    </row>
    <row r="208" spans="1:9">
      <c r="A208">
        <v>15</v>
      </c>
      <c r="B208">
        <v>1500</v>
      </c>
      <c r="C208">
        <v>0</v>
      </c>
      <c r="D208">
        <v>25</v>
      </c>
      <c r="E208">
        <v>7.5</v>
      </c>
      <c r="F208">
        <v>10</v>
      </c>
      <c r="G208">
        <v>0</v>
      </c>
      <c r="H208">
        <v>20</v>
      </c>
      <c r="I208">
        <v>30</v>
      </c>
    </row>
    <row r="211" spans="1:9">
      <c r="A211" t="s">
        <v>20</v>
      </c>
      <c r="B211" t="s">
        <v>330</v>
      </c>
      <c r="C211" t="s">
        <v>278</v>
      </c>
      <c r="I211">
        <v>7</v>
      </c>
    </row>
    <row r="212" spans="1:9">
      <c r="A212" t="s">
        <v>0</v>
      </c>
      <c r="B212" t="s">
        <v>12</v>
      </c>
      <c r="C212" t="s">
        <v>13</v>
      </c>
      <c r="D212" t="s">
        <v>14</v>
      </c>
      <c r="E212" t="s">
        <v>15</v>
      </c>
      <c r="F212" t="s">
        <v>16</v>
      </c>
      <c r="G212" t="s">
        <v>17</v>
      </c>
      <c r="H212" t="s">
        <v>18</v>
      </c>
      <c r="I212" t="s">
        <v>19</v>
      </c>
    </row>
    <row r="213" spans="1:9">
      <c r="A213">
        <v>0</v>
      </c>
      <c r="B213">
        <v>0.01</v>
      </c>
      <c r="C213">
        <v>0</v>
      </c>
      <c r="D213">
        <v>35</v>
      </c>
      <c r="E213">
        <v>0</v>
      </c>
      <c r="F213">
        <v>-10</v>
      </c>
      <c r="G213">
        <v>0</v>
      </c>
      <c r="H213">
        <v>30</v>
      </c>
      <c r="I213">
        <v>40</v>
      </c>
    </row>
    <row r="214" spans="1:9">
      <c r="A214">
        <v>0.5</v>
      </c>
      <c r="B214">
        <v>50</v>
      </c>
      <c r="C214">
        <v>0</v>
      </c>
      <c r="D214">
        <v>35</v>
      </c>
      <c r="E214">
        <v>0.25</v>
      </c>
      <c r="F214">
        <v>-10</v>
      </c>
      <c r="G214">
        <v>0</v>
      </c>
      <c r="H214">
        <v>30</v>
      </c>
      <c r="I214">
        <v>40</v>
      </c>
    </row>
    <row r="215" spans="1:9">
      <c r="A215">
        <v>1</v>
      </c>
      <c r="B215">
        <v>100</v>
      </c>
      <c r="C215">
        <v>0</v>
      </c>
      <c r="D215">
        <v>35</v>
      </c>
      <c r="E215">
        <v>0.5</v>
      </c>
      <c r="F215">
        <v>-10</v>
      </c>
      <c r="G215">
        <v>0</v>
      </c>
      <c r="H215">
        <v>30</v>
      </c>
      <c r="I215">
        <v>40</v>
      </c>
    </row>
    <row r="216" spans="1:9">
      <c r="A216">
        <v>1.5</v>
      </c>
      <c r="B216">
        <v>150</v>
      </c>
      <c r="C216">
        <v>0</v>
      </c>
      <c r="D216">
        <v>35</v>
      </c>
      <c r="E216">
        <v>0.75</v>
      </c>
      <c r="F216">
        <v>-10</v>
      </c>
      <c r="G216">
        <v>0</v>
      </c>
      <c r="H216">
        <v>30</v>
      </c>
      <c r="I216">
        <v>40</v>
      </c>
    </row>
    <row r="217" spans="1:9">
      <c r="A217">
        <v>2</v>
      </c>
      <c r="B217">
        <v>200</v>
      </c>
      <c r="C217">
        <v>0</v>
      </c>
      <c r="D217">
        <v>35</v>
      </c>
      <c r="E217">
        <v>1</v>
      </c>
      <c r="F217">
        <v>-10</v>
      </c>
      <c r="G217">
        <v>0</v>
      </c>
      <c r="H217">
        <v>30</v>
      </c>
      <c r="I217">
        <v>40</v>
      </c>
    </row>
    <row r="218" spans="1:9">
      <c r="A218">
        <v>2.5</v>
      </c>
      <c r="B218">
        <v>250</v>
      </c>
      <c r="C218">
        <v>0</v>
      </c>
      <c r="D218">
        <v>35</v>
      </c>
      <c r="E218">
        <v>1.25</v>
      </c>
      <c r="F218">
        <v>-10</v>
      </c>
      <c r="G218">
        <v>0</v>
      </c>
      <c r="H218">
        <v>30</v>
      </c>
      <c r="I218">
        <v>40</v>
      </c>
    </row>
    <row r="219" spans="1:9">
      <c r="A219">
        <v>3</v>
      </c>
      <c r="B219">
        <v>300</v>
      </c>
      <c r="C219">
        <v>0</v>
      </c>
      <c r="D219">
        <v>35</v>
      </c>
      <c r="E219">
        <v>1.5</v>
      </c>
      <c r="F219">
        <v>-10</v>
      </c>
      <c r="G219">
        <v>0</v>
      </c>
      <c r="H219">
        <v>30</v>
      </c>
      <c r="I219">
        <v>40</v>
      </c>
    </row>
    <row r="220" spans="1:9">
      <c r="A220">
        <v>3.5</v>
      </c>
      <c r="B220">
        <v>350</v>
      </c>
      <c r="C220">
        <v>0</v>
      </c>
      <c r="D220">
        <v>35</v>
      </c>
      <c r="E220">
        <v>1.75</v>
      </c>
      <c r="F220">
        <v>-10</v>
      </c>
      <c r="G220">
        <v>0</v>
      </c>
      <c r="H220">
        <v>30</v>
      </c>
      <c r="I220">
        <v>40</v>
      </c>
    </row>
    <row r="221" spans="1:9">
      <c r="A221">
        <v>4</v>
      </c>
      <c r="B221">
        <v>400</v>
      </c>
      <c r="C221">
        <v>0</v>
      </c>
      <c r="D221">
        <v>35</v>
      </c>
      <c r="E221">
        <v>2</v>
      </c>
      <c r="F221">
        <v>-10</v>
      </c>
      <c r="G221">
        <v>0</v>
      </c>
      <c r="H221">
        <v>30</v>
      </c>
      <c r="I221">
        <v>40</v>
      </c>
    </row>
    <row r="222" spans="1:9">
      <c r="A222">
        <v>4.5</v>
      </c>
      <c r="B222">
        <v>450</v>
      </c>
      <c r="C222">
        <v>0</v>
      </c>
      <c r="D222">
        <v>35</v>
      </c>
      <c r="E222">
        <v>2.25</v>
      </c>
      <c r="F222">
        <v>-10</v>
      </c>
      <c r="G222">
        <v>0</v>
      </c>
      <c r="H222">
        <v>30</v>
      </c>
      <c r="I222">
        <v>40</v>
      </c>
    </row>
    <row r="223" spans="1:9">
      <c r="A223">
        <v>5</v>
      </c>
      <c r="B223">
        <v>500</v>
      </c>
      <c r="C223">
        <v>0</v>
      </c>
      <c r="D223">
        <v>35</v>
      </c>
      <c r="E223">
        <v>2.5</v>
      </c>
      <c r="F223">
        <v>-10</v>
      </c>
      <c r="G223">
        <v>0</v>
      </c>
      <c r="H223">
        <v>30</v>
      </c>
      <c r="I223">
        <v>40</v>
      </c>
    </row>
    <row r="224" spans="1:9">
      <c r="A224">
        <v>5.5</v>
      </c>
      <c r="B224">
        <v>550</v>
      </c>
      <c r="C224">
        <v>0</v>
      </c>
      <c r="D224">
        <v>35</v>
      </c>
      <c r="E224">
        <v>2.75</v>
      </c>
      <c r="F224">
        <v>-10</v>
      </c>
      <c r="G224">
        <v>0</v>
      </c>
      <c r="H224">
        <v>30</v>
      </c>
      <c r="I224">
        <v>40</v>
      </c>
    </row>
    <row r="225" spans="1:9">
      <c r="A225">
        <v>6</v>
      </c>
      <c r="B225">
        <v>600</v>
      </c>
      <c r="C225">
        <v>0</v>
      </c>
      <c r="D225">
        <v>35</v>
      </c>
      <c r="E225">
        <v>3</v>
      </c>
      <c r="F225">
        <v>-10</v>
      </c>
      <c r="G225">
        <v>0</v>
      </c>
      <c r="H225">
        <v>30</v>
      </c>
      <c r="I225">
        <v>40</v>
      </c>
    </row>
    <row r="226" spans="1:9">
      <c r="A226">
        <v>6.5</v>
      </c>
      <c r="B226">
        <v>650</v>
      </c>
      <c r="C226">
        <v>0</v>
      </c>
      <c r="D226">
        <v>35</v>
      </c>
      <c r="E226">
        <v>3.25</v>
      </c>
      <c r="F226">
        <v>-10</v>
      </c>
      <c r="G226">
        <v>0</v>
      </c>
      <c r="H226">
        <v>30</v>
      </c>
      <c r="I226">
        <v>40</v>
      </c>
    </row>
    <row r="227" spans="1:9">
      <c r="A227">
        <v>7</v>
      </c>
      <c r="B227">
        <v>700</v>
      </c>
      <c r="C227">
        <v>0</v>
      </c>
      <c r="D227">
        <v>35</v>
      </c>
      <c r="E227">
        <v>3.5</v>
      </c>
      <c r="F227">
        <v>-10</v>
      </c>
      <c r="G227">
        <v>0</v>
      </c>
      <c r="H227">
        <v>30</v>
      </c>
      <c r="I227">
        <v>40</v>
      </c>
    </row>
    <row r="228" spans="1:9">
      <c r="A228">
        <v>7.5</v>
      </c>
      <c r="B228">
        <v>750</v>
      </c>
      <c r="C228">
        <v>0</v>
      </c>
      <c r="D228">
        <v>35</v>
      </c>
      <c r="E228">
        <v>3.75</v>
      </c>
      <c r="F228">
        <v>-10</v>
      </c>
      <c r="G228">
        <v>0</v>
      </c>
      <c r="H228">
        <v>30</v>
      </c>
      <c r="I228">
        <v>40</v>
      </c>
    </row>
    <row r="229" spans="1:9">
      <c r="A229">
        <v>8</v>
      </c>
      <c r="B229">
        <v>800</v>
      </c>
      <c r="C229">
        <v>0</v>
      </c>
      <c r="D229">
        <v>35</v>
      </c>
      <c r="E229">
        <v>4</v>
      </c>
      <c r="F229">
        <v>-10</v>
      </c>
      <c r="G229">
        <v>0</v>
      </c>
      <c r="H229">
        <v>30</v>
      </c>
      <c r="I229">
        <v>40</v>
      </c>
    </row>
    <row r="230" spans="1:9">
      <c r="A230">
        <v>8.5</v>
      </c>
      <c r="B230">
        <v>850</v>
      </c>
      <c r="C230">
        <v>0</v>
      </c>
      <c r="D230">
        <v>35</v>
      </c>
      <c r="E230">
        <v>4.25</v>
      </c>
      <c r="F230">
        <v>-10</v>
      </c>
      <c r="G230">
        <v>0</v>
      </c>
      <c r="H230">
        <v>30</v>
      </c>
      <c r="I230">
        <v>40</v>
      </c>
    </row>
    <row r="231" spans="1:9">
      <c r="A231">
        <v>9</v>
      </c>
      <c r="B231">
        <v>900</v>
      </c>
      <c r="C231">
        <v>0</v>
      </c>
      <c r="D231">
        <v>35</v>
      </c>
      <c r="E231">
        <v>4.5</v>
      </c>
      <c r="F231">
        <v>-10</v>
      </c>
      <c r="G231">
        <v>0</v>
      </c>
      <c r="H231">
        <v>30</v>
      </c>
      <c r="I231">
        <v>40</v>
      </c>
    </row>
    <row r="232" spans="1:9">
      <c r="A232">
        <v>9.5</v>
      </c>
      <c r="B232">
        <v>950</v>
      </c>
      <c r="C232">
        <v>0</v>
      </c>
      <c r="D232">
        <v>35</v>
      </c>
      <c r="E232">
        <v>4.75</v>
      </c>
      <c r="F232">
        <v>-10</v>
      </c>
      <c r="G232">
        <v>0</v>
      </c>
      <c r="H232">
        <v>30</v>
      </c>
      <c r="I232">
        <v>40</v>
      </c>
    </row>
    <row r="233" spans="1:9">
      <c r="A233">
        <v>10</v>
      </c>
      <c r="B233">
        <v>1000</v>
      </c>
      <c r="C233">
        <v>0</v>
      </c>
      <c r="D233">
        <v>35</v>
      </c>
      <c r="E233">
        <v>5</v>
      </c>
      <c r="F233">
        <v>-10</v>
      </c>
      <c r="G233">
        <v>0</v>
      </c>
      <c r="H233">
        <v>30</v>
      </c>
      <c r="I233">
        <v>40</v>
      </c>
    </row>
    <row r="234" spans="1:9">
      <c r="A234">
        <v>10.5</v>
      </c>
      <c r="B234">
        <v>1050</v>
      </c>
      <c r="C234">
        <v>0</v>
      </c>
      <c r="D234">
        <v>35</v>
      </c>
      <c r="E234">
        <v>5.25</v>
      </c>
      <c r="F234">
        <v>-10</v>
      </c>
      <c r="G234">
        <v>0</v>
      </c>
      <c r="H234">
        <v>30</v>
      </c>
      <c r="I234">
        <v>40</v>
      </c>
    </row>
    <row r="235" spans="1:9">
      <c r="A235">
        <v>11</v>
      </c>
      <c r="B235">
        <v>1100</v>
      </c>
      <c r="C235">
        <v>0</v>
      </c>
      <c r="D235">
        <v>35</v>
      </c>
      <c r="E235">
        <v>5.5</v>
      </c>
      <c r="F235">
        <v>-10</v>
      </c>
      <c r="G235">
        <v>0</v>
      </c>
      <c r="H235">
        <v>30</v>
      </c>
      <c r="I235">
        <v>40</v>
      </c>
    </row>
    <row r="236" spans="1:9">
      <c r="A236">
        <v>11.5</v>
      </c>
      <c r="B236">
        <v>1150</v>
      </c>
      <c r="C236">
        <v>0</v>
      </c>
      <c r="D236">
        <v>35</v>
      </c>
      <c r="E236">
        <v>5.75</v>
      </c>
      <c r="F236">
        <v>-10</v>
      </c>
      <c r="G236">
        <v>0</v>
      </c>
      <c r="H236">
        <v>30</v>
      </c>
      <c r="I236">
        <v>40</v>
      </c>
    </row>
    <row r="237" spans="1:9">
      <c r="A237">
        <v>12</v>
      </c>
      <c r="B237">
        <v>1200</v>
      </c>
      <c r="C237">
        <v>0</v>
      </c>
      <c r="D237">
        <v>35</v>
      </c>
      <c r="E237">
        <v>6</v>
      </c>
      <c r="F237">
        <v>-10</v>
      </c>
      <c r="G237">
        <v>0</v>
      </c>
      <c r="H237">
        <v>30</v>
      </c>
      <c r="I237">
        <v>40</v>
      </c>
    </row>
    <row r="238" spans="1:9">
      <c r="A238">
        <v>12.5</v>
      </c>
      <c r="B238">
        <v>1250</v>
      </c>
      <c r="C238">
        <v>0</v>
      </c>
      <c r="D238">
        <v>35</v>
      </c>
      <c r="E238">
        <v>6.25</v>
      </c>
      <c r="F238">
        <v>-10</v>
      </c>
      <c r="G238">
        <v>0</v>
      </c>
      <c r="H238">
        <v>30</v>
      </c>
      <c r="I238">
        <v>40</v>
      </c>
    </row>
    <row r="239" spans="1:9">
      <c r="A239">
        <v>13</v>
      </c>
      <c r="B239">
        <v>1300</v>
      </c>
      <c r="C239">
        <v>0</v>
      </c>
      <c r="D239">
        <v>35</v>
      </c>
      <c r="E239">
        <v>6.5</v>
      </c>
      <c r="F239">
        <v>-10</v>
      </c>
      <c r="G239">
        <v>0</v>
      </c>
      <c r="H239">
        <v>30</v>
      </c>
      <c r="I239">
        <v>40</v>
      </c>
    </row>
    <row r="240" spans="1:9">
      <c r="A240">
        <v>13.5</v>
      </c>
      <c r="B240">
        <v>1350</v>
      </c>
      <c r="C240">
        <v>0</v>
      </c>
      <c r="D240">
        <v>35</v>
      </c>
      <c r="E240">
        <v>6.75</v>
      </c>
      <c r="F240">
        <v>-10</v>
      </c>
      <c r="G240">
        <v>0</v>
      </c>
      <c r="H240">
        <v>30</v>
      </c>
      <c r="I240">
        <v>40</v>
      </c>
    </row>
    <row r="241" spans="1:9">
      <c r="A241">
        <v>14</v>
      </c>
      <c r="B241">
        <v>1400</v>
      </c>
      <c r="C241">
        <v>0</v>
      </c>
      <c r="D241">
        <v>35</v>
      </c>
      <c r="E241">
        <v>7</v>
      </c>
      <c r="F241">
        <v>-10</v>
      </c>
      <c r="G241">
        <v>0</v>
      </c>
      <c r="H241">
        <v>30</v>
      </c>
      <c r="I241">
        <v>40</v>
      </c>
    </row>
    <row r="242" spans="1:9">
      <c r="A242">
        <v>14.5</v>
      </c>
      <c r="B242">
        <v>1450</v>
      </c>
      <c r="C242">
        <v>0</v>
      </c>
      <c r="D242">
        <v>35</v>
      </c>
      <c r="E242">
        <v>7.25</v>
      </c>
      <c r="F242">
        <v>-10</v>
      </c>
      <c r="G242">
        <v>0</v>
      </c>
      <c r="H242">
        <v>30</v>
      </c>
      <c r="I242">
        <v>40</v>
      </c>
    </row>
    <row r="243" spans="1:9">
      <c r="A243">
        <v>15</v>
      </c>
      <c r="B243">
        <v>1500</v>
      </c>
      <c r="C243">
        <v>0</v>
      </c>
      <c r="D243">
        <v>35</v>
      </c>
      <c r="E243">
        <v>7.5</v>
      </c>
      <c r="F243">
        <v>-10</v>
      </c>
      <c r="G243">
        <v>0</v>
      </c>
      <c r="H243">
        <v>30</v>
      </c>
      <c r="I243">
        <v>40</v>
      </c>
    </row>
    <row r="246" spans="1:9">
      <c r="A246" t="s">
        <v>20</v>
      </c>
      <c r="B246" t="s">
        <v>330</v>
      </c>
      <c r="C246" t="s">
        <v>279</v>
      </c>
      <c r="I246">
        <v>8</v>
      </c>
    </row>
    <row r="247" spans="1:9">
      <c r="A247" t="s">
        <v>0</v>
      </c>
      <c r="B247" t="s">
        <v>12</v>
      </c>
      <c r="C247" t="s">
        <v>13</v>
      </c>
      <c r="D247" t="s">
        <v>14</v>
      </c>
      <c r="E247" t="s">
        <v>15</v>
      </c>
      <c r="F247" t="s">
        <v>16</v>
      </c>
      <c r="G247" t="s">
        <v>17</v>
      </c>
      <c r="H247" t="s">
        <v>18</v>
      </c>
      <c r="I247" t="s">
        <v>19</v>
      </c>
    </row>
    <row r="248" spans="1:9">
      <c r="A248">
        <v>0</v>
      </c>
      <c r="B248">
        <v>0.01</v>
      </c>
      <c r="C248">
        <v>0</v>
      </c>
      <c r="D248">
        <v>35</v>
      </c>
      <c r="E248">
        <v>0</v>
      </c>
      <c r="F248">
        <v>10</v>
      </c>
      <c r="G248">
        <v>0</v>
      </c>
      <c r="H248">
        <v>30</v>
      </c>
      <c r="I248">
        <v>40</v>
      </c>
    </row>
    <row r="249" spans="1:9">
      <c r="A249">
        <v>0.5</v>
      </c>
      <c r="B249">
        <v>50</v>
      </c>
      <c r="C249">
        <v>0</v>
      </c>
      <c r="D249">
        <v>35</v>
      </c>
      <c r="E249">
        <v>0.25</v>
      </c>
      <c r="F249">
        <v>10</v>
      </c>
      <c r="G249">
        <v>0</v>
      </c>
      <c r="H249">
        <v>30</v>
      </c>
      <c r="I249">
        <v>40</v>
      </c>
    </row>
    <row r="250" spans="1:9">
      <c r="A250">
        <v>1</v>
      </c>
      <c r="B250">
        <v>100</v>
      </c>
      <c r="C250">
        <v>0</v>
      </c>
      <c r="D250">
        <v>35</v>
      </c>
      <c r="E250">
        <v>0.5</v>
      </c>
      <c r="F250">
        <v>10</v>
      </c>
      <c r="G250">
        <v>0</v>
      </c>
      <c r="H250">
        <v>30</v>
      </c>
      <c r="I250">
        <v>40</v>
      </c>
    </row>
    <row r="251" spans="1:9">
      <c r="A251">
        <v>1.5</v>
      </c>
      <c r="B251">
        <v>150</v>
      </c>
      <c r="C251">
        <v>0</v>
      </c>
      <c r="D251">
        <v>35</v>
      </c>
      <c r="E251">
        <v>0.75</v>
      </c>
      <c r="F251">
        <v>10</v>
      </c>
      <c r="G251">
        <v>0</v>
      </c>
      <c r="H251">
        <v>30</v>
      </c>
      <c r="I251">
        <v>40</v>
      </c>
    </row>
    <row r="252" spans="1:9">
      <c r="A252">
        <v>2</v>
      </c>
      <c r="B252">
        <v>200</v>
      </c>
      <c r="C252">
        <v>0</v>
      </c>
      <c r="D252">
        <v>35</v>
      </c>
      <c r="E252">
        <v>1</v>
      </c>
      <c r="F252">
        <v>10</v>
      </c>
      <c r="G252">
        <v>0</v>
      </c>
      <c r="H252">
        <v>30</v>
      </c>
      <c r="I252">
        <v>40</v>
      </c>
    </row>
    <row r="253" spans="1:9">
      <c r="A253">
        <v>2.5</v>
      </c>
      <c r="B253">
        <v>250</v>
      </c>
      <c r="C253">
        <v>0</v>
      </c>
      <c r="D253">
        <v>35</v>
      </c>
      <c r="E253">
        <v>1.25</v>
      </c>
      <c r="F253">
        <v>10</v>
      </c>
      <c r="G253">
        <v>0</v>
      </c>
      <c r="H253">
        <v>30</v>
      </c>
      <c r="I253">
        <v>40</v>
      </c>
    </row>
    <row r="254" spans="1:9">
      <c r="A254">
        <v>3</v>
      </c>
      <c r="B254">
        <v>300</v>
      </c>
      <c r="C254">
        <v>0</v>
      </c>
      <c r="D254">
        <v>35</v>
      </c>
      <c r="E254">
        <v>1.5</v>
      </c>
      <c r="F254">
        <v>10</v>
      </c>
      <c r="G254">
        <v>0</v>
      </c>
      <c r="H254">
        <v>30</v>
      </c>
      <c r="I254">
        <v>40</v>
      </c>
    </row>
    <row r="255" spans="1:9">
      <c r="A255">
        <v>3.5</v>
      </c>
      <c r="B255">
        <v>350</v>
      </c>
      <c r="C255">
        <v>0</v>
      </c>
      <c r="D255">
        <v>35</v>
      </c>
      <c r="E255">
        <v>1.75</v>
      </c>
      <c r="F255">
        <v>10</v>
      </c>
      <c r="G255">
        <v>0</v>
      </c>
      <c r="H255">
        <v>30</v>
      </c>
      <c r="I255">
        <v>40</v>
      </c>
    </row>
    <row r="256" spans="1:9">
      <c r="A256">
        <v>4</v>
      </c>
      <c r="B256">
        <v>400</v>
      </c>
      <c r="C256">
        <v>0</v>
      </c>
      <c r="D256">
        <v>35</v>
      </c>
      <c r="E256">
        <v>2</v>
      </c>
      <c r="F256">
        <v>10</v>
      </c>
      <c r="G256">
        <v>0</v>
      </c>
      <c r="H256">
        <v>30</v>
      </c>
      <c r="I256">
        <v>40</v>
      </c>
    </row>
    <row r="257" spans="1:9">
      <c r="A257">
        <v>4.5</v>
      </c>
      <c r="B257">
        <v>450</v>
      </c>
      <c r="C257">
        <v>0</v>
      </c>
      <c r="D257">
        <v>35</v>
      </c>
      <c r="E257">
        <v>2.25</v>
      </c>
      <c r="F257">
        <v>10</v>
      </c>
      <c r="G257">
        <v>0</v>
      </c>
      <c r="H257">
        <v>30</v>
      </c>
      <c r="I257">
        <v>40</v>
      </c>
    </row>
    <row r="258" spans="1:9">
      <c r="A258">
        <v>5</v>
      </c>
      <c r="B258">
        <v>500</v>
      </c>
      <c r="C258">
        <v>0</v>
      </c>
      <c r="D258">
        <v>35</v>
      </c>
      <c r="E258">
        <v>2.5</v>
      </c>
      <c r="F258">
        <v>10</v>
      </c>
      <c r="G258">
        <v>0</v>
      </c>
      <c r="H258">
        <v>30</v>
      </c>
      <c r="I258">
        <v>40</v>
      </c>
    </row>
    <row r="259" spans="1:9">
      <c r="A259">
        <v>5.5</v>
      </c>
      <c r="B259">
        <v>550</v>
      </c>
      <c r="C259">
        <v>0</v>
      </c>
      <c r="D259">
        <v>35</v>
      </c>
      <c r="E259">
        <v>2.75</v>
      </c>
      <c r="F259">
        <v>10</v>
      </c>
      <c r="G259">
        <v>0</v>
      </c>
      <c r="H259">
        <v>30</v>
      </c>
      <c r="I259">
        <v>40</v>
      </c>
    </row>
    <row r="260" spans="1:9">
      <c r="A260">
        <v>6</v>
      </c>
      <c r="B260">
        <v>600</v>
      </c>
      <c r="C260">
        <v>0</v>
      </c>
      <c r="D260">
        <v>35</v>
      </c>
      <c r="E260">
        <v>3</v>
      </c>
      <c r="F260">
        <v>10</v>
      </c>
      <c r="G260">
        <v>0</v>
      </c>
      <c r="H260">
        <v>30</v>
      </c>
      <c r="I260">
        <v>40</v>
      </c>
    </row>
    <row r="261" spans="1:9">
      <c r="A261">
        <v>6.5</v>
      </c>
      <c r="B261">
        <v>650</v>
      </c>
      <c r="C261">
        <v>0</v>
      </c>
      <c r="D261">
        <v>35</v>
      </c>
      <c r="E261">
        <v>3.25</v>
      </c>
      <c r="F261">
        <v>10</v>
      </c>
      <c r="G261">
        <v>0</v>
      </c>
      <c r="H261">
        <v>30</v>
      </c>
      <c r="I261">
        <v>40</v>
      </c>
    </row>
    <row r="262" spans="1:9">
      <c r="A262">
        <v>7</v>
      </c>
      <c r="B262">
        <v>700</v>
      </c>
      <c r="C262">
        <v>0</v>
      </c>
      <c r="D262">
        <v>35</v>
      </c>
      <c r="E262">
        <v>3.5</v>
      </c>
      <c r="F262">
        <v>10</v>
      </c>
      <c r="G262">
        <v>0</v>
      </c>
      <c r="H262">
        <v>30</v>
      </c>
      <c r="I262">
        <v>40</v>
      </c>
    </row>
    <row r="263" spans="1:9">
      <c r="A263">
        <v>7.5</v>
      </c>
      <c r="B263">
        <v>750</v>
      </c>
      <c r="C263">
        <v>0</v>
      </c>
      <c r="D263">
        <v>35</v>
      </c>
      <c r="E263">
        <v>3.75</v>
      </c>
      <c r="F263">
        <v>10</v>
      </c>
      <c r="G263">
        <v>0</v>
      </c>
      <c r="H263">
        <v>30</v>
      </c>
      <c r="I263">
        <v>40</v>
      </c>
    </row>
    <row r="264" spans="1:9">
      <c r="A264">
        <v>8</v>
      </c>
      <c r="B264">
        <v>800</v>
      </c>
      <c r="C264">
        <v>0</v>
      </c>
      <c r="D264">
        <v>35</v>
      </c>
      <c r="E264">
        <v>4</v>
      </c>
      <c r="F264">
        <v>10</v>
      </c>
      <c r="G264">
        <v>0</v>
      </c>
      <c r="H264">
        <v>30</v>
      </c>
      <c r="I264">
        <v>40</v>
      </c>
    </row>
    <row r="265" spans="1:9">
      <c r="A265">
        <v>8.5</v>
      </c>
      <c r="B265">
        <v>850</v>
      </c>
      <c r="C265">
        <v>0</v>
      </c>
      <c r="D265">
        <v>35</v>
      </c>
      <c r="E265">
        <v>4.25</v>
      </c>
      <c r="F265">
        <v>10</v>
      </c>
      <c r="G265">
        <v>0</v>
      </c>
      <c r="H265">
        <v>30</v>
      </c>
      <c r="I265">
        <v>40</v>
      </c>
    </row>
    <row r="266" spans="1:9">
      <c r="A266">
        <v>9</v>
      </c>
      <c r="B266">
        <v>900</v>
      </c>
      <c r="C266">
        <v>0</v>
      </c>
      <c r="D266">
        <v>35</v>
      </c>
      <c r="E266">
        <v>4.5</v>
      </c>
      <c r="F266">
        <v>10</v>
      </c>
      <c r="G266">
        <v>0</v>
      </c>
      <c r="H266">
        <v>30</v>
      </c>
      <c r="I266">
        <v>40</v>
      </c>
    </row>
    <row r="267" spans="1:9">
      <c r="A267">
        <v>9.5</v>
      </c>
      <c r="B267">
        <v>950</v>
      </c>
      <c r="C267">
        <v>0</v>
      </c>
      <c r="D267">
        <v>35</v>
      </c>
      <c r="E267">
        <v>4.75</v>
      </c>
      <c r="F267">
        <v>10</v>
      </c>
      <c r="G267">
        <v>0</v>
      </c>
      <c r="H267">
        <v>30</v>
      </c>
      <c r="I267">
        <v>40</v>
      </c>
    </row>
    <row r="268" spans="1:9">
      <c r="A268">
        <v>10</v>
      </c>
      <c r="B268">
        <v>1000</v>
      </c>
      <c r="C268">
        <v>0</v>
      </c>
      <c r="D268">
        <v>35</v>
      </c>
      <c r="E268">
        <v>5</v>
      </c>
      <c r="F268">
        <v>10</v>
      </c>
      <c r="G268">
        <v>0</v>
      </c>
      <c r="H268">
        <v>30</v>
      </c>
      <c r="I268">
        <v>40</v>
      </c>
    </row>
    <row r="269" spans="1:9">
      <c r="A269">
        <v>10.5</v>
      </c>
      <c r="B269">
        <v>1050</v>
      </c>
      <c r="C269">
        <v>0</v>
      </c>
      <c r="D269">
        <v>35</v>
      </c>
      <c r="E269">
        <v>5.25</v>
      </c>
      <c r="F269">
        <v>10</v>
      </c>
      <c r="G269">
        <v>0</v>
      </c>
      <c r="H269">
        <v>30</v>
      </c>
      <c r="I269">
        <v>40</v>
      </c>
    </row>
    <row r="270" spans="1:9">
      <c r="A270">
        <v>11</v>
      </c>
      <c r="B270">
        <v>1100</v>
      </c>
      <c r="C270">
        <v>0</v>
      </c>
      <c r="D270">
        <v>35</v>
      </c>
      <c r="E270">
        <v>5.5</v>
      </c>
      <c r="F270">
        <v>10</v>
      </c>
      <c r="G270">
        <v>0</v>
      </c>
      <c r="H270">
        <v>30</v>
      </c>
      <c r="I270">
        <v>40</v>
      </c>
    </row>
    <row r="271" spans="1:9">
      <c r="A271">
        <v>11.5</v>
      </c>
      <c r="B271">
        <v>1150</v>
      </c>
      <c r="C271">
        <v>0</v>
      </c>
      <c r="D271">
        <v>35</v>
      </c>
      <c r="E271">
        <v>5.75</v>
      </c>
      <c r="F271">
        <v>10</v>
      </c>
      <c r="G271">
        <v>0</v>
      </c>
      <c r="H271">
        <v>30</v>
      </c>
      <c r="I271">
        <v>40</v>
      </c>
    </row>
    <row r="272" spans="1:9">
      <c r="A272">
        <v>12</v>
      </c>
      <c r="B272">
        <v>1200</v>
      </c>
      <c r="C272">
        <v>0</v>
      </c>
      <c r="D272">
        <v>35</v>
      </c>
      <c r="E272">
        <v>6</v>
      </c>
      <c r="F272">
        <v>10</v>
      </c>
      <c r="G272">
        <v>0</v>
      </c>
      <c r="H272">
        <v>30</v>
      </c>
      <c r="I272">
        <v>40</v>
      </c>
    </row>
    <row r="273" spans="1:9">
      <c r="A273">
        <v>12.5</v>
      </c>
      <c r="B273">
        <v>1250</v>
      </c>
      <c r="C273">
        <v>0</v>
      </c>
      <c r="D273">
        <v>35</v>
      </c>
      <c r="E273">
        <v>6.25</v>
      </c>
      <c r="F273">
        <v>10</v>
      </c>
      <c r="G273">
        <v>0</v>
      </c>
      <c r="H273">
        <v>30</v>
      </c>
      <c r="I273">
        <v>40</v>
      </c>
    </row>
    <row r="274" spans="1:9">
      <c r="A274">
        <v>13</v>
      </c>
      <c r="B274">
        <v>1300</v>
      </c>
      <c r="C274">
        <v>0</v>
      </c>
      <c r="D274">
        <v>35</v>
      </c>
      <c r="E274">
        <v>6.5</v>
      </c>
      <c r="F274">
        <v>10</v>
      </c>
      <c r="G274">
        <v>0</v>
      </c>
      <c r="H274">
        <v>30</v>
      </c>
      <c r="I274">
        <v>40</v>
      </c>
    </row>
    <row r="275" spans="1:9">
      <c r="A275">
        <v>13.5</v>
      </c>
      <c r="B275">
        <v>1350</v>
      </c>
      <c r="C275">
        <v>0</v>
      </c>
      <c r="D275">
        <v>35</v>
      </c>
      <c r="E275">
        <v>6.75</v>
      </c>
      <c r="F275">
        <v>10</v>
      </c>
      <c r="G275">
        <v>0</v>
      </c>
      <c r="H275">
        <v>30</v>
      </c>
      <c r="I275">
        <v>40</v>
      </c>
    </row>
    <row r="276" spans="1:9">
      <c r="A276">
        <v>14</v>
      </c>
      <c r="B276">
        <v>1400</v>
      </c>
      <c r="C276">
        <v>0</v>
      </c>
      <c r="D276">
        <v>35</v>
      </c>
      <c r="E276">
        <v>7</v>
      </c>
      <c r="F276">
        <v>10</v>
      </c>
      <c r="G276">
        <v>0</v>
      </c>
      <c r="H276">
        <v>30</v>
      </c>
      <c r="I276">
        <v>40</v>
      </c>
    </row>
    <row r="277" spans="1:9">
      <c r="A277">
        <v>14.5</v>
      </c>
      <c r="B277">
        <v>1450</v>
      </c>
      <c r="C277">
        <v>0</v>
      </c>
      <c r="D277">
        <v>35</v>
      </c>
      <c r="E277">
        <v>7.25</v>
      </c>
      <c r="F277">
        <v>10</v>
      </c>
      <c r="G277">
        <v>0</v>
      </c>
      <c r="H277">
        <v>30</v>
      </c>
      <c r="I277">
        <v>40</v>
      </c>
    </row>
    <row r="278" spans="1:9">
      <c r="A278">
        <v>15</v>
      </c>
      <c r="B278">
        <v>1500</v>
      </c>
      <c r="C278">
        <v>0</v>
      </c>
      <c r="D278">
        <v>35</v>
      </c>
      <c r="E278">
        <v>7.5</v>
      </c>
      <c r="F278">
        <v>10</v>
      </c>
      <c r="G278">
        <v>0</v>
      </c>
      <c r="H278">
        <v>30</v>
      </c>
      <c r="I278">
        <v>40</v>
      </c>
    </row>
    <row r="281" spans="1:9">
      <c r="A281" t="s">
        <v>20</v>
      </c>
      <c r="B281" t="s">
        <v>330</v>
      </c>
      <c r="C281" t="s">
        <v>280</v>
      </c>
      <c r="I281">
        <v>9</v>
      </c>
    </row>
    <row r="282" spans="1:9">
      <c r="A282" t="s">
        <v>0</v>
      </c>
      <c r="B282" t="s">
        <v>12</v>
      </c>
      <c r="C282" t="s">
        <v>13</v>
      </c>
      <c r="D282" t="s">
        <v>14</v>
      </c>
      <c r="E282" t="s">
        <v>15</v>
      </c>
      <c r="F282" t="s">
        <v>16</v>
      </c>
      <c r="G282" t="s">
        <v>17</v>
      </c>
      <c r="H282" t="s">
        <v>18</v>
      </c>
      <c r="I282" t="s">
        <v>19</v>
      </c>
    </row>
    <row r="283" spans="1:9">
      <c r="A283">
        <v>0</v>
      </c>
      <c r="B283">
        <v>0.01</v>
      </c>
      <c r="C283">
        <v>0</v>
      </c>
      <c r="D283">
        <v>45</v>
      </c>
      <c r="E283">
        <v>0</v>
      </c>
      <c r="F283">
        <v>-10</v>
      </c>
      <c r="G283">
        <v>0</v>
      </c>
      <c r="H283">
        <v>40</v>
      </c>
      <c r="I283">
        <v>50</v>
      </c>
    </row>
    <row r="284" spans="1:9">
      <c r="A284">
        <v>0.5</v>
      </c>
      <c r="B284">
        <v>50</v>
      </c>
      <c r="C284">
        <v>0</v>
      </c>
      <c r="D284">
        <v>45</v>
      </c>
      <c r="E284">
        <v>0.25</v>
      </c>
      <c r="F284">
        <v>-10</v>
      </c>
      <c r="G284">
        <v>0</v>
      </c>
      <c r="H284">
        <v>40</v>
      </c>
      <c r="I284">
        <v>50</v>
      </c>
    </row>
    <row r="285" spans="1:9">
      <c r="A285">
        <v>1</v>
      </c>
      <c r="B285">
        <v>100</v>
      </c>
      <c r="C285">
        <v>0</v>
      </c>
      <c r="D285">
        <v>45</v>
      </c>
      <c r="E285">
        <v>0.5</v>
      </c>
      <c r="F285">
        <v>-10</v>
      </c>
      <c r="G285">
        <v>0</v>
      </c>
      <c r="H285">
        <v>40</v>
      </c>
      <c r="I285">
        <v>50</v>
      </c>
    </row>
    <row r="286" spans="1:9">
      <c r="A286">
        <v>1.5</v>
      </c>
      <c r="B286">
        <v>150</v>
      </c>
      <c r="C286">
        <v>0</v>
      </c>
      <c r="D286">
        <v>45</v>
      </c>
      <c r="E286">
        <v>0.75</v>
      </c>
      <c r="F286">
        <v>-10</v>
      </c>
      <c r="G286">
        <v>0</v>
      </c>
      <c r="H286">
        <v>40</v>
      </c>
      <c r="I286">
        <v>50</v>
      </c>
    </row>
    <row r="287" spans="1:9">
      <c r="A287">
        <v>2</v>
      </c>
      <c r="B287">
        <v>200</v>
      </c>
      <c r="C287">
        <v>0</v>
      </c>
      <c r="D287">
        <v>45</v>
      </c>
      <c r="E287">
        <v>1</v>
      </c>
      <c r="F287">
        <v>-10</v>
      </c>
      <c r="G287">
        <v>0</v>
      </c>
      <c r="H287">
        <v>40</v>
      </c>
      <c r="I287">
        <v>50</v>
      </c>
    </row>
    <row r="288" spans="1:9">
      <c r="A288">
        <v>2.5</v>
      </c>
      <c r="B288">
        <v>250</v>
      </c>
      <c r="C288">
        <v>0</v>
      </c>
      <c r="D288">
        <v>45</v>
      </c>
      <c r="E288">
        <v>1.25</v>
      </c>
      <c r="F288">
        <v>-10</v>
      </c>
      <c r="G288">
        <v>0</v>
      </c>
      <c r="H288">
        <v>40</v>
      </c>
      <c r="I288">
        <v>50</v>
      </c>
    </row>
    <row r="289" spans="1:9">
      <c r="A289">
        <v>3</v>
      </c>
      <c r="B289">
        <v>300</v>
      </c>
      <c r="C289">
        <v>0</v>
      </c>
      <c r="D289">
        <v>45</v>
      </c>
      <c r="E289">
        <v>1.5</v>
      </c>
      <c r="F289">
        <v>-10</v>
      </c>
      <c r="G289">
        <v>0</v>
      </c>
      <c r="H289">
        <v>40</v>
      </c>
      <c r="I289">
        <v>50</v>
      </c>
    </row>
    <row r="290" spans="1:9">
      <c r="A290">
        <v>3.5</v>
      </c>
      <c r="B290">
        <v>350</v>
      </c>
      <c r="C290">
        <v>0</v>
      </c>
      <c r="D290">
        <v>45</v>
      </c>
      <c r="E290">
        <v>1.75</v>
      </c>
      <c r="F290">
        <v>-10</v>
      </c>
      <c r="G290">
        <v>0</v>
      </c>
      <c r="H290">
        <v>40</v>
      </c>
      <c r="I290">
        <v>50</v>
      </c>
    </row>
    <row r="291" spans="1:9">
      <c r="A291">
        <v>4</v>
      </c>
      <c r="B291">
        <v>400</v>
      </c>
      <c r="C291">
        <v>0</v>
      </c>
      <c r="D291">
        <v>45</v>
      </c>
      <c r="E291">
        <v>2</v>
      </c>
      <c r="F291">
        <v>-10</v>
      </c>
      <c r="G291">
        <v>0</v>
      </c>
      <c r="H291">
        <v>40</v>
      </c>
      <c r="I291">
        <v>50</v>
      </c>
    </row>
    <row r="292" spans="1:9">
      <c r="A292">
        <v>4.5</v>
      </c>
      <c r="B292">
        <v>450</v>
      </c>
      <c r="C292">
        <v>0</v>
      </c>
      <c r="D292">
        <v>45</v>
      </c>
      <c r="E292">
        <v>2.25</v>
      </c>
      <c r="F292">
        <v>-10</v>
      </c>
      <c r="G292">
        <v>0</v>
      </c>
      <c r="H292">
        <v>40</v>
      </c>
      <c r="I292">
        <v>50</v>
      </c>
    </row>
    <row r="293" spans="1:9">
      <c r="A293">
        <v>5</v>
      </c>
      <c r="B293">
        <v>500</v>
      </c>
      <c r="C293">
        <v>0</v>
      </c>
      <c r="D293">
        <v>45</v>
      </c>
      <c r="E293">
        <v>2.5</v>
      </c>
      <c r="F293">
        <v>-10</v>
      </c>
      <c r="G293">
        <v>0</v>
      </c>
      <c r="H293">
        <v>40</v>
      </c>
      <c r="I293">
        <v>50</v>
      </c>
    </row>
    <row r="294" spans="1:9">
      <c r="A294">
        <v>5.5</v>
      </c>
      <c r="B294">
        <v>550</v>
      </c>
      <c r="C294">
        <v>0</v>
      </c>
      <c r="D294">
        <v>45</v>
      </c>
      <c r="E294">
        <v>2.75</v>
      </c>
      <c r="F294">
        <v>-10</v>
      </c>
      <c r="G294">
        <v>0</v>
      </c>
      <c r="H294">
        <v>40</v>
      </c>
      <c r="I294">
        <v>50</v>
      </c>
    </row>
    <row r="295" spans="1:9">
      <c r="A295">
        <v>6</v>
      </c>
      <c r="B295">
        <v>600</v>
      </c>
      <c r="C295">
        <v>0</v>
      </c>
      <c r="D295">
        <v>45</v>
      </c>
      <c r="E295">
        <v>3</v>
      </c>
      <c r="F295">
        <v>-10</v>
      </c>
      <c r="G295">
        <v>0</v>
      </c>
      <c r="H295">
        <v>40</v>
      </c>
      <c r="I295">
        <v>50</v>
      </c>
    </row>
    <row r="296" spans="1:9">
      <c r="A296">
        <v>6.5</v>
      </c>
      <c r="B296">
        <v>650</v>
      </c>
      <c r="C296">
        <v>0</v>
      </c>
      <c r="D296">
        <v>45</v>
      </c>
      <c r="E296">
        <v>3.25</v>
      </c>
      <c r="F296">
        <v>-10</v>
      </c>
      <c r="G296">
        <v>0</v>
      </c>
      <c r="H296">
        <v>40</v>
      </c>
      <c r="I296">
        <v>50</v>
      </c>
    </row>
    <row r="297" spans="1:9">
      <c r="A297">
        <v>7</v>
      </c>
      <c r="B297">
        <v>700</v>
      </c>
      <c r="C297">
        <v>0</v>
      </c>
      <c r="D297">
        <v>45</v>
      </c>
      <c r="E297">
        <v>3.5</v>
      </c>
      <c r="F297">
        <v>-10</v>
      </c>
      <c r="G297">
        <v>0</v>
      </c>
      <c r="H297">
        <v>40</v>
      </c>
      <c r="I297">
        <v>50</v>
      </c>
    </row>
    <row r="298" spans="1:9">
      <c r="A298">
        <v>7.5</v>
      </c>
      <c r="B298">
        <v>750</v>
      </c>
      <c r="C298">
        <v>0</v>
      </c>
      <c r="D298">
        <v>45</v>
      </c>
      <c r="E298">
        <v>3.75</v>
      </c>
      <c r="F298">
        <v>-10</v>
      </c>
      <c r="G298">
        <v>0</v>
      </c>
      <c r="H298">
        <v>40</v>
      </c>
      <c r="I298">
        <v>50</v>
      </c>
    </row>
    <row r="299" spans="1:9">
      <c r="A299">
        <v>8</v>
      </c>
      <c r="B299">
        <v>800</v>
      </c>
      <c r="C299">
        <v>0</v>
      </c>
      <c r="D299">
        <v>45</v>
      </c>
      <c r="E299">
        <v>4</v>
      </c>
      <c r="F299">
        <v>-10</v>
      </c>
      <c r="G299">
        <v>0</v>
      </c>
      <c r="H299">
        <v>40</v>
      </c>
      <c r="I299">
        <v>50</v>
      </c>
    </row>
    <row r="300" spans="1:9">
      <c r="A300">
        <v>8.5</v>
      </c>
      <c r="B300">
        <v>850</v>
      </c>
      <c r="C300">
        <v>0</v>
      </c>
      <c r="D300">
        <v>45</v>
      </c>
      <c r="E300">
        <v>4.25</v>
      </c>
      <c r="F300">
        <v>-10</v>
      </c>
      <c r="G300">
        <v>0</v>
      </c>
      <c r="H300">
        <v>40</v>
      </c>
      <c r="I300">
        <v>50</v>
      </c>
    </row>
    <row r="301" spans="1:9">
      <c r="A301">
        <v>9</v>
      </c>
      <c r="B301">
        <v>900</v>
      </c>
      <c r="C301">
        <v>0</v>
      </c>
      <c r="D301">
        <v>45</v>
      </c>
      <c r="E301">
        <v>4.5</v>
      </c>
      <c r="F301">
        <v>-10</v>
      </c>
      <c r="G301">
        <v>0</v>
      </c>
      <c r="H301">
        <v>40</v>
      </c>
      <c r="I301">
        <v>50</v>
      </c>
    </row>
    <row r="302" spans="1:9">
      <c r="A302">
        <v>9.5</v>
      </c>
      <c r="B302">
        <v>950</v>
      </c>
      <c r="C302">
        <v>0</v>
      </c>
      <c r="D302">
        <v>45</v>
      </c>
      <c r="E302">
        <v>4.75</v>
      </c>
      <c r="F302">
        <v>-10</v>
      </c>
      <c r="G302">
        <v>0</v>
      </c>
      <c r="H302">
        <v>40</v>
      </c>
      <c r="I302">
        <v>50</v>
      </c>
    </row>
    <row r="303" spans="1:9">
      <c r="A303">
        <v>10</v>
      </c>
      <c r="B303">
        <v>1000</v>
      </c>
      <c r="C303">
        <v>0</v>
      </c>
      <c r="D303">
        <v>45</v>
      </c>
      <c r="E303">
        <v>5</v>
      </c>
      <c r="F303">
        <v>-10</v>
      </c>
      <c r="G303">
        <v>0</v>
      </c>
      <c r="H303">
        <v>40</v>
      </c>
      <c r="I303">
        <v>50</v>
      </c>
    </row>
    <row r="304" spans="1:9">
      <c r="A304">
        <v>10.5</v>
      </c>
      <c r="B304">
        <v>1050</v>
      </c>
      <c r="C304">
        <v>0</v>
      </c>
      <c r="D304">
        <v>45</v>
      </c>
      <c r="E304">
        <v>5.25</v>
      </c>
      <c r="F304">
        <v>-10</v>
      </c>
      <c r="G304">
        <v>0</v>
      </c>
      <c r="H304">
        <v>40</v>
      </c>
      <c r="I304">
        <v>50</v>
      </c>
    </row>
    <row r="305" spans="1:9">
      <c r="A305">
        <v>11</v>
      </c>
      <c r="B305">
        <v>1100</v>
      </c>
      <c r="C305">
        <v>0</v>
      </c>
      <c r="D305">
        <v>45</v>
      </c>
      <c r="E305">
        <v>5.5</v>
      </c>
      <c r="F305">
        <v>-10</v>
      </c>
      <c r="G305">
        <v>0</v>
      </c>
      <c r="H305">
        <v>40</v>
      </c>
      <c r="I305">
        <v>50</v>
      </c>
    </row>
    <row r="306" spans="1:9">
      <c r="A306">
        <v>11.5</v>
      </c>
      <c r="B306">
        <v>1150</v>
      </c>
      <c r="C306">
        <v>0</v>
      </c>
      <c r="D306">
        <v>45</v>
      </c>
      <c r="E306">
        <v>5.75</v>
      </c>
      <c r="F306">
        <v>-10</v>
      </c>
      <c r="G306">
        <v>0</v>
      </c>
      <c r="H306">
        <v>40</v>
      </c>
      <c r="I306">
        <v>50</v>
      </c>
    </row>
    <row r="307" spans="1:9">
      <c r="A307">
        <v>12</v>
      </c>
      <c r="B307">
        <v>1200</v>
      </c>
      <c r="C307">
        <v>0</v>
      </c>
      <c r="D307">
        <v>45</v>
      </c>
      <c r="E307">
        <v>6</v>
      </c>
      <c r="F307">
        <v>-10</v>
      </c>
      <c r="G307">
        <v>0</v>
      </c>
      <c r="H307">
        <v>40</v>
      </c>
      <c r="I307">
        <v>50</v>
      </c>
    </row>
    <row r="308" spans="1:9">
      <c r="A308">
        <v>12.5</v>
      </c>
      <c r="B308">
        <v>1250</v>
      </c>
      <c r="C308">
        <v>0</v>
      </c>
      <c r="D308">
        <v>45</v>
      </c>
      <c r="E308">
        <v>6.25</v>
      </c>
      <c r="F308">
        <v>-10</v>
      </c>
      <c r="G308">
        <v>0</v>
      </c>
      <c r="H308">
        <v>40</v>
      </c>
      <c r="I308">
        <v>50</v>
      </c>
    </row>
    <row r="309" spans="1:9">
      <c r="A309">
        <v>13</v>
      </c>
      <c r="B309">
        <v>1300</v>
      </c>
      <c r="C309">
        <v>0</v>
      </c>
      <c r="D309">
        <v>45</v>
      </c>
      <c r="E309">
        <v>6.5</v>
      </c>
      <c r="F309">
        <v>-10</v>
      </c>
      <c r="G309">
        <v>0</v>
      </c>
      <c r="H309">
        <v>40</v>
      </c>
      <c r="I309">
        <v>50</v>
      </c>
    </row>
    <row r="310" spans="1:9">
      <c r="A310">
        <v>13.5</v>
      </c>
      <c r="B310">
        <v>1350</v>
      </c>
      <c r="C310">
        <v>0</v>
      </c>
      <c r="D310">
        <v>45</v>
      </c>
      <c r="E310">
        <v>6.75</v>
      </c>
      <c r="F310">
        <v>-10</v>
      </c>
      <c r="G310">
        <v>0</v>
      </c>
      <c r="H310">
        <v>40</v>
      </c>
      <c r="I310">
        <v>50</v>
      </c>
    </row>
    <row r="311" spans="1:9">
      <c r="A311">
        <v>14</v>
      </c>
      <c r="B311">
        <v>1400</v>
      </c>
      <c r="C311">
        <v>0</v>
      </c>
      <c r="D311">
        <v>45</v>
      </c>
      <c r="E311">
        <v>7</v>
      </c>
      <c r="F311">
        <v>-10</v>
      </c>
      <c r="G311">
        <v>0</v>
      </c>
      <c r="H311">
        <v>40</v>
      </c>
      <c r="I311">
        <v>50</v>
      </c>
    </row>
    <row r="312" spans="1:9">
      <c r="A312">
        <v>14.5</v>
      </c>
      <c r="B312">
        <v>1450</v>
      </c>
      <c r="C312">
        <v>0</v>
      </c>
      <c r="D312">
        <v>45</v>
      </c>
      <c r="E312">
        <v>7.25</v>
      </c>
      <c r="F312">
        <v>-10</v>
      </c>
      <c r="G312">
        <v>0</v>
      </c>
      <c r="H312">
        <v>40</v>
      </c>
      <c r="I312">
        <v>50</v>
      </c>
    </row>
    <row r="313" spans="1:9">
      <c r="A313">
        <v>15</v>
      </c>
      <c r="B313">
        <v>1500</v>
      </c>
      <c r="C313">
        <v>0</v>
      </c>
      <c r="D313">
        <v>45</v>
      </c>
      <c r="E313">
        <v>7.5</v>
      </c>
      <c r="F313">
        <v>-10</v>
      </c>
      <c r="G313">
        <v>0</v>
      </c>
      <c r="H313">
        <v>40</v>
      </c>
      <c r="I313">
        <v>50</v>
      </c>
    </row>
    <row r="316" spans="1:9">
      <c r="A316" t="s">
        <v>20</v>
      </c>
      <c r="B316" t="s">
        <v>330</v>
      </c>
      <c r="C316" t="s">
        <v>281</v>
      </c>
      <c r="I316">
        <v>10</v>
      </c>
    </row>
    <row r="317" spans="1:9">
      <c r="A317" t="s">
        <v>0</v>
      </c>
      <c r="B317" t="s">
        <v>12</v>
      </c>
      <c r="C317" t="s">
        <v>13</v>
      </c>
      <c r="D317" t="s">
        <v>14</v>
      </c>
      <c r="E317" t="s">
        <v>15</v>
      </c>
      <c r="F317" t="s">
        <v>16</v>
      </c>
      <c r="G317" t="s">
        <v>17</v>
      </c>
      <c r="H317" t="s">
        <v>18</v>
      </c>
      <c r="I317" t="s">
        <v>19</v>
      </c>
    </row>
    <row r="318" spans="1:9">
      <c r="A318">
        <v>0</v>
      </c>
      <c r="B318">
        <v>0.01</v>
      </c>
      <c r="C318">
        <v>0</v>
      </c>
      <c r="D318">
        <v>45</v>
      </c>
      <c r="E318">
        <v>0</v>
      </c>
      <c r="F318">
        <v>10</v>
      </c>
      <c r="G318">
        <v>0</v>
      </c>
      <c r="H318">
        <v>40</v>
      </c>
      <c r="I318">
        <v>50</v>
      </c>
    </row>
    <row r="319" spans="1:9">
      <c r="A319">
        <v>0.5</v>
      </c>
      <c r="B319">
        <v>50</v>
      </c>
      <c r="C319">
        <v>0</v>
      </c>
      <c r="D319">
        <v>45</v>
      </c>
      <c r="E319">
        <v>0.25</v>
      </c>
      <c r="F319">
        <v>10</v>
      </c>
      <c r="G319">
        <v>0</v>
      </c>
      <c r="H319">
        <v>40</v>
      </c>
      <c r="I319">
        <v>50</v>
      </c>
    </row>
    <row r="320" spans="1:9">
      <c r="A320">
        <v>1</v>
      </c>
      <c r="B320">
        <v>100</v>
      </c>
      <c r="C320">
        <v>0</v>
      </c>
      <c r="D320">
        <v>45</v>
      </c>
      <c r="E320">
        <v>0.5</v>
      </c>
      <c r="F320">
        <v>10</v>
      </c>
      <c r="G320">
        <v>0</v>
      </c>
      <c r="H320">
        <v>40</v>
      </c>
      <c r="I320">
        <v>50</v>
      </c>
    </row>
    <row r="321" spans="1:9">
      <c r="A321">
        <v>1.5</v>
      </c>
      <c r="B321">
        <v>150</v>
      </c>
      <c r="C321">
        <v>0</v>
      </c>
      <c r="D321">
        <v>45</v>
      </c>
      <c r="E321">
        <v>0.75</v>
      </c>
      <c r="F321">
        <v>10</v>
      </c>
      <c r="G321">
        <v>0</v>
      </c>
      <c r="H321">
        <v>40</v>
      </c>
      <c r="I321">
        <v>50</v>
      </c>
    </row>
    <row r="322" spans="1:9">
      <c r="A322">
        <v>2</v>
      </c>
      <c r="B322">
        <v>200</v>
      </c>
      <c r="C322">
        <v>0</v>
      </c>
      <c r="D322">
        <v>45</v>
      </c>
      <c r="E322">
        <v>1</v>
      </c>
      <c r="F322">
        <v>10</v>
      </c>
      <c r="G322">
        <v>0</v>
      </c>
      <c r="H322">
        <v>40</v>
      </c>
      <c r="I322">
        <v>50</v>
      </c>
    </row>
    <row r="323" spans="1:9">
      <c r="A323">
        <v>2.5</v>
      </c>
      <c r="B323">
        <v>250</v>
      </c>
      <c r="C323">
        <v>0</v>
      </c>
      <c r="D323">
        <v>45</v>
      </c>
      <c r="E323">
        <v>1.25</v>
      </c>
      <c r="F323">
        <v>10</v>
      </c>
      <c r="G323">
        <v>0</v>
      </c>
      <c r="H323">
        <v>40</v>
      </c>
      <c r="I323">
        <v>50</v>
      </c>
    </row>
    <row r="324" spans="1:9">
      <c r="A324">
        <v>3</v>
      </c>
      <c r="B324">
        <v>300</v>
      </c>
      <c r="C324">
        <v>0</v>
      </c>
      <c r="D324">
        <v>45</v>
      </c>
      <c r="E324">
        <v>1.5</v>
      </c>
      <c r="F324">
        <v>10</v>
      </c>
      <c r="G324">
        <v>0</v>
      </c>
      <c r="H324">
        <v>40</v>
      </c>
      <c r="I324">
        <v>50</v>
      </c>
    </row>
    <row r="325" spans="1:9">
      <c r="A325">
        <v>3.5</v>
      </c>
      <c r="B325">
        <v>350</v>
      </c>
      <c r="C325">
        <v>0</v>
      </c>
      <c r="D325">
        <v>45</v>
      </c>
      <c r="E325">
        <v>1.75</v>
      </c>
      <c r="F325">
        <v>10</v>
      </c>
      <c r="G325">
        <v>0</v>
      </c>
      <c r="H325">
        <v>40</v>
      </c>
      <c r="I325">
        <v>50</v>
      </c>
    </row>
    <row r="326" spans="1:9">
      <c r="A326">
        <v>4</v>
      </c>
      <c r="B326">
        <v>400</v>
      </c>
      <c r="C326">
        <v>0</v>
      </c>
      <c r="D326">
        <v>45</v>
      </c>
      <c r="E326">
        <v>2</v>
      </c>
      <c r="F326">
        <v>10</v>
      </c>
      <c r="G326">
        <v>0</v>
      </c>
      <c r="H326">
        <v>40</v>
      </c>
      <c r="I326">
        <v>50</v>
      </c>
    </row>
    <row r="327" spans="1:9">
      <c r="A327">
        <v>4.5</v>
      </c>
      <c r="B327">
        <v>450</v>
      </c>
      <c r="C327">
        <v>0</v>
      </c>
      <c r="D327">
        <v>45</v>
      </c>
      <c r="E327">
        <v>2.25</v>
      </c>
      <c r="F327">
        <v>10</v>
      </c>
      <c r="G327">
        <v>0</v>
      </c>
      <c r="H327">
        <v>40</v>
      </c>
      <c r="I327">
        <v>50</v>
      </c>
    </row>
    <row r="328" spans="1:9">
      <c r="A328">
        <v>5</v>
      </c>
      <c r="B328">
        <v>500</v>
      </c>
      <c r="C328">
        <v>0</v>
      </c>
      <c r="D328">
        <v>45</v>
      </c>
      <c r="E328">
        <v>2.5</v>
      </c>
      <c r="F328">
        <v>10</v>
      </c>
      <c r="G328">
        <v>0</v>
      </c>
      <c r="H328">
        <v>40</v>
      </c>
      <c r="I328">
        <v>50</v>
      </c>
    </row>
    <row r="329" spans="1:9">
      <c r="A329">
        <v>5.5</v>
      </c>
      <c r="B329">
        <v>550</v>
      </c>
      <c r="C329">
        <v>0</v>
      </c>
      <c r="D329">
        <v>45</v>
      </c>
      <c r="E329">
        <v>2.75</v>
      </c>
      <c r="F329">
        <v>10</v>
      </c>
      <c r="G329">
        <v>0</v>
      </c>
      <c r="H329">
        <v>40</v>
      </c>
      <c r="I329">
        <v>50</v>
      </c>
    </row>
    <row r="330" spans="1:9">
      <c r="A330">
        <v>6</v>
      </c>
      <c r="B330">
        <v>600</v>
      </c>
      <c r="C330">
        <v>0</v>
      </c>
      <c r="D330">
        <v>45</v>
      </c>
      <c r="E330">
        <v>3</v>
      </c>
      <c r="F330">
        <v>10</v>
      </c>
      <c r="G330">
        <v>0</v>
      </c>
      <c r="H330">
        <v>40</v>
      </c>
      <c r="I330">
        <v>50</v>
      </c>
    </row>
    <row r="331" spans="1:9">
      <c r="A331">
        <v>6.5</v>
      </c>
      <c r="B331">
        <v>650</v>
      </c>
      <c r="C331">
        <v>0</v>
      </c>
      <c r="D331">
        <v>45</v>
      </c>
      <c r="E331">
        <v>3.25</v>
      </c>
      <c r="F331">
        <v>10</v>
      </c>
      <c r="G331">
        <v>0</v>
      </c>
      <c r="H331">
        <v>40</v>
      </c>
      <c r="I331">
        <v>50</v>
      </c>
    </row>
    <row r="332" spans="1:9">
      <c r="A332">
        <v>7</v>
      </c>
      <c r="B332">
        <v>700</v>
      </c>
      <c r="C332">
        <v>0</v>
      </c>
      <c r="D332">
        <v>45</v>
      </c>
      <c r="E332">
        <v>3.5</v>
      </c>
      <c r="F332">
        <v>10</v>
      </c>
      <c r="G332">
        <v>0</v>
      </c>
      <c r="H332">
        <v>40</v>
      </c>
      <c r="I332">
        <v>50</v>
      </c>
    </row>
    <row r="333" spans="1:9">
      <c r="A333">
        <v>7.5</v>
      </c>
      <c r="B333">
        <v>750</v>
      </c>
      <c r="C333">
        <v>0</v>
      </c>
      <c r="D333">
        <v>45</v>
      </c>
      <c r="E333">
        <v>3.75</v>
      </c>
      <c r="F333">
        <v>10</v>
      </c>
      <c r="G333">
        <v>0</v>
      </c>
      <c r="H333">
        <v>40</v>
      </c>
      <c r="I333">
        <v>50</v>
      </c>
    </row>
    <row r="334" spans="1:9">
      <c r="A334">
        <v>8</v>
      </c>
      <c r="B334">
        <v>800</v>
      </c>
      <c r="C334">
        <v>0</v>
      </c>
      <c r="D334">
        <v>45</v>
      </c>
      <c r="E334">
        <v>4</v>
      </c>
      <c r="F334">
        <v>10</v>
      </c>
      <c r="G334">
        <v>0</v>
      </c>
      <c r="H334">
        <v>40</v>
      </c>
      <c r="I334">
        <v>50</v>
      </c>
    </row>
    <row r="335" spans="1:9">
      <c r="A335">
        <v>8.5</v>
      </c>
      <c r="B335">
        <v>850</v>
      </c>
      <c r="C335">
        <v>0</v>
      </c>
      <c r="D335">
        <v>45</v>
      </c>
      <c r="E335">
        <v>4.25</v>
      </c>
      <c r="F335">
        <v>10</v>
      </c>
      <c r="G335">
        <v>0</v>
      </c>
      <c r="H335">
        <v>40</v>
      </c>
      <c r="I335">
        <v>50</v>
      </c>
    </row>
    <row r="336" spans="1:9">
      <c r="A336">
        <v>9</v>
      </c>
      <c r="B336">
        <v>900</v>
      </c>
      <c r="C336">
        <v>0</v>
      </c>
      <c r="D336">
        <v>45</v>
      </c>
      <c r="E336">
        <v>4.5</v>
      </c>
      <c r="F336">
        <v>10</v>
      </c>
      <c r="G336">
        <v>0</v>
      </c>
      <c r="H336">
        <v>40</v>
      </c>
      <c r="I336">
        <v>50</v>
      </c>
    </row>
    <row r="337" spans="1:9">
      <c r="A337">
        <v>9.5</v>
      </c>
      <c r="B337">
        <v>950</v>
      </c>
      <c r="C337">
        <v>0</v>
      </c>
      <c r="D337">
        <v>45</v>
      </c>
      <c r="E337">
        <v>4.75</v>
      </c>
      <c r="F337">
        <v>10</v>
      </c>
      <c r="G337">
        <v>0</v>
      </c>
      <c r="H337">
        <v>40</v>
      </c>
      <c r="I337">
        <v>50</v>
      </c>
    </row>
    <row r="338" spans="1:9">
      <c r="A338">
        <v>10</v>
      </c>
      <c r="B338">
        <v>1000</v>
      </c>
      <c r="C338">
        <v>0</v>
      </c>
      <c r="D338">
        <v>45</v>
      </c>
      <c r="E338">
        <v>5</v>
      </c>
      <c r="F338">
        <v>10</v>
      </c>
      <c r="G338">
        <v>0</v>
      </c>
      <c r="H338">
        <v>40</v>
      </c>
      <c r="I338">
        <v>50</v>
      </c>
    </row>
    <row r="339" spans="1:9">
      <c r="A339">
        <v>10.5</v>
      </c>
      <c r="B339">
        <v>1050</v>
      </c>
      <c r="C339">
        <v>0</v>
      </c>
      <c r="D339">
        <v>45</v>
      </c>
      <c r="E339">
        <v>5.25</v>
      </c>
      <c r="F339">
        <v>10</v>
      </c>
      <c r="G339">
        <v>0</v>
      </c>
      <c r="H339">
        <v>40</v>
      </c>
      <c r="I339">
        <v>50</v>
      </c>
    </row>
    <row r="340" spans="1:9">
      <c r="A340">
        <v>11</v>
      </c>
      <c r="B340">
        <v>1100</v>
      </c>
      <c r="C340">
        <v>0</v>
      </c>
      <c r="D340">
        <v>45</v>
      </c>
      <c r="E340">
        <v>5.5</v>
      </c>
      <c r="F340">
        <v>10</v>
      </c>
      <c r="G340">
        <v>0</v>
      </c>
      <c r="H340">
        <v>40</v>
      </c>
      <c r="I340">
        <v>50</v>
      </c>
    </row>
    <row r="341" spans="1:9">
      <c r="A341">
        <v>11.5</v>
      </c>
      <c r="B341">
        <v>1150</v>
      </c>
      <c r="C341">
        <v>0</v>
      </c>
      <c r="D341">
        <v>45</v>
      </c>
      <c r="E341">
        <v>5.75</v>
      </c>
      <c r="F341">
        <v>10</v>
      </c>
      <c r="G341">
        <v>0</v>
      </c>
      <c r="H341">
        <v>40</v>
      </c>
      <c r="I341">
        <v>50</v>
      </c>
    </row>
    <row r="342" spans="1:9">
      <c r="A342">
        <v>12</v>
      </c>
      <c r="B342">
        <v>1200</v>
      </c>
      <c r="C342">
        <v>0</v>
      </c>
      <c r="D342">
        <v>45</v>
      </c>
      <c r="E342">
        <v>6</v>
      </c>
      <c r="F342">
        <v>10</v>
      </c>
      <c r="G342">
        <v>0</v>
      </c>
      <c r="H342">
        <v>40</v>
      </c>
      <c r="I342">
        <v>50</v>
      </c>
    </row>
    <row r="343" spans="1:9">
      <c r="A343">
        <v>12.5</v>
      </c>
      <c r="B343">
        <v>1250</v>
      </c>
      <c r="C343">
        <v>0</v>
      </c>
      <c r="D343">
        <v>45</v>
      </c>
      <c r="E343">
        <v>6.25</v>
      </c>
      <c r="F343">
        <v>10</v>
      </c>
      <c r="G343">
        <v>0</v>
      </c>
      <c r="H343">
        <v>40</v>
      </c>
      <c r="I343">
        <v>50</v>
      </c>
    </row>
    <row r="344" spans="1:9">
      <c r="A344">
        <v>13</v>
      </c>
      <c r="B344">
        <v>1300</v>
      </c>
      <c r="C344">
        <v>0</v>
      </c>
      <c r="D344">
        <v>45</v>
      </c>
      <c r="E344">
        <v>6.5</v>
      </c>
      <c r="F344">
        <v>10</v>
      </c>
      <c r="G344">
        <v>0</v>
      </c>
      <c r="H344">
        <v>40</v>
      </c>
      <c r="I344">
        <v>50</v>
      </c>
    </row>
    <row r="345" spans="1:9">
      <c r="A345">
        <v>13.5</v>
      </c>
      <c r="B345">
        <v>1350</v>
      </c>
      <c r="C345">
        <v>0</v>
      </c>
      <c r="D345">
        <v>45</v>
      </c>
      <c r="E345">
        <v>6.75</v>
      </c>
      <c r="F345">
        <v>10</v>
      </c>
      <c r="G345">
        <v>0</v>
      </c>
      <c r="H345">
        <v>40</v>
      </c>
      <c r="I345">
        <v>50</v>
      </c>
    </row>
    <row r="346" spans="1:9">
      <c r="A346">
        <v>14</v>
      </c>
      <c r="B346">
        <v>1400</v>
      </c>
      <c r="C346">
        <v>0</v>
      </c>
      <c r="D346">
        <v>45</v>
      </c>
      <c r="E346">
        <v>7</v>
      </c>
      <c r="F346">
        <v>10</v>
      </c>
      <c r="G346">
        <v>0</v>
      </c>
      <c r="H346">
        <v>40</v>
      </c>
      <c r="I346">
        <v>50</v>
      </c>
    </row>
    <row r="347" spans="1:9">
      <c r="A347">
        <v>14.5</v>
      </c>
      <c r="B347">
        <v>1450</v>
      </c>
      <c r="C347">
        <v>0</v>
      </c>
      <c r="D347">
        <v>45</v>
      </c>
      <c r="E347">
        <v>7.25</v>
      </c>
      <c r="F347">
        <v>10</v>
      </c>
      <c r="G347">
        <v>0</v>
      </c>
      <c r="H347">
        <v>40</v>
      </c>
      <c r="I347">
        <v>50</v>
      </c>
    </row>
    <row r="348" spans="1:9">
      <c r="A348">
        <v>15</v>
      </c>
      <c r="B348">
        <v>1500</v>
      </c>
      <c r="C348">
        <v>0</v>
      </c>
      <c r="D348">
        <v>45</v>
      </c>
      <c r="E348">
        <v>7.5</v>
      </c>
      <c r="F348">
        <v>10</v>
      </c>
      <c r="G348">
        <v>0</v>
      </c>
      <c r="H348">
        <v>40</v>
      </c>
      <c r="I348">
        <v>50</v>
      </c>
    </row>
    <row r="351" spans="1:9">
      <c r="A351" t="s">
        <v>20</v>
      </c>
      <c r="B351" t="s">
        <v>330</v>
      </c>
      <c r="C351" t="s">
        <v>282</v>
      </c>
      <c r="I351">
        <v>11</v>
      </c>
    </row>
    <row r="352" spans="1:9">
      <c r="A352" t="s">
        <v>0</v>
      </c>
      <c r="B352" t="s">
        <v>12</v>
      </c>
      <c r="C352" t="s">
        <v>13</v>
      </c>
      <c r="D352" t="s">
        <v>14</v>
      </c>
      <c r="E352" t="s">
        <v>15</v>
      </c>
      <c r="F352" t="s">
        <v>16</v>
      </c>
      <c r="G352" t="s">
        <v>17</v>
      </c>
      <c r="H352" t="s">
        <v>18</v>
      </c>
      <c r="I352" t="s">
        <v>19</v>
      </c>
    </row>
    <row r="353" spans="1:9">
      <c r="A353">
        <v>0</v>
      </c>
      <c r="B353">
        <v>0.01</v>
      </c>
      <c r="C353">
        <v>0</v>
      </c>
      <c r="D353">
        <v>55</v>
      </c>
      <c r="E353">
        <v>0</v>
      </c>
      <c r="F353">
        <v>-10</v>
      </c>
      <c r="G353">
        <v>0</v>
      </c>
      <c r="H353">
        <v>50</v>
      </c>
      <c r="I353">
        <v>60</v>
      </c>
    </row>
    <row r="354" spans="1:9">
      <c r="A354">
        <v>0.5</v>
      </c>
      <c r="B354">
        <v>50</v>
      </c>
      <c r="C354">
        <v>0</v>
      </c>
      <c r="D354">
        <v>55</v>
      </c>
      <c r="E354">
        <v>0.25</v>
      </c>
      <c r="F354">
        <v>-10</v>
      </c>
      <c r="G354">
        <v>0</v>
      </c>
      <c r="H354">
        <v>50</v>
      </c>
      <c r="I354">
        <v>60</v>
      </c>
    </row>
    <row r="355" spans="1:9">
      <c r="A355">
        <v>1</v>
      </c>
      <c r="B355">
        <v>100</v>
      </c>
      <c r="C355">
        <v>0</v>
      </c>
      <c r="D355">
        <v>55</v>
      </c>
      <c r="E355">
        <v>0.5</v>
      </c>
      <c r="F355">
        <v>-10</v>
      </c>
      <c r="G355">
        <v>0</v>
      </c>
      <c r="H355">
        <v>50</v>
      </c>
      <c r="I355">
        <v>60</v>
      </c>
    </row>
    <row r="356" spans="1:9">
      <c r="A356">
        <v>1.5</v>
      </c>
      <c r="B356">
        <v>150</v>
      </c>
      <c r="C356">
        <v>0</v>
      </c>
      <c r="D356">
        <v>55</v>
      </c>
      <c r="E356">
        <v>0.75</v>
      </c>
      <c r="F356">
        <v>-10</v>
      </c>
      <c r="G356">
        <v>0</v>
      </c>
      <c r="H356">
        <v>50</v>
      </c>
      <c r="I356">
        <v>60</v>
      </c>
    </row>
    <row r="357" spans="1:9">
      <c r="A357">
        <v>2</v>
      </c>
      <c r="B357">
        <v>200</v>
      </c>
      <c r="C357">
        <v>0</v>
      </c>
      <c r="D357">
        <v>55</v>
      </c>
      <c r="E357">
        <v>1</v>
      </c>
      <c r="F357">
        <v>-10</v>
      </c>
      <c r="G357">
        <v>0</v>
      </c>
      <c r="H357">
        <v>50</v>
      </c>
      <c r="I357">
        <v>60</v>
      </c>
    </row>
    <row r="358" spans="1:9">
      <c r="A358">
        <v>2.5</v>
      </c>
      <c r="B358">
        <v>250</v>
      </c>
      <c r="C358">
        <v>0</v>
      </c>
      <c r="D358">
        <v>55</v>
      </c>
      <c r="E358">
        <v>1.25</v>
      </c>
      <c r="F358">
        <v>-10</v>
      </c>
      <c r="G358">
        <v>0</v>
      </c>
      <c r="H358">
        <v>50</v>
      </c>
      <c r="I358">
        <v>60</v>
      </c>
    </row>
    <row r="359" spans="1:9">
      <c r="A359">
        <v>3</v>
      </c>
      <c r="B359">
        <v>300</v>
      </c>
      <c r="C359">
        <v>0</v>
      </c>
      <c r="D359">
        <v>55</v>
      </c>
      <c r="E359">
        <v>1.5</v>
      </c>
      <c r="F359">
        <v>-10</v>
      </c>
      <c r="G359">
        <v>0</v>
      </c>
      <c r="H359">
        <v>50</v>
      </c>
      <c r="I359">
        <v>60</v>
      </c>
    </row>
    <row r="360" spans="1:9">
      <c r="A360">
        <v>3.5</v>
      </c>
      <c r="B360">
        <v>350</v>
      </c>
      <c r="C360">
        <v>0</v>
      </c>
      <c r="D360">
        <v>55</v>
      </c>
      <c r="E360">
        <v>1.75</v>
      </c>
      <c r="F360">
        <v>-10</v>
      </c>
      <c r="G360">
        <v>0</v>
      </c>
      <c r="H360">
        <v>50</v>
      </c>
      <c r="I360">
        <v>60</v>
      </c>
    </row>
    <row r="361" spans="1:9">
      <c r="A361">
        <v>4</v>
      </c>
      <c r="B361">
        <v>400</v>
      </c>
      <c r="C361">
        <v>0</v>
      </c>
      <c r="D361">
        <v>55</v>
      </c>
      <c r="E361">
        <v>2</v>
      </c>
      <c r="F361">
        <v>-10</v>
      </c>
      <c r="G361">
        <v>0</v>
      </c>
      <c r="H361">
        <v>50</v>
      </c>
      <c r="I361">
        <v>60</v>
      </c>
    </row>
    <row r="362" spans="1:9">
      <c r="A362">
        <v>4.5</v>
      </c>
      <c r="B362">
        <v>450</v>
      </c>
      <c r="C362">
        <v>0</v>
      </c>
      <c r="D362">
        <v>55</v>
      </c>
      <c r="E362">
        <v>2.25</v>
      </c>
      <c r="F362">
        <v>-10</v>
      </c>
      <c r="G362">
        <v>0</v>
      </c>
      <c r="H362">
        <v>50</v>
      </c>
      <c r="I362">
        <v>60</v>
      </c>
    </row>
    <row r="363" spans="1:9">
      <c r="A363">
        <v>5</v>
      </c>
      <c r="B363">
        <v>500</v>
      </c>
      <c r="C363">
        <v>0</v>
      </c>
      <c r="D363">
        <v>55</v>
      </c>
      <c r="E363">
        <v>2.5</v>
      </c>
      <c r="F363">
        <v>-10</v>
      </c>
      <c r="G363">
        <v>0</v>
      </c>
      <c r="H363">
        <v>50</v>
      </c>
      <c r="I363">
        <v>60</v>
      </c>
    </row>
    <row r="364" spans="1:9">
      <c r="A364">
        <v>5.5</v>
      </c>
      <c r="B364">
        <v>550</v>
      </c>
      <c r="C364">
        <v>0</v>
      </c>
      <c r="D364">
        <v>55</v>
      </c>
      <c r="E364">
        <v>2.75</v>
      </c>
      <c r="F364">
        <v>-10</v>
      </c>
      <c r="G364">
        <v>0</v>
      </c>
      <c r="H364">
        <v>50</v>
      </c>
      <c r="I364">
        <v>60</v>
      </c>
    </row>
    <row r="365" spans="1:9">
      <c r="A365">
        <v>6</v>
      </c>
      <c r="B365">
        <v>600</v>
      </c>
      <c r="C365">
        <v>0</v>
      </c>
      <c r="D365">
        <v>55</v>
      </c>
      <c r="E365">
        <v>3</v>
      </c>
      <c r="F365">
        <v>-10</v>
      </c>
      <c r="G365">
        <v>0</v>
      </c>
      <c r="H365">
        <v>50</v>
      </c>
      <c r="I365">
        <v>60</v>
      </c>
    </row>
    <row r="366" spans="1:9">
      <c r="A366">
        <v>6.5</v>
      </c>
      <c r="B366">
        <v>650</v>
      </c>
      <c r="C366">
        <v>0</v>
      </c>
      <c r="D366">
        <v>55</v>
      </c>
      <c r="E366">
        <v>3.25</v>
      </c>
      <c r="F366">
        <v>-10</v>
      </c>
      <c r="G366">
        <v>0</v>
      </c>
      <c r="H366">
        <v>50</v>
      </c>
      <c r="I366">
        <v>60</v>
      </c>
    </row>
    <row r="367" spans="1:9">
      <c r="A367">
        <v>7</v>
      </c>
      <c r="B367">
        <v>700</v>
      </c>
      <c r="C367">
        <v>0</v>
      </c>
      <c r="D367">
        <v>55</v>
      </c>
      <c r="E367">
        <v>3.5</v>
      </c>
      <c r="F367">
        <v>-10</v>
      </c>
      <c r="G367">
        <v>0</v>
      </c>
      <c r="H367">
        <v>50</v>
      </c>
      <c r="I367">
        <v>60</v>
      </c>
    </row>
    <row r="368" spans="1:9">
      <c r="A368">
        <v>7.5</v>
      </c>
      <c r="B368">
        <v>750</v>
      </c>
      <c r="C368">
        <v>0</v>
      </c>
      <c r="D368">
        <v>55</v>
      </c>
      <c r="E368">
        <v>3.75</v>
      </c>
      <c r="F368">
        <v>-10</v>
      </c>
      <c r="G368">
        <v>0</v>
      </c>
      <c r="H368">
        <v>50</v>
      </c>
      <c r="I368">
        <v>60</v>
      </c>
    </row>
    <row r="369" spans="1:9">
      <c r="A369">
        <v>8</v>
      </c>
      <c r="B369">
        <v>800</v>
      </c>
      <c r="C369">
        <v>0</v>
      </c>
      <c r="D369">
        <v>55</v>
      </c>
      <c r="E369">
        <v>4</v>
      </c>
      <c r="F369">
        <v>-10</v>
      </c>
      <c r="G369">
        <v>0</v>
      </c>
      <c r="H369">
        <v>50</v>
      </c>
      <c r="I369">
        <v>60</v>
      </c>
    </row>
    <row r="370" spans="1:9">
      <c r="A370">
        <v>8.5</v>
      </c>
      <c r="B370">
        <v>850</v>
      </c>
      <c r="C370">
        <v>0</v>
      </c>
      <c r="D370">
        <v>55</v>
      </c>
      <c r="E370">
        <v>4.25</v>
      </c>
      <c r="F370">
        <v>-10</v>
      </c>
      <c r="G370">
        <v>0</v>
      </c>
      <c r="H370">
        <v>50</v>
      </c>
      <c r="I370">
        <v>60</v>
      </c>
    </row>
    <row r="371" spans="1:9">
      <c r="A371">
        <v>9</v>
      </c>
      <c r="B371">
        <v>900</v>
      </c>
      <c r="C371">
        <v>0</v>
      </c>
      <c r="D371">
        <v>55</v>
      </c>
      <c r="E371">
        <v>4.5</v>
      </c>
      <c r="F371">
        <v>-10</v>
      </c>
      <c r="G371">
        <v>0</v>
      </c>
      <c r="H371">
        <v>50</v>
      </c>
      <c r="I371">
        <v>60</v>
      </c>
    </row>
    <row r="372" spans="1:9">
      <c r="A372">
        <v>9.5</v>
      </c>
      <c r="B372">
        <v>950</v>
      </c>
      <c r="C372">
        <v>0</v>
      </c>
      <c r="D372">
        <v>55</v>
      </c>
      <c r="E372">
        <v>4.75</v>
      </c>
      <c r="F372">
        <v>-10</v>
      </c>
      <c r="G372">
        <v>0</v>
      </c>
      <c r="H372">
        <v>50</v>
      </c>
      <c r="I372">
        <v>60</v>
      </c>
    </row>
    <row r="373" spans="1:9">
      <c r="A373">
        <v>10</v>
      </c>
      <c r="B373">
        <v>1000</v>
      </c>
      <c r="C373">
        <v>0</v>
      </c>
      <c r="D373">
        <v>55</v>
      </c>
      <c r="E373">
        <v>5</v>
      </c>
      <c r="F373">
        <v>-10</v>
      </c>
      <c r="G373">
        <v>0</v>
      </c>
      <c r="H373">
        <v>50</v>
      </c>
      <c r="I373">
        <v>60</v>
      </c>
    </row>
    <row r="374" spans="1:9">
      <c r="A374">
        <v>10.5</v>
      </c>
      <c r="B374">
        <v>1050</v>
      </c>
      <c r="C374">
        <v>0</v>
      </c>
      <c r="D374">
        <v>55</v>
      </c>
      <c r="E374">
        <v>5.25</v>
      </c>
      <c r="F374">
        <v>-10</v>
      </c>
      <c r="G374">
        <v>0</v>
      </c>
      <c r="H374">
        <v>50</v>
      </c>
      <c r="I374">
        <v>60</v>
      </c>
    </row>
    <row r="375" spans="1:9">
      <c r="A375">
        <v>11</v>
      </c>
      <c r="B375">
        <v>1100</v>
      </c>
      <c r="C375">
        <v>0</v>
      </c>
      <c r="D375">
        <v>55</v>
      </c>
      <c r="E375">
        <v>5.5</v>
      </c>
      <c r="F375">
        <v>-10</v>
      </c>
      <c r="G375">
        <v>0</v>
      </c>
      <c r="H375">
        <v>50</v>
      </c>
      <c r="I375">
        <v>60</v>
      </c>
    </row>
    <row r="376" spans="1:9">
      <c r="A376">
        <v>11.5</v>
      </c>
      <c r="B376">
        <v>1150</v>
      </c>
      <c r="C376">
        <v>0</v>
      </c>
      <c r="D376">
        <v>55</v>
      </c>
      <c r="E376">
        <v>5.75</v>
      </c>
      <c r="F376">
        <v>-10</v>
      </c>
      <c r="G376">
        <v>0</v>
      </c>
      <c r="H376">
        <v>50</v>
      </c>
      <c r="I376">
        <v>60</v>
      </c>
    </row>
    <row r="377" spans="1:9">
      <c r="A377">
        <v>12</v>
      </c>
      <c r="B377">
        <v>1200</v>
      </c>
      <c r="C377">
        <v>0</v>
      </c>
      <c r="D377">
        <v>55</v>
      </c>
      <c r="E377">
        <v>6</v>
      </c>
      <c r="F377">
        <v>-10</v>
      </c>
      <c r="G377">
        <v>0</v>
      </c>
      <c r="H377">
        <v>50</v>
      </c>
      <c r="I377">
        <v>60</v>
      </c>
    </row>
    <row r="378" spans="1:9">
      <c r="A378">
        <v>12.5</v>
      </c>
      <c r="B378">
        <v>1250</v>
      </c>
      <c r="C378">
        <v>0</v>
      </c>
      <c r="D378">
        <v>55</v>
      </c>
      <c r="E378">
        <v>6.25</v>
      </c>
      <c r="F378">
        <v>-10</v>
      </c>
      <c r="G378">
        <v>0</v>
      </c>
      <c r="H378">
        <v>50</v>
      </c>
      <c r="I378">
        <v>60</v>
      </c>
    </row>
    <row r="379" spans="1:9">
      <c r="A379">
        <v>13</v>
      </c>
      <c r="B379">
        <v>1300</v>
      </c>
      <c r="C379">
        <v>0</v>
      </c>
      <c r="D379">
        <v>55</v>
      </c>
      <c r="E379">
        <v>6.5</v>
      </c>
      <c r="F379">
        <v>-10</v>
      </c>
      <c r="G379">
        <v>0</v>
      </c>
      <c r="H379">
        <v>50</v>
      </c>
      <c r="I379">
        <v>60</v>
      </c>
    </row>
    <row r="380" spans="1:9">
      <c r="A380">
        <v>13.5</v>
      </c>
      <c r="B380">
        <v>1350</v>
      </c>
      <c r="C380">
        <v>0</v>
      </c>
      <c r="D380">
        <v>55</v>
      </c>
      <c r="E380">
        <v>6.75</v>
      </c>
      <c r="F380">
        <v>-10</v>
      </c>
      <c r="G380">
        <v>0</v>
      </c>
      <c r="H380">
        <v>50</v>
      </c>
      <c r="I380">
        <v>60</v>
      </c>
    </row>
    <row r="381" spans="1:9">
      <c r="A381">
        <v>14</v>
      </c>
      <c r="B381">
        <v>1400</v>
      </c>
      <c r="C381">
        <v>0</v>
      </c>
      <c r="D381">
        <v>55</v>
      </c>
      <c r="E381">
        <v>7</v>
      </c>
      <c r="F381">
        <v>-10</v>
      </c>
      <c r="G381">
        <v>0</v>
      </c>
      <c r="H381">
        <v>50</v>
      </c>
      <c r="I381">
        <v>60</v>
      </c>
    </row>
    <row r="382" spans="1:9">
      <c r="A382">
        <v>14.5</v>
      </c>
      <c r="B382">
        <v>1450</v>
      </c>
      <c r="C382">
        <v>0</v>
      </c>
      <c r="D382">
        <v>55</v>
      </c>
      <c r="E382">
        <v>7.25</v>
      </c>
      <c r="F382">
        <v>-10</v>
      </c>
      <c r="G382">
        <v>0</v>
      </c>
      <c r="H382">
        <v>50</v>
      </c>
      <c r="I382">
        <v>60</v>
      </c>
    </row>
    <row r="383" spans="1:9">
      <c r="A383">
        <v>15</v>
      </c>
      <c r="B383">
        <v>1500</v>
      </c>
      <c r="C383">
        <v>0</v>
      </c>
      <c r="D383">
        <v>55</v>
      </c>
      <c r="E383">
        <v>7.5</v>
      </c>
      <c r="F383">
        <v>-10</v>
      </c>
      <c r="G383">
        <v>0</v>
      </c>
      <c r="H383">
        <v>50</v>
      </c>
      <c r="I383">
        <v>60</v>
      </c>
    </row>
    <row r="386" spans="1:9">
      <c r="A386" t="s">
        <v>20</v>
      </c>
      <c r="B386" t="s">
        <v>330</v>
      </c>
      <c r="C386" t="s">
        <v>283</v>
      </c>
      <c r="I386">
        <v>12</v>
      </c>
    </row>
    <row r="387" spans="1:9">
      <c r="A387" t="s">
        <v>0</v>
      </c>
      <c r="B387" t="s">
        <v>12</v>
      </c>
      <c r="C387" t="s">
        <v>13</v>
      </c>
      <c r="D387" t="s">
        <v>14</v>
      </c>
      <c r="E387" t="s">
        <v>15</v>
      </c>
      <c r="F387" t="s">
        <v>16</v>
      </c>
      <c r="G387" t="s">
        <v>17</v>
      </c>
      <c r="H387" t="s">
        <v>18</v>
      </c>
      <c r="I387" t="s">
        <v>19</v>
      </c>
    </row>
    <row r="388" spans="1:9">
      <c r="A388">
        <v>0</v>
      </c>
      <c r="B388">
        <v>0.01</v>
      </c>
      <c r="C388">
        <v>0</v>
      </c>
      <c r="D388">
        <v>55</v>
      </c>
      <c r="E388">
        <v>0</v>
      </c>
      <c r="F388">
        <v>10</v>
      </c>
      <c r="G388">
        <v>0</v>
      </c>
      <c r="H388">
        <v>50</v>
      </c>
      <c r="I388">
        <v>60</v>
      </c>
    </row>
    <row r="389" spans="1:9">
      <c r="A389">
        <v>0.5</v>
      </c>
      <c r="B389">
        <v>50</v>
      </c>
      <c r="C389">
        <v>0</v>
      </c>
      <c r="D389">
        <v>55</v>
      </c>
      <c r="E389">
        <v>0.25</v>
      </c>
      <c r="F389">
        <v>10</v>
      </c>
      <c r="G389">
        <v>0</v>
      </c>
      <c r="H389">
        <v>50</v>
      </c>
      <c r="I389">
        <v>60</v>
      </c>
    </row>
    <row r="390" spans="1:9">
      <c r="A390">
        <v>1</v>
      </c>
      <c r="B390">
        <v>100</v>
      </c>
      <c r="C390">
        <v>0</v>
      </c>
      <c r="D390">
        <v>55</v>
      </c>
      <c r="E390">
        <v>0.5</v>
      </c>
      <c r="F390">
        <v>10</v>
      </c>
      <c r="G390">
        <v>0</v>
      </c>
      <c r="H390">
        <v>50</v>
      </c>
      <c r="I390">
        <v>60</v>
      </c>
    </row>
    <row r="391" spans="1:9">
      <c r="A391">
        <v>1.5</v>
      </c>
      <c r="B391">
        <v>150</v>
      </c>
      <c r="C391">
        <v>0</v>
      </c>
      <c r="D391">
        <v>55</v>
      </c>
      <c r="E391">
        <v>0.75</v>
      </c>
      <c r="F391">
        <v>10</v>
      </c>
      <c r="G391">
        <v>0</v>
      </c>
      <c r="H391">
        <v>50</v>
      </c>
      <c r="I391">
        <v>60</v>
      </c>
    </row>
    <row r="392" spans="1:9">
      <c r="A392">
        <v>2</v>
      </c>
      <c r="B392">
        <v>200</v>
      </c>
      <c r="C392">
        <v>0</v>
      </c>
      <c r="D392">
        <v>55</v>
      </c>
      <c r="E392">
        <v>1</v>
      </c>
      <c r="F392">
        <v>10</v>
      </c>
      <c r="G392">
        <v>0</v>
      </c>
      <c r="H392">
        <v>50</v>
      </c>
      <c r="I392">
        <v>60</v>
      </c>
    </row>
    <row r="393" spans="1:9">
      <c r="A393">
        <v>2.5</v>
      </c>
      <c r="B393">
        <v>250</v>
      </c>
      <c r="C393">
        <v>0</v>
      </c>
      <c r="D393">
        <v>55</v>
      </c>
      <c r="E393">
        <v>1.25</v>
      </c>
      <c r="F393">
        <v>10</v>
      </c>
      <c r="G393">
        <v>0</v>
      </c>
      <c r="H393">
        <v>50</v>
      </c>
      <c r="I393">
        <v>60</v>
      </c>
    </row>
    <row r="394" spans="1:9">
      <c r="A394">
        <v>3</v>
      </c>
      <c r="B394">
        <v>300</v>
      </c>
      <c r="C394">
        <v>0</v>
      </c>
      <c r="D394">
        <v>55</v>
      </c>
      <c r="E394">
        <v>1.5</v>
      </c>
      <c r="F394">
        <v>10</v>
      </c>
      <c r="G394">
        <v>0</v>
      </c>
      <c r="H394">
        <v>50</v>
      </c>
      <c r="I394">
        <v>60</v>
      </c>
    </row>
    <row r="395" spans="1:9">
      <c r="A395">
        <v>3.5</v>
      </c>
      <c r="B395">
        <v>350</v>
      </c>
      <c r="C395">
        <v>0</v>
      </c>
      <c r="D395">
        <v>55</v>
      </c>
      <c r="E395">
        <v>1.75</v>
      </c>
      <c r="F395">
        <v>10</v>
      </c>
      <c r="G395">
        <v>0</v>
      </c>
      <c r="H395">
        <v>50</v>
      </c>
      <c r="I395">
        <v>60</v>
      </c>
    </row>
    <row r="396" spans="1:9">
      <c r="A396">
        <v>4</v>
      </c>
      <c r="B396">
        <v>400</v>
      </c>
      <c r="C396">
        <v>0</v>
      </c>
      <c r="D396">
        <v>55</v>
      </c>
      <c r="E396">
        <v>2</v>
      </c>
      <c r="F396">
        <v>10</v>
      </c>
      <c r="G396">
        <v>0</v>
      </c>
      <c r="H396">
        <v>50</v>
      </c>
      <c r="I396">
        <v>60</v>
      </c>
    </row>
    <row r="397" spans="1:9">
      <c r="A397">
        <v>4.5</v>
      </c>
      <c r="B397">
        <v>450</v>
      </c>
      <c r="C397">
        <v>0</v>
      </c>
      <c r="D397">
        <v>55</v>
      </c>
      <c r="E397">
        <v>2.25</v>
      </c>
      <c r="F397">
        <v>10</v>
      </c>
      <c r="G397">
        <v>0</v>
      </c>
      <c r="H397">
        <v>50</v>
      </c>
      <c r="I397">
        <v>60</v>
      </c>
    </row>
    <row r="398" spans="1:9">
      <c r="A398">
        <v>5</v>
      </c>
      <c r="B398">
        <v>500</v>
      </c>
      <c r="C398">
        <v>0</v>
      </c>
      <c r="D398">
        <v>55</v>
      </c>
      <c r="E398">
        <v>2.5</v>
      </c>
      <c r="F398">
        <v>10</v>
      </c>
      <c r="G398">
        <v>0</v>
      </c>
      <c r="H398">
        <v>50</v>
      </c>
      <c r="I398">
        <v>60</v>
      </c>
    </row>
    <row r="399" spans="1:9">
      <c r="A399">
        <v>5.5</v>
      </c>
      <c r="B399">
        <v>550</v>
      </c>
      <c r="C399">
        <v>0</v>
      </c>
      <c r="D399">
        <v>55</v>
      </c>
      <c r="E399">
        <v>2.75</v>
      </c>
      <c r="F399">
        <v>10</v>
      </c>
      <c r="G399">
        <v>0</v>
      </c>
      <c r="H399">
        <v>50</v>
      </c>
      <c r="I399">
        <v>60</v>
      </c>
    </row>
    <row r="400" spans="1:9">
      <c r="A400">
        <v>6</v>
      </c>
      <c r="B400">
        <v>600</v>
      </c>
      <c r="C400">
        <v>0</v>
      </c>
      <c r="D400">
        <v>55</v>
      </c>
      <c r="E400">
        <v>3</v>
      </c>
      <c r="F400">
        <v>10</v>
      </c>
      <c r="G400">
        <v>0</v>
      </c>
      <c r="H400">
        <v>50</v>
      </c>
      <c r="I400">
        <v>60</v>
      </c>
    </row>
    <row r="401" spans="1:9">
      <c r="A401">
        <v>6.5</v>
      </c>
      <c r="B401">
        <v>650</v>
      </c>
      <c r="C401">
        <v>0</v>
      </c>
      <c r="D401">
        <v>55</v>
      </c>
      <c r="E401">
        <v>3.25</v>
      </c>
      <c r="F401">
        <v>10</v>
      </c>
      <c r="G401">
        <v>0</v>
      </c>
      <c r="H401">
        <v>50</v>
      </c>
      <c r="I401">
        <v>60</v>
      </c>
    </row>
    <row r="402" spans="1:9">
      <c r="A402">
        <v>7</v>
      </c>
      <c r="B402">
        <v>700</v>
      </c>
      <c r="C402">
        <v>0</v>
      </c>
      <c r="D402">
        <v>55</v>
      </c>
      <c r="E402">
        <v>3.5</v>
      </c>
      <c r="F402">
        <v>10</v>
      </c>
      <c r="G402">
        <v>0</v>
      </c>
      <c r="H402">
        <v>50</v>
      </c>
      <c r="I402">
        <v>60</v>
      </c>
    </row>
    <row r="403" spans="1:9">
      <c r="A403">
        <v>7.5</v>
      </c>
      <c r="B403">
        <v>750</v>
      </c>
      <c r="C403">
        <v>0</v>
      </c>
      <c r="D403">
        <v>55</v>
      </c>
      <c r="E403">
        <v>3.75</v>
      </c>
      <c r="F403">
        <v>10</v>
      </c>
      <c r="G403">
        <v>0</v>
      </c>
      <c r="H403">
        <v>50</v>
      </c>
      <c r="I403">
        <v>60</v>
      </c>
    </row>
    <row r="404" spans="1:9">
      <c r="A404">
        <v>8</v>
      </c>
      <c r="B404">
        <v>800</v>
      </c>
      <c r="C404">
        <v>0</v>
      </c>
      <c r="D404">
        <v>55</v>
      </c>
      <c r="E404">
        <v>4</v>
      </c>
      <c r="F404">
        <v>10</v>
      </c>
      <c r="G404">
        <v>0</v>
      </c>
      <c r="H404">
        <v>50</v>
      </c>
      <c r="I404">
        <v>60</v>
      </c>
    </row>
    <row r="405" spans="1:9">
      <c r="A405">
        <v>8.5</v>
      </c>
      <c r="B405">
        <v>850</v>
      </c>
      <c r="C405">
        <v>0</v>
      </c>
      <c r="D405">
        <v>55</v>
      </c>
      <c r="E405">
        <v>4.25</v>
      </c>
      <c r="F405">
        <v>10</v>
      </c>
      <c r="G405">
        <v>0</v>
      </c>
      <c r="H405">
        <v>50</v>
      </c>
      <c r="I405">
        <v>60</v>
      </c>
    </row>
    <row r="406" spans="1:9">
      <c r="A406">
        <v>9</v>
      </c>
      <c r="B406">
        <v>900</v>
      </c>
      <c r="C406">
        <v>0</v>
      </c>
      <c r="D406">
        <v>55</v>
      </c>
      <c r="E406">
        <v>4.5</v>
      </c>
      <c r="F406">
        <v>10</v>
      </c>
      <c r="G406">
        <v>0</v>
      </c>
      <c r="H406">
        <v>50</v>
      </c>
      <c r="I406">
        <v>60</v>
      </c>
    </row>
    <row r="407" spans="1:9">
      <c r="A407">
        <v>9.5</v>
      </c>
      <c r="B407">
        <v>950</v>
      </c>
      <c r="C407">
        <v>0</v>
      </c>
      <c r="D407">
        <v>55</v>
      </c>
      <c r="E407">
        <v>4.75</v>
      </c>
      <c r="F407">
        <v>10</v>
      </c>
      <c r="G407">
        <v>0</v>
      </c>
      <c r="H407">
        <v>50</v>
      </c>
      <c r="I407">
        <v>60</v>
      </c>
    </row>
    <row r="408" spans="1:9">
      <c r="A408">
        <v>10</v>
      </c>
      <c r="B408">
        <v>1000</v>
      </c>
      <c r="C408">
        <v>0</v>
      </c>
      <c r="D408">
        <v>55</v>
      </c>
      <c r="E408">
        <v>5</v>
      </c>
      <c r="F408">
        <v>10</v>
      </c>
      <c r="G408">
        <v>0</v>
      </c>
      <c r="H408">
        <v>50</v>
      </c>
      <c r="I408">
        <v>60</v>
      </c>
    </row>
    <row r="409" spans="1:9">
      <c r="A409">
        <v>10.5</v>
      </c>
      <c r="B409">
        <v>1050</v>
      </c>
      <c r="C409">
        <v>0</v>
      </c>
      <c r="D409">
        <v>55</v>
      </c>
      <c r="E409">
        <v>5.25</v>
      </c>
      <c r="F409">
        <v>10</v>
      </c>
      <c r="G409">
        <v>0</v>
      </c>
      <c r="H409">
        <v>50</v>
      </c>
      <c r="I409">
        <v>60</v>
      </c>
    </row>
    <row r="410" spans="1:9">
      <c r="A410">
        <v>11</v>
      </c>
      <c r="B410">
        <v>1100</v>
      </c>
      <c r="C410">
        <v>0</v>
      </c>
      <c r="D410">
        <v>55</v>
      </c>
      <c r="E410">
        <v>5.5</v>
      </c>
      <c r="F410">
        <v>10</v>
      </c>
      <c r="G410">
        <v>0</v>
      </c>
      <c r="H410">
        <v>50</v>
      </c>
      <c r="I410">
        <v>60</v>
      </c>
    </row>
    <row r="411" spans="1:9">
      <c r="A411">
        <v>11.5</v>
      </c>
      <c r="B411">
        <v>1150</v>
      </c>
      <c r="C411">
        <v>0</v>
      </c>
      <c r="D411">
        <v>55</v>
      </c>
      <c r="E411">
        <v>5.75</v>
      </c>
      <c r="F411">
        <v>10</v>
      </c>
      <c r="G411">
        <v>0</v>
      </c>
      <c r="H411">
        <v>50</v>
      </c>
      <c r="I411">
        <v>60</v>
      </c>
    </row>
    <row r="412" spans="1:9">
      <c r="A412">
        <v>12</v>
      </c>
      <c r="B412">
        <v>1200</v>
      </c>
      <c r="C412">
        <v>0</v>
      </c>
      <c r="D412">
        <v>55</v>
      </c>
      <c r="E412">
        <v>6</v>
      </c>
      <c r="F412">
        <v>10</v>
      </c>
      <c r="G412">
        <v>0</v>
      </c>
      <c r="H412">
        <v>50</v>
      </c>
      <c r="I412">
        <v>60</v>
      </c>
    </row>
    <row r="413" spans="1:9">
      <c r="A413">
        <v>12.5</v>
      </c>
      <c r="B413">
        <v>1250</v>
      </c>
      <c r="C413">
        <v>0</v>
      </c>
      <c r="D413">
        <v>55</v>
      </c>
      <c r="E413">
        <v>6.25</v>
      </c>
      <c r="F413">
        <v>10</v>
      </c>
      <c r="G413">
        <v>0</v>
      </c>
      <c r="H413">
        <v>50</v>
      </c>
      <c r="I413">
        <v>60</v>
      </c>
    </row>
    <row r="414" spans="1:9">
      <c r="A414">
        <v>13</v>
      </c>
      <c r="B414">
        <v>1300</v>
      </c>
      <c r="C414">
        <v>0</v>
      </c>
      <c r="D414">
        <v>55</v>
      </c>
      <c r="E414">
        <v>6.5</v>
      </c>
      <c r="F414">
        <v>10</v>
      </c>
      <c r="G414">
        <v>0</v>
      </c>
      <c r="H414">
        <v>50</v>
      </c>
      <c r="I414">
        <v>60</v>
      </c>
    </row>
    <row r="415" spans="1:9">
      <c r="A415">
        <v>13.5</v>
      </c>
      <c r="B415">
        <v>1350</v>
      </c>
      <c r="C415">
        <v>0</v>
      </c>
      <c r="D415">
        <v>55</v>
      </c>
      <c r="E415">
        <v>6.75</v>
      </c>
      <c r="F415">
        <v>10</v>
      </c>
      <c r="G415">
        <v>0</v>
      </c>
      <c r="H415">
        <v>50</v>
      </c>
      <c r="I415">
        <v>60</v>
      </c>
    </row>
    <row r="416" spans="1:9">
      <c r="A416">
        <v>14</v>
      </c>
      <c r="B416">
        <v>1400</v>
      </c>
      <c r="C416">
        <v>0</v>
      </c>
      <c r="D416">
        <v>55</v>
      </c>
      <c r="E416">
        <v>7</v>
      </c>
      <c r="F416">
        <v>10</v>
      </c>
      <c r="G416">
        <v>0</v>
      </c>
      <c r="H416">
        <v>50</v>
      </c>
      <c r="I416">
        <v>60</v>
      </c>
    </row>
    <row r="417" spans="1:9">
      <c r="A417">
        <v>14.5</v>
      </c>
      <c r="B417">
        <v>1450</v>
      </c>
      <c r="C417">
        <v>0</v>
      </c>
      <c r="D417">
        <v>55</v>
      </c>
      <c r="E417">
        <v>7.25</v>
      </c>
      <c r="F417">
        <v>10</v>
      </c>
      <c r="G417">
        <v>0</v>
      </c>
      <c r="H417">
        <v>50</v>
      </c>
      <c r="I417">
        <v>60</v>
      </c>
    </row>
    <row r="418" spans="1:9">
      <c r="A418">
        <v>15</v>
      </c>
      <c r="B418">
        <v>1500</v>
      </c>
      <c r="C418">
        <v>0</v>
      </c>
      <c r="D418">
        <v>55</v>
      </c>
      <c r="E418">
        <v>7.5</v>
      </c>
      <c r="F418">
        <v>10</v>
      </c>
      <c r="G418">
        <v>0</v>
      </c>
      <c r="H418">
        <v>50</v>
      </c>
      <c r="I418">
        <v>60</v>
      </c>
    </row>
    <row r="421" spans="1:9">
      <c r="A421" t="s">
        <v>20</v>
      </c>
      <c r="B421" t="s">
        <v>330</v>
      </c>
      <c r="C421" t="s">
        <v>284</v>
      </c>
      <c r="I421">
        <v>13</v>
      </c>
    </row>
    <row r="422" spans="1:9">
      <c r="A422" t="s">
        <v>0</v>
      </c>
      <c r="B422" t="s">
        <v>12</v>
      </c>
      <c r="C422" t="s">
        <v>13</v>
      </c>
      <c r="D422" t="s">
        <v>14</v>
      </c>
      <c r="E422" t="s">
        <v>15</v>
      </c>
      <c r="F422" t="s">
        <v>16</v>
      </c>
      <c r="G422" t="s">
        <v>17</v>
      </c>
      <c r="H422" t="s">
        <v>18</v>
      </c>
      <c r="I422" t="s">
        <v>19</v>
      </c>
    </row>
    <row r="423" spans="1:9">
      <c r="A423">
        <v>0</v>
      </c>
      <c r="B423">
        <v>0.01</v>
      </c>
      <c r="C423">
        <v>0</v>
      </c>
      <c r="D423">
        <v>65</v>
      </c>
      <c r="E423">
        <v>0</v>
      </c>
      <c r="F423">
        <v>10</v>
      </c>
      <c r="G423">
        <v>0</v>
      </c>
      <c r="H423">
        <v>60</v>
      </c>
      <c r="I423">
        <v>70</v>
      </c>
    </row>
    <row r="424" spans="1:9">
      <c r="A424">
        <v>0.5</v>
      </c>
      <c r="B424">
        <v>50</v>
      </c>
      <c r="C424">
        <v>0</v>
      </c>
      <c r="D424">
        <v>65</v>
      </c>
      <c r="E424">
        <v>0.25</v>
      </c>
      <c r="F424">
        <v>10</v>
      </c>
      <c r="G424">
        <v>0</v>
      </c>
      <c r="H424">
        <v>60</v>
      </c>
      <c r="I424">
        <v>70</v>
      </c>
    </row>
    <row r="425" spans="1:9">
      <c r="A425">
        <v>1</v>
      </c>
      <c r="B425">
        <v>100</v>
      </c>
      <c r="C425">
        <v>0</v>
      </c>
      <c r="D425">
        <v>65</v>
      </c>
      <c r="E425">
        <v>0.5</v>
      </c>
      <c r="F425">
        <v>10</v>
      </c>
      <c r="G425">
        <v>0</v>
      </c>
      <c r="H425">
        <v>60</v>
      </c>
      <c r="I425">
        <v>70</v>
      </c>
    </row>
    <row r="426" spans="1:9">
      <c r="A426">
        <v>1.5</v>
      </c>
      <c r="B426">
        <v>150</v>
      </c>
      <c r="C426">
        <v>0</v>
      </c>
      <c r="D426">
        <v>65</v>
      </c>
      <c r="E426">
        <v>0.75</v>
      </c>
      <c r="F426">
        <v>10</v>
      </c>
      <c r="G426">
        <v>0</v>
      </c>
      <c r="H426">
        <v>60</v>
      </c>
      <c r="I426">
        <v>70</v>
      </c>
    </row>
    <row r="427" spans="1:9">
      <c r="A427">
        <v>2</v>
      </c>
      <c r="B427">
        <v>200</v>
      </c>
      <c r="C427">
        <v>0</v>
      </c>
      <c r="D427">
        <v>65</v>
      </c>
      <c r="E427">
        <v>1</v>
      </c>
      <c r="F427">
        <v>10</v>
      </c>
      <c r="G427">
        <v>0</v>
      </c>
      <c r="H427">
        <v>60</v>
      </c>
      <c r="I427">
        <v>70</v>
      </c>
    </row>
    <row r="428" spans="1:9">
      <c r="A428">
        <v>2.5</v>
      </c>
      <c r="B428">
        <v>250</v>
      </c>
      <c r="C428">
        <v>0</v>
      </c>
      <c r="D428">
        <v>65</v>
      </c>
      <c r="E428">
        <v>1.25</v>
      </c>
      <c r="F428">
        <v>10</v>
      </c>
      <c r="G428">
        <v>0</v>
      </c>
      <c r="H428">
        <v>60</v>
      </c>
      <c r="I428">
        <v>70</v>
      </c>
    </row>
    <row r="429" spans="1:9">
      <c r="A429">
        <v>3</v>
      </c>
      <c r="B429">
        <v>300</v>
      </c>
      <c r="C429">
        <v>0</v>
      </c>
      <c r="D429">
        <v>65</v>
      </c>
      <c r="E429">
        <v>1.5</v>
      </c>
      <c r="F429">
        <v>10</v>
      </c>
      <c r="G429">
        <v>0</v>
      </c>
      <c r="H429">
        <v>60</v>
      </c>
      <c r="I429">
        <v>70</v>
      </c>
    </row>
    <row r="430" spans="1:9">
      <c r="A430">
        <v>3.5</v>
      </c>
      <c r="B430">
        <v>350</v>
      </c>
      <c r="C430">
        <v>0</v>
      </c>
      <c r="D430">
        <v>65</v>
      </c>
      <c r="E430">
        <v>1.75</v>
      </c>
      <c r="F430">
        <v>10</v>
      </c>
      <c r="G430">
        <v>0</v>
      </c>
      <c r="H430">
        <v>60</v>
      </c>
      <c r="I430">
        <v>70</v>
      </c>
    </row>
    <row r="431" spans="1:9">
      <c r="A431">
        <v>4</v>
      </c>
      <c r="B431">
        <v>400</v>
      </c>
      <c r="C431">
        <v>0</v>
      </c>
      <c r="D431">
        <v>65</v>
      </c>
      <c r="E431">
        <v>2</v>
      </c>
      <c r="F431">
        <v>10</v>
      </c>
      <c r="G431">
        <v>0</v>
      </c>
      <c r="H431">
        <v>60</v>
      </c>
      <c r="I431">
        <v>70</v>
      </c>
    </row>
    <row r="432" spans="1:9">
      <c r="A432">
        <v>4.5</v>
      </c>
      <c r="B432">
        <v>450</v>
      </c>
      <c r="C432">
        <v>0</v>
      </c>
      <c r="D432">
        <v>65</v>
      </c>
      <c r="E432">
        <v>2.25</v>
      </c>
      <c r="F432">
        <v>10</v>
      </c>
      <c r="G432">
        <v>0</v>
      </c>
      <c r="H432">
        <v>60</v>
      </c>
      <c r="I432">
        <v>70</v>
      </c>
    </row>
    <row r="433" spans="1:9">
      <c r="A433">
        <v>5</v>
      </c>
      <c r="B433">
        <v>500</v>
      </c>
      <c r="C433">
        <v>0</v>
      </c>
      <c r="D433">
        <v>65</v>
      </c>
      <c r="E433">
        <v>2.5</v>
      </c>
      <c r="F433">
        <v>10</v>
      </c>
      <c r="G433">
        <v>0</v>
      </c>
      <c r="H433">
        <v>60</v>
      </c>
      <c r="I433">
        <v>70</v>
      </c>
    </row>
    <row r="434" spans="1:9">
      <c r="A434">
        <v>5.5</v>
      </c>
      <c r="B434">
        <v>550</v>
      </c>
      <c r="C434">
        <v>0</v>
      </c>
      <c r="D434">
        <v>65</v>
      </c>
      <c r="E434">
        <v>2.75</v>
      </c>
      <c r="F434">
        <v>10</v>
      </c>
      <c r="G434">
        <v>0</v>
      </c>
      <c r="H434">
        <v>60</v>
      </c>
      <c r="I434">
        <v>70</v>
      </c>
    </row>
    <row r="435" spans="1:9">
      <c r="A435">
        <v>6</v>
      </c>
      <c r="B435">
        <v>600</v>
      </c>
      <c r="C435">
        <v>0</v>
      </c>
      <c r="D435">
        <v>65</v>
      </c>
      <c r="E435">
        <v>3</v>
      </c>
      <c r="F435">
        <v>10</v>
      </c>
      <c r="G435">
        <v>0</v>
      </c>
      <c r="H435">
        <v>60</v>
      </c>
      <c r="I435">
        <v>70</v>
      </c>
    </row>
    <row r="436" spans="1:9">
      <c r="A436">
        <v>6.5</v>
      </c>
      <c r="B436">
        <v>650</v>
      </c>
      <c r="C436">
        <v>0</v>
      </c>
      <c r="D436">
        <v>65</v>
      </c>
      <c r="E436">
        <v>3.25</v>
      </c>
      <c r="F436">
        <v>10</v>
      </c>
      <c r="G436">
        <v>0</v>
      </c>
      <c r="H436">
        <v>60</v>
      </c>
      <c r="I436">
        <v>70</v>
      </c>
    </row>
    <row r="437" spans="1:9">
      <c r="A437">
        <v>7</v>
      </c>
      <c r="B437">
        <v>700</v>
      </c>
      <c r="C437">
        <v>0</v>
      </c>
      <c r="D437">
        <v>65</v>
      </c>
      <c r="E437">
        <v>3.5</v>
      </c>
      <c r="F437">
        <v>10</v>
      </c>
      <c r="G437">
        <v>0</v>
      </c>
      <c r="H437">
        <v>60</v>
      </c>
      <c r="I437">
        <v>70</v>
      </c>
    </row>
    <row r="438" spans="1:9">
      <c r="A438">
        <v>7.5</v>
      </c>
      <c r="B438">
        <v>750</v>
      </c>
      <c r="C438">
        <v>0</v>
      </c>
      <c r="D438">
        <v>65</v>
      </c>
      <c r="E438">
        <v>3.75</v>
      </c>
      <c r="F438">
        <v>10</v>
      </c>
      <c r="G438">
        <v>0</v>
      </c>
      <c r="H438">
        <v>60</v>
      </c>
      <c r="I438">
        <v>70</v>
      </c>
    </row>
    <row r="439" spans="1:9">
      <c r="A439">
        <v>8</v>
      </c>
      <c r="B439">
        <v>800</v>
      </c>
      <c r="C439">
        <v>0</v>
      </c>
      <c r="D439">
        <v>65</v>
      </c>
      <c r="E439">
        <v>4</v>
      </c>
      <c r="F439">
        <v>10</v>
      </c>
      <c r="G439">
        <v>0</v>
      </c>
      <c r="H439">
        <v>60</v>
      </c>
      <c r="I439">
        <v>70</v>
      </c>
    </row>
    <row r="440" spans="1:9">
      <c r="A440">
        <v>8.5</v>
      </c>
      <c r="B440">
        <v>850</v>
      </c>
      <c r="C440">
        <v>0</v>
      </c>
      <c r="D440">
        <v>65</v>
      </c>
      <c r="E440">
        <v>4.25</v>
      </c>
      <c r="F440">
        <v>10</v>
      </c>
      <c r="G440">
        <v>0</v>
      </c>
      <c r="H440">
        <v>60</v>
      </c>
      <c r="I440">
        <v>70</v>
      </c>
    </row>
    <row r="441" spans="1:9">
      <c r="A441">
        <v>9</v>
      </c>
      <c r="B441">
        <v>900</v>
      </c>
      <c r="C441">
        <v>0</v>
      </c>
      <c r="D441">
        <v>65</v>
      </c>
      <c r="E441">
        <v>4.5</v>
      </c>
      <c r="F441">
        <v>10</v>
      </c>
      <c r="G441">
        <v>0</v>
      </c>
      <c r="H441">
        <v>60</v>
      </c>
      <c r="I441">
        <v>70</v>
      </c>
    </row>
    <row r="442" spans="1:9">
      <c r="A442">
        <v>9.5</v>
      </c>
      <c r="B442">
        <v>950</v>
      </c>
      <c r="C442">
        <v>0</v>
      </c>
      <c r="D442">
        <v>65</v>
      </c>
      <c r="E442">
        <v>4.75</v>
      </c>
      <c r="F442">
        <v>10</v>
      </c>
      <c r="G442">
        <v>0</v>
      </c>
      <c r="H442">
        <v>60</v>
      </c>
      <c r="I442">
        <v>70</v>
      </c>
    </row>
    <row r="443" spans="1:9">
      <c r="A443">
        <v>10</v>
      </c>
      <c r="B443">
        <v>1000</v>
      </c>
      <c r="C443">
        <v>0</v>
      </c>
      <c r="D443">
        <v>65</v>
      </c>
      <c r="E443">
        <v>5</v>
      </c>
      <c r="F443">
        <v>10</v>
      </c>
      <c r="G443">
        <v>0</v>
      </c>
      <c r="H443">
        <v>60</v>
      </c>
      <c r="I443">
        <v>70</v>
      </c>
    </row>
    <row r="444" spans="1:9">
      <c r="A444">
        <v>10.5</v>
      </c>
      <c r="B444">
        <v>1050</v>
      </c>
      <c r="C444">
        <v>0</v>
      </c>
      <c r="D444">
        <v>65</v>
      </c>
      <c r="E444">
        <v>5.25</v>
      </c>
      <c r="F444">
        <v>10</v>
      </c>
      <c r="G444">
        <v>0</v>
      </c>
      <c r="H444">
        <v>60</v>
      </c>
      <c r="I444">
        <v>70</v>
      </c>
    </row>
    <row r="445" spans="1:9">
      <c r="A445">
        <v>11</v>
      </c>
      <c r="B445">
        <v>1100</v>
      </c>
      <c r="C445">
        <v>0</v>
      </c>
      <c r="D445">
        <v>65</v>
      </c>
      <c r="E445">
        <v>5.5</v>
      </c>
      <c r="F445">
        <v>10</v>
      </c>
      <c r="G445">
        <v>0</v>
      </c>
      <c r="H445">
        <v>60</v>
      </c>
      <c r="I445">
        <v>70</v>
      </c>
    </row>
    <row r="446" spans="1:9">
      <c r="A446">
        <v>11.5</v>
      </c>
      <c r="B446">
        <v>1150</v>
      </c>
      <c r="C446">
        <v>0</v>
      </c>
      <c r="D446">
        <v>65</v>
      </c>
      <c r="E446">
        <v>5.75</v>
      </c>
      <c r="F446">
        <v>10</v>
      </c>
      <c r="G446">
        <v>0</v>
      </c>
      <c r="H446">
        <v>60</v>
      </c>
      <c r="I446">
        <v>70</v>
      </c>
    </row>
    <row r="447" spans="1:9">
      <c r="A447">
        <v>12</v>
      </c>
      <c r="B447">
        <v>1200</v>
      </c>
      <c r="C447">
        <v>0</v>
      </c>
      <c r="D447">
        <v>65</v>
      </c>
      <c r="E447">
        <v>6</v>
      </c>
      <c r="F447">
        <v>10</v>
      </c>
      <c r="G447">
        <v>0</v>
      </c>
      <c r="H447">
        <v>60</v>
      </c>
      <c r="I447">
        <v>70</v>
      </c>
    </row>
    <row r="448" spans="1:9">
      <c r="A448">
        <v>12.5</v>
      </c>
      <c r="B448">
        <v>1250</v>
      </c>
      <c r="C448">
        <v>0</v>
      </c>
      <c r="D448">
        <v>65</v>
      </c>
      <c r="E448">
        <v>6.25</v>
      </c>
      <c r="F448">
        <v>10</v>
      </c>
      <c r="G448">
        <v>0</v>
      </c>
      <c r="H448">
        <v>60</v>
      </c>
      <c r="I448">
        <v>70</v>
      </c>
    </row>
    <row r="449" spans="1:9">
      <c r="A449">
        <v>13</v>
      </c>
      <c r="B449">
        <v>1300</v>
      </c>
      <c r="C449">
        <v>0</v>
      </c>
      <c r="D449">
        <v>65</v>
      </c>
      <c r="E449">
        <v>6.5</v>
      </c>
      <c r="F449">
        <v>10</v>
      </c>
      <c r="G449">
        <v>0</v>
      </c>
      <c r="H449">
        <v>60</v>
      </c>
      <c r="I449">
        <v>70</v>
      </c>
    </row>
    <row r="450" spans="1:9">
      <c r="A450">
        <v>13.5</v>
      </c>
      <c r="B450">
        <v>1350</v>
      </c>
      <c r="C450">
        <v>0</v>
      </c>
      <c r="D450">
        <v>65</v>
      </c>
      <c r="E450">
        <v>6.75</v>
      </c>
      <c r="F450">
        <v>10</v>
      </c>
      <c r="G450">
        <v>0</v>
      </c>
      <c r="H450">
        <v>60</v>
      </c>
      <c r="I450">
        <v>70</v>
      </c>
    </row>
    <row r="451" spans="1:9">
      <c r="A451">
        <v>14</v>
      </c>
      <c r="B451">
        <v>1400</v>
      </c>
      <c r="C451">
        <v>0</v>
      </c>
      <c r="D451">
        <v>65</v>
      </c>
      <c r="E451">
        <v>7</v>
      </c>
      <c r="F451">
        <v>10</v>
      </c>
      <c r="G451">
        <v>0</v>
      </c>
      <c r="H451">
        <v>60</v>
      </c>
      <c r="I451">
        <v>70</v>
      </c>
    </row>
    <row r="452" spans="1:9">
      <c r="A452">
        <v>14.5</v>
      </c>
      <c r="B452">
        <v>1450</v>
      </c>
      <c r="C452">
        <v>0</v>
      </c>
      <c r="D452">
        <v>65</v>
      </c>
      <c r="E452">
        <v>7.25</v>
      </c>
      <c r="F452">
        <v>10</v>
      </c>
      <c r="G452">
        <v>0</v>
      </c>
      <c r="H452">
        <v>60</v>
      </c>
      <c r="I452">
        <v>70</v>
      </c>
    </row>
    <row r="453" spans="1:9">
      <c r="A453">
        <v>15</v>
      </c>
      <c r="B453">
        <v>1500</v>
      </c>
      <c r="C453">
        <v>0</v>
      </c>
      <c r="D453">
        <v>65</v>
      </c>
      <c r="E453">
        <v>7.5</v>
      </c>
      <c r="F453">
        <v>10</v>
      </c>
      <c r="G453">
        <v>0</v>
      </c>
      <c r="H453">
        <v>60</v>
      </c>
      <c r="I453">
        <v>70</v>
      </c>
    </row>
    <row r="456" spans="1:9">
      <c r="A456" t="s">
        <v>20</v>
      </c>
      <c r="B456" t="s">
        <v>330</v>
      </c>
      <c r="C456" t="s">
        <v>285</v>
      </c>
      <c r="I456">
        <v>14</v>
      </c>
    </row>
    <row r="457" spans="1:9">
      <c r="A457" t="s">
        <v>0</v>
      </c>
      <c r="B457" t="s">
        <v>12</v>
      </c>
      <c r="C457" t="s">
        <v>13</v>
      </c>
      <c r="D457" t="s">
        <v>14</v>
      </c>
      <c r="E457" t="s">
        <v>15</v>
      </c>
      <c r="F457" t="s">
        <v>16</v>
      </c>
      <c r="G457" t="s">
        <v>17</v>
      </c>
      <c r="H457" t="s">
        <v>18</v>
      </c>
      <c r="I457" t="s">
        <v>19</v>
      </c>
    </row>
    <row r="458" spans="1:9">
      <c r="A458">
        <v>0</v>
      </c>
      <c r="B458">
        <v>0.01</v>
      </c>
      <c r="C458">
        <v>0</v>
      </c>
      <c r="D458">
        <v>75</v>
      </c>
      <c r="E458">
        <v>0</v>
      </c>
      <c r="F458">
        <v>0</v>
      </c>
      <c r="G458">
        <v>0</v>
      </c>
      <c r="H458">
        <v>70</v>
      </c>
      <c r="I458">
        <v>80</v>
      </c>
    </row>
    <row r="459" spans="1:9">
      <c r="A459">
        <v>0.5</v>
      </c>
      <c r="B459">
        <v>50</v>
      </c>
      <c r="C459">
        <v>0</v>
      </c>
      <c r="D459">
        <v>75</v>
      </c>
      <c r="E459">
        <v>0.25</v>
      </c>
      <c r="F459">
        <v>0</v>
      </c>
      <c r="G459">
        <v>0</v>
      </c>
      <c r="H459">
        <v>70</v>
      </c>
      <c r="I459">
        <v>80</v>
      </c>
    </row>
    <row r="460" spans="1:9">
      <c r="A460">
        <v>1</v>
      </c>
      <c r="B460">
        <v>100</v>
      </c>
      <c r="C460">
        <v>0</v>
      </c>
      <c r="D460">
        <v>75</v>
      </c>
      <c r="E460">
        <v>0.5</v>
      </c>
      <c r="F460">
        <v>0</v>
      </c>
      <c r="G460">
        <v>0</v>
      </c>
      <c r="H460">
        <v>70</v>
      </c>
      <c r="I460">
        <v>80</v>
      </c>
    </row>
    <row r="461" spans="1:9">
      <c r="A461">
        <v>1.5</v>
      </c>
      <c r="B461">
        <v>150</v>
      </c>
      <c r="C461">
        <v>0</v>
      </c>
      <c r="D461">
        <v>75</v>
      </c>
      <c r="E461">
        <v>0.75</v>
      </c>
      <c r="F461">
        <v>0</v>
      </c>
      <c r="G461">
        <v>0</v>
      </c>
      <c r="H461">
        <v>70</v>
      </c>
      <c r="I461">
        <v>80</v>
      </c>
    </row>
    <row r="462" spans="1:9">
      <c r="A462">
        <v>2</v>
      </c>
      <c r="B462">
        <v>200</v>
      </c>
      <c r="C462">
        <v>0</v>
      </c>
      <c r="D462">
        <v>75</v>
      </c>
      <c r="E462">
        <v>1</v>
      </c>
      <c r="F462">
        <v>0</v>
      </c>
      <c r="G462">
        <v>0</v>
      </c>
      <c r="H462">
        <v>70</v>
      </c>
      <c r="I462">
        <v>80</v>
      </c>
    </row>
    <row r="463" spans="1:9">
      <c r="A463">
        <v>2.5</v>
      </c>
      <c r="B463">
        <v>250</v>
      </c>
      <c r="C463">
        <v>0</v>
      </c>
      <c r="D463">
        <v>75</v>
      </c>
      <c r="E463">
        <v>1.25</v>
      </c>
      <c r="F463">
        <v>0</v>
      </c>
      <c r="G463">
        <v>0</v>
      </c>
      <c r="H463">
        <v>70</v>
      </c>
      <c r="I463">
        <v>80</v>
      </c>
    </row>
    <row r="464" spans="1:9">
      <c r="A464">
        <v>3</v>
      </c>
      <c r="B464">
        <v>300</v>
      </c>
      <c r="C464">
        <v>0</v>
      </c>
      <c r="D464">
        <v>75</v>
      </c>
      <c r="E464">
        <v>1.5</v>
      </c>
      <c r="F464">
        <v>0</v>
      </c>
      <c r="G464">
        <v>0</v>
      </c>
      <c r="H464">
        <v>70</v>
      </c>
      <c r="I464">
        <v>80</v>
      </c>
    </row>
    <row r="465" spans="1:9">
      <c r="A465">
        <v>3.5</v>
      </c>
      <c r="B465">
        <v>350</v>
      </c>
      <c r="C465">
        <v>0</v>
      </c>
      <c r="D465">
        <v>75</v>
      </c>
      <c r="E465">
        <v>1.75</v>
      </c>
      <c r="F465">
        <v>0</v>
      </c>
      <c r="G465">
        <v>0</v>
      </c>
      <c r="H465">
        <v>70</v>
      </c>
      <c r="I465">
        <v>80</v>
      </c>
    </row>
    <row r="466" spans="1:9">
      <c r="A466">
        <v>4</v>
      </c>
      <c r="B466">
        <v>400</v>
      </c>
      <c r="C466">
        <v>0</v>
      </c>
      <c r="D466">
        <v>75</v>
      </c>
      <c r="E466">
        <v>2</v>
      </c>
      <c r="F466">
        <v>0</v>
      </c>
      <c r="G466">
        <v>0</v>
      </c>
      <c r="H466">
        <v>70</v>
      </c>
      <c r="I466">
        <v>80</v>
      </c>
    </row>
    <row r="467" spans="1:9">
      <c r="A467">
        <v>4.5</v>
      </c>
      <c r="B467">
        <v>450</v>
      </c>
      <c r="C467">
        <v>0</v>
      </c>
      <c r="D467">
        <v>75</v>
      </c>
      <c r="E467">
        <v>2.25</v>
      </c>
      <c r="F467">
        <v>0</v>
      </c>
      <c r="G467">
        <v>0</v>
      </c>
      <c r="H467">
        <v>70</v>
      </c>
      <c r="I467">
        <v>80</v>
      </c>
    </row>
    <row r="468" spans="1:9">
      <c r="A468">
        <v>5</v>
      </c>
      <c r="B468">
        <v>500</v>
      </c>
      <c r="C468">
        <v>0</v>
      </c>
      <c r="D468">
        <v>75</v>
      </c>
      <c r="E468">
        <v>2.5</v>
      </c>
      <c r="F468">
        <v>0</v>
      </c>
      <c r="G468">
        <v>0</v>
      </c>
      <c r="H468">
        <v>70</v>
      </c>
      <c r="I468">
        <v>80</v>
      </c>
    </row>
    <row r="469" spans="1:9">
      <c r="A469">
        <v>5.5</v>
      </c>
      <c r="B469">
        <v>550</v>
      </c>
      <c r="C469">
        <v>0</v>
      </c>
      <c r="D469">
        <v>75</v>
      </c>
      <c r="E469">
        <v>2.75</v>
      </c>
      <c r="F469">
        <v>0</v>
      </c>
      <c r="G469">
        <v>0</v>
      </c>
      <c r="H469">
        <v>70</v>
      </c>
      <c r="I469">
        <v>80</v>
      </c>
    </row>
    <row r="470" spans="1:9">
      <c r="A470">
        <v>6</v>
      </c>
      <c r="B470">
        <v>600</v>
      </c>
      <c r="C470">
        <v>0</v>
      </c>
      <c r="D470">
        <v>75</v>
      </c>
      <c r="E470">
        <v>3</v>
      </c>
      <c r="F470">
        <v>0</v>
      </c>
      <c r="G470">
        <v>0</v>
      </c>
      <c r="H470">
        <v>70</v>
      </c>
      <c r="I470">
        <v>80</v>
      </c>
    </row>
    <row r="471" spans="1:9">
      <c r="A471">
        <v>6.5</v>
      </c>
      <c r="B471">
        <v>650</v>
      </c>
      <c r="C471">
        <v>0</v>
      </c>
      <c r="D471">
        <v>75</v>
      </c>
      <c r="E471">
        <v>3.25</v>
      </c>
      <c r="F471">
        <v>0</v>
      </c>
      <c r="G471">
        <v>0</v>
      </c>
      <c r="H471">
        <v>70</v>
      </c>
      <c r="I471">
        <v>80</v>
      </c>
    </row>
    <row r="472" spans="1:9">
      <c r="A472">
        <v>7</v>
      </c>
      <c r="B472">
        <v>700</v>
      </c>
      <c r="C472">
        <v>0</v>
      </c>
      <c r="D472">
        <v>75</v>
      </c>
      <c r="E472">
        <v>3.5</v>
      </c>
      <c r="F472">
        <v>0</v>
      </c>
      <c r="G472">
        <v>0</v>
      </c>
      <c r="H472">
        <v>70</v>
      </c>
      <c r="I472">
        <v>80</v>
      </c>
    </row>
    <row r="473" spans="1:9">
      <c r="A473">
        <v>7.5</v>
      </c>
      <c r="B473">
        <v>750</v>
      </c>
      <c r="C473">
        <v>0</v>
      </c>
      <c r="D473">
        <v>75</v>
      </c>
      <c r="E473">
        <v>3.75</v>
      </c>
      <c r="F473">
        <v>0</v>
      </c>
      <c r="G473">
        <v>0</v>
      </c>
      <c r="H473">
        <v>70</v>
      </c>
      <c r="I473">
        <v>80</v>
      </c>
    </row>
    <row r="474" spans="1:9">
      <c r="A474">
        <v>8</v>
      </c>
      <c r="B474">
        <v>800</v>
      </c>
      <c r="C474">
        <v>0</v>
      </c>
      <c r="D474">
        <v>75</v>
      </c>
      <c r="E474">
        <v>4</v>
      </c>
      <c r="F474">
        <v>0</v>
      </c>
      <c r="G474">
        <v>0</v>
      </c>
      <c r="H474">
        <v>70</v>
      </c>
      <c r="I474">
        <v>80</v>
      </c>
    </row>
    <row r="475" spans="1:9">
      <c r="A475">
        <v>8.5</v>
      </c>
      <c r="B475">
        <v>850</v>
      </c>
      <c r="C475">
        <v>0</v>
      </c>
      <c r="D475">
        <v>75</v>
      </c>
      <c r="E475">
        <v>4.25</v>
      </c>
      <c r="F475">
        <v>0</v>
      </c>
      <c r="G475">
        <v>0</v>
      </c>
      <c r="H475">
        <v>70</v>
      </c>
      <c r="I475">
        <v>80</v>
      </c>
    </row>
    <row r="476" spans="1:9">
      <c r="A476">
        <v>9</v>
      </c>
      <c r="B476">
        <v>900</v>
      </c>
      <c r="C476">
        <v>0</v>
      </c>
      <c r="D476">
        <v>75</v>
      </c>
      <c r="E476">
        <v>4.5</v>
      </c>
      <c r="F476">
        <v>0</v>
      </c>
      <c r="G476">
        <v>0</v>
      </c>
      <c r="H476">
        <v>70</v>
      </c>
      <c r="I476">
        <v>80</v>
      </c>
    </row>
    <row r="477" spans="1:9">
      <c r="A477">
        <v>9.5</v>
      </c>
      <c r="B477">
        <v>950</v>
      </c>
      <c r="C477">
        <v>0</v>
      </c>
      <c r="D477">
        <v>75</v>
      </c>
      <c r="E477">
        <v>4.75</v>
      </c>
      <c r="F477">
        <v>0</v>
      </c>
      <c r="G477">
        <v>0</v>
      </c>
      <c r="H477">
        <v>70</v>
      </c>
      <c r="I477">
        <v>80</v>
      </c>
    </row>
    <row r="478" spans="1:9">
      <c r="A478">
        <v>10</v>
      </c>
      <c r="B478">
        <v>1000</v>
      </c>
      <c r="C478">
        <v>0</v>
      </c>
      <c r="D478">
        <v>75</v>
      </c>
      <c r="E478">
        <v>5</v>
      </c>
      <c r="F478">
        <v>0</v>
      </c>
      <c r="G478">
        <v>0</v>
      </c>
      <c r="H478">
        <v>70</v>
      </c>
      <c r="I478">
        <v>80</v>
      </c>
    </row>
    <row r="479" spans="1:9">
      <c r="A479">
        <v>10.5</v>
      </c>
      <c r="B479">
        <v>1050</v>
      </c>
      <c r="C479">
        <v>0</v>
      </c>
      <c r="D479">
        <v>75</v>
      </c>
      <c r="E479">
        <v>5.25</v>
      </c>
      <c r="F479">
        <v>0</v>
      </c>
      <c r="G479">
        <v>0</v>
      </c>
      <c r="H479">
        <v>70</v>
      </c>
      <c r="I479">
        <v>80</v>
      </c>
    </row>
    <row r="480" spans="1:9">
      <c r="A480">
        <v>11</v>
      </c>
      <c r="B480">
        <v>1100</v>
      </c>
      <c r="C480">
        <v>0</v>
      </c>
      <c r="D480">
        <v>75</v>
      </c>
      <c r="E480">
        <v>5.5</v>
      </c>
      <c r="F480">
        <v>0</v>
      </c>
      <c r="G480">
        <v>0</v>
      </c>
      <c r="H480">
        <v>70</v>
      </c>
      <c r="I480">
        <v>80</v>
      </c>
    </row>
    <row r="481" spans="1:9">
      <c r="A481">
        <v>11.5</v>
      </c>
      <c r="B481">
        <v>1150</v>
      </c>
      <c r="C481">
        <v>0</v>
      </c>
      <c r="D481">
        <v>75</v>
      </c>
      <c r="E481">
        <v>5.75</v>
      </c>
      <c r="F481">
        <v>0</v>
      </c>
      <c r="G481">
        <v>0</v>
      </c>
      <c r="H481">
        <v>70</v>
      </c>
      <c r="I481">
        <v>80</v>
      </c>
    </row>
    <row r="482" spans="1:9">
      <c r="A482">
        <v>12</v>
      </c>
      <c r="B482">
        <v>1200</v>
      </c>
      <c r="C482">
        <v>0</v>
      </c>
      <c r="D482">
        <v>75</v>
      </c>
      <c r="E482">
        <v>6</v>
      </c>
      <c r="F482">
        <v>0</v>
      </c>
      <c r="G482">
        <v>0</v>
      </c>
      <c r="H482">
        <v>70</v>
      </c>
      <c r="I482">
        <v>80</v>
      </c>
    </row>
    <row r="483" spans="1:9">
      <c r="A483">
        <v>12.5</v>
      </c>
      <c r="B483">
        <v>1250</v>
      </c>
      <c r="C483">
        <v>0</v>
      </c>
      <c r="D483">
        <v>75</v>
      </c>
      <c r="E483">
        <v>6.25</v>
      </c>
      <c r="F483">
        <v>0</v>
      </c>
      <c r="G483">
        <v>0</v>
      </c>
      <c r="H483">
        <v>70</v>
      </c>
      <c r="I483">
        <v>80</v>
      </c>
    </row>
    <row r="484" spans="1:9">
      <c r="A484">
        <v>13</v>
      </c>
      <c r="B484">
        <v>1300</v>
      </c>
      <c r="C484">
        <v>0</v>
      </c>
      <c r="D484">
        <v>75</v>
      </c>
      <c r="E484">
        <v>6.5</v>
      </c>
      <c r="F484">
        <v>0</v>
      </c>
      <c r="G484">
        <v>0</v>
      </c>
      <c r="H484">
        <v>70</v>
      </c>
      <c r="I484">
        <v>80</v>
      </c>
    </row>
    <row r="485" spans="1:9">
      <c r="A485">
        <v>13.5</v>
      </c>
      <c r="B485">
        <v>1350</v>
      </c>
      <c r="C485">
        <v>0</v>
      </c>
      <c r="D485">
        <v>75</v>
      </c>
      <c r="E485">
        <v>6.75</v>
      </c>
      <c r="F485">
        <v>0</v>
      </c>
      <c r="G485">
        <v>0</v>
      </c>
      <c r="H485">
        <v>70</v>
      </c>
      <c r="I485">
        <v>80</v>
      </c>
    </row>
    <row r="486" spans="1:9">
      <c r="A486">
        <v>14</v>
      </c>
      <c r="B486">
        <v>1400</v>
      </c>
      <c r="C486">
        <v>0</v>
      </c>
      <c r="D486">
        <v>75</v>
      </c>
      <c r="E486">
        <v>7</v>
      </c>
      <c r="F486">
        <v>0</v>
      </c>
      <c r="G486">
        <v>0</v>
      </c>
      <c r="H486">
        <v>70</v>
      </c>
      <c r="I486">
        <v>80</v>
      </c>
    </row>
    <row r="487" spans="1:9">
      <c r="A487">
        <v>14.5</v>
      </c>
      <c r="B487">
        <v>1450</v>
      </c>
      <c r="C487">
        <v>0</v>
      </c>
      <c r="D487">
        <v>75</v>
      </c>
      <c r="E487">
        <v>7.25</v>
      </c>
      <c r="F487">
        <v>0</v>
      </c>
      <c r="G487">
        <v>0</v>
      </c>
      <c r="H487">
        <v>70</v>
      </c>
      <c r="I487">
        <v>80</v>
      </c>
    </row>
    <row r="488" spans="1:9">
      <c r="A488">
        <v>15</v>
      </c>
      <c r="B488">
        <v>1500</v>
      </c>
      <c r="C488">
        <v>0</v>
      </c>
      <c r="D488">
        <v>75</v>
      </c>
      <c r="E488">
        <v>7.5</v>
      </c>
      <c r="F488">
        <v>0</v>
      </c>
      <c r="G488">
        <v>0</v>
      </c>
      <c r="H488">
        <v>70</v>
      </c>
      <c r="I488">
        <v>80</v>
      </c>
    </row>
    <row r="491" spans="1:9">
      <c r="A491" t="s">
        <v>20</v>
      </c>
      <c r="B491" t="s">
        <v>330</v>
      </c>
      <c r="C491" t="s">
        <v>286</v>
      </c>
      <c r="I491">
        <v>15</v>
      </c>
    </row>
    <row r="492" spans="1:9">
      <c r="A492" t="s">
        <v>0</v>
      </c>
      <c r="B492" t="s">
        <v>12</v>
      </c>
      <c r="C492" t="s">
        <v>13</v>
      </c>
      <c r="D492" t="s">
        <v>14</v>
      </c>
      <c r="E492" t="s">
        <v>15</v>
      </c>
      <c r="F492" t="s">
        <v>16</v>
      </c>
      <c r="G492" t="s">
        <v>17</v>
      </c>
      <c r="H492" t="s">
        <v>18</v>
      </c>
      <c r="I492" t="s">
        <v>19</v>
      </c>
    </row>
    <row r="493" spans="1:9">
      <c r="A493">
        <v>0</v>
      </c>
      <c r="B493">
        <v>0.01</v>
      </c>
      <c r="C493">
        <v>0</v>
      </c>
      <c r="D493">
        <v>75</v>
      </c>
      <c r="E493">
        <v>0</v>
      </c>
      <c r="F493">
        <v>10</v>
      </c>
      <c r="G493">
        <v>0</v>
      </c>
      <c r="H493">
        <v>70</v>
      </c>
      <c r="I493">
        <v>80</v>
      </c>
    </row>
    <row r="494" spans="1:9">
      <c r="A494">
        <v>0.5</v>
      </c>
      <c r="B494">
        <v>50</v>
      </c>
      <c r="C494">
        <v>0</v>
      </c>
      <c r="D494">
        <v>75</v>
      </c>
      <c r="E494">
        <v>0.25</v>
      </c>
      <c r="F494">
        <v>10</v>
      </c>
      <c r="G494">
        <v>0</v>
      </c>
      <c r="H494">
        <v>70</v>
      </c>
      <c r="I494">
        <v>80</v>
      </c>
    </row>
    <row r="495" spans="1:9">
      <c r="A495">
        <v>1</v>
      </c>
      <c r="B495">
        <v>100</v>
      </c>
      <c r="C495">
        <v>0</v>
      </c>
      <c r="D495">
        <v>75</v>
      </c>
      <c r="E495">
        <v>0.5</v>
      </c>
      <c r="F495">
        <v>10</v>
      </c>
      <c r="G495">
        <v>0</v>
      </c>
      <c r="H495">
        <v>70</v>
      </c>
      <c r="I495">
        <v>80</v>
      </c>
    </row>
    <row r="496" spans="1:9">
      <c r="A496">
        <v>1.5</v>
      </c>
      <c r="B496">
        <v>150</v>
      </c>
      <c r="C496">
        <v>0</v>
      </c>
      <c r="D496">
        <v>75</v>
      </c>
      <c r="E496">
        <v>0.75</v>
      </c>
      <c r="F496">
        <v>10</v>
      </c>
      <c r="G496">
        <v>0</v>
      </c>
      <c r="H496">
        <v>70</v>
      </c>
      <c r="I496">
        <v>80</v>
      </c>
    </row>
    <row r="497" spans="1:9">
      <c r="A497">
        <v>2</v>
      </c>
      <c r="B497">
        <v>200</v>
      </c>
      <c r="C497">
        <v>0</v>
      </c>
      <c r="D497">
        <v>75</v>
      </c>
      <c r="E497">
        <v>1</v>
      </c>
      <c r="F497">
        <v>10</v>
      </c>
      <c r="G497">
        <v>0</v>
      </c>
      <c r="H497">
        <v>70</v>
      </c>
      <c r="I497">
        <v>80</v>
      </c>
    </row>
    <row r="498" spans="1:9">
      <c r="A498">
        <v>2.5</v>
      </c>
      <c r="B498">
        <v>250</v>
      </c>
      <c r="C498">
        <v>0</v>
      </c>
      <c r="D498">
        <v>75</v>
      </c>
      <c r="E498">
        <v>1.25</v>
      </c>
      <c r="F498">
        <v>10</v>
      </c>
      <c r="G498">
        <v>0</v>
      </c>
      <c r="H498">
        <v>70</v>
      </c>
      <c r="I498">
        <v>80</v>
      </c>
    </row>
    <row r="499" spans="1:9">
      <c r="A499">
        <v>3</v>
      </c>
      <c r="B499">
        <v>300</v>
      </c>
      <c r="C499">
        <v>0</v>
      </c>
      <c r="D499">
        <v>75</v>
      </c>
      <c r="E499">
        <v>1.5</v>
      </c>
      <c r="F499">
        <v>10</v>
      </c>
      <c r="G499">
        <v>0</v>
      </c>
      <c r="H499">
        <v>70</v>
      </c>
      <c r="I499">
        <v>80</v>
      </c>
    </row>
    <row r="500" spans="1:9">
      <c r="A500">
        <v>3.5</v>
      </c>
      <c r="B500">
        <v>350</v>
      </c>
      <c r="C500">
        <v>0</v>
      </c>
      <c r="D500">
        <v>75</v>
      </c>
      <c r="E500">
        <v>1.75</v>
      </c>
      <c r="F500">
        <v>10</v>
      </c>
      <c r="G500">
        <v>0</v>
      </c>
      <c r="H500">
        <v>70</v>
      </c>
      <c r="I500">
        <v>80</v>
      </c>
    </row>
    <row r="501" spans="1:9">
      <c r="A501">
        <v>4</v>
      </c>
      <c r="B501">
        <v>400</v>
      </c>
      <c r="C501">
        <v>0</v>
      </c>
      <c r="D501">
        <v>75</v>
      </c>
      <c r="E501">
        <v>2</v>
      </c>
      <c r="F501">
        <v>10</v>
      </c>
      <c r="G501">
        <v>0</v>
      </c>
      <c r="H501">
        <v>70</v>
      </c>
      <c r="I501">
        <v>80</v>
      </c>
    </row>
    <row r="502" spans="1:9">
      <c r="A502">
        <v>4.5</v>
      </c>
      <c r="B502">
        <v>450</v>
      </c>
      <c r="C502">
        <v>0</v>
      </c>
      <c r="D502">
        <v>75</v>
      </c>
      <c r="E502">
        <v>2.25</v>
      </c>
      <c r="F502">
        <v>10</v>
      </c>
      <c r="G502">
        <v>0</v>
      </c>
      <c r="H502">
        <v>70</v>
      </c>
      <c r="I502">
        <v>80</v>
      </c>
    </row>
    <row r="503" spans="1:9">
      <c r="A503">
        <v>5</v>
      </c>
      <c r="B503">
        <v>500</v>
      </c>
      <c r="C503">
        <v>0</v>
      </c>
      <c r="D503">
        <v>75</v>
      </c>
      <c r="E503">
        <v>2.5</v>
      </c>
      <c r="F503">
        <v>10</v>
      </c>
      <c r="G503">
        <v>0</v>
      </c>
      <c r="H503">
        <v>70</v>
      </c>
      <c r="I503">
        <v>80</v>
      </c>
    </row>
    <row r="504" spans="1:9">
      <c r="A504">
        <v>5.5</v>
      </c>
      <c r="B504">
        <v>550</v>
      </c>
      <c r="C504">
        <v>0</v>
      </c>
      <c r="D504">
        <v>75</v>
      </c>
      <c r="E504">
        <v>2.75</v>
      </c>
      <c r="F504">
        <v>10</v>
      </c>
      <c r="G504">
        <v>0</v>
      </c>
      <c r="H504">
        <v>70</v>
      </c>
      <c r="I504">
        <v>80</v>
      </c>
    </row>
    <row r="505" spans="1:9">
      <c r="A505">
        <v>6</v>
      </c>
      <c r="B505">
        <v>600</v>
      </c>
      <c r="C505">
        <v>0</v>
      </c>
      <c r="D505">
        <v>75</v>
      </c>
      <c r="E505">
        <v>3</v>
      </c>
      <c r="F505">
        <v>10</v>
      </c>
      <c r="G505">
        <v>0</v>
      </c>
      <c r="H505">
        <v>70</v>
      </c>
      <c r="I505">
        <v>80</v>
      </c>
    </row>
    <row r="506" spans="1:9">
      <c r="A506">
        <v>6.5</v>
      </c>
      <c r="B506">
        <v>650</v>
      </c>
      <c r="C506">
        <v>0</v>
      </c>
      <c r="D506">
        <v>75</v>
      </c>
      <c r="E506">
        <v>3.25</v>
      </c>
      <c r="F506">
        <v>10</v>
      </c>
      <c r="G506">
        <v>0</v>
      </c>
      <c r="H506">
        <v>70</v>
      </c>
      <c r="I506">
        <v>80</v>
      </c>
    </row>
    <row r="507" spans="1:9">
      <c r="A507">
        <v>7</v>
      </c>
      <c r="B507">
        <v>700</v>
      </c>
      <c r="C507">
        <v>0</v>
      </c>
      <c r="D507">
        <v>75</v>
      </c>
      <c r="E507">
        <v>3.5</v>
      </c>
      <c r="F507">
        <v>10</v>
      </c>
      <c r="G507">
        <v>0</v>
      </c>
      <c r="H507">
        <v>70</v>
      </c>
      <c r="I507">
        <v>80</v>
      </c>
    </row>
    <row r="508" spans="1:9">
      <c r="A508">
        <v>7.5</v>
      </c>
      <c r="B508">
        <v>750</v>
      </c>
      <c r="C508">
        <v>0</v>
      </c>
      <c r="D508">
        <v>75</v>
      </c>
      <c r="E508">
        <v>3.75</v>
      </c>
      <c r="F508">
        <v>10</v>
      </c>
      <c r="G508">
        <v>0</v>
      </c>
      <c r="H508">
        <v>70</v>
      </c>
      <c r="I508">
        <v>80</v>
      </c>
    </row>
    <row r="509" spans="1:9">
      <c r="A509">
        <v>8</v>
      </c>
      <c r="B509">
        <v>800</v>
      </c>
      <c r="C509">
        <v>0</v>
      </c>
      <c r="D509">
        <v>75</v>
      </c>
      <c r="E509">
        <v>4</v>
      </c>
      <c r="F509">
        <v>10</v>
      </c>
      <c r="G509">
        <v>0</v>
      </c>
      <c r="H509">
        <v>70</v>
      </c>
      <c r="I509">
        <v>80</v>
      </c>
    </row>
    <row r="510" spans="1:9">
      <c r="A510">
        <v>8.5</v>
      </c>
      <c r="B510">
        <v>850</v>
      </c>
      <c r="C510">
        <v>0</v>
      </c>
      <c r="D510">
        <v>75</v>
      </c>
      <c r="E510">
        <v>4.25</v>
      </c>
      <c r="F510">
        <v>10</v>
      </c>
      <c r="G510">
        <v>0</v>
      </c>
      <c r="H510">
        <v>70</v>
      </c>
      <c r="I510">
        <v>80</v>
      </c>
    </row>
    <row r="511" spans="1:9">
      <c r="A511">
        <v>9</v>
      </c>
      <c r="B511">
        <v>900</v>
      </c>
      <c r="C511">
        <v>0</v>
      </c>
      <c r="D511">
        <v>75</v>
      </c>
      <c r="E511">
        <v>4.5</v>
      </c>
      <c r="F511">
        <v>10</v>
      </c>
      <c r="G511">
        <v>0</v>
      </c>
      <c r="H511">
        <v>70</v>
      </c>
      <c r="I511">
        <v>80</v>
      </c>
    </row>
    <row r="512" spans="1:9">
      <c r="A512">
        <v>9.5</v>
      </c>
      <c r="B512">
        <v>950</v>
      </c>
      <c r="C512">
        <v>0</v>
      </c>
      <c r="D512">
        <v>75</v>
      </c>
      <c r="E512">
        <v>4.75</v>
      </c>
      <c r="F512">
        <v>10</v>
      </c>
      <c r="G512">
        <v>0</v>
      </c>
      <c r="H512">
        <v>70</v>
      </c>
      <c r="I512">
        <v>80</v>
      </c>
    </row>
    <row r="513" spans="1:9">
      <c r="A513">
        <v>10</v>
      </c>
      <c r="B513">
        <v>1000</v>
      </c>
      <c r="C513">
        <v>0</v>
      </c>
      <c r="D513">
        <v>75</v>
      </c>
      <c r="E513">
        <v>5</v>
      </c>
      <c r="F513">
        <v>10</v>
      </c>
      <c r="G513">
        <v>0</v>
      </c>
      <c r="H513">
        <v>70</v>
      </c>
      <c r="I513">
        <v>80</v>
      </c>
    </row>
    <row r="514" spans="1:9">
      <c r="A514">
        <v>10.5</v>
      </c>
      <c r="B514">
        <v>1050</v>
      </c>
      <c r="C514">
        <v>0</v>
      </c>
      <c r="D514">
        <v>75</v>
      </c>
      <c r="E514">
        <v>5.25</v>
      </c>
      <c r="F514">
        <v>10</v>
      </c>
      <c r="G514">
        <v>0</v>
      </c>
      <c r="H514">
        <v>70</v>
      </c>
      <c r="I514">
        <v>80</v>
      </c>
    </row>
    <row r="515" spans="1:9">
      <c r="A515">
        <v>11</v>
      </c>
      <c r="B515">
        <v>1100</v>
      </c>
      <c r="C515">
        <v>0</v>
      </c>
      <c r="D515">
        <v>75</v>
      </c>
      <c r="E515">
        <v>5.5</v>
      </c>
      <c r="F515">
        <v>10</v>
      </c>
      <c r="G515">
        <v>0</v>
      </c>
      <c r="H515">
        <v>70</v>
      </c>
      <c r="I515">
        <v>80</v>
      </c>
    </row>
    <row r="516" spans="1:9">
      <c r="A516">
        <v>11.5</v>
      </c>
      <c r="B516">
        <v>1150</v>
      </c>
      <c r="C516">
        <v>0</v>
      </c>
      <c r="D516">
        <v>75</v>
      </c>
      <c r="E516">
        <v>5.75</v>
      </c>
      <c r="F516">
        <v>10</v>
      </c>
      <c r="G516">
        <v>0</v>
      </c>
      <c r="H516">
        <v>70</v>
      </c>
      <c r="I516">
        <v>80</v>
      </c>
    </row>
    <row r="517" spans="1:9">
      <c r="A517">
        <v>12</v>
      </c>
      <c r="B517">
        <v>1200</v>
      </c>
      <c r="C517">
        <v>0</v>
      </c>
      <c r="D517">
        <v>75</v>
      </c>
      <c r="E517">
        <v>6</v>
      </c>
      <c r="F517">
        <v>10</v>
      </c>
      <c r="G517">
        <v>0</v>
      </c>
      <c r="H517">
        <v>70</v>
      </c>
      <c r="I517">
        <v>80</v>
      </c>
    </row>
    <row r="518" spans="1:9">
      <c r="A518">
        <v>12.5</v>
      </c>
      <c r="B518">
        <v>1250</v>
      </c>
      <c r="C518">
        <v>0</v>
      </c>
      <c r="D518">
        <v>75</v>
      </c>
      <c r="E518">
        <v>6.25</v>
      </c>
      <c r="F518">
        <v>10</v>
      </c>
      <c r="G518">
        <v>0</v>
      </c>
      <c r="H518">
        <v>70</v>
      </c>
      <c r="I518">
        <v>80</v>
      </c>
    </row>
    <row r="519" spans="1:9">
      <c r="A519">
        <v>13</v>
      </c>
      <c r="B519">
        <v>1300</v>
      </c>
      <c r="C519">
        <v>0</v>
      </c>
      <c r="D519">
        <v>75</v>
      </c>
      <c r="E519">
        <v>6.5</v>
      </c>
      <c r="F519">
        <v>10</v>
      </c>
      <c r="G519">
        <v>0</v>
      </c>
      <c r="H519">
        <v>70</v>
      </c>
      <c r="I519">
        <v>80</v>
      </c>
    </row>
    <row r="520" spans="1:9">
      <c r="A520">
        <v>13.5</v>
      </c>
      <c r="B520">
        <v>1350</v>
      </c>
      <c r="C520">
        <v>0</v>
      </c>
      <c r="D520">
        <v>75</v>
      </c>
      <c r="E520">
        <v>6.75</v>
      </c>
      <c r="F520">
        <v>10</v>
      </c>
      <c r="G520">
        <v>0</v>
      </c>
      <c r="H520">
        <v>70</v>
      </c>
      <c r="I520">
        <v>80</v>
      </c>
    </row>
    <row r="521" spans="1:9">
      <c r="A521">
        <v>14</v>
      </c>
      <c r="B521">
        <v>1400</v>
      </c>
      <c r="C521">
        <v>0</v>
      </c>
      <c r="D521">
        <v>75</v>
      </c>
      <c r="E521">
        <v>7</v>
      </c>
      <c r="F521">
        <v>10</v>
      </c>
      <c r="G521">
        <v>0</v>
      </c>
      <c r="H521">
        <v>70</v>
      </c>
      <c r="I521">
        <v>80</v>
      </c>
    </row>
    <row r="522" spans="1:9">
      <c r="A522">
        <v>14.5</v>
      </c>
      <c r="B522">
        <v>1450</v>
      </c>
      <c r="C522">
        <v>0</v>
      </c>
      <c r="D522">
        <v>75</v>
      </c>
      <c r="E522">
        <v>7.25</v>
      </c>
      <c r="F522">
        <v>10</v>
      </c>
      <c r="G522">
        <v>0</v>
      </c>
      <c r="H522">
        <v>70</v>
      </c>
      <c r="I522">
        <v>80</v>
      </c>
    </row>
    <row r="523" spans="1:9">
      <c r="A523">
        <v>15</v>
      </c>
      <c r="B523">
        <v>1500</v>
      </c>
      <c r="C523">
        <v>0</v>
      </c>
      <c r="D523">
        <v>75</v>
      </c>
      <c r="E523">
        <v>7.5</v>
      </c>
      <c r="F523">
        <v>10</v>
      </c>
      <c r="G523">
        <v>0</v>
      </c>
      <c r="H523">
        <v>70</v>
      </c>
      <c r="I523">
        <v>80</v>
      </c>
    </row>
    <row r="526" spans="1:9">
      <c r="A526" t="s">
        <v>20</v>
      </c>
      <c r="B526" t="s">
        <v>330</v>
      </c>
      <c r="C526" t="s">
        <v>287</v>
      </c>
      <c r="I526">
        <v>16</v>
      </c>
    </row>
    <row r="527" spans="1:9">
      <c r="A527" t="s">
        <v>0</v>
      </c>
      <c r="B527" t="s">
        <v>12</v>
      </c>
      <c r="C527" t="s">
        <v>13</v>
      </c>
      <c r="D527" t="s">
        <v>14</v>
      </c>
      <c r="E527" t="s">
        <v>15</v>
      </c>
      <c r="F527" t="s">
        <v>16</v>
      </c>
      <c r="G527" t="s">
        <v>17</v>
      </c>
      <c r="H527" t="s">
        <v>18</v>
      </c>
      <c r="I527" t="s">
        <v>19</v>
      </c>
    </row>
    <row r="528" spans="1:9">
      <c r="A528">
        <v>0</v>
      </c>
      <c r="B528">
        <v>0.01</v>
      </c>
      <c r="C528">
        <v>0</v>
      </c>
      <c r="D528">
        <v>85</v>
      </c>
      <c r="E528">
        <v>0</v>
      </c>
      <c r="F528">
        <v>0</v>
      </c>
      <c r="G528">
        <v>0</v>
      </c>
      <c r="H528">
        <v>80</v>
      </c>
      <c r="I528">
        <v>90</v>
      </c>
    </row>
    <row r="529" spans="1:9">
      <c r="A529">
        <v>0.5</v>
      </c>
      <c r="B529">
        <v>50</v>
      </c>
      <c r="C529">
        <v>0</v>
      </c>
      <c r="D529">
        <v>85</v>
      </c>
      <c r="E529">
        <v>0.25</v>
      </c>
      <c r="F529">
        <v>0</v>
      </c>
      <c r="G529">
        <v>0</v>
      </c>
      <c r="H529">
        <v>80</v>
      </c>
      <c r="I529">
        <v>90</v>
      </c>
    </row>
    <row r="530" spans="1:9">
      <c r="A530">
        <v>1</v>
      </c>
      <c r="B530">
        <v>100</v>
      </c>
      <c r="C530">
        <v>0</v>
      </c>
      <c r="D530">
        <v>85</v>
      </c>
      <c r="E530">
        <v>0.5</v>
      </c>
      <c r="F530">
        <v>0</v>
      </c>
      <c r="G530">
        <v>0</v>
      </c>
      <c r="H530">
        <v>80</v>
      </c>
      <c r="I530">
        <v>90</v>
      </c>
    </row>
    <row r="531" spans="1:9">
      <c r="A531">
        <v>1.5</v>
      </c>
      <c r="B531">
        <v>150</v>
      </c>
      <c r="C531">
        <v>0</v>
      </c>
      <c r="D531">
        <v>85</v>
      </c>
      <c r="E531">
        <v>0.75</v>
      </c>
      <c r="F531">
        <v>0</v>
      </c>
      <c r="G531">
        <v>0</v>
      </c>
      <c r="H531">
        <v>80</v>
      </c>
      <c r="I531">
        <v>90</v>
      </c>
    </row>
    <row r="532" spans="1:9">
      <c r="A532">
        <v>2</v>
      </c>
      <c r="B532">
        <v>200</v>
      </c>
      <c r="C532">
        <v>0</v>
      </c>
      <c r="D532">
        <v>85</v>
      </c>
      <c r="E532">
        <v>1</v>
      </c>
      <c r="F532">
        <v>0</v>
      </c>
      <c r="G532">
        <v>0</v>
      </c>
      <c r="H532">
        <v>80</v>
      </c>
      <c r="I532">
        <v>90</v>
      </c>
    </row>
    <row r="533" spans="1:9">
      <c r="A533">
        <v>2.5</v>
      </c>
      <c r="B533">
        <v>250</v>
      </c>
      <c r="C533">
        <v>0</v>
      </c>
      <c r="D533">
        <v>85</v>
      </c>
      <c r="E533">
        <v>1.25</v>
      </c>
      <c r="F533">
        <v>0</v>
      </c>
      <c r="G533">
        <v>0</v>
      </c>
      <c r="H533">
        <v>80</v>
      </c>
      <c r="I533">
        <v>90</v>
      </c>
    </row>
    <row r="534" spans="1:9">
      <c r="A534">
        <v>3</v>
      </c>
      <c r="B534">
        <v>300</v>
      </c>
      <c r="C534">
        <v>0</v>
      </c>
      <c r="D534">
        <v>85</v>
      </c>
      <c r="E534">
        <v>1.5</v>
      </c>
      <c r="F534">
        <v>0</v>
      </c>
      <c r="G534">
        <v>0</v>
      </c>
      <c r="H534">
        <v>80</v>
      </c>
      <c r="I534">
        <v>90</v>
      </c>
    </row>
    <row r="535" spans="1:9">
      <c r="A535">
        <v>3.5</v>
      </c>
      <c r="B535">
        <v>350</v>
      </c>
      <c r="C535">
        <v>0</v>
      </c>
      <c r="D535">
        <v>85</v>
      </c>
      <c r="E535">
        <v>1.75</v>
      </c>
      <c r="F535">
        <v>0</v>
      </c>
      <c r="G535">
        <v>0</v>
      </c>
      <c r="H535">
        <v>80</v>
      </c>
      <c r="I535">
        <v>90</v>
      </c>
    </row>
    <row r="536" spans="1:9">
      <c r="A536">
        <v>4</v>
      </c>
      <c r="B536">
        <v>400</v>
      </c>
      <c r="C536">
        <v>0</v>
      </c>
      <c r="D536">
        <v>85</v>
      </c>
      <c r="E536">
        <v>2</v>
      </c>
      <c r="F536">
        <v>0</v>
      </c>
      <c r="G536">
        <v>0</v>
      </c>
      <c r="H536">
        <v>80</v>
      </c>
      <c r="I536">
        <v>90</v>
      </c>
    </row>
    <row r="537" spans="1:9">
      <c r="A537">
        <v>4.5</v>
      </c>
      <c r="B537">
        <v>450</v>
      </c>
      <c r="C537">
        <v>0</v>
      </c>
      <c r="D537">
        <v>85</v>
      </c>
      <c r="E537">
        <v>2.25</v>
      </c>
      <c r="F537">
        <v>0</v>
      </c>
      <c r="G537">
        <v>0</v>
      </c>
      <c r="H537">
        <v>80</v>
      </c>
      <c r="I537">
        <v>90</v>
      </c>
    </row>
    <row r="538" spans="1:9">
      <c r="A538">
        <v>5</v>
      </c>
      <c r="B538">
        <v>500</v>
      </c>
      <c r="C538">
        <v>0</v>
      </c>
      <c r="D538">
        <v>85</v>
      </c>
      <c r="E538">
        <v>2.5</v>
      </c>
      <c r="F538">
        <v>0</v>
      </c>
      <c r="G538">
        <v>0</v>
      </c>
      <c r="H538">
        <v>80</v>
      </c>
      <c r="I538">
        <v>90</v>
      </c>
    </row>
    <row r="539" spans="1:9">
      <c r="A539">
        <v>5.5</v>
      </c>
      <c r="B539">
        <v>550</v>
      </c>
      <c r="C539">
        <v>0</v>
      </c>
      <c r="D539">
        <v>85</v>
      </c>
      <c r="E539">
        <v>2.75</v>
      </c>
      <c r="F539">
        <v>0</v>
      </c>
      <c r="G539">
        <v>0</v>
      </c>
      <c r="H539">
        <v>80</v>
      </c>
      <c r="I539">
        <v>90</v>
      </c>
    </row>
    <row r="540" spans="1:9">
      <c r="A540">
        <v>6</v>
      </c>
      <c r="B540">
        <v>600</v>
      </c>
      <c r="C540">
        <v>0</v>
      </c>
      <c r="D540">
        <v>85</v>
      </c>
      <c r="E540">
        <v>3</v>
      </c>
      <c r="F540">
        <v>0</v>
      </c>
      <c r="G540">
        <v>0</v>
      </c>
      <c r="H540">
        <v>80</v>
      </c>
      <c r="I540">
        <v>90</v>
      </c>
    </row>
    <row r="541" spans="1:9">
      <c r="A541">
        <v>6.5</v>
      </c>
      <c r="B541">
        <v>650</v>
      </c>
      <c r="C541">
        <v>0</v>
      </c>
      <c r="D541">
        <v>85</v>
      </c>
      <c r="E541">
        <v>3.25</v>
      </c>
      <c r="F541">
        <v>0</v>
      </c>
      <c r="G541">
        <v>0</v>
      </c>
      <c r="H541">
        <v>80</v>
      </c>
      <c r="I541">
        <v>90</v>
      </c>
    </row>
    <row r="542" spans="1:9">
      <c r="A542">
        <v>7</v>
      </c>
      <c r="B542">
        <v>700</v>
      </c>
      <c r="C542">
        <v>0</v>
      </c>
      <c r="D542">
        <v>85</v>
      </c>
      <c r="E542">
        <v>3.5</v>
      </c>
      <c r="F542">
        <v>0</v>
      </c>
      <c r="G542">
        <v>0</v>
      </c>
      <c r="H542">
        <v>80</v>
      </c>
      <c r="I542">
        <v>90</v>
      </c>
    </row>
    <row r="543" spans="1:9">
      <c r="A543">
        <v>7.5</v>
      </c>
      <c r="B543">
        <v>750</v>
      </c>
      <c r="C543">
        <v>0</v>
      </c>
      <c r="D543">
        <v>85</v>
      </c>
      <c r="E543">
        <v>3.75</v>
      </c>
      <c r="F543">
        <v>0</v>
      </c>
      <c r="G543">
        <v>0</v>
      </c>
      <c r="H543">
        <v>80</v>
      </c>
      <c r="I543">
        <v>90</v>
      </c>
    </row>
    <row r="544" spans="1:9">
      <c r="A544">
        <v>8</v>
      </c>
      <c r="B544">
        <v>800</v>
      </c>
      <c r="C544">
        <v>0</v>
      </c>
      <c r="D544">
        <v>85</v>
      </c>
      <c r="E544">
        <v>4</v>
      </c>
      <c r="F544">
        <v>0</v>
      </c>
      <c r="G544">
        <v>0</v>
      </c>
      <c r="H544">
        <v>80</v>
      </c>
      <c r="I544">
        <v>90</v>
      </c>
    </row>
    <row r="545" spans="1:9">
      <c r="A545">
        <v>8.5</v>
      </c>
      <c r="B545">
        <v>850</v>
      </c>
      <c r="C545">
        <v>0</v>
      </c>
      <c r="D545">
        <v>85</v>
      </c>
      <c r="E545">
        <v>4.25</v>
      </c>
      <c r="F545">
        <v>0</v>
      </c>
      <c r="G545">
        <v>0</v>
      </c>
      <c r="H545">
        <v>80</v>
      </c>
      <c r="I545">
        <v>90</v>
      </c>
    </row>
    <row r="546" spans="1:9">
      <c r="A546">
        <v>9</v>
      </c>
      <c r="B546">
        <v>900</v>
      </c>
      <c r="C546">
        <v>0</v>
      </c>
      <c r="D546">
        <v>85</v>
      </c>
      <c r="E546">
        <v>4.5</v>
      </c>
      <c r="F546">
        <v>0</v>
      </c>
      <c r="G546">
        <v>0</v>
      </c>
      <c r="H546">
        <v>80</v>
      </c>
      <c r="I546">
        <v>90</v>
      </c>
    </row>
    <row r="547" spans="1:9">
      <c r="A547">
        <v>9.5</v>
      </c>
      <c r="B547">
        <v>950</v>
      </c>
      <c r="C547">
        <v>0</v>
      </c>
      <c r="D547">
        <v>85</v>
      </c>
      <c r="E547">
        <v>4.75</v>
      </c>
      <c r="F547">
        <v>0</v>
      </c>
      <c r="G547">
        <v>0</v>
      </c>
      <c r="H547">
        <v>80</v>
      </c>
      <c r="I547">
        <v>90</v>
      </c>
    </row>
    <row r="548" spans="1:9">
      <c r="A548">
        <v>10</v>
      </c>
      <c r="B548">
        <v>1000</v>
      </c>
      <c r="C548">
        <v>0</v>
      </c>
      <c r="D548">
        <v>85</v>
      </c>
      <c r="E548">
        <v>5</v>
      </c>
      <c r="F548">
        <v>0</v>
      </c>
      <c r="G548">
        <v>0</v>
      </c>
      <c r="H548">
        <v>80</v>
      </c>
      <c r="I548">
        <v>90</v>
      </c>
    </row>
    <row r="549" spans="1:9">
      <c r="A549">
        <v>10.5</v>
      </c>
      <c r="B549">
        <v>1050</v>
      </c>
      <c r="C549">
        <v>0</v>
      </c>
      <c r="D549">
        <v>85</v>
      </c>
      <c r="E549">
        <v>5.25</v>
      </c>
      <c r="F549">
        <v>0</v>
      </c>
      <c r="G549">
        <v>0</v>
      </c>
      <c r="H549">
        <v>80</v>
      </c>
      <c r="I549">
        <v>90</v>
      </c>
    </row>
    <row r="550" spans="1:9">
      <c r="A550">
        <v>11</v>
      </c>
      <c r="B550">
        <v>1100</v>
      </c>
      <c r="C550">
        <v>0</v>
      </c>
      <c r="D550">
        <v>85</v>
      </c>
      <c r="E550">
        <v>5.5</v>
      </c>
      <c r="F550">
        <v>0</v>
      </c>
      <c r="G550">
        <v>0</v>
      </c>
      <c r="H550">
        <v>80</v>
      </c>
      <c r="I550">
        <v>90</v>
      </c>
    </row>
    <row r="551" spans="1:9">
      <c r="A551">
        <v>11.5</v>
      </c>
      <c r="B551">
        <v>1150</v>
      </c>
      <c r="C551">
        <v>0</v>
      </c>
      <c r="D551">
        <v>85</v>
      </c>
      <c r="E551">
        <v>5.75</v>
      </c>
      <c r="F551">
        <v>0</v>
      </c>
      <c r="G551">
        <v>0</v>
      </c>
      <c r="H551">
        <v>80</v>
      </c>
      <c r="I551">
        <v>90</v>
      </c>
    </row>
    <row r="552" spans="1:9">
      <c r="A552">
        <v>12</v>
      </c>
      <c r="B552">
        <v>1200</v>
      </c>
      <c r="C552">
        <v>0</v>
      </c>
      <c r="D552">
        <v>85</v>
      </c>
      <c r="E552">
        <v>6</v>
      </c>
      <c r="F552">
        <v>0</v>
      </c>
      <c r="G552">
        <v>0</v>
      </c>
      <c r="H552">
        <v>80</v>
      </c>
      <c r="I552">
        <v>90</v>
      </c>
    </row>
    <row r="553" spans="1:9">
      <c r="A553">
        <v>12.5</v>
      </c>
      <c r="B553">
        <v>1250</v>
      </c>
      <c r="C553">
        <v>0</v>
      </c>
      <c r="D553">
        <v>85</v>
      </c>
      <c r="E553">
        <v>6.25</v>
      </c>
      <c r="F553">
        <v>0</v>
      </c>
      <c r="G553">
        <v>0</v>
      </c>
      <c r="H553">
        <v>80</v>
      </c>
      <c r="I553">
        <v>90</v>
      </c>
    </row>
    <row r="554" spans="1:9">
      <c r="A554">
        <v>13</v>
      </c>
      <c r="B554">
        <v>1300</v>
      </c>
      <c r="C554">
        <v>0</v>
      </c>
      <c r="D554">
        <v>85</v>
      </c>
      <c r="E554">
        <v>6.5</v>
      </c>
      <c r="F554">
        <v>0</v>
      </c>
      <c r="G554">
        <v>0</v>
      </c>
      <c r="H554">
        <v>80</v>
      </c>
      <c r="I554">
        <v>90</v>
      </c>
    </row>
    <row r="555" spans="1:9">
      <c r="A555">
        <v>13.5</v>
      </c>
      <c r="B555">
        <v>1350</v>
      </c>
      <c r="C555">
        <v>0</v>
      </c>
      <c r="D555">
        <v>85</v>
      </c>
      <c r="E555">
        <v>6.75</v>
      </c>
      <c r="F555">
        <v>0</v>
      </c>
      <c r="G555">
        <v>0</v>
      </c>
      <c r="H555">
        <v>80</v>
      </c>
      <c r="I555">
        <v>90</v>
      </c>
    </row>
    <row r="556" spans="1:9">
      <c r="A556">
        <v>14</v>
      </c>
      <c r="B556">
        <v>1400</v>
      </c>
      <c r="C556">
        <v>0</v>
      </c>
      <c r="D556">
        <v>85</v>
      </c>
      <c r="E556">
        <v>7</v>
      </c>
      <c r="F556">
        <v>0</v>
      </c>
      <c r="G556">
        <v>0</v>
      </c>
      <c r="H556">
        <v>80</v>
      </c>
      <c r="I556">
        <v>90</v>
      </c>
    </row>
    <row r="557" spans="1:9">
      <c r="A557">
        <v>14.5</v>
      </c>
      <c r="B557">
        <v>1450</v>
      </c>
      <c r="C557">
        <v>0</v>
      </c>
      <c r="D557">
        <v>85</v>
      </c>
      <c r="E557">
        <v>7.25</v>
      </c>
      <c r="F557">
        <v>0</v>
      </c>
      <c r="G557">
        <v>0</v>
      </c>
      <c r="H557">
        <v>80</v>
      </c>
      <c r="I557">
        <v>90</v>
      </c>
    </row>
    <row r="558" spans="1:9">
      <c r="A558">
        <v>15</v>
      </c>
      <c r="B558">
        <v>1500</v>
      </c>
      <c r="C558">
        <v>0</v>
      </c>
      <c r="D558">
        <v>85</v>
      </c>
      <c r="E558">
        <v>7.5</v>
      </c>
      <c r="F558">
        <v>0</v>
      </c>
      <c r="G558">
        <v>0</v>
      </c>
      <c r="H558">
        <v>80</v>
      </c>
      <c r="I558">
        <v>90</v>
      </c>
    </row>
    <row r="561" spans="1:9">
      <c r="A561" t="s">
        <v>20</v>
      </c>
      <c r="B561" t="s">
        <v>330</v>
      </c>
      <c r="C561" t="s">
        <v>288</v>
      </c>
      <c r="I561">
        <v>17</v>
      </c>
    </row>
    <row r="562" spans="1:9">
      <c r="A562" t="s">
        <v>0</v>
      </c>
      <c r="B562" t="s">
        <v>12</v>
      </c>
      <c r="C562" t="s">
        <v>13</v>
      </c>
      <c r="D562" t="s">
        <v>14</v>
      </c>
      <c r="E562" t="s">
        <v>15</v>
      </c>
      <c r="F562" t="s">
        <v>16</v>
      </c>
      <c r="G562" t="s">
        <v>17</v>
      </c>
      <c r="H562" t="s">
        <v>18</v>
      </c>
      <c r="I562" t="s">
        <v>19</v>
      </c>
    </row>
    <row r="563" spans="1:9">
      <c r="A563">
        <v>0</v>
      </c>
      <c r="B563">
        <v>0.01</v>
      </c>
      <c r="C563">
        <v>0</v>
      </c>
      <c r="D563">
        <v>85</v>
      </c>
      <c r="E563">
        <v>0</v>
      </c>
      <c r="F563">
        <v>10</v>
      </c>
      <c r="G563">
        <v>0</v>
      </c>
      <c r="H563">
        <v>80</v>
      </c>
      <c r="I563">
        <v>90</v>
      </c>
    </row>
    <row r="564" spans="1:9">
      <c r="A564">
        <v>0.5</v>
      </c>
      <c r="B564">
        <v>50</v>
      </c>
      <c r="C564">
        <v>0</v>
      </c>
      <c r="D564">
        <v>85</v>
      </c>
      <c r="E564">
        <v>0.25</v>
      </c>
      <c r="F564">
        <v>10</v>
      </c>
      <c r="G564">
        <v>0</v>
      </c>
      <c r="H564">
        <v>80</v>
      </c>
      <c r="I564">
        <v>90</v>
      </c>
    </row>
    <row r="565" spans="1:9">
      <c r="A565">
        <v>1</v>
      </c>
      <c r="B565">
        <v>100</v>
      </c>
      <c r="C565">
        <v>0</v>
      </c>
      <c r="D565">
        <v>85</v>
      </c>
      <c r="E565">
        <v>0.5</v>
      </c>
      <c r="F565">
        <v>10</v>
      </c>
      <c r="G565">
        <v>0</v>
      </c>
      <c r="H565">
        <v>80</v>
      </c>
      <c r="I565">
        <v>90</v>
      </c>
    </row>
    <row r="566" spans="1:9">
      <c r="A566">
        <v>1.5</v>
      </c>
      <c r="B566">
        <v>150</v>
      </c>
      <c r="C566">
        <v>0</v>
      </c>
      <c r="D566">
        <v>85</v>
      </c>
      <c r="E566">
        <v>0.75</v>
      </c>
      <c r="F566">
        <v>10</v>
      </c>
      <c r="G566">
        <v>0</v>
      </c>
      <c r="H566">
        <v>80</v>
      </c>
      <c r="I566">
        <v>90</v>
      </c>
    </row>
    <row r="567" spans="1:9">
      <c r="A567">
        <v>2</v>
      </c>
      <c r="B567">
        <v>200</v>
      </c>
      <c r="C567">
        <v>0</v>
      </c>
      <c r="D567">
        <v>85</v>
      </c>
      <c r="E567">
        <v>1</v>
      </c>
      <c r="F567">
        <v>10</v>
      </c>
      <c r="G567">
        <v>0</v>
      </c>
      <c r="H567">
        <v>80</v>
      </c>
      <c r="I567">
        <v>90</v>
      </c>
    </row>
    <row r="568" spans="1:9">
      <c r="A568">
        <v>2.5</v>
      </c>
      <c r="B568">
        <v>250</v>
      </c>
      <c r="C568">
        <v>0</v>
      </c>
      <c r="D568">
        <v>85</v>
      </c>
      <c r="E568">
        <v>1.25</v>
      </c>
      <c r="F568">
        <v>10</v>
      </c>
      <c r="G568">
        <v>0</v>
      </c>
      <c r="H568">
        <v>80</v>
      </c>
      <c r="I568">
        <v>90</v>
      </c>
    </row>
    <row r="569" spans="1:9">
      <c r="A569">
        <v>3</v>
      </c>
      <c r="B569">
        <v>300</v>
      </c>
      <c r="C569">
        <v>0</v>
      </c>
      <c r="D569">
        <v>85</v>
      </c>
      <c r="E569">
        <v>1.5</v>
      </c>
      <c r="F569">
        <v>10</v>
      </c>
      <c r="G569">
        <v>0</v>
      </c>
      <c r="H569">
        <v>80</v>
      </c>
      <c r="I569">
        <v>90</v>
      </c>
    </row>
    <row r="570" spans="1:9">
      <c r="A570">
        <v>3.5</v>
      </c>
      <c r="B570">
        <v>350</v>
      </c>
      <c r="C570">
        <v>0</v>
      </c>
      <c r="D570">
        <v>85</v>
      </c>
      <c r="E570">
        <v>1.75</v>
      </c>
      <c r="F570">
        <v>10</v>
      </c>
      <c r="G570">
        <v>0</v>
      </c>
      <c r="H570">
        <v>80</v>
      </c>
      <c r="I570">
        <v>90</v>
      </c>
    </row>
    <row r="571" spans="1:9">
      <c r="A571">
        <v>4</v>
      </c>
      <c r="B571">
        <v>400</v>
      </c>
      <c r="C571">
        <v>0</v>
      </c>
      <c r="D571">
        <v>85</v>
      </c>
      <c r="E571">
        <v>2</v>
      </c>
      <c r="F571">
        <v>10</v>
      </c>
      <c r="G571">
        <v>0</v>
      </c>
      <c r="H571">
        <v>80</v>
      </c>
      <c r="I571">
        <v>90</v>
      </c>
    </row>
    <row r="572" spans="1:9">
      <c r="A572">
        <v>4.5</v>
      </c>
      <c r="B572">
        <v>450</v>
      </c>
      <c r="C572">
        <v>0</v>
      </c>
      <c r="D572">
        <v>85</v>
      </c>
      <c r="E572">
        <v>2.25</v>
      </c>
      <c r="F572">
        <v>10</v>
      </c>
      <c r="G572">
        <v>0</v>
      </c>
      <c r="H572">
        <v>80</v>
      </c>
      <c r="I572">
        <v>90</v>
      </c>
    </row>
    <row r="573" spans="1:9">
      <c r="A573">
        <v>5</v>
      </c>
      <c r="B573">
        <v>500</v>
      </c>
      <c r="C573">
        <v>0</v>
      </c>
      <c r="D573">
        <v>85</v>
      </c>
      <c r="E573">
        <v>2.5</v>
      </c>
      <c r="F573">
        <v>10</v>
      </c>
      <c r="G573">
        <v>0</v>
      </c>
      <c r="H573">
        <v>80</v>
      </c>
      <c r="I573">
        <v>90</v>
      </c>
    </row>
    <row r="574" spans="1:9">
      <c r="A574">
        <v>5.5</v>
      </c>
      <c r="B574">
        <v>550</v>
      </c>
      <c r="C574">
        <v>0</v>
      </c>
      <c r="D574">
        <v>85</v>
      </c>
      <c r="E574">
        <v>2.75</v>
      </c>
      <c r="F574">
        <v>10</v>
      </c>
      <c r="G574">
        <v>0</v>
      </c>
      <c r="H574">
        <v>80</v>
      </c>
      <c r="I574">
        <v>90</v>
      </c>
    </row>
    <row r="575" spans="1:9">
      <c r="A575">
        <v>6</v>
      </c>
      <c r="B575">
        <v>600</v>
      </c>
      <c r="C575">
        <v>0</v>
      </c>
      <c r="D575">
        <v>85</v>
      </c>
      <c r="E575">
        <v>3</v>
      </c>
      <c r="F575">
        <v>10</v>
      </c>
      <c r="G575">
        <v>0</v>
      </c>
      <c r="H575">
        <v>80</v>
      </c>
      <c r="I575">
        <v>90</v>
      </c>
    </row>
    <row r="576" spans="1:9">
      <c r="A576">
        <v>6.5</v>
      </c>
      <c r="B576">
        <v>650</v>
      </c>
      <c r="C576">
        <v>0</v>
      </c>
      <c r="D576">
        <v>85</v>
      </c>
      <c r="E576">
        <v>3.25</v>
      </c>
      <c r="F576">
        <v>10</v>
      </c>
      <c r="G576">
        <v>0</v>
      </c>
      <c r="H576">
        <v>80</v>
      </c>
      <c r="I576">
        <v>90</v>
      </c>
    </row>
    <row r="577" spans="1:9">
      <c r="A577">
        <v>7</v>
      </c>
      <c r="B577">
        <v>700</v>
      </c>
      <c r="C577">
        <v>0</v>
      </c>
      <c r="D577">
        <v>85</v>
      </c>
      <c r="E577">
        <v>3.5</v>
      </c>
      <c r="F577">
        <v>10</v>
      </c>
      <c r="G577">
        <v>0</v>
      </c>
      <c r="H577">
        <v>80</v>
      </c>
      <c r="I577">
        <v>90</v>
      </c>
    </row>
    <row r="578" spans="1:9">
      <c r="A578">
        <v>7.5</v>
      </c>
      <c r="B578">
        <v>750</v>
      </c>
      <c r="C578">
        <v>0</v>
      </c>
      <c r="D578">
        <v>85</v>
      </c>
      <c r="E578">
        <v>3.75</v>
      </c>
      <c r="F578">
        <v>10</v>
      </c>
      <c r="G578">
        <v>0</v>
      </c>
      <c r="H578">
        <v>80</v>
      </c>
      <c r="I578">
        <v>90</v>
      </c>
    </row>
    <row r="579" spans="1:9">
      <c r="A579">
        <v>8</v>
      </c>
      <c r="B579">
        <v>800</v>
      </c>
      <c r="C579">
        <v>0</v>
      </c>
      <c r="D579">
        <v>85</v>
      </c>
      <c r="E579">
        <v>4</v>
      </c>
      <c r="F579">
        <v>10</v>
      </c>
      <c r="G579">
        <v>0</v>
      </c>
      <c r="H579">
        <v>80</v>
      </c>
      <c r="I579">
        <v>90</v>
      </c>
    </row>
    <row r="580" spans="1:9">
      <c r="A580">
        <v>8.5</v>
      </c>
      <c r="B580">
        <v>850</v>
      </c>
      <c r="C580">
        <v>0</v>
      </c>
      <c r="D580">
        <v>85</v>
      </c>
      <c r="E580">
        <v>4.25</v>
      </c>
      <c r="F580">
        <v>10</v>
      </c>
      <c r="G580">
        <v>0</v>
      </c>
      <c r="H580">
        <v>80</v>
      </c>
      <c r="I580">
        <v>90</v>
      </c>
    </row>
    <row r="581" spans="1:9">
      <c r="A581">
        <v>9</v>
      </c>
      <c r="B581">
        <v>900</v>
      </c>
      <c r="C581">
        <v>0</v>
      </c>
      <c r="D581">
        <v>85</v>
      </c>
      <c r="E581">
        <v>4.5</v>
      </c>
      <c r="F581">
        <v>10</v>
      </c>
      <c r="G581">
        <v>0</v>
      </c>
      <c r="H581">
        <v>80</v>
      </c>
      <c r="I581">
        <v>90</v>
      </c>
    </row>
    <row r="582" spans="1:9">
      <c r="A582">
        <v>9.5</v>
      </c>
      <c r="B582">
        <v>950</v>
      </c>
      <c r="C582">
        <v>0</v>
      </c>
      <c r="D582">
        <v>85</v>
      </c>
      <c r="E582">
        <v>4.75</v>
      </c>
      <c r="F582">
        <v>10</v>
      </c>
      <c r="G582">
        <v>0</v>
      </c>
      <c r="H582">
        <v>80</v>
      </c>
      <c r="I582">
        <v>90</v>
      </c>
    </row>
    <row r="583" spans="1:9">
      <c r="A583">
        <v>10</v>
      </c>
      <c r="B583">
        <v>1000</v>
      </c>
      <c r="C583">
        <v>0</v>
      </c>
      <c r="D583">
        <v>85</v>
      </c>
      <c r="E583">
        <v>5</v>
      </c>
      <c r="F583">
        <v>10</v>
      </c>
      <c r="G583">
        <v>0</v>
      </c>
      <c r="H583">
        <v>80</v>
      </c>
      <c r="I583">
        <v>90</v>
      </c>
    </row>
    <row r="584" spans="1:9">
      <c r="A584">
        <v>10.5</v>
      </c>
      <c r="B584">
        <v>1050</v>
      </c>
      <c r="C584">
        <v>0</v>
      </c>
      <c r="D584">
        <v>85</v>
      </c>
      <c r="E584">
        <v>5.25</v>
      </c>
      <c r="F584">
        <v>10</v>
      </c>
      <c r="G584">
        <v>0</v>
      </c>
      <c r="H584">
        <v>80</v>
      </c>
      <c r="I584">
        <v>90</v>
      </c>
    </row>
    <row r="585" spans="1:9">
      <c r="A585">
        <v>11</v>
      </c>
      <c r="B585">
        <v>1100</v>
      </c>
      <c r="C585">
        <v>0</v>
      </c>
      <c r="D585">
        <v>85</v>
      </c>
      <c r="E585">
        <v>5.5</v>
      </c>
      <c r="F585">
        <v>10</v>
      </c>
      <c r="G585">
        <v>0</v>
      </c>
      <c r="H585">
        <v>80</v>
      </c>
      <c r="I585">
        <v>90</v>
      </c>
    </row>
    <row r="586" spans="1:9">
      <c r="A586">
        <v>11.5</v>
      </c>
      <c r="B586">
        <v>1150</v>
      </c>
      <c r="C586">
        <v>0</v>
      </c>
      <c r="D586">
        <v>85</v>
      </c>
      <c r="E586">
        <v>5.75</v>
      </c>
      <c r="F586">
        <v>10</v>
      </c>
      <c r="G586">
        <v>0</v>
      </c>
      <c r="H586">
        <v>80</v>
      </c>
      <c r="I586">
        <v>90</v>
      </c>
    </row>
    <row r="587" spans="1:9">
      <c r="A587">
        <v>12</v>
      </c>
      <c r="B587">
        <v>1200</v>
      </c>
      <c r="C587">
        <v>0</v>
      </c>
      <c r="D587">
        <v>85</v>
      </c>
      <c r="E587">
        <v>6</v>
      </c>
      <c r="F587">
        <v>10</v>
      </c>
      <c r="G587">
        <v>0</v>
      </c>
      <c r="H587">
        <v>80</v>
      </c>
      <c r="I587">
        <v>90</v>
      </c>
    </row>
    <row r="588" spans="1:9">
      <c r="A588">
        <v>12.5</v>
      </c>
      <c r="B588">
        <v>1250</v>
      </c>
      <c r="C588">
        <v>0</v>
      </c>
      <c r="D588">
        <v>85</v>
      </c>
      <c r="E588">
        <v>6.25</v>
      </c>
      <c r="F588">
        <v>10</v>
      </c>
      <c r="G588">
        <v>0</v>
      </c>
      <c r="H588">
        <v>80</v>
      </c>
      <c r="I588">
        <v>90</v>
      </c>
    </row>
    <row r="589" spans="1:9">
      <c r="A589">
        <v>13</v>
      </c>
      <c r="B589">
        <v>1300</v>
      </c>
      <c r="C589">
        <v>0</v>
      </c>
      <c r="D589">
        <v>85</v>
      </c>
      <c r="E589">
        <v>6.5</v>
      </c>
      <c r="F589">
        <v>10</v>
      </c>
      <c r="G589">
        <v>0</v>
      </c>
      <c r="H589">
        <v>80</v>
      </c>
      <c r="I589">
        <v>90</v>
      </c>
    </row>
    <row r="590" spans="1:9">
      <c r="A590">
        <v>13.5</v>
      </c>
      <c r="B590">
        <v>1350</v>
      </c>
      <c r="C590">
        <v>0</v>
      </c>
      <c r="D590">
        <v>85</v>
      </c>
      <c r="E590">
        <v>6.75</v>
      </c>
      <c r="F590">
        <v>10</v>
      </c>
      <c r="G590">
        <v>0</v>
      </c>
      <c r="H590">
        <v>80</v>
      </c>
      <c r="I590">
        <v>90</v>
      </c>
    </row>
    <row r="591" spans="1:9">
      <c r="A591">
        <v>14</v>
      </c>
      <c r="B591">
        <v>1400</v>
      </c>
      <c r="C591">
        <v>0</v>
      </c>
      <c r="D591">
        <v>85</v>
      </c>
      <c r="E591">
        <v>7</v>
      </c>
      <c r="F591">
        <v>10</v>
      </c>
      <c r="G591">
        <v>0</v>
      </c>
      <c r="H591">
        <v>80</v>
      </c>
      <c r="I591">
        <v>90</v>
      </c>
    </row>
    <row r="592" spans="1:9">
      <c r="A592">
        <v>14.5</v>
      </c>
      <c r="B592">
        <v>1450</v>
      </c>
      <c r="C592">
        <v>0</v>
      </c>
      <c r="D592">
        <v>85</v>
      </c>
      <c r="E592">
        <v>7.25</v>
      </c>
      <c r="F592">
        <v>10</v>
      </c>
      <c r="G592">
        <v>0</v>
      </c>
      <c r="H592">
        <v>80</v>
      </c>
      <c r="I592">
        <v>90</v>
      </c>
    </row>
    <row r="593" spans="1:9">
      <c r="A593">
        <v>15</v>
      </c>
      <c r="B593">
        <v>1500</v>
      </c>
      <c r="C593">
        <v>0</v>
      </c>
      <c r="D593">
        <v>85</v>
      </c>
      <c r="E593">
        <v>7.5</v>
      </c>
      <c r="F593">
        <v>10</v>
      </c>
      <c r="G593">
        <v>0</v>
      </c>
      <c r="H593">
        <v>80</v>
      </c>
      <c r="I593">
        <v>90</v>
      </c>
    </row>
    <row r="596" spans="1:9">
      <c r="A596" t="s">
        <v>20</v>
      </c>
      <c r="B596" t="s">
        <v>326</v>
      </c>
      <c r="C596" t="s">
        <v>289</v>
      </c>
      <c r="I596">
        <v>18</v>
      </c>
    </row>
    <row r="597" spans="1:9">
      <c r="A597" t="s">
        <v>0</v>
      </c>
      <c r="B597" t="s">
        <v>12</v>
      </c>
      <c r="C597" t="s">
        <v>13</v>
      </c>
      <c r="D597" t="s">
        <v>14</v>
      </c>
      <c r="E597" t="s">
        <v>15</v>
      </c>
      <c r="F597" t="s">
        <v>16</v>
      </c>
      <c r="G597" t="s">
        <v>17</v>
      </c>
      <c r="H597" t="s">
        <v>18</v>
      </c>
      <c r="I597" t="s">
        <v>19</v>
      </c>
    </row>
    <row r="598" spans="1:9">
      <c r="A598">
        <v>0</v>
      </c>
      <c r="B598">
        <v>0.01</v>
      </c>
      <c r="C598">
        <v>0</v>
      </c>
      <c r="D598">
        <v>75</v>
      </c>
      <c r="E598">
        <v>0</v>
      </c>
      <c r="F598">
        <v>-10</v>
      </c>
      <c r="G598">
        <v>0</v>
      </c>
      <c r="H598">
        <v>70</v>
      </c>
      <c r="I598">
        <v>80</v>
      </c>
    </row>
    <row r="599" spans="1:9">
      <c r="A599">
        <v>0.5</v>
      </c>
      <c r="B599">
        <v>50</v>
      </c>
      <c r="C599">
        <v>0</v>
      </c>
      <c r="D599">
        <v>75</v>
      </c>
      <c r="E599">
        <v>0.25</v>
      </c>
      <c r="F599">
        <v>-10</v>
      </c>
      <c r="G599">
        <v>0</v>
      </c>
      <c r="H599">
        <v>70</v>
      </c>
      <c r="I599">
        <v>80</v>
      </c>
    </row>
    <row r="600" spans="1:9">
      <c r="A600">
        <v>1</v>
      </c>
      <c r="B600">
        <v>100</v>
      </c>
      <c r="C600">
        <v>0</v>
      </c>
      <c r="D600">
        <v>75</v>
      </c>
      <c r="E600">
        <v>0.5</v>
      </c>
      <c r="F600">
        <v>-10</v>
      </c>
      <c r="G600">
        <v>0</v>
      </c>
      <c r="H600">
        <v>70</v>
      </c>
      <c r="I600">
        <v>80</v>
      </c>
    </row>
    <row r="601" spans="1:9">
      <c r="A601">
        <v>1.5</v>
      </c>
      <c r="B601">
        <v>150</v>
      </c>
      <c r="C601">
        <v>0</v>
      </c>
      <c r="D601">
        <v>75</v>
      </c>
      <c r="E601">
        <v>0.75</v>
      </c>
      <c r="F601">
        <v>-10</v>
      </c>
      <c r="G601">
        <v>0</v>
      </c>
      <c r="H601">
        <v>70</v>
      </c>
      <c r="I601">
        <v>80</v>
      </c>
    </row>
    <row r="602" spans="1:9">
      <c r="A602">
        <v>2</v>
      </c>
      <c r="B602">
        <v>200</v>
      </c>
      <c r="C602">
        <v>0</v>
      </c>
      <c r="D602">
        <v>75</v>
      </c>
      <c r="E602">
        <v>1</v>
      </c>
      <c r="F602">
        <v>-10</v>
      </c>
      <c r="G602">
        <v>0</v>
      </c>
      <c r="H602">
        <v>70</v>
      </c>
      <c r="I602">
        <v>80</v>
      </c>
    </row>
    <row r="603" spans="1:9">
      <c r="A603">
        <v>2.5</v>
      </c>
      <c r="B603">
        <v>250</v>
      </c>
      <c r="C603">
        <v>0</v>
      </c>
      <c r="D603">
        <v>75</v>
      </c>
      <c r="E603">
        <v>1.25</v>
      </c>
      <c r="F603">
        <v>-10</v>
      </c>
      <c r="G603">
        <v>0</v>
      </c>
      <c r="H603">
        <v>70</v>
      </c>
      <c r="I603">
        <v>80</v>
      </c>
    </row>
    <row r="604" spans="1:9">
      <c r="A604">
        <v>3</v>
      </c>
      <c r="B604">
        <v>300</v>
      </c>
      <c r="C604">
        <v>0</v>
      </c>
      <c r="D604">
        <v>75</v>
      </c>
      <c r="E604">
        <v>1.5</v>
      </c>
      <c r="F604">
        <v>-10</v>
      </c>
      <c r="G604">
        <v>0</v>
      </c>
      <c r="H604">
        <v>70</v>
      </c>
      <c r="I604">
        <v>80</v>
      </c>
    </row>
    <row r="605" spans="1:9">
      <c r="A605">
        <v>3.5</v>
      </c>
      <c r="B605">
        <v>350</v>
      </c>
      <c r="C605">
        <v>0</v>
      </c>
      <c r="D605">
        <v>75</v>
      </c>
      <c r="E605">
        <v>1.75</v>
      </c>
      <c r="F605">
        <v>-10</v>
      </c>
      <c r="G605">
        <v>0</v>
      </c>
      <c r="H605">
        <v>70</v>
      </c>
      <c r="I605">
        <v>80</v>
      </c>
    </row>
    <row r="606" spans="1:9">
      <c r="A606">
        <v>4</v>
      </c>
      <c r="B606">
        <v>400</v>
      </c>
      <c r="C606">
        <v>0</v>
      </c>
      <c r="D606">
        <v>75</v>
      </c>
      <c r="E606">
        <v>2</v>
      </c>
      <c r="F606">
        <v>-10</v>
      </c>
      <c r="G606">
        <v>0</v>
      </c>
      <c r="H606">
        <v>70</v>
      </c>
      <c r="I606">
        <v>80</v>
      </c>
    </row>
    <row r="607" spans="1:9">
      <c r="A607">
        <v>4.5</v>
      </c>
      <c r="B607">
        <v>450</v>
      </c>
      <c r="C607">
        <v>0</v>
      </c>
      <c r="D607">
        <v>75</v>
      </c>
      <c r="E607">
        <v>2.25</v>
      </c>
      <c r="F607">
        <v>-10</v>
      </c>
      <c r="G607">
        <v>0</v>
      </c>
      <c r="H607">
        <v>70</v>
      </c>
      <c r="I607">
        <v>80</v>
      </c>
    </row>
    <row r="608" spans="1:9">
      <c r="A608">
        <v>5</v>
      </c>
      <c r="B608">
        <v>500</v>
      </c>
      <c r="C608">
        <v>0</v>
      </c>
      <c r="D608">
        <v>75</v>
      </c>
      <c r="E608">
        <v>2.5</v>
      </c>
      <c r="F608">
        <v>-10</v>
      </c>
      <c r="G608">
        <v>0</v>
      </c>
      <c r="H608">
        <v>70</v>
      </c>
      <c r="I608">
        <v>80</v>
      </c>
    </row>
    <row r="609" spans="1:9">
      <c r="A609">
        <v>5.5</v>
      </c>
      <c r="B609">
        <v>550</v>
      </c>
      <c r="C609">
        <v>0</v>
      </c>
      <c r="D609">
        <v>75</v>
      </c>
      <c r="E609">
        <v>2.75</v>
      </c>
      <c r="F609">
        <v>-10</v>
      </c>
      <c r="G609">
        <v>0</v>
      </c>
      <c r="H609">
        <v>70</v>
      </c>
      <c r="I609">
        <v>80</v>
      </c>
    </row>
    <row r="610" spans="1:9">
      <c r="A610">
        <v>6</v>
      </c>
      <c r="B610">
        <v>600</v>
      </c>
      <c r="C610">
        <v>0</v>
      </c>
      <c r="D610">
        <v>75</v>
      </c>
      <c r="E610">
        <v>3</v>
      </c>
      <c r="F610">
        <v>-10</v>
      </c>
      <c r="G610">
        <v>0</v>
      </c>
      <c r="H610">
        <v>70</v>
      </c>
      <c r="I610">
        <v>80</v>
      </c>
    </row>
    <row r="611" spans="1:9">
      <c r="A611">
        <v>6.5</v>
      </c>
      <c r="B611">
        <v>650</v>
      </c>
      <c r="C611">
        <v>0</v>
      </c>
      <c r="D611">
        <v>75</v>
      </c>
      <c r="E611">
        <v>3.25</v>
      </c>
      <c r="F611">
        <v>-10</v>
      </c>
      <c r="G611">
        <v>0</v>
      </c>
      <c r="H611">
        <v>70</v>
      </c>
      <c r="I611">
        <v>80</v>
      </c>
    </row>
    <row r="612" spans="1:9">
      <c r="A612">
        <v>7</v>
      </c>
      <c r="B612">
        <v>700</v>
      </c>
      <c r="C612">
        <v>0</v>
      </c>
      <c r="D612">
        <v>75</v>
      </c>
      <c r="E612">
        <v>3.5</v>
      </c>
      <c r="F612">
        <v>-10</v>
      </c>
      <c r="G612">
        <v>0</v>
      </c>
      <c r="H612">
        <v>70</v>
      </c>
      <c r="I612">
        <v>80</v>
      </c>
    </row>
    <row r="613" spans="1:9">
      <c r="A613">
        <v>7.5</v>
      </c>
      <c r="B613">
        <v>750</v>
      </c>
      <c r="C613">
        <v>0</v>
      </c>
      <c r="D613">
        <v>75</v>
      </c>
      <c r="E613">
        <v>3.75</v>
      </c>
      <c r="F613">
        <v>-10</v>
      </c>
      <c r="G613">
        <v>0</v>
      </c>
      <c r="H613">
        <v>70</v>
      </c>
      <c r="I613">
        <v>80</v>
      </c>
    </row>
    <row r="614" spans="1:9">
      <c r="A614">
        <v>8</v>
      </c>
      <c r="B614">
        <v>800</v>
      </c>
      <c r="C614">
        <v>0</v>
      </c>
      <c r="D614">
        <v>75</v>
      </c>
      <c r="E614">
        <v>4</v>
      </c>
      <c r="F614">
        <v>-10</v>
      </c>
      <c r="G614">
        <v>0</v>
      </c>
      <c r="H614">
        <v>70</v>
      </c>
      <c r="I614">
        <v>80</v>
      </c>
    </row>
    <row r="615" spans="1:9">
      <c r="A615">
        <v>8.5</v>
      </c>
      <c r="B615">
        <v>850</v>
      </c>
      <c r="C615">
        <v>0</v>
      </c>
      <c r="D615">
        <v>75</v>
      </c>
      <c r="E615">
        <v>4.25</v>
      </c>
      <c r="F615">
        <v>-10</v>
      </c>
      <c r="G615">
        <v>0</v>
      </c>
      <c r="H615">
        <v>70</v>
      </c>
      <c r="I615">
        <v>80</v>
      </c>
    </row>
    <row r="616" spans="1:9">
      <c r="A616">
        <v>9</v>
      </c>
      <c r="B616">
        <v>900</v>
      </c>
      <c r="C616">
        <v>0</v>
      </c>
      <c r="D616">
        <v>75</v>
      </c>
      <c r="E616">
        <v>4.5</v>
      </c>
      <c r="F616">
        <v>-10</v>
      </c>
      <c r="G616">
        <v>0</v>
      </c>
      <c r="H616">
        <v>70</v>
      </c>
      <c r="I616">
        <v>80</v>
      </c>
    </row>
    <row r="617" spans="1:9">
      <c r="A617">
        <v>9.5</v>
      </c>
      <c r="B617">
        <v>950</v>
      </c>
      <c r="C617">
        <v>0</v>
      </c>
      <c r="D617">
        <v>75</v>
      </c>
      <c r="E617">
        <v>4.75</v>
      </c>
      <c r="F617">
        <v>-10</v>
      </c>
      <c r="G617">
        <v>0</v>
      </c>
      <c r="H617">
        <v>70</v>
      </c>
      <c r="I617">
        <v>80</v>
      </c>
    </row>
    <row r="618" spans="1:9">
      <c r="A618">
        <v>10</v>
      </c>
      <c r="B618">
        <v>1000</v>
      </c>
      <c r="C618">
        <v>0</v>
      </c>
      <c r="D618">
        <v>75</v>
      </c>
      <c r="E618">
        <v>5</v>
      </c>
      <c r="F618">
        <v>-10</v>
      </c>
      <c r="G618">
        <v>0</v>
      </c>
      <c r="H618">
        <v>70</v>
      </c>
      <c r="I618">
        <v>80</v>
      </c>
    </row>
    <row r="619" spans="1:9">
      <c r="A619">
        <v>10.5</v>
      </c>
      <c r="B619">
        <v>1050</v>
      </c>
      <c r="C619">
        <v>0</v>
      </c>
      <c r="D619">
        <v>75</v>
      </c>
      <c r="E619">
        <v>5.25</v>
      </c>
      <c r="F619">
        <v>-10</v>
      </c>
      <c r="G619">
        <v>0</v>
      </c>
      <c r="H619">
        <v>70</v>
      </c>
      <c r="I619">
        <v>80</v>
      </c>
    </row>
    <row r="620" spans="1:9">
      <c r="A620">
        <v>11</v>
      </c>
      <c r="B620">
        <v>1100</v>
      </c>
      <c r="C620">
        <v>0</v>
      </c>
      <c r="D620">
        <v>75</v>
      </c>
      <c r="E620">
        <v>5.5</v>
      </c>
      <c r="F620">
        <v>-10</v>
      </c>
      <c r="G620">
        <v>0</v>
      </c>
      <c r="H620">
        <v>70</v>
      </c>
      <c r="I620">
        <v>80</v>
      </c>
    </row>
    <row r="621" spans="1:9">
      <c r="A621">
        <v>11.5</v>
      </c>
      <c r="B621">
        <v>1150</v>
      </c>
      <c r="C621">
        <v>0</v>
      </c>
      <c r="D621">
        <v>75</v>
      </c>
      <c r="E621">
        <v>5.75</v>
      </c>
      <c r="F621">
        <v>-10</v>
      </c>
      <c r="G621">
        <v>0</v>
      </c>
      <c r="H621">
        <v>70</v>
      </c>
      <c r="I621">
        <v>80</v>
      </c>
    </row>
    <row r="622" spans="1:9">
      <c r="A622">
        <v>12</v>
      </c>
      <c r="B622">
        <v>1200</v>
      </c>
      <c r="C622">
        <v>0</v>
      </c>
      <c r="D622">
        <v>75</v>
      </c>
      <c r="E622">
        <v>6</v>
      </c>
      <c r="F622">
        <v>-10</v>
      </c>
      <c r="G622">
        <v>0</v>
      </c>
      <c r="H622">
        <v>70</v>
      </c>
      <c r="I622">
        <v>80</v>
      </c>
    </row>
    <row r="623" spans="1:9">
      <c r="A623">
        <v>12.5</v>
      </c>
      <c r="B623">
        <v>1250</v>
      </c>
      <c r="C623">
        <v>0</v>
      </c>
      <c r="D623">
        <v>75</v>
      </c>
      <c r="E623">
        <v>6.25</v>
      </c>
      <c r="F623">
        <v>-10</v>
      </c>
      <c r="G623">
        <v>0</v>
      </c>
      <c r="H623">
        <v>70</v>
      </c>
      <c r="I623">
        <v>80</v>
      </c>
    </row>
    <row r="624" spans="1:9">
      <c r="A624">
        <v>13</v>
      </c>
      <c r="B624">
        <v>1300</v>
      </c>
      <c r="C624">
        <v>0</v>
      </c>
      <c r="D624">
        <v>75</v>
      </c>
      <c r="E624">
        <v>6.5</v>
      </c>
      <c r="F624">
        <v>-10</v>
      </c>
      <c r="G624">
        <v>0</v>
      </c>
      <c r="H624">
        <v>70</v>
      </c>
      <c r="I624">
        <v>80</v>
      </c>
    </row>
    <row r="625" spans="1:9">
      <c r="A625">
        <v>13.5</v>
      </c>
      <c r="B625">
        <v>1350</v>
      </c>
      <c r="C625">
        <v>0</v>
      </c>
      <c r="D625">
        <v>75</v>
      </c>
      <c r="E625">
        <v>6.75</v>
      </c>
      <c r="F625">
        <v>-10</v>
      </c>
      <c r="G625">
        <v>0</v>
      </c>
      <c r="H625">
        <v>70</v>
      </c>
      <c r="I625">
        <v>80</v>
      </c>
    </row>
    <row r="626" spans="1:9">
      <c r="A626">
        <v>14</v>
      </c>
      <c r="B626">
        <v>1400</v>
      </c>
      <c r="C626">
        <v>0</v>
      </c>
      <c r="D626">
        <v>75</v>
      </c>
      <c r="E626">
        <v>7</v>
      </c>
      <c r="F626">
        <v>-10</v>
      </c>
      <c r="G626">
        <v>0</v>
      </c>
      <c r="H626">
        <v>70</v>
      </c>
      <c r="I626">
        <v>80</v>
      </c>
    </row>
    <row r="627" spans="1:9">
      <c r="A627">
        <v>14.5</v>
      </c>
      <c r="B627">
        <v>1450</v>
      </c>
      <c r="C627">
        <v>0</v>
      </c>
      <c r="D627">
        <v>75</v>
      </c>
      <c r="E627">
        <v>7.25</v>
      </c>
      <c r="F627">
        <v>-10</v>
      </c>
      <c r="G627">
        <v>0</v>
      </c>
      <c r="H627">
        <v>70</v>
      </c>
      <c r="I627">
        <v>80</v>
      </c>
    </row>
    <row r="628" spans="1:9">
      <c r="A628">
        <v>15</v>
      </c>
      <c r="B628">
        <v>1500</v>
      </c>
      <c r="C628">
        <v>0</v>
      </c>
      <c r="D628">
        <v>75</v>
      </c>
      <c r="E628">
        <v>7.5</v>
      </c>
      <c r="F628">
        <v>-10</v>
      </c>
      <c r="G628">
        <v>0</v>
      </c>
      <c r="H628">
        <v>70</v>
      </c>
      <c r="I628">
        <v>80</v>
      </c>
    </row>
    <row r="631" spans="1:9">
      <c r="A631" t="s">
        <v>20</v>
      </c>
      <c r="B631" t="s">
        <v>326</v>
      </c>
      <c r="C631" t="s">
        <v>290</v>
      </c>
      <c r="I631">
        <v>19</v>
      </c>
    </row>
    <row r="632" spans="1:9">
      <c r="A632" t="s">
        <v>0</v>
      </c>
      <c r="B632" t="s">
        <v>12</v>
      </c>
      <c r="C632" t="s">
        <v>13</v>
      </c>
      <c r="D632" t="s">
        <v>14</v>
      </c>
      <c r="E632" t="s">
        <v>15</v>
      </c>
      <c r="F632" t="s">
        <v>16</v>
      </c>
      <c r="G632" t="s">
        <v>17</v>
      </c>
      <c r="H632" t="s">
        <v>18</v>
      </c>
      <c r="I632" t="s">
        <v>19</v>
      </c>
    </row>
    <row r="633" spans="1:9">
      <c r="A633">
        <v>0</v>
      </c>
      <c r="B633">
        <v>0.01</v>
      </c>
      <c r="C633">
        <v>0</v>
      </c>
      <c r="D633">
        <v>65</v>
      </c>
      <c r="E633">
        <v>0</v>
      </c>
      <c r="F633">
        <v>-10</v>
      </c>
      <c r="G633">
        <v>0</v>
      </c>
      <c r="H633">
        <v>60</v>
      </c>
      <c r="I633">
        <v>70</v>
      </c>
    </row>
    <row r="634" spans="1:9">
      <c r="A634">
        <v>0.5</v>
      </c>
      <c r="B634">
        <v>50</v>
      </c>
      <c r="C634">
        <v>0</v>
      </c>
      <c r="D634">
        <v>65</v>
      </c>
      <c r="E634">
        <v>0.25</v>
      </c>
      <c r="F634">
        <v>-10</v>
      </c>
      <c r="G634">
        <v>0</v>
      </c>
      <c r="H634">
        <v>60</v>
      </c>
      <c r="I634">
        <v>70</v>
      </c>
    </row>
    <row r="635" spans="1:9">
      <c r="A635">
        <v>1</v>
      </c>
      <c r="B635">
        <v>100</v>
      </c>
      <c r="C635">
        <v>0</v>
      </c>
      <c r="D635">
        <v>65</v>
      </c>
      <c r="E635">
        <v>0.5</v>
      </c>
      <c r="F635">
        <v>-10</v>
      </c>
      <c r="G635">
        <v>0</v>
      </c>
      <c r="H635">
        <v>60</v>
      </c>
      <c r="I635">
        <v>70</v>
      </c>
    </row>
    <row r="636" spans="1:9">
      <c r="A636">
        <v>1.5</v>
      </c>
      <c r="B636">
        <v>150</v>
      </c>
      <c r="C636">
        <v>0</v>
      </c>
      <c r="D636">
        <v>65</v>
      </c>
      <c r="E636">
        <v>0.75</v>
      </c>
      <c r="F636">
        <v>-10</v>
      </c>
      <c r="G636">
        <v>0</v>
      </c>
      <c r="H636">
        <v>60</v>
      </c>
      <c r="I636">
        <v>70</v>
      </c>
    </row>
    <row r="637" spans="1:9">
      <c r="A637">
        <v>2</v>
      </c>
      <c r="B637">
        <v>200</v>
      </c>
      <c r="C637">
        <v>0</v>
      </c>
      <c r="D637">
        <v>65</v>
      </c>
      <c r="E637">
        <v>1</v>
      </c>
      <c r="F637">
        <v>-10</v>
      </c>
      <c r="G637">
        <v>0</v>
      </c>
      <c r="H637">
        <v>60</v>
      </c>
      <c r="I637">
        <v>70</v>
      </c>
    </row>
    <row r="638" spans="1:9">
      <c r="A638">
        <v>2.5</v>
      </c>
      <c r="B638">
        <v>250</v>
      </c>
      <c r="C638">
        <v>0</v>
      </c>
      <c r="D638">
        <v>65</v>
      </c>
      <c r="E638">
        <v>1.25</v>
      </c>
      <c r="F638">
        <v>-10</v>
      </c>
      <c r="G638">
        <v>0</v>
      </c>
      <c r="H638">
        <v>60</v>
      </c>
      <c r="I638">
        <v>70</v>
      </c>
    </row>
    <row r="639" spans="1:9">
      <c r="A639">
        <v>3</v>
      </c>
      <c r="B639">
        <v>300</v>
      </c>
      <c r="C639">
        <v>0</v>
      </c>
      <c r="D639">
        <v>65</v>
      </c>
      <c r="E639">
        <v>1.5</v>
      </c>
      <c r="F639">
        <v>-10</v>
      </c>
      <c r="G639">
        <v>0</v>
      </c>
      <c r="H639">
        <v>60</v>
      </c>
      <c r="I639">
        <v>70</v>
      </c>
    </row>
    <row r="640" spans="1:9">
      <c r="A640">
        <v>3.5</v>
      </c>
      <c r="B640">
        <v>350</v>
      </c>
      <c r="C640">
        <v>0</v>
      </c>
      <c r="D640">
        <v>65</v>
      </c>
      <c r="E640">
        <v>1.75</v>
      </c>
      <c r="F640">
        <v>-10</v>
      </c>
      <c r="G640">
        <v>0</v>
      </c>
      <c r="H640">
        <v>60</v>
      </c>
      <c r="I640">
        <v>70</v>
      </c>
    </row>
    <row r="641" spans="1:9">
      <c r="A641">
        <v>4</v>
      </c>
      <c r="B641">
        <v>400</v>
      </c>
      <c r="C641">
        <v>0</v>
      </c>
      <c r="D641">
        <v>65</v>
      </c>
      <c r="E641">
        <v>2</v>
      </c>
      <c r="F641">
        <v>-10</v>
      </c>
      <c r="G641">
        <v>0</v>
      </c>
      <c r="H641">
        <v>60</v>
      </c>
      <c r="I641">
        <v>70</v>
      </c>
    </row>
    <row r="642" spans="1:9">
      <c r="A642">
        <v>4.5</v>
      </c>
      <c r="B642">
        <v>450</v>
      </c>
      <c r="C642">
        <v>0</v>
      </c>
      <c r="D642">
        <v>65</v>
      </c>
      <c r="E642">
        <v>2.25</v>
      </c>
      <c r="F642">
        <v>-10</v>
      </c>
      <c r="G642">
        <v>0</v>
      </c>
      <c r="H642">
        <v>60</v>
      </c>
      <c r="I642">
        <v>70</v>
      </c>
    </row>
    <row r="643" spans="1:9">
      <c r="A643">
        <v>5</v>
      </c>
      <c r="B643">
        <v>500</v>
      </c>
      <c r="C643">
        <v>0</v>
      </c>
      <c r="D643">
        <v>65</v>
      </c>
      <c r="E643">
        <v>2.5</v>
      </c>
      <c r="F643">
        <v>-10</v>
      </c>
      <c r="G643">
        <v>0</v>
      </c>
      <c r="H643">
        <v>60</v>
      </c>
      <c r="I643">
        <v>70</v>
      </c>
    </row>
    <row r="644" spans="1:9">
      <c r="A644">
        <v>5.5</v>
      </c>
      <c r="B644">
        <v>550</v>
      </c>
      <c r="C644">
        <v>0</v>
      </c>
      <c r="D644">
        <v>65</v>
      </c>
      <c r="E644">
        <v>2.75</v>
      </c>
      <c r="F644">
        <v>-10</v>
      </c>
      <c r="G644">
        <v>0</v>
      </c>
      <c r="H644">
        <v>60</v>
      </c>
      <c r="I644">
        <v>70</v>
      </c>
    </row>
    <row r="645" spans="1:9">
      <c r="A645">
        <v>6</v>
      </c>
      <c r="B645">
        <v>600</v>
      </c>
      <c r="C645">
        <v>0</v>
      </c>
      <c r="D645">
        <v>65</v>
      </c>
      <c r="E645">
        <v>3</v>
      </c>
      <c r="F645">
        <v>-10</v>
      </c>
      <c r="G645">
        <v>0</v>
      </c>
      <c r="H645">
        <v>60</v>
      </c>
      <c r="I645">
        <v>70</v>
      </c>
    </row>
    <row r="646" spans="1:9">
      <c r="A646">
        <v>6.5</v>
      </c>
      <c r="B646">
        <v>650</v>
      </c>
      <c r="C646">
        <v>0</v>
      </c>
      <c r="D646">
        <v>65</v>
      </c>
      <c r="E646">
        <v>3.25</v>
      </c>
      <c r="F646">
        <v>-10</v>
      </c>
      <c r="G646">
        <v>0</v>
      </c>
      <c r="H646">
        <v>60</v>
      </c>
      <c r="I646">
        <v>70</v>
      </c>
    </row>
    <row r="647" spans="1:9">
      <c r="A647">
        <v>7</v>
      </c>
      <c r="B647">
        <v>700</v>
      </c>
      <c r="C647">
        <v>0</v>
      </c>
      <c r="D647">
        <v>65</v>
      </c>
      <c r="E647">
        <v>3.5</v>
      </c>
      <c r="F647">
        <v>-10</v>
      </c>
      <c r="G647">
        <v>0</v>
      </c>
      <c r="H647">
        <v>60</v>
      </c>
      <c r="I647">
        <v>70</v>
      </c>
    </row>
    <row r="648" spans="1:9">
      <c r="A648">
        <v>7.5</v>
      </c>
      <c r="B648">
        <v>750</v>
      </c>
      <c r="C648">
        <v>0</v>
      </c>
      <c r="D648">
        <v>65</v>
      </c>
      <c r="E648">
        <v>3.75</v>
      </c>
      <c r="F648">
        <v>-10</v>
      </c>
      <c r="G648">
        <v>0</v>
      </c>
      <c r="H648">
        <v>60</v>
      </c>
      <c r="I648">
        <v>70</v>
      </c>
    </row>
    <row r="649" spans="1:9">
      <c r="A649">
        <v>8</v>
      </c>
      <c r="B649">
        <v>800</v>
      </c>
      <c r="C649">
        <v>0</v>
      </c>
      <c r="D649">
        <v>65</v>
      </c>
      <c r="E649">
        <v>4</v>
      </c>
      <c r="F649">
        <v>-10</v>
      </c>
      <c r="G649">
        <v>0</v>
      </c>
      <c r="H649">
        <v>60</v>
      </c>
      <c r="I649">
        <v>70</v>
      </c>
    </row>
    <row r="650" spans="1:9">
      <c r="A650">
        <v>8.5</v>
      </c>
      <c r="B650">
        <v>850</v>
      </c>
      <c r="C650">
        <v>0</v>
      </c>
      <c r="D650">
        <v>65</v>
      </c>
      <c r="E650">
        <v>4.25</v>
      </c>
      <c r="F650">
        <v>-10</v>
      </c>
      <c r="G650">
        <v>0</v>
      </c>
      <c r="H650">
        <v>60</v>
      </c>
      <c r="I650">
        <v>70</v>
      </c>
    </row>
    <row r="651" spans="1:9">
      <c r="A651">
        <v>9</v>
      </c>
      <c r="B651">
        <v>900</v>
      </c>
      <c r="C651">
        <v>0</v>
      </c>
      <c r="D651">
        <v>65</v>
      </c>
      <c r="E651">
        <v>4.5</v>
      </c>
      <c r="F651">
        <v>-10</v>
      </c>
      <c r="G651">
        <v>0</v>
      </c>
      <c r="H651">
        <v>60</v>
      </c>
      <c r="I651">
        <v>70</v>
      </c>
    </row>
    <row r="652" spans="1:9">
      <c r="A652">
        <v>9.5</v>
      </c>
      <c r="B652">
        <v>950</v>
      </c>
      <c r="C652">
        <v>0</v>
      </c>
      <c r="D652">
        <v>65</v>
      </c>
      <c r="E652">
        <v>4.75</v>
      </c>
      <c r="F652">
        <v>-10</v>
      </c>
      <c r="G652">
        <v>0</v>
      </c>
      <c r="H652">
        <v>60</v>
      </c>
      <c r="I652">
        <v>70</v>
      </c>
    </row>
    <row r="653" spans="1:9">
      <c r="A653">
        <v>10</v>
      </c>
      <c r="B653">
        <v>1000</v>
      </c>
      <c r="C653">
        <v>0</v>
      </c>
      <c r="D653">
        <v>65</v>
      </c>
      <c r="E653">
        <v>5</v>
      </c>
      <c r="F653">
        <v>-10</v>
      </c>
      <c r="G653">
        <v>0</v>
      </c>
      <c r="H653">
        <v>60</v>
      </c>
      <c r="I653">
        <v>70</v>
      </c>
    </row>
    <row r="654" spans="1:9">
      <c r="A654">
        <v>10.5</v>
      </c>
      <c r="B654">
        <v>1050</v>
      </c>
      <c r="C654">
        <v>0</v>
      </c>
      <c r="D654">
        <v>65</v>
      </c>
      <c r="E654">
        <v>5.25</v>
      </c>
      <c r="F654">
        <v>-10</v>
      </c>
      <c r="G654">
        <v>0</v>
      </c>
      <c r="H654">
        <v>60</v>
      </c>
      <c r="I654">
        <v>70</v>
      </c>
    </row>
    <row r="655" spans="1:9">
      <c r="A655">
        <v>11</v>
      </c>
      <c r="B655">
        <v>1100</v>
      </c>
      <c r="C655">
        <v>0</v>
      </c>
      <c r="D655">
        <v>65</v>
      </c>
      <c r="E655">
        <v>5.5</v>
      </c>
      <c r="F655">
        <v>-10</v>
      </c>
      <c r="G655">
        <v>0</v>
      </c>
      <c r="H655">
        <v>60</v>
      </c>
      <c r="I655">
        <v>70</v>
      </c>
    </row>
    <row r="656" spans="1:9">
      <c r="A656">
        <v>11.5</v>
      </c>
      <c r="B656">
        <v>1150</v>
      </c>
      <c r="C656">
        <v>0</v>
      </c>
      <c r="D656">
        <v>65</v>
      </c>
      <c r="E656">
        <v>5.75</v>
      </c>
      <c r="F656">
        <v>-10</v>
      </c>
      <c r="G656">
        <v>0</v>
      </c>
      <c r="H656">
        <v>60</v>
      </c>
      <c r="I656">
        <v>70</v>
      </c>
    </row>
    <row r="657" spans="1:9">
      <c r="A657">
        <v>12</v>
      </c>
      <c r="B657">
        <v>1200</v>
      </c>
      <c r="C657">
        <v>0</v>
      </c>
      <c r="D657">
        <v>65</v>
      </c>
      <c r="E657">
        <v>6</v>
      </c>
      <c r="F657">
        <v>-10</v>
      </c>
      <c r="G657">
        <v>0</v>
      </c>
      <c r="H657">
        <v>60</v>
      </c>
      <c r="I657">
        <v>70</v>
      </c>
    </row>
    <row r="658" spans="1:9">
      <c r="A658">
        <v>12.5</v>
      </c>
      <c r="B658">
        <v>1250</v>
      </c>
      <c r="C658">
        <v>0</v>
      </c>
      <c r="D658">
        <v>65</v>
      </c>
      <c r="E658">
        <v>6.25</v>
      </c>
      <c r="F658">
        <v>-10</v>
      </c>
      <c r="G658">
        <v>0</v>
      </c>
      <c r="H658">
        <v>60</v>
      </c>
      <c r="I658">
        <v>70</v>
      </c>
    </row>
    <row r="659" spans="1:9">
      <c r="A659">
        <v>13</v>
      </c>
      <c r="B659">
        <v>1300</v>
      </c>
      <c r="C659">
        <v>0</v>
      </c>
      <c r="D659">
        <v>65</v>
      </c>
      <c r="E659">
        <v>6.5</v>
      </c>
      <c r="F659">
        <v>-10</v>
      </c>
      <c r="G659">
        <v>0</v>
      </c>
      <c r="H659">
        <v>60</v>
      </c>
      <c r="I659">
        <v>70</v>
      </c>
    </row>
    <row r="660" spans="1:9">
      <c r="A660">
        <v>13.5</v>
      </c>
      <c r="B660">
        <v>1350</v>
      </c>
      <c r="C660">
        <v>0</v>
      </c>
      <c r="D660">
        <v>65</v>
      </c>
      <c r="E660">
        <v>6.75</v>
      </c>
      <c r="F660">
        <v>-10</v>
      </c>
      <c r="G660">
        <v>0</v>
      </c>
      <c r="H660">
        <v>60</v>
      </c>
      <c r="I660">
        <v>70</v>
      </c>
    </row>
    <row r="661" spans="1:9">
      <c r="A661">
        <v>14</v>
      </c>
      <c r="B661">
        <v>1400</v>
      </c>
      <c r="C661">
        <v>0</v>
      </c>
      <c r="D661">
        <v>65</v>
      </c>
      <c r="E661">
        <v>7</v>
      </c>
      <c r="F661">
        <v>-10</v>
      </c>
      <c r="G661">
        <v>0</v>
      </c>
      <c r="H661">
        <v>60</v>
      </c>
      <c r="I661">
        <v>70</v>
      </c>
    </row>
    <row r="662" spans="1:9">
      <c r="A662">
        <v>14.5</v>
      </c>
      <c r="B662">
        <v>1450</v>
      </c>
      <c r="C662">
        <v>0</v>
      </c>
      <c r="D662">
        <v>65</v>
      </c>
      <c r="E662">
        <v>7.25</v>
      </c>
      <c r="F662">
        <v>-10</v>
      </c>
      <c r="G662">
        <v>0</v>
      </c>
      <c r="H662">
        <v>60</v>
      </c>
      <c r="I662">
        <v>70</v>
      </c>
    </row>
    <row r="663" spans="1:9">
      <c r="A663">
        <v>15</v>
      </c>
      <c r="B663">
        <v>1500</v>
      </c>
      <c r="C663">
        <v>0</v>
      </c>
      <c r="D663">
        <v>65</v>
      </c>
      <c r="E663">
        <v>7.5</v>
      </c>
      <c r="F663">
        <v>-10</v>
      </c>
      <c r="G663">
        <v>0</v>
      </c>
      <c r="H663">
        <v>60</v>
      </c>
      <c r="I663">
        <v>70</v>
      </c>
    </row>
    <row r="666" spans="1:9">
      <c r="A666" t="s">
        <v>20</v>
      </c>
      <c r="B666" t="s">
        <v>327</v>
      </c>
      <c r="C666" s="129" t="s">
        <v>291</v>
      </c>
      <c r="I666">
        <v>20</v>
      </c>
    </row>
    <row r="667" spans="1:9">
      <c r="A667" t="s">
        <v>0</v>
      </c>
      <c r="B667" t="s">
        <v>12</v>
      </c>
      <c r="C667" t="s">
        <v>13</v>
      </c>
      <c r="D667" t="s">
        <v>14</v>
      </c>
      <c r="E667" t="s">
        <v>15</v>
      </c>
      <c r="F667" t="s">
        <v>16</v>
      </c>
      <c r="G667" t="s">
        <v>17</v>
      </c>
      <c r="H667" t="s">
        <v>18</v>
      </c>
      <c r="I667" t="s">
        <v>19</v>
      </c>
    </row>
    <row r="668" spans="1:9">
      <c r="A668">
        <v>0</v>
      </c>
      <c r="B668">
        <v>0.01</v>
      </c>
      <c r="C668">
        <v>0</v>
      </c>
      <c r="D668">
        <v>85</v>
      </c>
      <c r="E668">
        <v>0</v>
      </c>
      <c r="F668">
        <v>-10</v>
      </c>
      <c r="G668">
        <v>0</v>
      </c>
      <c r="H668">
        <v>80</v>
      </c>
      <c r="I668">
        <v>90</v>
      </c>
    </row>
    <row r="669" spans="1:9">
      <c r="A669">
        <v>0.5</v>
      </c>
      <c r="B669">
        <v>50</v>
      </c>
      <c r="C669">
        <v>0</v>
      </c>
      <c r="D669">
        <v>85</v>
      </c>
      <c r="E669">
        <v>0.25</v>
      </c>
      <c r="F669">
        <v>-10</v>
      </c>
      <c r="G669">
        <v>0</v>
      </c>
      <c r="H669">
        <v>80</v>
      </c>
      <c r="I669">
        <v>90</v>
      </c>
    </row>
    <row r="670" spans="1:9">
      <c r="A670">
        <v>1</v>
      </c>
      <c r="B670">
        <v>100</v>
      </c>
      <c r="C670">
        <v>0</v>
      </c>
      <c r="D670">
        <v>85</v>
      </c>
      <c r="E670">
        <v>0.5</v>
      </c>
      <c r="F670">
        <v>-10</v>
      </c>
      <c r="G670">
        <v>0</v>
      </c>
      <c r="H670">
        <v>80</v>
      </c>
      <c r="I670">
        <v>90</v>
      </c>
    </row>
    <row r="671" spans="1:9">
      <c r="A671">
        <v>1.5</v>
      </c>
      <c r="B671">
        <v>150</v>
      </c>
      <c r="C671">
        <v>0</v>
      </c>
      <c r="D671">
        <v>85</v>
      </c>
      <c r="E671">
        <v>0.75</v>
      </c>
      <c r="F671">
        <v>-10</v>
      </c>
      <c r="G671">
        <v>0</v>
      </c>
      <c r="H671">
        <v>80</v>
      </c>
      <c r="I671">
        <v>90</v>
      </c>
    </row>
    <row r="672" spans="1:9">
      <c r="A672">
        <v>2</v>
      </c>
      <c r="B672">
        <v>200</v>
      </c>
      <c r="C672">
        <v>0</v>
      </c>
      <c r="D672">
        <v>85</v>
      </c>
      <c r="E672">
        <v>1</v>
      </c>
      <c r="F672">
        <v>-10</v>
      </c>
      <c r="G672">
        <v>0</v>
      </c>
      <c r="H672">
        <v>80</v>
      </c>
      <c r="I672">
        <v>90</v>
      </c>
    </row>
    <row r="673" spans="1:9">
      <c r="A673">
        <v>2.5</v>
      </c>
      <c r="B673">
        <v>250</v>
      </c>
      <c r="C673">
        <v>0</v>
      </c>
      <c r="D673">
        <v>85</v>
      </c>
      <c r="E673">
        <v>1.25</v>
      </c>
      <c r="F673">
        <v>-10</v>
      </c>
      <c r="G673">
        <v>0</v>
      </c>
      <c r="H673">
        <v>80</v>
      </c>
      <c r="I673">
        <v>90</v>
      </c>
    </row>
    <row r="674" spans="1:9">
      <c r="A674">
        <v>3</v>
      </c>
      <c r="B674">
        <v>300</v>
      </c>
      <c r="C674">
        <v>0</v>
      </c>
      <c r="D674">
        <v>85</v>
      </c>
      <c r="E674">
        <v>1.5</v>
      </c>
      <c r="F674">
        <v>-10</v>
      </c>
      <c r="G674">
        <v>0</v>
      </c>
      <c r="H674">
        <v>80</v>
      </c>
      <c r="I674">
        <v>90</v>
      </c>
    </row>
    <row r="675" spans="1:9">
      <c r="A675">
        <v>3.5</v>
      </c>
      <c r="B675">
        <v>350</v>
      </c>
      <c r="C675">
        <v>0</v>
      </c>
      <c r="D675">
        <v>85</v>
      </c>
      <c r="E675">
        <v>1.75</v>
      </c>
      <c r="F675">
        <v>-10</v>
      </c>
      <c r="G675">
        <v>0</v>
      </c>
      <c r="H675">
        <v>80</v>
      </c>
      <c r="I675">
        <v>90</v>
      </c>
    </row>
    <row r="676" spans="1:9">
      <c r="A676">
        <v>4</v>
      </c>
      <c r="B676">
        <v>400</v>
      </c>
      <c r="C676">
        <v>0</v>
      </c>
      <c r="D676">
        <v>85</v>
      </c>
      <c r="E676">
        <v>2</v>
      </c>
      <c r="F676">
        <v>-10</v>
      </c>
      <c r="G676">
        <v>0</v>
      </c>
      <c r="H676">
        <v>80</v>
      </c>
      <c r="I676">
        <v>90</v>
      </c>
    </row>
    <row r="677" spans="1:9">
      <c r="A677">
        <v>4.5</v>
      </c>
      <c r="B677">
        <v>450</v>
      </c>
      <c r="C677">
        <v>0</v>
      </c>
      <c r="D677">
        <v>85</v>
      </c>
      <c r="E677">
        <v>2.25</v>
      </c>
      <c r="F677">
        <v>-10</v>
      </c>
      <c r="G677">
        <v>0</v>
      </c>
      <c r="H677">
        <v>80</v>
      </c>
      <c r="I677">
        <v>90</v>
      </c>
    </row>
    <row r="678" spans="1:9">
      <c r="A678">
        <v>5</v>
      </c>
      <c r="B678">
        <v>500</v>
      </c>
      <c r="C678">
        <v>0</v>
      </c>
      <c r="D678">
        <v>85</v>
      </c>
      <c r="E678">
        <v>2.5</v>
      </c>
      <c r="F678">
        <v>-10</v>
      </c>
      <c r="G678">
        <v>0</v>
      </c>
      <c r="H678">
        <v>80</v>
      </c>
      <c r="I678">
        <v>90</v>
      </c>
    </row>
    <row r="679" spans="1:9">
      <c r="A679">
        <v>5.5</v>
      </c>
      <c r="B679">
        <v>550</v>
      </c>
      <c r="C679">
        <v>0</v>
      </c>
      <c r="D679">
        <v>85</v>
      </c>
      <c r="E679">
        <v>2.75</v>
      </c>
      <c r="F679">
        <v>-10</v>
      </c>
      <c r="G679">
        <v>0</v>
      </c>
      <c r="H679">
        <v>80</v>
      </c>
      <c r="I679">
        <v>90</v>
      </c>
    </row>
    <row r="680" spans="1:9">
      <c r="A680">
        <v>6</v>
      </c>
      <c r="B680">
        <v>600</v>
      </c>
      <c r="C680">
        <v>0</v>
      </c>
      <c r="D680">
        <v>85</v>
      </c>
      <c r="E680">
        <v>3</v>
      </c>
      <c r="F680">
        <v>-10</v>
      </c>
      <c r="G680">
        <v>0</v>
      </c>
      <c r="H680">
        <v>80</v>
      </c>
      <c r="I680">
        <v>90</v>
      </c>
    </row>
    <row r="681" spans="1:9">
      <c r="A681">
        <v>6.5</v>
      </c>
      <c r="B681">
        <v>650</v>
      </c>
      <c r="C681">
        <v>0</v>
      </c>
      <c r="D681">
        <v>85</v>
      </c>
      <c r="E681">
        <v>3.25</v>
      </c>
      <c r="F681">
        <v>-10</v>
      </c>
      <c r="G681">
        <v>0</v>
      </c>
      <c r="H681">
        <v>80</v>
      </c>
      <c r="I681">
        <v>90</v>
      </c>
    </row>
    <row r="682" spans="1:9">
      <c r="A682">
        <v>7</v>
      </c>
      <c r="B682">
        <v>700</v>
      </c>
      <c r="C682">
        <v>0</v>
      </c>
      <c r="D682">
        <v>85</v>
      </c>
      <c r="E682">
        <v>3.5</v>
      </c>
      <c r="F682">
        <v>-10</v>
      </c>
      <c r="G682">
        <v>0</v>
      </c>
      <c r="H682">
        <v>80</v>
      </c>
      <c r="I682">
        <v>90</v>
      </c>
    </row>
    <row r="683" spans="1:9">
      <c r="A683">
        <v>7.5</v>
      </c>
      <c r="B683">
        <v>750</v>
      </c>
      <c r="C683">
        <v>0</v>
      </c>
      <c r="D683">
        <v>85</v>
      </c>
      <c r="E683">
        <v>3.75</v>
      </c>
      <c r="F683">
        <v>-10</v>
      </c>
      <c r="G683">
        <v>0</v>
      </c>
      <c r="H683">
        <v>80</v>
      </c>
      <c r="I683">
        <v>90</v>
      </c>
    </row>
    <row r="684" spans="1:9">
      <c r="A684">
        <v>8</v>
      </c>
      <c r="B684">
        <v>800</v>
      </c>
      <c r="C684">
        <v>0</v>
      </c>
      <c r="D684">
        <v>85</v>
      </c>
      <c r="E684">
        <v>4</v>
      </c>
      <c r="F684">
        <v>-10</v>
      </c>
      <c r="G684">
        <v>0</v>
      </c>
      <c r="H684">
        <v>80</v>
      </c>
      <c r="I684">
        <v>90</v>
      </c>
    </row>
    <row r="685" spans="1:9">
      <c r="A685">
        <v>8.5</v>
      </c>
      <c r="B685">
        <v>850</v>
      </c>
      <c r="C685">
        <v>0</v>
      </c>
      <c r="D685">
        <v>85</v>
      </c>
      <c r="E685">
        <v>4.25</v>
      </c>
      <c r="F685">
        <v>-10</v>
      </c>
      <c r="G685">
        <v>0</v>
      </c>
      <c r="H685">
        <v>80</v>
      </c>
      <c r="I685">
        <v>90</v>
      </c>
    </row>
    <row r="686" spans="1:9">
      <c r="A686">
        <v>9</v>
      </c>
      <c r="B686">
        <v>900</v>
      </c>
      <c r="C686">
        <v>0</v>
      </c>
      <c r="D686">
        <v>85</v>
      </c>
      <c r="E686">
        <v>4.5</v>
      </c>
      <c r="F686">
        <v>-10</v>
      </c>
      <c r="G686">
        <v>0</v>
      </c>
      <c r="H686">
        <v>80</v>
      </c>
      <c r="I686">
        <v>90</v>
      </c>
    </row>
    <row r="687" spans="1:9">
      <c r="A687">
        <v>9.5</v>
      </c>
      <c r="B687">
        <v>950</v>
      </c>
      <c r="C687">
        <v>0</v>
      </c>
      <c r="D687">
        <v>85</v>
      </c>
      <c r="E687">
        <v>4.75</v>
      </c>
      <c r="F687">
        <v>-10</v>
      </c>
      <c r="G687">
        <v>0</v>
      </c>
      <c r="H687">
        <v>80</v>
      </c>
      <c r="I687">
        <v>90</v>
      </c>
    </row>
    <row r="688" spans="1:9">
      <c r="A688">
        <v>10</v>
      </c>
      <c r="B688">
        <v>1000</v>
      </c>
      <c r="C688">
        <v>0</v>
      </c>
      <c r="D688">
        <v>85</v>
      </c>
      <c r="E688">
        <v>5</v>
      </c>
      <c r="F688">
        <v>-10</v>
      </c>
      <c r="G688">
        <v>0</v>
      </c>
      <c r="H688">
        <v>80</v>
      </c>
      <c r="I688">
        <v>90</v>
      </c>
    </row>
    <row r="689" spans="1:9">
      <c r="A689">
        <v>10.5</v>
      </c>
      <c r="B689">
        <v>1050</v>
      </c>
      <c r="C689">
        <v>0</v>
      </c>
      <c r="D689">
        <v>85</v>
      </c>
      <c r="E689">
        <v>5.25</v>
      </c>
      <c r="F689">
        <v>-10</v>
      </c>
      <c r="G689">
        <v>0</v>
      </c>
      <c r="H689">
        <v>80</v>
      </c>
      <c r="I689">
        <v>90</v>
      </c>
    </row>
    <row r="690" spans="1:9">
      <c r="A690">
        <v>11</v>
      </c>
      <c r="B690">
        <v>1100</v>
      </c>
      <c r="C690">
        <v>0</v>
      </c>
      <c r="D690">
        <v>85</v>
      </c>
      <c r="E690">
        <v>5.5</v>
      </c>
      <c r="F690">
        <v>-10</v>
      </c>
      <c r="G690">
        <v>0</v>
      </c>
      <c r="H690">
        <v>80</v>
      </c>
      <c r="I690">
        <v>90</v>
      </c>
    </row>
    <row r="691" spans="1:9">
      <c r="A691">
        <v>11.5</v>
      </c>
      <c r="B691">
        <v>1150</v>
      </c>
      <c r="C691">
        <v>0</v>
      </c>
      <c r="D691">
        <v>85</v>
      </c>
      <c r="E691">
        <v>5.75</v>
      </c>
      <c r="F691">
        <v>-10</v>
      </c>
      <c r="G691">
        <v>0</v>
      </c>
      <c r="H691">
        <v>80</v>
      </c>
      <c r="I691">
        <v>90</v>
      </c>
    </row>
    <row r="692" spans="1:9">
      <c r="A692">
        <v>12</v>
      </c>
      <c r="B692">
        <v>1200</v>
      </c>
      <c r="C692">
        <v>0</v>
      </c>
      <c r="D692">
        <v>85</v>
      </c>
      <c r="E692">
        <v>6</v>
      </c>
      <c r="F692">
        <v>-10</v>
      </c>
      <c r="G692">
        <v>0</v>
      </c>
      <c r="H692">
        <v>80</v>
      </c>
      <c r="I692">
        <v>90</v>
      </c>
    </row>
    <row r="693" spans="1:9">
      <c r="A693">
        <v>12.5</v>
      </c>
      <c r="B693">
        <v>1250</v>
      </c>
      <c r="C693">
        <v>0</v>
      </c>
      <c r="D693">
        <v>85</v>
      </c>
      <c r="E693">
        <v>6.25</v>
      </c>
      <c r="F693">
        <v>-10</v>
      </c>
      <c r="G693">
        <v>0</v>
      </c>
      <c r="H693">
        <v>80</v>
      </c>
      <c r="I693">
        <v>90</v>
      </c>
    </row>
    <row r="694" spans="1:9">
      <c r="A694">
        <v>13</v>
      </c>
      <c r="B694">
        <v>1300</v>
      </c>
      <c r="C694">
        <v>0</v>
      </c>
      <c r="D694">
        <v>85</v>
      </c>
      <c r="E694">
        <v>6.5</v>
      </c>
      <c r="F694">
        <v>-10</v>
      </c>
      <c r="G694">
        <v>0</v>
      </c>
      <c r="H694">
        <v>80</v>
      </c>
      <c r="I694">
        <v>90</v>
      </c>
    </row>
    <row r="695" spans="1:9">
      <c r="A695">
        <v>13.5</v>
      </c>
      <c r="B695">
        <v>1350</v>
      </c>
      <c r="C695">
        <v>0</v>
      </c>
      <c r="D695">
        <v>85</v>
      </c>
      <c r="E695">
        <v>6.75</v>
      </c>
      <c r="F695">
        <v>-10</v>
      </c>
      <c r="G695">
        <v>0</v>
      </c>
      <c r="H695">
        <v>80</v>
      </c>
      <c r="I695">
        <v>90</v>
      </c>
    </row>
    <row r="696" spans="1:9">
      <c r="A696">
        <v>14</v>
      </c>
      <c r="B696">
        <v>1400</v>
      </c>
      <c r="C696">
        <v>0</v>
      </c>
      <c r="D696">
        <v>85</v>
      </c>
      <c r="E696">
        <v>7</v>
      </c>
      <c r="F696">
        <v>-10</v>
      </c>
      <c r="G696">
        <v>0</v>
      </c>
      <c r="H696">
        <v>80</v>
      </c>
      <c r="I696">
        <v>90</v>
      </c>
    </row>
    <row r="697" spans="1:9">
      <c r="A697">
        <v>14.5</v>
      </c>
      <c r="B697">
        <v>1450</v>
      </c>
      <c r="C697">
        <v>0</v>
      </c>
      <c r="D697">
        <v>85</v>
      </c>
      <c r="E697">
        <v>7.25</v>
      </c>
      <c r="F697">
        <v>-10</v>
      </c>
      <c r="G697">
        <v>0</v>
      </c>
      <c r="H697">
        <v>80</v>
      </c>
      <c r="I697">
        <v>90</v>
      </c>
    </row>
    <row r="698" spans="1:9">
      <c r="A698">
        <v>15</v>
      </c>
      <c r="B698">
        <v>1500</v>
      </c>
      <c r="C698">
        <v>0</v>
      </c>
      <c r="D698">
        <v>85</v>
      </c>
      <c r="E698">
        <v>7.5</v>
      </c>
      <c r="F698">
        <v>-10</v>
      </c>
      <c r="G698">
        <v>0</v>
      </c>
      <c r="H698">
        <v>80</v>
      </c>
      <c r="I698">
        <v>90</v>
      </c>
    </row>
    <row r="701" spans="1:9">
      <c r="A701" t="s">
        <v>20</v>
      </c>
      <c r="B701" t="s">
        <v>36</v>
      </c>
      <c r="C701" t="s">
        <v>292</v>
      </c>
      <c r="I701">
        <v>21</v>
      </c>
    </row>
    <row r="702" spans="1:9">
      <c r="A702" t="s">
        <v>0</v>
      </c>
      <c r="B702" t="s">
        <v>12</v>
      </c>
      <c r="C702" t="s">
        <v>13</v>
      </c>
      <c r="D702" t="s">
        <v>14</v>
      </c>
      <c r="E702" t="s">
        <v>15</v>
      </c>
      <c r="F702" t="s">
        <v>16</v>
      </c>
      <c r="G702" t="s">
        <v>17</v>
      </c>
      <c r="H702" t="s">
        <v>18</v>
      </c>
      <c r="I702" t="s">
        <v>19</v>
      </c>
    </row>
    <row r="703" spans="1:9">
      <c r="A703">
        <v>0</v>
      </c>
      <c r="B703">
        <v>0.01</v>
      </c>
      <c r="C703">
        <v>0</v>
      </c>
      <c r="D703">
        <v>5</v>
      </c>
      <c r="E703">
        <v>0</v>
      </c>
      <c r="F703">
        <v>0</v>
      </c>
      <c r="G703">
        <v>0</v>
      </c>
      <c r="H703">
        <v>0</v>
      </c>
      <c r="I703">
        <v>10</v>
      </c>
    </row>
    <row r="704" spans="1:9">
      <c r="A704">
        <v>0.5</v>
      </c>
      <c r="B704">
        <v>50</v>
      </c>
      <c r="C704">
        <v>0</v>
      </c>
      <c r="D704">
        <v>5</v>
      </c>
      <c r="E704">
        <v>0.25</v>
      </c>
      <c r="F704">
        <v>0</v>
      </c>
      <c r="G704">
        <v>0</v>
      </c>
      <c r="H704">
        <v>0</v>
      </c>
      <c r="I704">
        <v>10</v>
      </c>
    </row>
    <row r="705" spans="1:9">
      <c r="A705">
        <v>1</v>
      </c>
      <c r="B705">
        <v>100</v>
      </c>
      <c r="C705">
        <v>0</v>
      </c>
      <c r="D705">
        <v>5</v>
      </c>
      <c r="E705">
        <v>0.5</v>
      </c>
      <c r="F705">
        <v>0</v>
      </c>
      <c r="G705">
        <v>0</v>
      </c>
      <c r="H705">
        <v>0</v>
      </c>
      <c r="I705">
        <v>10</v>
      </c>
    </row>
    <row r="706" spans="1:9">
      <c r="A706">
        <v>1.5</v>
      </c>
      <c r="B706">
        <v>150</v>
      </c>
      <c r="C706">
        <v>0</v>
      </c>
      <c r="D706">
        <v>5</v>
      </c>
      <c r="E706">
        <v>0.75</v>
      </c>
      <c r="F706">
        <v>0</v>
      </c>
      <c r="G706">
        <v>0</v>
      </c>
      <c r="H706">
        <v>0</v>
      </c>
      <c r="I706">
        <v>10</v>
      </c>
    </row>
    <row r="707" spans="1:9">
      <c r="A707">
        <v>2</v>
      </c>
      <c r="B707">
        <v>200</v>
      </c>
      <c r="C707">
        <v>0</v>
      </c>
      <c r="D707">
        <v>5</v>
      </c>
      <c r="E707">
        <v>1</v>
      </c>
      <c r="F707">
        <v>0</v>
      </c>
      <c r="G707">
        <v>0</v>
      </c>
      <c r="H707">
        <v>0</v>
      </c>
      <c r="I707">
        <v>10</v>
      </c>
    </row>
    <row r="708" spans="1:9">
      <c r="A708">
        <v>2.5</v>
      </c>
      <c r="B708">
        <v>250</v>
      </c>
      <c r="C708">
        <v>0</v>
      </c>
      <c r="D708">
        <v>5</v>
      </c>
      <c r="E708">
        <v>1.25</v>
      </c>
      <c r="F708">
        <v>0</v>
      </c>
      <c r="G708">
        <v>0</v>
      </c>
      <c r="H708">
        <v>0</v>
      </c>
      <c r="I708">
        <v>10</v>
      </c>
    </row>
    <row r="709" spans="1:9">
      <c r="A709">
        <v>3</v>
      </c>
      <c r="B709">
        <v>300</v>
      </c>
      <c r="C709">
        <v>0</v>
      </c>
      <c r="D709">
        <v>5</v>
      </c>
      <c r="E709">
        <v>1.5</v>
      </c>
      <c r="F709">
        <v>0</v>
      </c>
      <c r="G709">
        <v>0</v>
      </c>
      <c r="H709">
        <v>0</v>
      </c>
      <c r="I709">
        <v>10</v>
      </c>
    </row>
    <row r="710" spans="1:9">
      <c r="A710">
        <v>3.5</v>
      </c>
      <c r="B710">
        <v>350</v>
      </c>
      <c r="C710">
        <v>0</v>
      </c>
      <c r="D710">
        <v>5</v>
      </c>
      <c r="E710">
        <v>1.75</v>
      </c>
      <c r="F710">
        <v>0</v>
      </c>
      <c r="G710">
        <v>0</v>
      </c>
      <c r="H710">
        <v>0</v>
      </c>
      <c r="I710">
        <v>10</v>
      </c>
    </row>
    <row r="711" spans="1:9">
      <c r="A711">
        <v>4</v>
      </c>
      <c r="B711">
        <v>400</v>
      </c>
      <c r="C711">
        <v>0</v>
      </c>
      <c r="D711">
        <v>5</v>
      </c>
      <c r="E711">
        <v>2</v>
      </c>
      <c r="F711">
        <v>0</v>
      </c>
      <c r="G711">
        <v>0</v>
      </c>
      <c r="H711">
        <v>0</v>
      </c>
      <c r="I711">
        <v>10</v>
      </c>
    </row>
    <row r="712" spans="1:9">
      <c r="A712">
        <v>4.5</v>
      </c>
      <c r="B712">
        <v>450</v>
      </c>
      <c r="C712">
        <v>0</v>
      </c>
      <c r="D712">
        <v>5</v>
      </c>
      <c r="E712">
        <v>2.25</v>
      </c>
      <c r="F712">
        <v>0</v>
      </c>
      <c r="G712">
        <v>0</v>
      </c>
      <c r="H712">
        <v>0</v>
      </c>
      <c r="I712">
        <v>10</v>
      </c>
    </row>
    <row r="713" spans="1:9">
      <c r="A713">
        <v>5</v>
      </c>
      <c r="B713">
        <v>500</v>
      </c>
      <c r="C713">
        <v>0</v>
      </c>
      <c r="D713">
        <v>5</v>
      </c>
      <c r="E713">
        <v>2.5</v>
      </c>
      <c r="F713">
        <v>0</v>
      </c>
      <c r="G713">
        <v>0</v>
      </c>
      <c r="H713">
        <v>0</v>
      </c>
      <c r="I713">
        <v>10</v>
      </c>
    </row>
    <row r="714" spans="1:9">
      <c r="A714">
        <v>5.5</v>
      </c>
      <c r="B714">
        <v>550</v>
      </c>
      <c r="C714">
        <v>0</v>
      </c>
      <c r="D714">
        <v>5</v>
      </c>
      <c r="E714">
        <v>2.75</v>
      </c>
      <c r="F714">
        <v>0</v>
      </c>
      <c r="G714">
        <v>0</v>
      </c>
      <c r="H714">
        <v>0</v>
      </c>
      <c r="I714">
        <v>10</v>
      </c>
    </row>
    <row r="715" spans="1:9">
      <c r="A715">
        <v>6</v>
      </c>
      <c r="B715">
        <v>600</v>
      </c>
      <c r="C715">
        <v>0</v>
      </c>
      <c r="D715">
        <v>5</v>
      </c>
      <c r="E715">
        <v>3</v>
      </c>
      <c r="F715">
        <v>0</v>
      </c>
      <c r="G715">
        <v>0</v>
      </c>
      <c r="H715">
        <v>0</v>
      </c>
      <c r="I715">
        <v>10</v>
      </c>
    </row>
    <row r="716" spans="1:9">
      <c r="A716">
        <v>6.5</v>
      </c>
      <c r="B716">
        <v>650</v>
      </c>
      <c r="C716">
        <v>0</v>
      </c>
      <c r="D716">
        <v>5</v>
      </c>
      <c r="E716">
        <v>3.25</v>
      </c>
      <c r="F716">
        <v>0</v>
      </c>
      <c r="G716">
        <v>0</v>
      </c>
      <c r="H716">
        <v>0</v>
      </c>
      <c r="I716">
        <v>10</v>
      </c>
    </row>
    <row r="717" spans="1:9">
      <c r="A717">
        <v>7</v>
      </c>
      <c r="B717">
        <v>700</v>
      </c>
      <c r="C717">
        <v>0</v>
      </c>
      <c r="D717">
        <v>5</v>
      </c>
      <c r="E717">
        <v>3.5</v>
      </c>
      <c r="F717">
        <v>0</v>
      </c>
      <c r="G717">
        <v>0</v>
      </c>
      <c r="H717">
        <v>0</v>
      </c>
      <c r="I717">
        <v>10</v>
      </c>
    </row>
    <row r="718" spans="1:9">
      <c r="A718">
        <v>7.5</v>
      </c>
      <c r="B718">
        <v>750</v>
      </c>
      <c r="C718">
        <v>0</v>
      </c>
      <c r="D718">
        <v>5</v>
      </c>
      <c r="E718">
        <v>3.75</v>
      </c>
      <c r="F718">
        <v>0</v>
      </c>
      <c r="G718">
        <v>0</v>
      </c>
      <c r="H718">
        <v>0</v>
      </c>
      <c r="I718">
        <v>10</v>
      </c>
    </row>
    <row r="719" spans="1:9">
      <c r="A719">
        <v>8</v>
      </c>
      <c r="B719">
        <v>800</v>
      </c>
      <c r="C719">
        <v>0</v>
      </c>
      <c r="D719">
        <v>5</v>
      </c>
      <c r="E719">
        <v>4</v>
      </c>
      <c r="F719">
        <v>0</v>
      </c>
      <c r="G719">
        <v>0</v>
      </c>
      <c r="H719">
        <v>0</v>
      </c>
      <c r="I719">
        <v>10</v>
      </c>
    </row>
    <row r="720" spans="1:9">
      <c r="A720">
        <v>8.5</v>
      </c>
      <c r="B720">
        <v>850</v>
      </c>
      <c r="C720">
        <v>0</v>
      </c>
      <c r="D720">
        <v>5</v>
      </c>
      <c r="E720">
        <v>4.25</v>
      </c>
      <c r="F720">
        <v>0</v>
      </c>
      <c r="G720">
        <v>0</v>
      </c>
      <c r="H720">
        <v>0</v>
      </c>
      <c r="I720">
        <v>10</v>
      </c>
    </row>
    <row r="721" spans="1:9">
      <c r="A721">
        <v>9</v>
      </c>
      <c r="B721">
        <v>900</v>
      </c>
      <c r="C721">
        <v>0</v>
      </c>
      <c r="D721">
        <v>5</v>
      </c>
      <c r="E721">
        <v>4.5</v>
      </c>
      <c r="F721">
        <v>0</v>
      </c>
      <c r="G721">
        <v>0</v>
      </c>
      <c r="H721">
        <v>0</v>
      </c>
      <c r="I721">
        <v>10</v>
      </c>
    </row>
    <row r="722" spans="1:9">
      <c r="A722">
        <v>9.5</v>
      </c>
      <c r="B722">
        <v>950</v>
      </c>
      <c r="C722">
        <v>0</v>
      </c>
      <c r="D722">
        <v>5</v>
      </c>
      <c r="E722">
        <v>4.75</v>
      </c>
      <c r="F722">
        <v>0</v>
      </c>
      <c r="G722">
        <v>0</v>
      </c>
      <c r="H722">
        <v>0</v>
      </c>
      <c r="I722">
        <v>10</v>
      </c>
    </row>
    <row r="723" spans="1:9">
      <c r="A723">
        <v>10</v>
      </c>
      <c r="B723">
        <v>1000</v>
      </c>
      <c r="C723">
        <v>0</v>
      </c>
      <c r="D723">
        <v>5</v>
      </c>
      <c r="E723">
        <v>5</v>
      </c>
      <c r="F723">
        <v>0</v>
      </c>
      <c r="G723">
        <v>0</v>
      </c>
      <c r="H723">
        <v>0</v>
      </c>
      <c r="I723">
        <v>10</v>
      </c>
    </row>
    <row r="724" spans="1:9">
      <c r="A724">
        <v>10.5</v>
      </c>
      <c r="B724">
        <v>1050</v>
      </c>
      <c r="C724">
        <v>0</v>
      </c>
      <c r="D724">
        <v>5</v>
      </c>
      <c r="E724">
        <v>5.25</v>
      </c>
      <c r="F724">
        <v>0</v>
      </c>
      <c r="G724">
        <v>0</v>
      </c>
      <c r="H724">
        <v>0</v>
      </c>
      <c r="I724">
        <v>10</v>
      </c>
    </row>
    <row r="725" spans="1:9">
      <c r="A725">
        <v>11</v>
      </c>
      <c r="B725">
        <v>1100</v>
      </c>
      <c r="C725">
        <v>0</v>
      </c>
      <c r="D725">
        <v>5</v>
      </c>
      <c r="E725">
        <v>5.5</v>
      </c>
      <c r="F725">
        <v>0</v>
      </c>
      <c r="G725">
        <v>0</v>
      </c>
      <c r="H725">
        <v>0</v>
      </c>
      <c r="I725">
        <v>10</v>
      </c>
    </row>
    <row r="726" spans="1:9">
      <c r="A726">
        <v>11.5</v>
      </c>
      <c r="B726">
        <v>1150</v>
      </c>
      <c r="C726">
        <v>0</v>
      </c>
      <c r="D726">
        <v>5</v>
      </c>
      <c r="E726">
        <v>5.75</v>
      </c>
      <c r="F726">
        <v>0</v>
      </c>
      <c r="G726">
        <v>0</v>
      </c>
      <c r="H726">
        <v>0</v>
      </c>
      <c r="I726">
        <v>10</v>
      </c>
    </row>
    <row r="727" spans="1:9">
      <c r="A727">
        <v>12</v>
      </c>
      <c r="B727">
        <v>1200</v>
      </c>
      <c r="C727">
        <v>0</v>
      </c>
      <c r="D727">
        <v>5</v>
      </c>
      <c r="E727">
        <v>6</v>
      </c>
      <c r="F727">
        <v>0</v>
      </c>
      <c r="G727">
        <v>0</v>
      </c>
      <c r="H727">
        <v>0</v>
      </c>
      <c r="I727">
        <v>10</v>
      </c>
    </row>
    <row r="728" spans="1:9">
      <c r="A728">
        <v>12.5</v>
      </c>
      <c r="B728">
        <v>1250</v>
      </c>
      <c r="C728">
        <v>0</v>
      </c>
      <c r="D728">
        <v>5</v>
      </c>
      <c r="E728">
        <v>6.25</v>
      </c>
      <c r="F728">
        <v>0</v>
      </c>
      <c r="G728">
        <v>0</v>
      </c>
      <c r="H728">
        <v>0</v>
      </c>
      <c r="I728">
        <v>10</v>
      </c>
    </row>
    <row r="729" spans="1:9">
      <c r="A729">
        <v>13</v>
      </c>
      <c r="B729">
        <v>1300</v>
      </c>
      <c r="C729">
        <v>0</v>
      </c>
      <c r="D729">
        <v>5</v>
      </c>
      <c r="E729">
        <v>6.5</v>
      </c>
      <c r="F729">
        <v>0</v>
      </c>
      <c r="G729">
        <v>0</v>
      </c>
      <c r="H729">
        <v>0</v>
      </c>
      <c r="I729">
        <v>10</v>
      </c>
    </row>
    <row r="730" spans="1:9">
      <c r="A730">
        <v>13.5</v>
      </c>
      <c r="B730">
        <v>1350</v>
      </c>
      <c r="C730">
        <v>0</v>
      </c>
      <c r="D730">
        <v>5</v>
      </c>
      <c r="E730">
        <v>6.75</v>
      </c>
      <c r="F730">
        <v>0</v>
      </c>
      <c r="G730">
        <v>0</v>
      </c>
      <c r="H730">
        <v>0</v>
      </c>
      <c r="I730">
        <v>10</v>
      </c>
    </row>
    <row r="731" spans="1:9">
      <c r="A731">
        <v>14</v>
      </c>
      <c r="B731">
        <v>1400</v>
      </c>
      <c r="C731">
        <v>0</v>
      </c>
      <c r="D731">
        <v>5</v>
      </c>
      <c r="E731">
        <v>7</v>
      </c>
      <c r="F731">
        <v>0</v>
      </c>
      <c r="G731">
        <v>0</v>
      </c>
      <c r="H731">
        <v>0</v>
      </c>
      <c r="I731">
        <v>10</v>
      </c>
    </row>
    <row r="732" spans="1:9">
      <c r="A732">
        <v>14.5</v>
      </c>
      <c r="B732">
        <v>1450</v>
      </c>
      <c r="C732">
        <v>0</v>
      </c>
      <c r="D732">
        <v>5</v>
      </c>
      <c r="E732">
        <v>7.25</v>
      </c>
      <c r="F732">
        <v>0</v>
      </c>
      <c r="G732">
        <v>0</v>
      </c>
      <c r="H732">
        <v>0</v>
      </c>
      <c r="I732">
        <v>10</v>
      </c>
    </row>
    <row r="733" spans="1:9">
      <c r="A733">
        <v>15</v>
      </c>
      <c r="B733">
        <v>1500</v>
      </c>
      <c r="C733">
        <v>0</v>
      </c>
      <c r="D733">
        <v>5</v>
      </c>
      <c r="E733">
        <v>7.5</v>
      </c>
      <c r="F733">
        <v>0</v>
      </c>
      <c r="G733">
        <v>0</v>
      </c>
      <c r="H733">
        <v>0</v>
      </c>
      <c r="I733">
        <v>10</v>
      </c>
    </row>
    <row r="736" spans="1:9">
      <c r="A736" t="s">
        <v>20</v>
      </c>
      <c r="B736" t="s">
        <v>36</v>
      </c>
      <c r="C736" t="s">
        <v>293</v>
      </c>
      <c r="I736">
        <v>22</v>
      </c>
    </row>
    <row r="737" spans="1:9">
      <c r="A737" t="s">
        <v>0</v>
      </c>
      <c r="B737" t="s">
        <v>12</v>
      </c>
      <c r="C737" t="s">
        <v>13</v>
      </c>
      <c r="D737" t="s">
        <v>14</v>
      </c>
      <c r="E737" t="s">
        <v>15</v>
      </c>
      <c r="F737" t="s">
        <v>16</v>
      </c>
      <c r="G737" t="s">
        <v>17</v>
      </c>
      <c r="H737" t="s">
        <v>18</v>
      </c>
      <c r="I737" t="s">
        <v>19</v>
      </c>
    </row>
    <row r="738" spans="1:9">
      <c r="A738">
        <v>0</v>
      </c>
      <c r="B738">
        <v>0.01</v>
      </c>
      <c r="C738">
        <v>0</v>
      </c>
      <c r="D738">
        <v>15</v>
      </c>
      <c r="E738">
        <v>0</v>
      </c>
      <c r="F738">
        <v>0</v>
      </c>
      <c r="G738">
        <v>0</v>
      </c>
      <c r="H738">
        <v>10</v>
      </c>
      <c r="I738">
        <v>20</v>
      </c>
    </row>
    <row r="739" spans="1:9">
      <c r="A739">
        <v>0.5</v>
      </c>
      <c r="B739">
        <v>50</v>
      </c>
      <c r="C739">
        <v>0</v>
      </c>
      <c r="D739">
        <v>15</v>
      </c>
      <c r="E739">
        <v>0.25</v>
      </c>
      <c r="F739">
        <v>0</v>
      </c>
      <c r="G739">
        <v>0</v>
      </c>
      <c r="H739">
        <v>10</v>
      </c>
      <c r="I739">
        <v>20</v>
      </c>
    </row>
    <row r="740" spans="1:9">
      <c r="A740">
        <v>1</v>
      </c>
      <c r="B740">
        <v>100</v>
      </c>
      <c r="C740">
        <v>0</v>
      </c>
      <c r="D740">
        <v>15</v>
      </c>
      <c r="E740">
        <v>0.5</v>
      </c>
      <c r="F740">
        <v>0</v>
      </c>
      <c r="G740">
        <v>0</v>
      </c>
      <c r="H740">
        <v>10</v>
      </c>
      <c r="I740">
        <v>20</v>
      </c>
    </row>
    <row r="741" spans="1:9">
      <c r="A741">
        <v>1.5</v>
      </c>
      <c r="B741">
        <v>150</v>
      </c>
      <c r="C741">
        <v>0</v>
      </c>
      <c r="D741">
        <v>15</v>
      </c>
      <c r="E741">
        <v>0.75</v>
      </c>
      <c r="F741">
        <v>0</v>
      </c>
      <c r="G741">
        <v>0</v>
      </c>
      <c r="H741">
        <v>10</v>
      </c>
      <c r="I741">
        <v>20</v>
      </c>
    </row>
    <row r="742" spans="1:9">
      <c r="A742">
        <v>2</v>
      </c>
      <c r="B742">
        <v>200</v>
      </c>
      <c r="C742">
        <v>0</v>
      </c>
      <c r="D742">
        <v>15</v>
      </c>
      <c r="E742">
        <v>1</v>
      </c>
      <c r="F742">
        <v>0</v>
      </c>
      <c r="G742">
        <v>0</v>
      </c>
      <c r="H742">
        <v>10</v>
      </c>
      <c r="I742">
        <v>20</v>
      </c>
    </row>
    <row r="743" spans="1:9">
      <c r="A743">
        <v>2.5</v>
      </c>
      <c r="B743">
        <v>250</v>
      </c>
      <c r="C743">
        <v>0</v>
      </c>
      <c r="D743">
        <v>15</v>
      </c>
      <c r="E743">
        <v>1.25</v>
      </c>
      <c r="F743">
        <v>0</v>
      </c>
      <c r="G743">
        <v>0</v>
      </c>
      <c r="H743">
        <v>10</v>
      </c>
      <c r="I743">
        <v>20</v>
      </c>
    </row>
    <row r="744" spans="1:9">
      <c r="A744">
        <v>3</v>
      </c>
      <c r="B744">
        <v>300</v>
      </c>
      <c r="C744">
        <v>0</v>
      </c>
      <c r="D744">
        <v>15</v>
      </c>
      <c r="E744">
        <v>1.5</v>
      </c>
      <c r="F744">
        <v>0</v>
      </c>
      <c r="G744">
        <v>0</v>
      </c>
      <c r="H744">
        <v>10</v>
      </c>
      <c r="I744">
        <v>20</v>
      </c>
    </row>
    <row r="745" spans="1:9">
      <c r="A745">
        <v>3.5</v>
      </c>
      <c r="B745">
        <v>350</v>
      </c>
      <c r="C745">
        <v>0</v>
      </c>
      <c r="D745">
        <v>15</v>
      </c>
      <c r="E745">
        <v>1.75</v>
      </c>
      <c r="F745">
        <v>0</v>
      </c>
      <c r="G745">
        <v>0</v>
      </c>
      <c r="H745">
        <v>10</v>
      </c>
      <c r="I745">
        <v>20</v>
      </c>
    </row>
    <row r="746" spans="1:9">
      <c r="A746">
        <v>4</v>
      </c>
      <c r="B746">
        <v>400</v>
      </c>
      <c r="C746">
        <v>0</v>
      </c>
      <c r="D746">
        <v>15</v>
      </c>
      <c r="E746">
        <v>2</v>
      </c>
      <c r="F746">
        <v>0</v>
      </c>
      <c r="G746">
        <v>0</v>
      </c>
      <c r="H746">
        <v>10</v>
      </c>
      <c r="I746">
        <v>20</v>
      </c>
    </row>
    <row r="747" spans="1:9">
      <c r="A747">
        <v>4.5</v>
      </c>
      <c r="B747">
        <v>450</v>
      </c>
      <c r="C747">
        <v>0</v>
      </c>
      <c r="D747">
        <v>15</v>
      </c>
      <c r="E747">
        <v>2.25</v>
      </c>
      <c r="F747">
        <v>0</v>
      </c>
      <c r="G747">
        <v>0</v>
      </c>
      <c r="H747">
        <v>10</v>
      </c>
      <c r="I747">
        <v>20</v>
      </c>
    </row>
    <row r="748" spans="1:9">
      <c r="A748">
        <v>5</v>
      </c>
      <c r="B748">
        <v>500</v>
      </c>
      <c r="C748">
        <v>0</v>
      </c>
      <c r="D748">
        <v>15</v>
      </c>
      <c r="E748">
        <v>2.5</v>
      </c>
      <c r="F748">
        <v>0</v>
      </c>
      <c r="G748">
        <v>0</v>
      </c>
      <c r="H748">
        <v>10</v>
      </c>
      <c r="I748">
        <v>20</v>
      </c>
    </row>
    <row r="749" spans="1:9">
      <c r="A749">
        <v>5.5</v>
      </c>
      <c r="B749">
        <v>550</v>
      </c>
      <c r="C749">
        <v>0</v>
      </c>
      <c r="D749">
        <v>15</v>
      </c>
      <c r="E749">
        <v>2.75</v>
      </c>
      <c r="F749">
        <v>0</v>
      </c>
      <c r="G749">
        <v>0</v>
      </c>
      <c r="H749">
        <v>10</v>
      </c>
      <c r="I749">
        <v>20</v>
      </c>
    </row>
    <row r="750" spans="1:9">
      <c r="A750">
        <v>6</v>
      </c>
      <c r="B750">
        <v>600</v>
      </c>
      <c r="C750">
        <v>0</v>
      </c>
      <c r="D750">
        <v>15</v>
      </c>
      <c r="E750">
        <v>3</v>
      </c>
      <c r="F750">
        <v>0</v>
      </c>
      <c r="G750">
        <v>0</v>
      </c>
      <c r="H750">
        <v>10</v>
      </c>
      <c r="I750">
        <v>20</v>
      </c>
    </row>
    <row r="751" spans="1:9">
      <c r="A751">
        <v>6.5</v>
      </c>
      <c r="B751">
        <v>650</v>
      </c>
      <c r="C751">
        <v>0</v>
      </c>
      <c r="D751">
        <v>15</v>
      </c>
      <c r="E751">
        <v>3.25</v>
      </c>
      <c r="F751">
        <v>0</v>
      </c>
      <c r="G751">
        <v>0</v>
      </c>
      <c r="H751">
        <v>10</v>
      </c>
      <c r="I751">
        <v>20</v>
      </c>
    </row>
    <row r="752" spans="1:9">
      <c r="A752">
        <v>7</v>
      </c>
      <c r="B752">
        <v>700</v>
      </c>
      <c r="C752">
        <v>0</v>
      </c>
      <c r="D752">
        <v>15</v>
      </c>
      <c r="E752">
        <v>3.5</v>
      </c>
      <c r="F752">
        <v>0</v>
      </c>
      <c r="G752">
        <v>0</v>
      </c>
      <c r="H752">
        <v>10</v>
      </c>
      <c r="I752">
        <v>20</v>
      </c>
    </row>
    <row r="753" spans="1:9">
      <c r="A753">
        <v>7.5</v>
      </c>
      <c r="B753">
        <v>750</v>
      </c>
      <c r="C753">
        <v>0</v>
      </c>
      <c r="D753">
        <v>15</v>
      </c>
      <c r="E753">
        <v>3.75</v>
      </c>
      <c r="F753">
        <v>0</v>
      </c>
      <c r="G753">
        <v>0</v>
      </c>
      <c r="H753">
        <v>10</v>
      </c>
      <c r="I753">
        <v>20</v>
      </c>
    </row>
    <row r="754" spans="1:9">
      <c r="A754">
        <v>8</v>
      </c>
      <c r="B754">
        <v>800</v>
      </c>
      <c r="C754">
        <v>0</v>
      </c>
      <c r="D754">
        <v>15</v>
      </c>
      <c r="E754">
        <v>4</v>
      </c>
      <c r="F754">
        <v>0</v>
      </c>
      <c r="G754">
        <v>0</v>
      </c>
      <c r="H754">
        <v>10</v>
      </c>
      <c r="I754">
        <v>20</v>
      </c>
    </row>
    <row r="755" spans="1:9">
      <c r="A755">
        <v>8.5</v>
      </c>
      <c r="B755">
        <v>850</v>
      </c>
      <c r="C755">
        <v>0</v>
      </c>
      <c r="D755">
        <v>15</v>
      </c>
      <c r="E755">
        <v>4.25</v>
      </c>
      <c r="F755">
        <v>0</v>
      </c>
      <c r="G755">
        <v>0</v>
      </c>
      <c r="H755">
        <v>10</v>
      </c>
      <c r="I755">
        <v>20</v>
      </c>
    </row>
    <row r="756" spans="1:9">
      <c r="A756">
        <v>9</v>
      </c>
      <c r="B756">
        <v>900</v>
      </c>
      <c r="C756">
        <v>0</v>
      </c>
      <c r="D756">
        <v>15</v>
      </c>
      <c r="E756">
        <v>4.5</v>
      </c>
      <c r="F756">
        <v>0</v>
      </c>
      <c r="G756">
        <v>0</v>
      </c>
      <c r="H756">
        <v>10</v>
      </c>
      <c r="I756">
        <v>20</v>
      </c>
    </row>
    <row r="757" spans="1:9">
      <c r="A757">
        <v>9.5</v>
      </c>
      <c r="B757">
        <v>950</v>
      </c>
      <c r="C757">
        <v>0</v>
      </c>
      <c r="D757">
        <v>15</v>
      </c>
      <c r="E757">
        <v>4.75</v>
      </c>
      <c r="F757">
        <v>0</v>
      </c>
      <c r="G757">
        <v>0</v>
      </c>
      <c r="H757">
        <v>10</v>
      </c>
      <c r="I757">
        <v>20</v>
      </c>
    </row>
    <row r="758" spans="1:9">
      <c r="A758">
        <v>10</v>
      </c>
      <c r="B758">
        <v>1000</v>
      </c>
      <c r="C758">
        <v>0</v>
      </c>
      <c r="D758">
        <v>15</v>
      </c>
      <c r="E758">
        <v>5</v>
      </c>
      <c r="F758">
        <v>0</v>
      </c>
      <c r="G758">
        <v>0</v>
      </c>
      <c r="H758">
        <v>10</v>
      </c>
      <c r="I758">
        <v>20</v>
      </c>
    </row>
    <row r="759" spans="1:9">
      <c r="A759">
        <v>10.5</v>
      </c>
      <c r="B759">
        <v>1050</v>
      </c>
      <c r="C759">
        <v>0</v>
      </c>
      <c r="D759">
        <v>15</v>
      </c>
      <c r="E759">
        <v>5.25</v>
      </c>
      <c r="F759">
        <v>0</v>
      </c>
      <c r="G759">
        <v>0</v>
      </c>
      <c r="H759">
        <v>10</v>
      </c>
      <c r="I759">
        <v>20</v>
      </c>
    </row>
    <row r="760" spans="1:9">
      <c r="A760">
        <v>11</v>
      </c>
      <c r="B760">
        <v>1100</v>
      </c>
      <c r="C760">
        <v>0</v>
      </c>
      <c r="D760">
        <v>15</v>
      </c>
      <c r="E760">
        <v>5.5</v>
      </c>
      <c r="F760">
        <v>0</v>
      </c>
      <c r="G760">
        <v>0</v>
      </c>
      <c r="H760">
        <v>10</v>
      </c>
      <c r="I760">
        <v>20</v>
      </c>
    </row>
    <row r="761" spans="1:9">
      <c r="A761">
        <v>11.5</v>
      </c>
      <c r="B761">
        <v>1150</v>
      </c>
      <c r="C761">
        <v>0</v>
      </c>
      <c r="D761">
        <v>15</v>
      </c>
      <c r="E761">
        <v>5.75</v>
      </c>
      <c r="F761">
        <v>0</v>
      </c>
      <c r="G761">
        <v>0</v>
      </c>
      <c r="H761">
        <v>10</v>
      </c>
      <c r="I761">
        <v>20</v>
      </c>
    </row>
    <row r="762" spans="1:9">
      <c r="A762">
        <v>12</v>
      </c>
      <c r="B762">
        <v>1200</v>
      </c>
      <c r="C762">
        <v>0</v>
      </c>
      <c r="D762">
        <v>15</v>
      </c>
      <c r="E762">
        <v>6</v>
      </c>
      <c r="F762">
        <v>0</v>
      </c>
      <c r="G762">
        <v>0</v>
      </c>
      <c r="H762">
        <v>10</v>
      </c>
      <c r="I762">
        <v>20</v>
      </c>
    </row>
    <row r="763" spans="1:9">
      <c r="A763">
        <v>12.5</v>
      </c>
      <c r="B763">
        <v>1250</v>
      </c>
      <c r="C763">
        <v>0</v>
      </c>
      <c r="D763">
        <v>15</v>
      </c>
      <c r="E763">
        <v>6.25</v>
      </c>
      <c r="F763">
        <v>0</v>
      </c>
      <c r="G763">
        <v>0</v>
      </c>
      <c r="H763">
        <v>10</v>
      </c>
      <c r="I763">
        <v>20</v>
      </c>
    </row>
    <row r="764" spans="1:9">
      <c r="A764">
        <v>13</v>
      </c>
      <c r="B764">
        <v>1300</v>
      </c>
      <c r="C764">
        <v>0</v>
      </c>
      <c r="D764">
        <v>15</v>
      </c>
      <c r="E764">
        <v>6.5</v>
      </c>
      <c r="F764">
        <v>0</v>
      </c>
      <c r="G764">
        <v>0</v>
      </c>
      <c r="H764">
        <v>10</v>
      </c>
      <c r="I764">
        <v>20</v>
      </c>
    </row>
    <row r="765" spans="1:9">
      <c r="A765">
        <v>13.5</v>
      </c>
      <c r="B765">
        <v>1350</v>
      </c>
      <c r="C765">
        <v>0</v>
      </c>
      <c r="D765">
        <v>15</v>
      </c>
      <c r="E765">
        <v>6.75</v>
      </c>
      <c r="F765">
        <v>0</v>
      </c>
      <c r="G765">
        <v>0</v>
      </c>
      <c r="H765">
        <v>10</v>
      </c>
      <c r="I765">
        <v>20</v>
      </c>
    </row>
    <row r="766" spans="1:9">
      <c r="A766">
        <v>14</v>
      </c>
      <c r="B766">
        <v>1400</v>
      </c>
      <c r="C766">
        <v>0</v>
      </c>
      <c r="D766">
        <v>15</v>
      </c>
      <c r="E766">
        <v>7</v>
      </c>
      <c r="F766">
        <v>0</v>
      </c>
      <c r="G766">
        <v>0</v>
      </c>
      <c r="H766">
        <v>10</v>
      </c>
      <c r="I766">
        <v>20</v>
      </c>
    </row>
    <row r="767" spans="1:9">
      <c r="A767">
        <v>14.5</v>
      </c>
      <c r="B767">
        <v>1450</v>
      </c>
      <c r="C767">
        <v>0</v>
      </c>
      <c r="D767">
        <v>15</v>
      </c>
      <c r="E767">
        <v>7.25</v>
      </c>
      <c r="F767">
        <v>0</v>
      </c>
      <c r="G767">
        <v>0</v>
      </c>
      <c r="H767">
        <v>10</v>
      </c>
      <c r="I767">
        <v>20</v>
      </c>
    </row>
    <row r="768" spans="1:9">
      <c r="A768">
        <v>15</v>
      </c>
      <c r="B768">
        <v>1500</v>
      </c>
      <c r="C768">
        <v>0</v>
      </c>
      <c r="D768">
        <v>15</v>
      </c>
      <c r="E768">
        <v>7.5</v>
      </c>
      <c r="F768">
        <v>0</v>
      </c>
      <c r="G768">
        <v>0</v>
      </c>
      <c r="H768">
        <v>10</v>
      </c>
      <c r="I768">
        <v>20</v>
      </c>
    </row>
    <row r="771" spans="1:9">
      <c r="A771" t="s">
        <v>20</v>
      </c>
      <c r="B771" t="s">
        <v>36</v>
      </c>
      <c r="C771" t="s">
        <v>294</v>
      </c>
      <c r="I771">
        <v>23</v>
      </c>
    </row>
    <row r="772" spans="1:9">
      <c r="A772" t="s">
        <v>0</v>
      </c>
      <c r="B772" t="s">
        <v>12</v>
      </c>
      <c r="C772" t="s">
        <v>13</v>
      </c>
      <c r="D772" t="s">
        <v>14</v>
      </c>
      <c r="E772" t="s">
        <v>15</v>
      </c>
      <c r="F772" t="s">
        <v>16</v>
      </c>
      <c r="G772" t="s">
        <v>17</v>
      </c>
      <c r="H772" t="s">
        <v>18</v>
      </c>
      <c r="I772" t="s">
        <v>19</v>
      </c>
    </row>
    <row r="773" spans="1:9">
      <c r="A773">
        <v>0</v>
      </c>
      <c r="B773">
        <v>0.01</v>
      </c>
      <c r="C773">
        <v>0</v>
      </c>
      <c r="D773">
        <v>25</v>
      </c>
      <c r="E773">
        <v>0</v>
      </c>
      <c r="F773">
        <v>0</v>
      </c>
      <c r="G773">
        <v>0</v>
      </c>
      <c r="H773">
        <v>20</v>
      </c>
      <c r="I773">
        <v>30</v>
      </c>
    </row>
    <row r="774" spans="1:9">
      <c r="A774">
        <v>0.5</v>
      </c>
      <c r="B774">
        <v>50</v>
      </c>
      <c r="C774">
        <v>0</v>
      </c>
      <c r="D774">
        <v>25</v>
      </c>
      <c r="E774">
        <v>0.25</v>
      </c>
      <c r="F774">
        <v>0</v>
      </c>
      <c r="G774">
        <v>0</v>
      </c>
      <c r="H774">
        <v>20</v>
      </c>
      <c r="I774">
        <v>30</v>
      </c>
    </row>
    <row r="775" spans="1:9">
      <c r="A775">
        <v>1</v>
      </c>
      <c r="B775">
        <v>100</v>
      </c>
      <c r="C775">
        <v>0</v>
      </c>
      <c r="D775">
        <v>25</v>
      </c>
      <c r="E775">
        <v>0.5</v>
      </c>
      <c r="F775">
        <v>0</v>
      </c>
      <c r="G775">
        <v>0</v>
      </c>
      <c r="H775">
        <v>20</v>
      </c>
      <c r="I775">
        <v>30</v>
      </c>
    </row>
    <row r="776" spans="1:9">
      <c r="A776">
        <v>1.5</v>
      </c>
      <c r="B776">
        <v>150</v>
      </c>
      <c r="C776">
        <v>0</v>
      </c>
      <c r="D776">
        <v>25</v>
      </c>
      <c r="E776">
        <v>0.75</v>
      </c>
      <c r="F776">
        <v>0</v>
      </c>
      <c r="G776">
        <v>0</v>
      </c>
      <c r="H776">
        <v>20</v>
      </c>
      <c r="I776">
        <v>30</v>
      </c>
    </row>
    <row r="777" spans="1:9">
      <c r="A777">
        <v>2</v>
      </c>
      <c r="B777">
        <v>200</v>
      </c>
      <c r="C777">
        <v>0</v>
      </c>
      <c r="D777">
        <v>25</v>
      </c>
      <c r="E777">
        <v>1</v>
      </c>
      <c r="F777">
        <v>0</v>
      </c>
      <c r="G777">
        <v>0</v>
      </c>
      <c r="H777">
        <v>20</v>
      </c>
      <c r="I777">
        <v>30</v>
      </c>
    </row>
    <row r="778" spans="1:9">
      <c r="A778">
        <v>2.5</v>
      </c>
      <c r="B778">
        <v>250</v>
      </c>
      <c r="C778">
        <v>0</v>
      </c>
      <c r="D778">
        <v>25</v>
      </c>
      <c r="E778">
        <v>1.25</v>
      </c>
      <c r="F778">
        <v>0</v>
      </c>
      <c r="G778">
        <v>0</v>
      </c>
      <c r="H778">
        <v>20</v>
      </c>
      <c r="I778">
        <v>30</v>
      </c>
    </row>
    <row r="779" spans="1:9">
      <c r="A779">
        <v>3</v>
      </c>
      <c r="B779">
        <v>300</v>
      </c>
      <c r="C779">
        <v>0</v>
      </c>
      <c r="D779">
        <v>25</v>
      </c>
      <c r="E779">
        <v>1.5</v>
      </c>
      <c r="F779">
        <v>0</v>
      </c>
      <c r="G779">
        <v>0</v>
      </c>
      <c r="H779">
        <v>20</v>
      </c>
      <c r="I779">
        <v>30</v>
      </c>
    </row>
    <row r="780" spans="1:9">
      <c r="A780">
        <v>3.5</v>
      </c>
      <c r="B780">
        <v>350</v>
      </c>
      <c r="C780">
        <v>0</v>
      </c>
      <c r="D780">
        <v>25</v>
      </c>
      <c r="E780">
        <v>1.75</v>
      </c>
      <c r="F780">
        <v>0</v>
      </c>
      <c r="G780">
        <v>0</v>
      </c>
      <c r="H780">
        <v>20</v>
      </c>
      <c r="I780">
        <v>30</v>
      </c>
    </row>
    <row r="781" spans="1:9">
      <c r="A781">
        <v>4</v>
      </c>
      <c r="B781">
        <v>400</v>
      </c>
      <c r="C781">
        <v>0</v>
      </c>
      <c r="D781">
        <v>25</v>
      </c>
      <c r="E781">
        <v>2</v>
      </c>
      <c r="F781">
        <v>0</v>
      </c>
      <c r="G781">
        <v>0</v>
      </c>
      <c r="H781">
        <v>20</v>
      </c>
      <c r="I781">
        <v>30</v>
      </c>
    </row>
    <row r="782" spans="1:9">
      <c r="A782">
        <v>4.5</v>
      </c>
      <c r="B782">
        <v>450</v>
      </c>
      <c r="C782">
        <v>0</v>
      </c>
      <c r="D782">
        <v>25</v>
      </c>
      <c r="E782">
        <v>2.25</v>
      </c>
      <c r="F782">
        <v>0</v>
      </c>
      <c r="G782">
        <v>0</v>
      </c>
      <c r="H782">
        <v>20</v>
      </c>
      <c r="I782">
        <v>30</v>
      </c>
    </row>
    <row r="783" spans="1:9">
      <c r="A783">
        <v>5</v>
      </c>
      <c r="B783">
        <v>500</v>
      </c>
      <c r="C783">
        <v>0</v>
      </c>
      <c r="D783">
        <v>25</v>
      </c>
      <c r="E783">
        <v>2.5</v>
      </c>
      <c r="F783">
        <v>0</v>
      </c>
      <c r="G783">
        <v>0</v>
      </c>
      <c r="H783">
        <v>20</v>
      </c>
      <c r="I783">
        <v>30</v>
      </c>
    </row>
    <row r="784" spans="1:9">
      <c r="A784">
        <v>5.5</v>
      </c>
      <c r="B784">
        <v>550</v>
      </c>
      <c r="C784">
        <v>0</v>
      </c>
      <c r="D784">
        <v>25</v>
      </c>
      <c r="E784">
        <v>2.75</v>
      </c>
      <c r="F784">
        <v>0</v>
      </c>
      <c r="G784">
        <v>0</v>
      </c>
      <c r="H784">
        <v>20</v>
      </c>
      <c r="I784">
        <v>30</v>
      </c>
    </row>
    <row r="785" spans="1:9">
      <c r="A785">
        <v>6</v>
      </c>
      <c r="B785">
        <v>600</v>
      </c>
      <c r="C785">
        <v>0</v>
      </c>
      <c r="D785">
        <v>25</v>
      </c>
      <c r="E785">
        <v>3</v>
      </c>
      <c r="F785">
        <v>0</v>
      </c>
      <c r="G785">
        <v>0</v>
      </c>
      <c r="H785">
        <v>20</v>
      </c>
      <c r="I785">
        <v>30</v>
      </c>
    </row>
    <row r="786" spans="1:9">
      <c r="A786">
        <v>6.5</v>
      </c>
      <c r="B786">
        <v>650</v>
      </c>
      <c r="C786">
        <v>0</v>
      </c>
      <c r="D786">
        <v>25</v>
      </c>
      <c r="E786">
        <v>3.25</v>
      </c>
      <c r="F786">
        <v>0</v>
      </c>
      <c r="G786">
        <v>0</v>
      </c>
      <c r="H786">
        <v>20</v>
      </c>
      <c r="I786">
        <v>30</v>
      </c>
    </row>
    <row r="787" spans="1:9">
      <c r="A787">
        <v>7</v>
      </c>
      <c r="B787">
        <v>700</v>
      </c>
      <c r="C787">
        <v>0</v>
      </c>
      <c r="D787">
        <v>25</v>
      </c>
      <c r="E787">
        <v>3.5</v>
      </c>
      <c r="F787">
        <v>0</v>
      </c>
      <c r="G787">
        <v>0</v>
      </c>
      <c r="H787">
        <v>20</v>
      </c>
      <c r="I787">
        <v>30</v>
      </c>
    </row>
    <row r="788" spans="1:9">
      <c r="A788">
        <v>7.5</v>
      </c>
      <c r="B788">
        <v>750</v>
      </c>
      <c r="C788">
        <v>0</v>
      </c>
      <c r="D788">
        <v>25</v>
      </c>
      <c r="E788">
        <v>3.75</v>
      </c>
      <c r="F788">
        <v>0</v>
      </c>
      <c r="G788">
        <v>0</v>
      </c>
      <c r="H788">
        <v>20</v>
      </c>
      <c r="I788">
        <v>30</v>
      </c>
    </row>
    <row r="789" spans="1:9">
      <c r="A789">
        <v>8</v>
      </c>
      <c r="B789">
        <v>800</v>
      </c>
      <c r="C789">
        <v>0</v>
      </c>
      <c r="D789">
        <v>25</v>
      </c>
      <c r="E789">
        <v>4</v>
      </c>
      <c r="F789">
        <v>0</v>
      </c>
      <c r="G789">
        <v>0</v>
      </c>
      <c r="H789">
        <v>20</v>
      </c>
      <c r="I789">
        <v>30</v>
      </c>
    </row>
    <row r="790" spans="1:9">
      <c r="A790">
        <v>8.5</v>
      </c>
      <c r="B790">
        <v>850</v>
      </c>
      <c r="C790">
        <v>0</v>
      </c>
      <c r="D790">
        <v>25</v>
      </c>
      <c r="E790">
        <v>4.25</v>
      </c>
      <c r="F790">
        <v>0</v>
      </c>
      <c r="G790">
        <v>0</v>
      </c>
      <c r="H790">
        <v>20</v>
      </c>
      <c r="I790">
        <v>30</v>
      </c>
    </row>
    <row r="791" spans="1:9">
      <c r="A791">
        <v>9</v>
      </c>
      <c r="B791">
        <v>900</v>
      </c>
      <c r="C791">
        <v>0</v>
      </c>
      <c r="D791">
        <v>25</v>
      </c>
      <c r="E791">
        <v>4.5</v>
      </c>
      <c r="F791">
        <v>0</v>
      </c>
      <c r="G791">
        <v>0</v>
      </c>
      <c r="H791">
        <v>20</v>
      </c>
      <c r="I791">
        <v>30</v>
      </c>
    </row>
    <row r="792" spans="1:9">
      <c r="A792">
        <v>9.5</v>
      </c>
      <c r="B792">
        <v>950</v>
      </c>
      <c r="C792">
        <v>0</v>
      </c>
      <c r="D792">
        <v>25</v>
      </c>
      <c r="E792">
        <v>4.75</v>
      </c>
      <c r="F792">
        <v>0</v>
      </c>
      <c r="G792">
        <v>0</v>
      </c>
      <c r="H792">
        <v>20</v>
      </c>
      <c r="I792">
        <v>30</v>
      </c>
    </row>
    <row r="793" spans="1:9">
      <c r="A793">
        <v>10</v>
      </c>
      <c r="B793">
        <v>1000</v>
      </c>
      <c r="C793">
        <v>0</v>
      </c>
      <c r="D793">
        <v>25</v>
      </c>
      <c r="E793">
        <v>5</v>
      </c>
      <c r="F793">
        <v>0</v>
      </c>
      <c r="G793">
        <v>0</v>
      </c>
      <c r="H793">
        <v>20</v>
      </c>
      <c r="I793">
        <v>30</v>
      </c>
    </row>
    <row r="794" spans="1:9">
      <c r="A794">
        <v>10.5</v>
      </c>
      <c r="B794">
        <v>1050</v>
      </c>
      <c r="C794">
        <v>0</v>
      </c>
      <c r="D794">
        <v>25</v>
      </c>
      <c r="E794">
        <v>5.25</v>
      </c>
      <c r="F794">
        <v>0</v>
      </c>
      <c r="G794">
        <v>0</v>
      </c>
      <c r="H794">
        <v>20</v>
      </c>
      <c r="I794">
        <v>30</v>
      </c>
    </row>
    <row r="795" spans="1:9">
      <c r="A795">
        <v>11</v>
      </c>
      <c r="B795">
        <v>1100</v>
      </c>
      <c r="C795">
        <v>0</v>
      </c>
      <c r="D795">
        <v>25</v>
      </c>
      <c r="E795">
        <v>5.5</v>
      </c>
      <c r="F795">
        <v>0</v>
      </c>
      <c r="G795">
        <v>0</v>
      </c>
      <c r="H795">
        <v>20</v>
      </c>
      <c r="I795">
        <v>30</v>
      </c>
    </row>
    <row r="796" spans="1:9">
      <c r="A796">
        <v>11.5</v>
      </c>
      <c r="B796">
        <v>1150</v>
      </c>
      <c r="C796">
        <v>0</v>
      </c>
      <c r="D796">
        <v>25</v>
      </c>
      <c r="E796">
        <v>5.75</v>
      </c>
      <c r="F796">
        <v>0</v>
      </c>
      <c r="G796">
        <v>0</v>
      </c>
      <c r="H796">
        <v>20</v>
      </c>
      <c r="I796">
        <v>30</v>
      </c>
    </row>
    <row r="797" spans="1:9">
      <c r="A797">
        <v>12</v>
      </c>
      <c r="B797">
        <v>1200</v>
      </c>
      <c r="C797">
        <v>0</v>
      </c>
      <c r="D797">
        <v>25</v>
      </c>
      <c r="E797">
        <v>6</v>
      </c>
      <c r="F797">
        <v>0</v>
      </c>
      <c r="G797">
        <v>0</v>
      </c>
      <c r="H797">
        <v>20</v>
      </c>
      <c r="I797">
        <v>30</v>
      </c>
    </row>
    <row r="798" spans="1:9">
      <c r="A798">
        <v>12.5</v>
      </c>
      <c r="B798">
        <v>1250</v>
      </c>
      <c r="C798">
        <v>0</v>
      </c>
      <c r="D798">
        <v>25</v>
      </c>
      <c r="E798">
        <v>6.25</v>
      </c>
      <c r="F798">
        <v>0</v>
      </c>
      <c r="G798">
        <v>0</v>
      </c>
      <c r="H798">
        <v>20</v>
      </c>
      <c r="I798">
        <v>30</v>
      </c>
    </row>
    <row r="799" spans="1:9">
      <c r="A799">
        <v>13</v>
      </c>
      <c r="B799">
        <v>1300</v>
      </c>
      <c r="C799">
        <v>0</v>
      </c>
      <c r="D799">
        <v>25</v>
      </c>
      <c r="E799">
        <v>6.5</v>
      </c>
      <c r="F799">
        <v>0</v>
      </c>
      <c r="G799">
        <v>0</v>
      </c>
      <c r="H799">
        <v>20</v>
      </c>
      <c r="I799">
        <v>30</v>
      </c>
    </row>
    <row r="800" spans="1:9">
      <c r="A800">
        <v>13.5</v>
      </c>
      <c r="B800">
        <v>1350</v>
      </c>
      <c r="C800">
        <v>0</v>
      </c>
      <c r="D800">
        <v>25</v>
      </c>
      <c r="E800">
        <v>6.75</v>
      </c>
      <c r="F800">
        <v>0</v>
      </c>
      <c r="G800">
        <v>0</v>
      </c>
      <c r="H800">
        <v>20</v>
      </c>
      <c r="I800">
        <v>30</v>
      </c>
    </row>
    <row r="801" spans="1:9">
      <c r="A801">
        <v>14</v>
      </c>
      <c r="B801">
        <v>1400</v>
      </c>
      <c r="C801">
        <v>0</v>
      </c>
      <c r="D801">
        <v>25</v>
      </c>
      <c r="E801">
        <v>7</v>
      </c>
      <c r="F801">
        <v>0</v>
      </c>
      <c r="G801">
        <v>0</v>
      </c>
      <c r="H801">
        <v>20</v>
      </c>
      <c r="I801">
        <v>30</v>
      </c>
    </row>
    <row r="802" spans="1:9">
      <c r="A802">
        <v>14.5</v>
      </c>
      <c r="B802">
        <v>1450</v>
      </c>
      <c r="C802">
        <v>0</v>
      </c>
      <c r="D802">
        <v>25</v>
      </c>
      <c r="E802">
        <v>7.25</v>
      </c>
      <c r="F802">
        <v>0</v>
      </c>
      <c r="G802">
        <v>0</v>
      </c>
      <c r="H802">
        <v>20</v>
      </c>
      <c r="I802">
        <v>30</v>
      </c>
    </row>
    <row r="803" spans="1:9">
      <c r="A803">
        <v>15</v>
      </c>
      <c r="B803">
        <v>1500</v>
      </c>
      <c r="C803">
        <v>0</v>
      </c>
      <c r="D803">
        <v>25</v>
      </c>
      <c r="E803">
        <v>7.5</v>
      </c>
      <c r="F803">
        <v>0</v>
      </c>
      <c r="G803">
        <v>0</v>
      </c>
      <c r="H803">
        <v>20</v>
      </c>
      <c r="I803">
        <v>30</v>
      </c>
    </row>
    <row r="806" spans="1:9">
      <c r="A806" t="s">
        <v>20</v>
      </c>
      <c r="B806" t="s">
        <v>36</v>
      </c>
      <c r="C806" t="s">
        <v>295</v>
      </c>
      <c r="I806">
        <v>24</v>
      </c>
    </row>
    <row r="807" spans="1:9">
      <c r="A807" t="s">
        <v>0</v>
      </c>
      <c r="B807" t="s">
        <v>12</v>
      </c>
      <c r="C807" t="s">
        <v>13</v>
      </c>
      <c r="D807" t="s">
        <v>14</v>
      </c>
      <c r="E807" t="s">
        <v>15</v>
      </c>
      <c r="F807" t="s">
        <v>16</v>
      </c>
      <c r="G807" t="s">
        <v>17</v>
      </c>
      <c r="H807" t="s">
        <v>18</v>
      </c>
      <c r="I807" t="s">
        <v>19</v>
      </c>
    </row>
    <row r="808" spans="1:9">
      <c r="A808">
        <v>0</v>
      </c>
      <c r="B808">
        <v>0.01</v>
      </c>
      <c r="C808">
        <v>0</v>
      </c>
      <c r="D808">
        <v>35</v>
      </c>
      <c r="E808">
        <v>0</v>
      </c>
      <c r="F808">
        <v>0</v>
      </c>
      <c r="G808">
        <v>0</v>
      </c>
      <c r="H808">
        <v>30</v>
      </c>
      <c r="I808">
        <v>40</v>
      </c>
    </row>
    <row r="809" spans="1:9">
      <c r="A809">
        <v>0.5</v>
      </c>
      <c r="B809">
        <v>50</v>
      </c>
      <c r="C809">
        <v>0</v>
      </c>
      <c r="D809">
        <v>35</v>
      </c>
      <c r="E809">
        <v>0.25</v>
      </c>
      <c r="F809">
        <v>0</v>
      </c>
      <c r="G809">
        <v>0</v>
      </c>
      <c r="H809">
        <v>30</v>
      </c>
      <c r="I809">
        <v>40</v>
      </c>
    </row>
    <row r="810" spans="1:9">
      <c r="A810">
        <v>1</v>
      </c>
      <c r="B810">
        <v>100</v>
      </c>
      <c r="C810">
        <v>0</v>
      </c>
      <c r="D810">
        <v>35</v>
      </c>
      <c r="E810">
        <v>0.5</v>
      </c>
      <c r="F810">
        <v>0</v>
      </c>
      <c r="G810">
        <v>0</v>
      </c>
      <c r="H810">
        <v>30</v>
      </c>
      <c r="I810">
        <v>40</v>
      </c>
    </row>
    <row r="811" spans="1:9">
      <c r="A811">
        <v>1.5</v>
      </c>
      <c r="B811">
        <v>150</v>
      </c>
      <c r="C811">
        <v>0</v>
      </c>
      <c r="D811">
        <v>35</v>
      </c>
      <c r="E811">
        <v>0.75</v>
      </c>
      <c r="F811">
        <v>0</v>
      </c>
      <c r="G811">
        <v>0</v>
      </c>
      <c r="H811">
        <v>30</v>
      </c>
      <c r="I811">
        <v>40</v>
      </c>
    </row>
    <row r="812" spans="1:9">
      <c r="A812">
        <v>2</v>
      </c>
      <c r="B812">
        <v>200</v>
      </c>
      <c r="C812">
        <v>0</v>
      </c>
      <c r="D812">
        <v>35</v>
      </c>
      <c r="E812">
        <v>1</v>
      </c>
      <c r="F812">
        <v>0</v>
      </c>
      <c r="G812">
        <v>0</v>
      </c>
      <c r="H812">
        <v>30</v>
      </c>
      <c r="I812">
        <v>40</v>
      </c>
    </row>
    <row r="813" spans="1:9">
      <c r="A813">
        <v>2.5</v>
      </c>
      <c r="B813">
        <v>250</v>
      </c>
      <c r="C813">
        <v>0</v>
      </c>
      <c r="D813">
        <v>35</v>
      </c>
      <c r="E813">
        <v>1.25</v>
      </c>
      <c r="F813">
        <v>0</v>
      </c>
      <c r="G813">
        <v>0</v>
      </c>
      <c r="H813">
        <v>30</v>
      </c>
      <c r="I813">
        <v>40</v>
      </c>
    </row>
    <row r="814" spans="1:9">
      <c r="A814">
        <v>3</v>
      </c>
      <c r="B814">
        <v>300</v>
      </c>
      <c r="C814">
        <v>0</v>
      </c>
      <c r="D814">
        <v>35</v>
      </c>
      <c r="E814">
        <v>1.5</v>
      </c>
      <c r="F814">
        <v>0</v>
      </c>
      <c r="G814">
        <v>0</v>
      </c>
      <c r="H814">
        <v>30</v>
      </c>
      <c r="I814">
        <v>40</v>
      </c>
    </row>
    <row r="815" spans="1:9">
      <c r="A815">
        <v>3.5</v>
      </c>
      <c r="B815">
        <v>350</v>
      </c>
      <c r="C815">
        <v>0</v>
      </c>
      <c r="D815">
        <v>35</v>
      </c>
      <c r="E815">
        <v>1.75</v>
      </c>
      <c r="F815">
        <v>0</v>
      </c>
      <c r="G815">
        <v>0</v>
      </c>
      <c r="H815">
        <v>30</v>
      </c>
      <c r="I815">
        <v>40</v>
      </c>
    </row>
    <row r="816" spans="1:9">
      <c r="A816">
        <v>4</v>
      </c>
      <c r="B816">
        <v>400</v>
      </c>
      <c r="C816">
        <v>0</v>
      </c>
      <c r="D816">
        <v>35</v>
      </c>
      <c r="E816">
        <v>2</v>
      </c>
      <c r="F816">
        <v>0</v>
      </c>
      <c r="G816">
        <v>0</v>
      </c>
      <c r="H816">
        <v>30</v>
      </c>
      <c r="I816">
        <v>40</v>
      </c>
    </row>
    <row r="817" spans="1:9">
      <c r="A817">
        <v>4.5</v>
      </c>
      <c r="B817">
        <v>450</v>
      </c>
      <c r="C817">
        <v>0</v>
      </c>
      <c r="D817">
        <v>35</v>
      </c>
      <c r="E817">
        <v>2.25</v>
      </c>
      <c r="F817">
        <v>0</v>
      </c>
      <c r="G817">
        <v>0</v>
      </c>
      <c r="H817">
        <v>30</v>
      </c>
      <c r="I817">
        <v>40</v>
      </c>
    </row>
    <row r="818" spans="1:9">
      <c r="A818">
        <v>5</v>
      </c>
      <c r="B818">
        <v>500</v>
      </c>
      <c r="C818">
        <v>0</v>
      </c>
      <c r="D818">
        <v>35</v>
      </c>
      <c r="E818">
        <v>2.5</v>
      </c>
      <c r="F818">
        <v>0</v>
      </c>
      <c r="G818">
        <v>0</v>
      </c>
      <c r="H818">
        <v>30</v>
      </c>
      <c r="I818">
        <v>40</v>
      </c>
    </row>
    <row r="819" spans="1:9">
      <c r="A819">
        <v>5.5</v>
      </c>
      <c r="B819">
        <v>550</v>
      </c>
      <c r="C819">
        <v>0</v>
      </c>
      <c r="D819">
        <v>35</v>
      </c>
      <c r="E819">
        <v>2.75</v>
      </c>
      <c r="F819">
        <v>0</v>
      </c>
      <c r="G819">
        <v>0</v>
      </c>
      <c r="H819">
        <v>30</v>
      </c>
      <c r="I819">
        <v>40</v>
      </c>
    </row>
    <row r="820" spans="1:9">
      <c r="A820">
        <v>6</v>
      </c>
      <c r="B820">
        <v>600</v>
      </c>
      <c r="C820">
        <v>0</v>
      </c>
      <c r="D820">
        <v>35</v>
      </c>
      <c r="E820">
        <v>3</v>
      </c>
      <c r="F820">
        <v>0</v>
      </c>
      <c r="G820">
        <v>0</v>
      </c>
      <c r="H820">
        <v>30</v>
      </c>
      <c r="I820">
        <v>40</v>
      </c>
    </row>
    <row r="821" spans="1:9">
      <c r="A821">
        <v>6.5</v>
      </c>
      <c r="B821">
        <v>650</v>
      </c>
      <c r="C821">
        <v>0</v>
      </c>
      <c r="D821">
        <v>35</v>
      </c>
      <c r="E821">
        <v>3.25</v>
      </c>
      <c r="F821">
        <v>0</v>
      </c>
      <c r="G821">
        <v>0</v>
      </c>
      <c r="H821">
        <v>30</v>
      </c>
      <c r="I821">
        <v>40</v>
      </c>
    </row>
    <row r="822" spans="1:9">
      <c r="A822">
        <v>7</v>
      </c>
      <c r="B822">
        <v>700</v>
      </c>
      <c r="C822">
        <v>0</v>
      </c>
      <c r="D822">
        <v>35</v>
      </c>
      <c r="E822">
        <v>3.5</v>
      </c>
      <c r="F822">
        <v>0</v>
      </c>
      <c r="G822">
        <v>0</v>
      </c>
      <c r="H822">
        <v>30</v>
      </c>
      <c r="I822">
        <v>40</v>
      </c>
    </row>
    <row r="823" spans="1:9">
      <c r="A823">
        <v>7.5</v>
      </c>
      <c r="B823">
        <v>750</v>
      </c>
      <c r="C823">
        <v>0</v>
      </c>
      <c r="D823">
        <v>35</v>
      </c>
      <c r="E823">
        <v>3.75</v>
      </c>
      <c r="F823">
        <v>0</v>
      </c>
      <c r="G823">
        <v>0</v>
      </c>
      <c r="H823">
        <v>30</v>
      </c>
      <c r="I823">
        <v>40</v>
      </c>
    </row>
    <row r="824" spans="1:9">
      <c r="A824">
        <v>8</v>
      </c>
      <c r="B824">
        <v>800</v>
      </c>
      <c r="C824">
        <v>0</v>
      </c>
      <c r="D824">
        <v>35</v>
      </c>
      <c r="E824">
        <v>4</v>
      </c>
      <c r="F824">
        <v>0</v>
      </c>
      <c r="G824">
        <v>0</v>
      </c>
      <c r="H824">
        <v>30</v>
      </c>
      <c r="I824">
        <v>40</v>
      </c>
    </row>
    <row r="825" spans="1:9">
      <c r="A825">
        <v>8.5</v>
      </c>
      <c r="B825">
        <v>850</v>
      </c>
      <c r="C825">
        <v>0</v>
      </c>
      <c r="D825">
        <v>35</v>
      </c>
      <c r="E825">
        <v>4.25</v>
      </c>
      <c r="F825">
        <v>0</v>
      </c>
      <c r="G825">
        <v>0</v>
      </c>
      <c r="H825">
        <v>30</v>
      </c>
      <c r="I825">
        <v>40</v>
      </c>
    </row>
    <row r="826" spans="1:9">
      <c r="A826">
        <v>9</v>
      </c>
      <c r="B826">
        <v>900</v>
      </c>
      <c r="C826">
        <v>0</v>
      </c>
      <c r="D826">
        <v>35</v>
      </c>
      <c r="E826">
        <v>4.5</v>
      </c>
      <c r="F826">
        <v>0</v>
      </c>
      <c r="G826">
        <v>0</v>
      </c>
      <c r="H826">
        <v>30</v>
      </c>
      <c r="I826">
        <v>40</v>
      </c>
    </row>
    <row r="827" spans="1:9">
      <c r="A827">
        <v>9.5</v>
      </c>
      <c r="B827">
        <v>950</v>
      </c>
      <c r="C827">
        <v>0</v>
      </c>
      <c r="D827">
        <v>35</v>
      </c>
      <c r="E827">
        <v>4.75</v>
      </c>
      <c r="F827">
        <v>0</v>
      </c>
      <c r="G827">
        <v>0</v>
      </c>
      <c r="H827">
        <v>30</v>
      </c>
      <c r="I827">
        <v>40</v>
      </c>
    </row>
    <row r="828" spans="1:9">
      <c r="A828">
        <v>10</v>
      </c>
      <c r="B828">
        <v>1000</v>
      </c>
      <c r="C828">
        <v>0</v>
      </c>
      <c r="D828">
        <v>35</v>
      </c>
      <c r="E828">
        <v>5</v>
      </c>
      <c r="F828">
        <v>0</v>
      </c>
      <c r="G828">
        <v>0</v>
      </c>
      <c r="H828">
        <v>30</v>
      </c>
      <c r="I828">
        <v>40</v>
      </c>
    </row>
    <row r="829" spans="1:9">
      <c r="A829">
        <v>10.5</v>
      </c>
      <c r="B829">
        <v>1050</v>
      </c>
      <c r="C829">
        <v>0</v>
      </c>
      <c r="D829">
        <v>35</v>
      </c>
      <c r="E829">
        <v>5.25</v>
      </c>
      <c r="F829">
        <v>0</v>
      </c>
      <c r="G829">
        <v>0</v>
      </c>
      <c r="H829">
        <v>30</v>
      </c>
      <c r="I829">
        <v>40</v>
      </c>
    </row>
    <row r="830" spans="1:9">
      <c r="A830">
        <v>11</v>
      </c>
      <c r="B830">
        <v>1100</v>
      </c>
      <c r="C830">
        <v>0</v>
      </c>
      <c r="D830">
        <v>35</v>
      </c>
      <c r="E830">
        <v>5.5</v>
      </c>
      <c r="F830">
        <v>0</v>
      </c>
      <c r="G830">
        <v>0</v>
      </c>
      <c r="H830">
        <v>30</v>
      </c>
      <c r="I830">
        <v>40</v>
      </c>
    </row>
    <row r="831" spans="1:9">
      <c r="A831">
        <v>11.5</v>
      </c>
      <c r="B831">
        <v>1150</v>
      </c>
      <c r="C831">
        <v>0</v>
      </c>
      <c r="D831">
        <v>35</v>
      </c>
      <c r="E831">
        <v>5.75</v>
      </c>
      <c r="F831">
        <v>0</v>
      </c>
      <c r="G831">
        <v>0</v>
      </c>
      <c r="H831">
        <v>30</v>
      </c>
      <c r="I831">
        <v>40</v>
      </c>
    </row>
    <row r="832" spans="1:9">
      <c r="A832">
        <v>12</v>
      </c>
      <c r="B832">
        <v>1200</v>
      </c>
      <c r="C832">
        <v>0</v>
      </c>
      <c r="D832">
        <v>35</v>
      </c>
      <c r="E832">
        <v>6</v>
      </c>
      <c r="F832">
        <v>0</v>
      </c>
      <c r="G832">
        <v>0</v>
      </c>
      <c r="H832">
        <v>30</v>
      </c>
      <c r="I832">
        <v>40</v>
      </c>
    </row>
    <row r="833" spans="1:9">
      <c r="A833">
        <v>12.5</v>
      </c>
      <c r="B833">
        <v>1250</v>
      </c>
      <c r="C833">
        <v>0</v>
      </c>
      <c r="D833">
        <v>35</v>
      </c>
      <c r="E833">
        <v>6.25</v>
      </c>
      <c r="F833">
        <v>0</v>
      </c>
      <c r="G833">
        <v>0</v>
      </c>
      <c r="H833">
        <v>30</v>
      </c>
      <c r="I833">
        <v>40</v>
      </c>
    </row>
    <row r="834" spans="1:9">
      <c r="A834">
        <v>13</v>
      </c>
      <c r="B834">
        <v>1300</v>
      </c>
      <c r="C834">
        <v>0</v>
      </c>
      <c r="D834">
        <v>35</v>
      </c>
      <c r="E834">
        <v>6.5</v>
      </c>
      <c r="F834">
        <v>0</v>
      </c>
      <c r="G834">
        <v>0</v>
      </c>
      <c r="H834">
        <v>30</v>
      </c>
      <c r="I834">
        <v>40</v>
      </c>
    </row>
    <row r="835" spans="1:9">
      <c r="A835">
        <v>13.5</v>
      </c>
      <c r="B835">
        <v>1350</v>
      </c>
      <c r="C835">
        <v>0</v>
      </c>
      <c r="D835">
        <v>35</v>
      </c>
      <c r="E835">
        <v>6.75</v>
      </c>
      <c r="F835">
        <v>0</v>
      </c>
      <c r="G835">
        <v>0</v>
      </c>
      <c r="H835">
        <v>30</v>
      </c>
      <c r="I835">
        <v>40</v>
      </c>
    </row>
    <row r="836" spans="1:9">
      <c r="A836">
        <v>14</v>
      </c>
      <c r="B836">
        <v>1400</v>
      </c>
      <c r="C836">
        <v>0</v>
      </c>
      <c r="D836">
        <v>35</v>
      </c>
      <c r="E836">
        <v>7</v>
      </c>
      <c r="F836">
        <v>0</v>
      </c>
      <c r="G836">
        <v>0</v>
      </c>
      <c r="H836">
        <v>30</v>
      </c>
      <c r="I836">
        <v>40</v>
      </c>
    </row>
    <row r="837" spans="1:9">
      <c r="A837">
        <v>14.5</v>
      </c>
      <c r="B837">
        <v>1450</v>
      </c>
      <c r="C837">
        <v>0</v>
      </c>
      <c r="D837">
        <v>35</v>
      </c>
      <c r="E837">
        <v>7.25</v>
      </c>
      <c r="F837">
        <v>0</v>
      </c>
      <c r="G837">
        <v>0</v>
      </c>
      <c r="H837">
        <v>30</v>
      </c>
      <c r="I837">
        <v>40</v>
      </c>
    </row>
    <row r="838" spans="1:9">
      <c r="A838">
        <v>15</v>
      </c>
      <c r="B838">
        <v>1500</v>
      </c>
      <c r="C838">
        <v>0</v>
      </c>
      <c r="D838">
        <v>35</v>
      </c>
      <c r="E838">
        <v>7.5</v>
      </c>
      <c r="F838">
        <v>0</v>
      </c>
      <c r="G838">
        <v>0</v>
      </c>
      <c r="H838">
        <v>30</v>
      </c>
      <c r="I838">
        <v>40</v>
      </c>
    </row>
    <row r="841" spans="1:9">
      <c r="A841" t="s">
        <v>20</v>
      </c>
      <c r="B841" t="s">
        <v>36</v>
      </c>
      <c r="C841" t="s">
        <v>296</v>
      </c>
      <c r="I841">
        <v>25</v>
      </c>
    </row>
    <row r="842" spans="1:9">
      <c r="A842" t="s">
        <v>0</v>
      </c>
      <c r="B842" t="s">
        <v>12</v>
      </c>
      <c r="C842" t="s">
        <v>13</v>
      </c>
      <c r="D842" t="s">
        <v>14</v>
      </c>
      <c r="E842" t="s">
        <v>15</v>
      </c>
      <c r="F842" t="s">
        <v>16</v>
      </c>
      <c r="G842" t="s">
        <v>17</v>
      </c>
      <c r="H842" t="s">
        <v>18</v>
      </c>
      <c r="I842" t="s">
        <v>19</v>
      </c>
    </row>
    <row r="843" spans="1:9">
      <c r="A843">
        <v>0</v>
      </c>
      <c r="B843">
        <v>0.01</v>
      </c>
      <c r="C843">
        <v>0</v>
      </c>
      <c r="D843">
        <v>45</v>
      </c>
      <c r="E843">
        <v>0</v>
      </c>
      <c r="F843">
        <v>0</v>
      </c>
      <c r="G843">
        <v>0</v>
      </c>
      <c r="H843">
        <v>40</v>
      </c>
      <c r="I843">
        <v>50</v>
      </c>
    </row>
    <row r="844" spans="1:9">
      <c r="A844">
        <v>0.5</v>
      </c>
      <c r="B844">
        <v>50</v>
      </c>
      <c r="C844">
        <v>0</v>
      </c>
      <c r="D844">
        <v>45</v>
      </c>
      <c r="E844">
        <v>0.25</v>
      </c>
      <c r="F844">
        <v>0</v>
      </c>
      <c r="G844">
        <v>0</v>
      </c>
      <c r="H844">
        <v>40</v>
      </c>
      <c r="I844">
        <v>50</v>
      </c>
    </row>
    <row r="845" spans="1:9">
      <c r="A845">
        <v>1</v>
      </c>
      <c r="B845">
        <v>100</v>
      </c>
      <c r="C845">
        <v>0</v>
      </c>
      <c r="D845">
        <v>45</v>
      </c>
      <c r="E845">
        <v>0.5</v>
      </c>
      <c r="F845">
        <v>0</v>
      </c>
      <c r="G845">
        <v>0</v>
      </c>
      <c r="H845">
        <v>40</v>
      </c>
      <c r="I845">
        <v>50</v>
      </c>
    </row>
    <row r="846" spans="1:9">
      <c r="A846">
        <v>1.5</v>
      </c>
      <c r="B846">
        <v>150</v>
      </c>
      <c r="C846">
        <v>0</v>
      </c>
      <c r="D846">
        <v>45</v>
      </c>
      <c r="E846">
        <v>0.75</v>
      </c>
      <c r="F846">
        <v>0</v>
      </c>
      <c r="G846">
        <v>0</v>
      </c>
      <c r="H846">
        <v>40</v>
      </c>
      <c r="I846">
        <v>50</v>
      </c>
    </row>
    <row r="847" spans="1:9">
      <c r="A847">
        <v>2</v>
      </c>
      <c r="B847">
        <v>200</v>
      </c>
      <c r="C847">
        <v>0</v>
      </c>
      <c r="D847">
        <v>45</v>
      </c>
      <c r="E847">
        <v>1</v>
      </c>
      <c r="F847">
        <v>0</v>
      </c>
      <c r="G847">
        <v>0</v>
      </c>
      <c r="H847">
        <v>40</v>
      </c>
      <c r="I847">
        <v>50</v>
      </c>
    </row>
    <row r="848" spans="1:9">
      <c r="A848">
        <v>2.5</v>
      </c>
      <c r="B848">
        <v>250</v>
      </c>
      <c r="C848">
        <v>0</v>
      </c>
      <c r="D848">
        <v>45</v>
      </c>
      <c r="E848">
        <v>1.25</v>
      </c>
      <c r="F848">
        <v>0</v>
      </c>
      <c r="G848">
        <v>0</v>
      </c>
      <c r="H848">
        <v>40</v>
      </c>
      <c r="I848">
        <v>50</v>
      </c>
    </row>
    <row r="849" spans="1:9">
      <c r="A849">
        <v>3</v>
      </c>
      <c r="B849">
        <v>300</v>
      </c>
      <c r="C849">
        <v>0</v>
      </c>
      <c r="D849">
        <v>45</v>
      </c>
      <c r="E849">
        <v>1.5</v>
      </c>
      <c r="F849">
        <v>0</v>
      </c>
      <c r="G849">
        <v>0</v>
      </c>
      <c r="H849">
        <v>40</v>
      </c>
      <c r="I849">
        <v>50</v>
      </c>
    </row>
    <row r="850" spans="1:9">
      <c r="A850">
        <v>3.5</v>
      </c>
      <c r="B850">
        <v>350</v>
      </c>
      <c r="C850">
        <v>0</v>
      </c>
      <c r="D850">
        <v>45</v>
      </c>
      <c r="E850">
        <v>1.75</v>
      </c>
      <c r="F850">
        <v>0</v>
      </c>
      <c r="G850">
        <v>0</v>
      </c>
      <c r="H850">
        <v>40</v>
      </c>
      <c r="I850">
        <v>50</v>
      </c>
    </row>
    <row r="851" spans="1:9">
      <c r="A851">
        <v>4</v>
      </c>
      <c r="B851">
        <v>400</v>
      </c>
      <c r="C851">
        <v>0</v>
      </c>
      <c r="D851">
        <v>45</v>
      </c>
      <c r="E851">
        <v>2</v>
      </c>
      <c r="F851">
        <v>0</v>
      </c>
      <c r="G851">
        <v>0</v>
      </c>
      <c r="H851">
        <v>40</v>
      </c>
      <c r="I851">
        <v>50</v>
      </c>
    </row>
    <row r="852" spans="1:9">
      <c r="A852">
        <v>4.5</v>
      </c>
      <c r="B852">
        <v>450</v>
      </c>
      <c r="C852">
        <v>0</v>
      </c>
      <c r="D852">
        <v>45</v>
      </c>
      <c r="E852">
        <v>2.25</v>
      </c>
      <c r="F852">
        <v>0</v>
      </c>
      <c r="G852">
        <v>0</v>
      </c>
      <c r="H852">
        <v>40</v>
      </c>
      <c r="I852">
        <v>50</v>
      </c>
    </row>
    <row r="853" spans="1:9">
      <c r="A853">
        <v>5</v>
      </c>
      <c r="B853">
        <v>500</v>
      </c>
      <c r="C853">
        <v>0</v>
      </c>
      <c r="D853">
        <v>45</v>
      </c>
      <c r="E853">
        <v>2.5</v>
      </c>
      <c r="F853">
        <v>0</v>
      </c>
      <c r="G853">
        <v>0</v>
      </c>
      <c r="H853">
        <v>40</v>
      </c>
      <c r="I853">
        <v>50</v>
      </c>
    </row>
    <row r="854" spans="1:9">
      <c r="A854">
        <v>5.5</v>
      </c>
      <c r="B854">
        <v>550</v>
      </c>
      <c r="C854">
        <v>0</v>
      </c>
      <c r="D854">
        <v>45</v>
      </c>
      <c r="E854">
        <v>2.75</v>
      </c>
      <c r="F854">
        <v>0</v>
      </c>
      <c r="G854">
        <v>0</v>
      </c>
      <c r="H854">
        <v>40</v>
      </c>
      <c r="I854">
        <v>50</v>
      </c>
    </row>
    <row r="855" spans="1:9">
      <c r="A855">
        <v>6</v>
      </c>
      <c r="B855">
        <v>600</v>
      </c>
      <c r="C855">
        <v>0</v>
      </c>
      <c r="D855">
        <v>45</v>
      </c>
      <c r="E855">
        <v>3</v>
      </c>
      <c r="F855">
        <v>0</v>
      </c>
      <c r="G855">
        <v>0</v>
      </c>
      <c r="H855">
        <v>40</v>
      </c>
      <c r="I855">
        <v>50</v>
      </c>
    </row>
    <row r="856" spans="1:9">
      <c r="A856">
        <v>6.5</v>
      </c>
      <c r="B856">
        <v>650</v>
      </c>
      <c r="C856">
        <v>0</v>
      </c>
      <c r="D856">
        <v>45</v>
      </c>
      <c r="E856">
        <v>3.25</v>
      </c>
      <c r="F856">
        <v>0</v>
      </c>
      <c r="G856">
        <v>0</v>
      </c>
      <c r="H856">
        <v>40</v>
      </c>
      <c r="I856">
        <v>50</v>
      </c>
    </row>
    <row r="857" spans="1:9">
      <c r="A857">
        <v>7</v>
      </c>
      <c r="B857">
        <v>700</v>
      </c>
      <c r="C857">
        <v>0</v>
      </c>
      <c r="D857">
        <v>45</v>
      </c>
      <c r="E857">
        <v>3.5</v>
      </c>
      <c r="F857">
        <v>0</v>
      </c>
      <c r="G857">
        <v>0</v>
      </c>
      <c r="H857">
        <v>40</v>
      </c>
      <c r="I857">
        <v>50</v>
      </c>
    </row>
    <row r="858" spans="1:9">
      <c r="A858">
        <v>7.5</v>
      </c>
      <c r="B858">
        <v>750</v>
      </c>
      <c r="C858">
        <v>0</v>
      </c>
      <c r="D858">
        <v>45</v>
      </c>
      <c r="E858">
        <v>3.75</v>
      </c>
      <c r="F858">
        <v>0</v>
      </c>
      <c r="G858">
        <v>0</v>
      </c>
      <c r="H858">
        <v>40</v>
      </c>
      <c r="I858">
        <v>50</v>
      </c>
    </row>
    <row r="859" spans="1:9">
      <c r="A859">
        <v>8</v>
      </c>
      <c r="B859">
        <v>800</v>
      </c>
      <c r="C859">
        <v>0</v>
      </c>
      <c r="D859">
        <v>45</v>
      </c>
      <c r="E859">
        <v>4</v>
      </c>
      <c r="F859">
        <v>0</v>
      </c>
      <c r="G859">
        <v>0</v>
      </c>
      <c r="H859">
        <v>40</v>
      </c>
      <c r="I859">
        <v>50</v>
      </c>
    </row>
    <row r="860" spans="1:9">
      <c r="A860">
        <v>8.5</v>
      </c>
      <c r="B860">
        <v>850</v>
      </c>
      <c r="C860">
        <v>0</v>
      </c>
      <c r="D860">
        <v>45</v>
      </c>
      <c r="E860">
        <v>4.25</v>
      </c>
      <c r="F860">
        <v>0</v>
      </c>
      <c r="G860">
        <v>0</v>
      </c>
      <c r="H860">
        <v>40</v>
      </c>
      <c r="I860">
        <v>50</v>
      </c>
    </row>
    <row r="861" spans="1:9">
      <c r="A861">
        <v>9</v>
      </c>
      <c r="B861">
        <v>900</v>
      </c>
      <c r="C861">
        <v>0</v>
      </c>
      <c r="D861">
        <v>45</v>
      </c>
      <c r="E861">
        <v>4.5</v>
      </c>
      <c r="F861">
        <v>0</v>
      </c>
      <c r="G861">
        <v>0</v>
      </c>
      <c r="H861">
        <v>40</v>
      </c>
      <c r="I861">
        <v>50</v>
      </c>
    </row>
    <row r="862" spans="1:9">
      <c r="A862">
        <v>9.5</v>
      </c>
      <c r="B862">
        <v>950</v>
      </c>
      <c r="C862">
        <v>0</v>
      </c>
      <c r="D862">
        <v>45</v>
      </c>
      <c r="E862">
        <v>4.75</v>
      </c>
      <c r="F862">
        <v>0</v>
      </c>
      <c r="G862">
        <v>0</v>
      </c>
      <c r="H862">
        <v>40</v>
      </c>
      <c r="I862">
        <v>50</v>
      </c>
    </row>
    <row r="863" spans="1:9">
      <c r="A863">
        <v>10</v>
      </c>
      <c r="B863">
        <v>1000</v>
      </c>
      <c r="C863">
        <v>0</v>
      </c>
      <c r="D863">
        <v>45</v>
      </c>
      <c r="E863">
        <v>5</v>
      </c>
      <c r="F863">
        <v>0</v>
      </c>
      <c r="G863">
        <v>0</v>
      </c>
      <c r="H863">
        <v>40</v>
      </c>
      <c r="I863">
        <v>50</v>
      </c>
    </row>
    <row r="864" spans="1:9">
      <c r="A864">
        <v>10.5</v>
      </c>
      <c r="B864">
        <v>1050</v>
      </c>
      <c r="C864">
        <v>0</v>
      </c>
      <c r="D864">
        <v>45</v>
      </c>
      <c r="E864">
        <v>5.25</v>
      </c>
      <c r="F864">
        <v>0</v>
      </c>
      <c r="G864">
        <v>0</v>
      </c>
      <c r="H864">
        <v>40</v>
      </c>
      <c r="I864">
        <v>50</v>
      </c>
    </row>
    <row r="865" spans="1:9">
      <c r="A865">
        <v>11</v>
      </c>
      <c r="B865">
        <v>1100</v>
      </c>
      <c r="C865">
        <v>0</v>
      </c>
      <c r="D865">
        <v>45</v>
      </c>
      <c r="E865">
        <v>5.5</v>
      </c>
      <c r="F865">
        <v>0</v>
      </c>
      <c r="G865">
        <v>0</v>
      </c>
      <c r="H865">
        <v>40</v>
      </c>
      <c r="I865">
        <v>50</v>
      </c>
    </row>
    <row r="866" spans="1:9">
      <c r="A866">
        <v>11.5</v>
      </c>
      <c r="B866">
        <v>1150</v>
      </c>
      <c r="C866">
        <v>0</v>
      </c>
      <c r="D866">
        <v>45</v>
      </c>
      <c r="E866">
        <v>5.75</v>
      </c>
      <c r="F866">
        <v>0</v>
      </c>
      <c r="G866">
        <v>0</v>
      </c>
      <c r="H866">
        <v>40</v>
      </c>
      <c r="I866">
        <v>50</v>
      </c>
    </row>
    <row r="867" spans="1:9">
      <c r="A867">
        <v>12</v>
      </c>
      <c r="B867">
        <v>1200</v>
      </c>
      <c r="C867">
        <v>0</v>
      </c>
      <c r="D867">
        <v>45</v>
      </c>
      <c r="E867">
        <v>6</v>
      </c>
      <c r="F867">
        <v>0</v>
      </c>
      <c r="G867">
        <v>0</v>
      </c>
      <c r="H867">
        <v>40</v>
      </c>
      <c r="I867">
        <v>50</v>
      </c>
    </row>
    <row r="868" spans="1:9">
      <c r="A868">
        <v>12.5</v>
      </c>
      <c r="B868">
        <v>1250</v>
      </c>
      <c r="C868">
        <v>0</v>
      </c>
      <c r="D868">
        <v>45</v>
      </c>
      <c r="E868">
        <v>6.25</v>
      </c>
      <c r="F868">
        <v>0</v>
      </c>
      <c r="G868">
        <v>0</v>
      </c>
      <c r="H868">
        <v>40</v>
      </c>
      <c r="I868">
        <v>50</v>
      </c>
    </row>
    <row r="869" spans="1:9">
      <c r="A869">
        <v>13</v>
      </c>
      <c r="B869">
        <v>1300</v>
      </c>
      <c r="C869">
        <v>0</v>
      </c>
      <c r="D869">
        <v>45</v>
      </c>
      <c r="E869">
        <v>6.5</v>
      </c>
      <c r="F869">
        <v>0</v>
      </c>
      <c r="G869">
        <v>0</v>
      </c>
      <c r="H869">
        <v>40</v>
      </c>
      <c r="I869">
        <v>50</v>
      </c>
    </row>
    <row r="870" spans="1:9">
      <c r="A870">
        <v>13.5</v>
      </c>
      <c r="B870">
        <v>1350</v>
      </c>
      <c r="C870">
        <v>0</v>
      </c>
      <c r="D870">
        <v>45</v>
      </c>
      <c r="E870">
        <v>6.75</v>
      </c>
      <c r="F870">
        <v>0</v>
      </c>
      <c r="G870">
        <v>0</v>
      </c>
      <c r="H870">
        <v>40</v>
      </c>
      <c r="I870">
        <v>50</v>
      </c>
    </row>
    <row r="871" spans="1:9">
      <c r="A871">
        <v>14</v>
      </c>
      <c r="B871">
        <v>1400</v>
      </c>
      <c r="C871">
        <v>0</v>
      </c>
      <c r="D871">
        <v>45</v>
      </c>
      <c r="E871">
        <v>7</v>
      </c>
      <c r="F871">
        <v>0</v>
      </c>
      <c r="G871">
        <v>0</v>
      </c>
      <c r="H871">
        <v>40</v>
      </c>
      <c r="I871">
        <v>50</v>
      </c>
    </row>
    <row r="872" spans="1:9">
      <c r="A872">
        <v>14.5</v>
      </c>
      <c r="B872">
        <v>1450</v>
      </c>
      <c r="C872">
        <v>0</v>
      </c>
      <c r="D872">
        <v>45</v>
      </c>
      <c r="E872">
        <v>7.25</v>
      </c>
      <c r="F872">
        <v>0</v>
      </c>
      <c r="G872">
        <v>0</v>
      </c>
      <c r="H872">
        <v>40</v>
      </c>
      <c r="I872">
        <v>50</v>
      </c>
    </row>
    <row r="873" spans="1:9">
      <c r="A873">
        <v>15</v>
      </c>
      <c r="B873">
        <v>1500</v>
      </c>
      <c r="C873">
        <v>0</v>
      </c>
      <c r="D873">
        <v>45</v>
      </c>
      <c r="E873">
        <v>7.5</v>
      </c>
      <c r="F873">
        <v>0</v>
      </c>
      <c r="G873">
        <v>0</v>
      </c>
      <c r="H873">
        <v>40</v>
      </c>
      <c r="I873">
        <v>50</v>
      </c>
    </row>
    <row r="876" spans="1:9">
      <c r="A876" t="s">
        <v>20</v>
      </c>
      <c r="B876" t="s">
        <v>36</v>
      </c>
      <c r="C876" t="s">
        <v>297</v>
      </c>
      <c r="I876">
        <v>26</v>
      </c>
    </row>
    <row r="877" spans="1:9">
      <c r="A877" t="s">
        <v>0</v>
      </c>
      <c r="B877" t="s">
        <v>12</v>
      </c>
      <c r="C877" t="s">
        <v>13</v>
      </c>
      <c r="D877" t="s">
        <v>14</v>
      </c>
      <c r="E877" t="s">
        <v>15</v>
      </c>
      <c r="F877" t="s">
        <v>16</v>
      </c>
      <c r="G877" t="s">
        <v>17</v>
      </c>
      <c r="H877" t="s">
        <v>18</v>
      </c>
      <c r="I877" t="s">
        <v>19</v>
      </c>
    </row>
    <row r="878" spans="1:9">
      <c r="A878">
        <v>0</v>
      </c>
      <c r="B878">
        <v>0.01</v>
      </c>
      <c r="C878">
        <v>0</v>
      </c>
      <c r="D878">
        <v>55</v>
      </c>
      <c r="E878">
        <v>0</v>
      </c>
      <c r="F878">
        <v>0</v>
      </c>
      <c r="G878">
        <v>0</v>
      </c>
      <c r="H878">
        <v>50</v>
      </c>
      <c r="I878">
        <v>60</v>
      </c>
    </row>
    <row r="879" spans="1:9">
      <c r="A879">
        <v>0.5</v>
      </c>
      <c r="B879">
        <v>50</v>
      </c>
      <c r="C879">
        <v>0</v>
      </c>
      <c r="D879">
        <v>55</v>
      </c>
      <c r="E879">
        <v>0.25</v>
      </c>
      <c r="F879">
        <v>0</v>
      </c>
      <c r="G879">
        <v>0</v>
      </c>
      <c r="H879">
        <v>50</v>
      </c>
      <c r="I879">
        <v>60</v>
      </c>
    </row>
    <row r="880" spans="1:9">
      <c r="A880">
        <v>1</v>
      </c>
      <c r="B880">
        <v>100</v>
      </c>
      <c r="C880">
        <v>0</v>
      </c>
      <c r="D880">
        <v>55</v>
      </c>
      <c r="E880">
        <v>0.5</v>
      </c>
      <c r="F880">
        <v>0</v>
      </c>
      <c r="G880">
        <v>0</v>
      </c>
      <c r="H880">
        <v>50</v>
      </c>
      <c r="I880">
        <v>60</v>
      </c>
    </row>
    <row r="881" spans="1:9">
      <c r="A881">
        <v>1.5</v>
      </c>
      <c r="B881">
        <v>150</v>
      </c>
      <c r="C881">
        <v>0</v>
      </c>
      <c r="D881">
        <v>55</v>
      </c>
      <c r="E881">
        <v>0.75</v>
      </c>
      <c r="F881">
        <v>0</v>
      </c>
      <c r="G881">
        <v>0</v>
      </c>
      <c r="H881">
        <v>50</v>
      </c>
      <c r="I881">
        <v>60</v>
      </c>
    </row>
    <row r="882" spans="1:9">
      <c r="A882">
        <v>2</v>
      </c>
      <c r="B882">
        <v>200</v>
      </c>
      <c r="C882">
        <v>0</v>
      </c>
      <c r="D882">
        <v>55</v>
      </c>
      <c r="E882">
        <v>1</v>
      </c>
      <c r="F882">
        <v>0</v>
      </c>
      <c r="G882">
        <v>0</v>
      </c>
      <c r="H882">
        <v>50</v>
      </c>
      <c r="I882">
        <v>60</v>
      </c>
    </row>
    <row r="883" spans="1:9">
      <c r="A883">
        <v>2.5</v>
      </c>
      <c r="B883">
        <v>250</v>
      </c>
      <c r="C883">
        <v>0</v>
      </c>
      <c r="D883">
        <v>55</v>
      </c>
      <c r="E883">
        <v>1.25</v>
      </c>
      <c r="F883">
        <v>0</v>
      </c>
      <c r="G883">
        <v>0</v>
      </c>
      <c r="H883">
        <v>50</v>
      </c>
      <c r="I883">
        <v>60</v>
      </c>
    </row>
    <row r="884" spans="1:9">
      <c r="A884">
        <v>3</v>
      </c>
      <c r="B884">
        <v>300</v>
      </c>
      <c r="C884">
        <v>0</v>
      </c>
      <c r="D884">
        <v>55</v>
      </c>
      <c r="E884">
        <v>1.5</v>
      </c>
      <c r="F884">
        <v>0</v>
      </c>
      <c r="G884">
        <v>0</v>
      </c>
      <c r="H884">
        <v>50</v>
      </c>
      <c r="I884">
        <v>60</v>
      </c>
    </row>
    <row r="885" spans="1:9">
      <c r="A885">
        <v>3.5</v>
      </c>
      <c r="B885">
        <v>350</v>
      </c>
      <c r="C885">
        <v>0</v>
      </c>
      <c r="D885">
        <v>55</v>
      </c>
      <c r="E885">
        <v>1.75</v>
      </c>
      <c r="F885">
        <v>0</v>
      </c>
      <c r="G885">
        <v>0</v>
      </c>
      <c r="H885">
        <v>50</v>
      </c>
      <c r="I885">
        <v>60</v>
      </c>
    </row>
    <row r="886" spans="1:9">
      <c r="A886">
        <v>4</v>
      </c>
      <c r="B886">
        <v>400</v>
      </c>
      <c r="C886">
        <v>0</v>
      </c>
      <c r="D886">
        <v>55</v>
      </c>
      <c r="E886">
        <v>2</v>
      </c>
      <c r="F886">
        <v>0</v>
      </c>
      <c r="G886">
        <v>0</v>
      </c>
      <c r="H886">
        <v>50</v>
      </c>
      <c r="I886">
        <v>60</v>
      </c>
    </row>
    <row r="887" spans="1:9">
      <c r="A887">
        <v>4.5</v>
      </c>
      <c r="B887">
        <v>450</v>
      </c>
      <c r="C887">
        <v>0</v>
      </c>
      <c r="D887">
        <v>55</v>
      </c>
      <c r="E887">
        <v>2.25</v>
      </c>
      <c r="F887">
        <v>0</v>
      </c>
      <c r="G887">
        <v>0</v>
      </c>
      <c r="H887">
        <v>50</v>
      </c>
      <c r="I887">
        <v>60</v>
      </c>
    </row>
    <row r="888" spans="1:9">
      <c r="A888">
        <v>5</v>
      </c>
      <c r="B888">
        <v>500</v>
      </c>
      <c r="C888">
        <v>0</v>
      </c>
      <c r="D888">
        <v>55</v>
      </c>
      <c r="E888">
        <v>2.5</v>
      </c>
      <c r="F888">
        <v>0</v>
      </c>
      <c r="G888">
        <v>0</v>
      </c>
      <c r="H888">
        <v>50</v>
      </c>
      <c r="I888">
        <v>60</v>
      </c>
    </row>
    <row r="889" spans="1:9">
      <c r="A889">
        <v>5.5</v>
      </c>
      <c r="B889">
        <v>550</v>
      </c>
      <c r="C889">
        <v>0</v>
      </c>
      <c r="D889">
        <v>55</v>
      </c>
      <c r="E889">
        <v>2.75</v>
      </c>
      <c r="F889">
        <v>0</v>
      </c>
      <c r="G889">
        <v>0</v>
      </c>
      <c r="H889">
        <v>50</v>
      </c>
      <c r="I889">
        <v>60</v>
      </c>
    </row>
    <row r="890" spans="1:9">
      <c r="A890">
        <v>6</v>
      </c>
      <c r="B890">
        <v>600</v>
      </c>
      <c r="C890">
        <v>0</v>
      </c>
      <c r="D890">
        <v>55</v>
      </c>
      <c r="E890">
        <v>3</v>
      </c>
      <c r="F890">
        <v>0</v>
      </c>
      <c r="G890">
        <v>0</v>
      </c>
      <c r="H890">
        <v>50</v>
      </c>
      <c r="I890">
        <v>60</v>
      </c>
    </row>
    <row r="891" spans="1:9">
      <c r="A891">
        <v>6.5</v>
      </c>
      <c r="B891">
        <v>650</v>
      </c>
      <c r="C891">
        <v>0</v>
      </c>
      <c r="D891">
        <v>55</v>
      </c>
      <c r="E891">
        <v>3.25</v>
      </c>
      <c r="F891">
        <v>0</v>
      </c>
      <c r="G891">
        <v>0</v>
      </c>
      <c r="H891">
        <v>50</v>
      </c>
      <c r="I891">
        <v>60</v>
      </c>
    </row>
    <row r="892" spans="1:9">
      <c r="A892">
        <v>7</v>
      </c>
      <c r="B892">
        <v>700</v>
      </c>
      <c r="C892">
        <v>0</v>
      </c>
      <c r="D892">
        <v>55</v>
      </c>
      <c r="E892">
        <v>3.5</v>
      </c>
      <c r="F892">
        <v>0</v>
      </c>
      <c r="G892">
        <v>0</v>
      </c>
      <c r="H892">
        <v>50</v>
      </c>
      <c r="I892">
        <v>60</v>
      </c>
    </row>
    <row r="893" spans="1:9">
      <c r="A893">
        <v>7.5</v>
      </c>
      <c r="B893">
        <v>750</v>
      </c>
      <c r="C893">
        <v>0</v>
      </c>
      <c r="D893">
        <v>55</v>
      </c>
      <c r="E893">
        <v>3.75</v>
      </c>
      <c r="F893">
        <v>0</v>
      </c>
      <c r="G893">
        <v>0</v>
      </c>
      <c r="H893">
        <v>50</v>
      </c>
      <c r="I893">
        <v>60</v>
      </c>
    </row>
    <row r="894" spans="1:9">
      <c r="A894">
        <v>8</v>
      </c>
      <c r="B894">
        <v>800</v>
      </c>
      <c r="C894">
        <v>0</v>
      </c>
      <c r="D894">
        <v>55</v>
      </c>
      <c r="E894">
        <v>4</v>
      </c>
      <c r="F894">
        <v>0</v>
      </c>
      <c r="G894">
        <v>0</v>
      </c>
      <c r="H894">
        <v>50</v>
      </c>
      <c r="I894">
        <v>60</v>
      </c>
    </row>
    <row r="895" spans="1:9">
      <c r="A895">
        <v>8.5</v>
      </c>
      <c r="B895">
        <v>850</v>
      </c>
      <c r="C895">
        <v>0</v>
      </c>
      <c r="D895">
        <v>55</v>
      </c>
      <c r="E895">
        <v>4.25</v>
      </c>
      <c r="F895">
        <v>0</v>
      </c>
      <c r="G895">
        <v>0</v>
      </c>
      <c r="H895">
        <v>50</v>
      </c>
      <c r="I895">
        <v>60</v>
      </c>
    </row>
    <row r="896" spans="1:9">
      <c r="A896">
        <v>9</v>
      </c>
      <c r="B896">
        <v>900</v>
      </c>
      <c r="C896">
        <v>0</v>
      </c>
      <c r="D896">
        <v>55</v>
      </c>
      <c r="E896">
        <v>4.5</v>
      </c>
      <c r="F896">
        <v>0</v>
      </c>
      <c r="G896">
        <v>0</v>
      </c>
      <c r="H896">
        <v>50</v>
      </c>
      <c r="I896">
        <v>60</v>
      </c>
    </row>
    <row r="897" spans="1:9">
      <c r="A897">
        <v>9.5</v>
      </c>
      <c r="B897">
        <v>950</v>
      </c>
      <c r="C897">
        <v>0</v>
      </c>
      <c r="D897">
        <v>55</v>
      </c>
      <c r="E897">
        <v>4.75</v>
      </c>
      <c r="F897">
        <v>0</v>
      </c>
      <c r="G897">
        <v>0</v>
      </c>
      <c r="H897">
        <v>50</v>
      </c>
      <c r="I897">
        <v>60</v>
      </c>
    </row>
    <row r="898" spans="1:9">
      <c r="A898">
        <v>10</v>
      </c>
      <c r="B898">
        <v>1000</v>
      </c>
      <c r="C898">
        <v>0</v>
      </c>
      <c r="D898">
        <v>55</v>
      </c>
      <c r="E898">
        <v>5</v>
      </c>
      <c r="F898">
        <v>0</v>
      </c>
      <c r="G898">
        <v>0</v>
      </c>
      <c r="H898">
        <v>50</v>
      </c>
      <c r="I898">
        <v>60</v>
      </c>
    </row>
    <row r="899" spans="1:9">
      <c r="A899">
        <v>10.5</v>
      </c>
      <c r="B899">
        <v>1050</v>
      </c>
      <c r="C899">
        <v>0</v>
      </c>
      <c r="D899">
        <v>55</v>
      </c>
      <c r="E899">
        <v>5.25</v>
      </c>
      <c r="F899">
        <v>0</v>
      </c>
      <c r="G899">
        <v>0</v>
      </c>
      <c r="H899">
        <v>50</v>
      </c>
      <c r="I899">
        <v>60</v>
      </c>
    </row>
    <row r="900" spans="1:9">
      <c r="A900">
        <v>11</v>
      </c>
      <c r="B900">
        <v>1100</v>
      </c>
      <c r="C900">
        <v>0</v>
      </c>
      <c r="D900">
        <v>55</v>
      </c>
      <c r="E900">
        <v>5.5</v>
      </c>
      <c r="F900">
        <v>0</v>
      </c>
      <c r="G900">
        <v>0</v>
      </c>
      <c r="H900">
        <v>50</v>
      </c>
      <c r="I900">
        <v>60</v>
      </c>
    </row>
    <row r="901" spans="1:9">
      <c r="A901">
        <v>11.5</v>
      </c>
      <c r="B901">
        <v>1150</v>
      </c>
      <c r="C901">
        <v>0</v>
      </c>
      <c r="D901">
        <v>55</v>
      </c>
      <c r="E901">
        <v>5.75</v>
      </c>
      <c r="F901">
        <v>0</v>
      </c>
      <c r="G901">
        <v>0</v>
      </c>
      <c r="H901">
        <v>50</v>
      </c>
      <c r="I901">
        <v>60</v>
      </c>
    </row>
    <row r="902" spans="1:9">
      <c r="A902">
        <v>12</v>
      </c>
      <c r="B902">
        <v>1200</v>
      </c>
      <c r="C902">
        <v>0</v>
      </c>
      <c r="D902">
        <v>55</v>
      </c>
      <c r="E902">
        <v>6</v>
      </c>
      <c r="F902">
        <v>0</v>
      </c>
      <c r="G902">
        <v>0</v>
      </c>
      <c r="H902">
        <v>50</v>
      </c>
      <c r="I902">
        <v>60</v>
      </c>
    </row>
    <row r="903" spans="1:9">
      <c r="A903">
        <v>12.5</v>
      </c>
      <c r="B903">
        <v>1250</v>
      </c>
      <c r="C903">
        <v>0</v>
      </c>
      <c r="D903">
        <v>55</v>
      </c>
      <c r="E903">
        <v>6.25</v>
      </c>
      <c r="F903">
        <v>0</v>
      </c>
      <c r="G903">
        <v>0</v>
      </c>
      <c r="H903">
        <v>50</v>
      </c>
      <c r="I903">
        <v>60</v>
      </c>
    </row>
    <row r="904" spans="1:9">
      <c r="A904">
        <v>13</v>
      </c>
      <c r="B904">
        <v>1300</v>
      </c>
      <c r="C904">
        <v>0</v>
      </c>
      <c r="D904">
        <v>55</v>
      </c>
      <c r="E904">
        <v>6.5</v>
      </c>
      <c r="F904">
        <v>0</v>
      </c>
      <c r="G904">
        <v>0</v>
      </c>
      <c r="H904">
        <v>50</v>
      </c>
      <c r="I904">
        <v>60</v>
      </c>
    </row>
    <row r="905" spans="1:9">
      <c r="A905">
        <v>13.5</v>
      </c>
      <c r="B905">
        <v>1350</v>
      </c>
      <c r="C905">
        <v>0</v>
      </c>
      <c r="D905">
        <v>55</v>
      </c>
      <c r="E905">
        <v>6.75</v>
      </c>
      <c r="F905">
        <v>0</v>
      </c>
      <c r="G905">
        <v>0</v>
      </c>
      <c r="H905">
        <v>50</v>
      </c>
      <c r="I905">
        <v>60</v>
      </c>
    </row>
    <row r="906" spans="1:9">
      <c r="A906">
        <v>14</v>
      </c>
      <c r="B906">
        <v>1400</v>
      </c>
      <c r="C906">
        <v>0</v>
      </c>
      <c r="D906">
        <v>55</v>
      </c>
      <c r="E906">
        <v>7</v>
      </c>
      <c r="F906">
        <v>0</v>
      </c>
      <c r="G906">
        <v>0</v>
      </c>
      <c r="H906">
        <v>50</v>
      </c>
      <c r="I906">
        <v>60</v>
      </c>
    </row>
    <row r="907" spans="1:9">
      <c r="A907">
        <v>14.5</v>
      </c>
      <c r="B907">
        <v>1450</v>
      </c>
      <c r="C907">
        <v>0</v>
      </c>
      <c r="D907">
        <v>55</v>
      </c>
      <c r="E907">
        <v>7.25</v>
      </c>
      <c r="F907">
        <v>0</v>
      </c>
      <c r="G907">
        <v>0</v>
      </c>
      <c r="H907">
        <v>50</v>
      </c>
      <c r="I907">
        <v>60</v>
      </c>
    </row>
    <row r="908" spans="1:9">
      <c r="A908">
        <v>15</v>
      </c>
      <c r="B908">
        <v>1500</v>
      </c>
      <c r="C908">
        <v>0</v>
      </c>
      <c r="D908">
        <v>55</v>
      </c>
      <c r="E908">
        <v>7.5</v>
      </c>
      <c r="F908">
        <v>0</v>
      </c>
      <c r="G908">
        <v>0</v>
      </c>
      <c r="H908">
        <v>50</v>
      </c>
      <c r="I908">
        <v>60</v>
      </c>
    </row>
    <row r="911" spans="1:9">
      <c r="A911" t="s">
        <v>20</v>
      </c>
      <c r="B911" t="s">
        <v>36</v>
      </c>
      <c r="C911" t="s">
        <v>298</v>
      </c>
      <c r="I911">
        <v>27</v>
      </c>
    </row>
    <row r="912" spans="1:9">
      <c r="A912" t="s">
        <v>0</v>
      </c>
      <c r="B912" t="s">
        <v>12</v>
      </c>
      <c r="C912" t="s">
        <v>13</v>
      </c>
      <c r="D912" t="s">
        <v>14</v>
      </c>
      <c r="E912" t="s">
        <v>15</v>
      </c>
      <c r="F912" t="s">
        <v>16</v>
      </c>
      <c r="G912" t="s">
        <v>17</v>
      </c>
      <c r="H912" t="s">
        <v>18</v>
      </c>
      <c r="I912" t="s">
        <v>19</v>
      </c>
    </row>
    <row r="913" spans="1:9">
      <c r="A913">
        <v>0</v>
      </c>
      <c r="B913">
        <v>0.01</v>
      </c>
      <c r="C913">
        <v>0</v>
      </c>
      <c r="D913">
        <v>65</v>
      </c>
      <c r="E913">
        <v>0</v>
      </c>
      <c r="F913">
        <v>0</v>
      </c>
      <c r="G913">
        <v>0</v>
      </c>
      <c r="H913">
        <v>60</v>
      </c>
      <c r="I913">
        <v>70</v>
      </c>
    </row>
    <row r="914" spans="1:9">
      <c r="A914">
        <v>0.5</v>
      </c>
      <c r="B914">
        <v>50</v>
      </c>
      <c r="C914">
        <v>0</v>
      </c>
      <c r="D914">
        <v>65</v>
      </c>
      <c r="E914">
        <v>0.25</v>
      </c>
      <c r="F914">
        <v>0</v>
      </c>
      <c r="G914">
        <v>0</v>
      </c>
      <c r="H914">
        <v>60</v>
      </c>
      <c r="I914">
        <v>70</v>
      </c>
    </row>
    <row r="915" spans="1:9">
      <c r="A915">
        <v>1</v>
      </c>
      <c r="B915">
        <v>100</v>
      </c>
      <c r="C915">
        <v>0</v>
      </c>
      <c r="D915">
        <v>65</v>
      </c>
      <c r="E915">
        <v>0.5</v>
      </c>
      <c r="F915">
        <v>0</v>
      </c>
      <c r="G915">
        <v>0</v>
      </c>
      <c r="H915">
        <v>60</v>
      </c>
      <c r="I915">
        <v>70</v>
      </c>
    </row>
    <row r="916" spans="1:9">
      <c r="A916">
        <v>1.5</v>
      </c>
      <c r="B916">
        <v>150</v>
      </c>
      <c r="C916">
        <v>0</v>
      </c>
      <c r="D916">
        <v>65</v>
      </c>
      <c r="E916">
        <v>0.75</v>
      </c>
      <c r="F916">
        <v>0</v>
      </c>
      <c r="G916">
        <v>0</v>
      </c>
      <c r="H916">
        <v>60</v>
      </c>
      <c r="I916">
        <v>70</v>
      </c>
    </row>
    <row r="917" spans="1:9">
      <c r="A917">
        <v>2</v>
      </c>
      <c r="B917">
        <v>200</v>
      </c>
      <c r="C917">
        <v>0</v>
      </c>
      <c r="D917">
        <v>65</v>
      </c>
      <c r="E917">
        <v>1</v>
      </c>
      <c r="F917">
        <v>0</v>
      </c>
      <c r="G917">
        <v>0</v>
      </c>
      <c r="H917">
        <v>60</v>
      </c>
      <c r="I917">
        <v>70</v>
      </c>
    </row>
    <row r="918" spans="1:9">
      <c r="A918">
        <v>2.5</v>
      </c>
      <c r="B918">
        <v>250</v>
      </c>
      <c r="C918">
        <v>0</v>
      </c>
      <c r="D918">
        <v>65</v>
      </c>
      <c r="E918">
        <v>1.25</v>
      </c>
      <c r="F918">
        <v>0</v>
      </c>
      <c r="G918">
        <v>0</v>
      </c>
      <c r="H918">
        <v>60</v>
      </c>
      <c r="I918">
        <v>70</v>
      </c>
    </row>
    <row r="919" spans="1:9">
      <c r="A919">
        <v>3</v>
      </c>
      <c r="B919">
        <v>300</v>
      </c>
      <c r="C919">
        <v>0</v>
      </c>
      <c r="D919">
        <v>65</v>
      </c>
      <c r="E919">
        <v>1.5</v>
      </c>
      <c r="F919">
        <v>0</v>
      </c>
      <c r="G919">
        <v>0</v>
      </c>
      <c r="H919">
        <v>60</v>
      </c>
      <c r="I919">
        <v>70</v>
      </c>
    </row>
    <row r="920" spans="1:9">
      <c r="A920">
        <v>3.5</v>
      </c>
      <c r="B920">
        <v>350</v>
      </c>
      <c r="C920">
        <v>0</v>
      </c>
      <c r="D920">
        <v>65</v>
      </c>
      <c r="E920">
        <v>1.75</v>
      </c>
      <c r="F920">
        <v>0</v>
      </c>
      <c r="G920">
        <v>0</v>
      </c>
      <c r="H920">
        <v>60</v>
      </c>
      <c r="I920">
        <v>70</v>
      </c>
    </row>
    <row r="921" spans="1:9">
      <c r="A921">
        <v>4</v>
      </c>
      <c r="B921">
        <v>400</v>
      </c>
      <c r="C921">
        <v>0</v>
      </c>
      <c r="D921">
        <v>65</v>
      </c>
      <c r="E921">
        <v>2</v>
      </c>
      <c r="F921">
        <v>0</v>
      </c>
      <c r="G921">
        <v>0</v>
      </c>
      <c r="H921">
        <v>60</v>
      </c>
      <c r="I921">
        <v>70</v>
      </c>
    </row>
    <row r="922" spans="1:9">
      <c r="A922">
        <v>4.5</v>
      </c>
      <c r="B922">
        <v>450</v>
      </c>
      <c r="C922">
        <v>0</v>
      </c>
      <c r="D922">
        <v>65</v>
      </c>
      <c r="E922">
        <v>2.25</v>
      </c>
      <c r="F922">
        <v>0</v>
      </c>
      <c r="G922">
        <v>0</v>
      </c>
      <c r="H922">
        <v>60</v>
      </c>
      <c r="I922">
        <v>70</v>
      </c>
    </row>
    <row r="923" spans="1:9">
      <c r="A923">
        <v>5</v>
      </c>
      <c r="B923">
        <v>500</v>
      </c>
      <c r="C923">
        <v>0</v>
      </c>
      <c r="D923">
        <v>65</v>
      </c>
      <c r="E923">
        <v>2.5</v>
      </c>
      <c r="F923">
        <v>0</v>
      </c>
      <c r="G923">
        <v>0</v>
      </c>
      <c r="H923">
        <v>60</v>
      </c>
      <c r="I923">
        <v>70</v>
      </c>
    </row>
    <row r="924" spans="1:9">
      <c r="A924">
        <v>5.5</v>
      </c>
      <c r="B924">
        <v>550</v>
      </c>
      <c r="C924">
        <v>0</v>
      </c>
      <c r="D924">
        <v>65</v>
      </c>
      <c r="E924">
        <v>2.75</v>
      </c>
      <c r="F924">
        <v>0</v>
      </c>
      <c r="G924">
        <v>0</v>
      </c>
      <c r="H924">
        <v>60</v>
      </c>
      <c r="I924">
        <v>70</v>
      </c>
    </row>
    <row r="925" spans="1:9">
      <c r="A925">
        <v>6</v>
      </c>
      <c r="B925">
        <v>600</v>
      </c>
      <c r="C925">
        <v>0</v>
      </c>
      <c r="D925">
        <v>65</v>
      </c>
      <c r="E925">
        <v>3</v>
      </c>
      <c r="F925">
        <v>0</v>
      </c>
      <c r="G925">
        <v>0</v>
      </c>
      <c r="H925">
        <v>60</v>
      </c>
      <c r="I925">
        <v>70</v>
      </c>
    </row>
    <row r="926" spans="1:9">
      <c r="A926">
        <v>6.5</v>
      </c>
      <c r="B926">
        <v>650</v>
      </c>
      <c r="C926">
        <v>0</v>
      </c>
      <c r="D926">
        <v>65</v>
      </c>
      <c r="E926">
        <v>3.25</v>
      </c>
      <c r="F926">
        <v>0</v>
      </c>
      <c r="G926">
        <v>0</v>
      </c>
      <c r="H926">
        <v>60</v>
      </c>
      <c r="I926">
        <v>70</v>
      </c>
    </row>
    <row r="927" spans="1:9">
      <c r="A927">
        <v>7</v>
      </c>
      <c r="B927">
        <v>700</v>
      </c>
      <c r="C927">
        <v>0</v>
      </c>
      <c r="D927">
        <v>65</v>
      </c>
      <c r="E927">
        <v>3.5</v>
      </c>
      <c r="F927">
        <v>0</v>
      </c>
      <c r="G927">
        <v>0</v>
      </c>
      <c r="H927">
        <v>60</v>
      </c>
      <c r="I927">
        <v>70</v>
      </c>
    </row>
    <row r="928" spans="1:9">
      <c r="A928">
        <v>7.5</v>
      </c>
      <c r="B928">
        <v>750</v>
      </c>
      <c r="C928">
        <v>0</v>
      </c>
      <c r="D928">
        <v>65</v>
      </c>
      <c r="E928">
        <v>3.75</v>
      </c>
      <c r="F928">
        <v>0</v>
      </c>
      <c r="G928">
        <v>0</v>
      </c>
      <c r="H928">
        <v>60</v>
      </c>
      <c r="I928">
        <v>70</v>
      </c>
    </row>
    <row r="929" spans="1:9">
      <c r="A929">
        <v>8</v>
      </c>
      <c r="B929">
        <v>800</v>
      </c>
      <c r="C929">
        <v>0</v>
      </c>
      <c r="D929">
        <v>65</v>
      </c>
      <c r="E929">
        <v>4</v>
      </c>
      <c r="F929">
        <v>0</v>
      </c>
      <c r="G929">
        <v>0</v>
      </c>
      <c r="H929">
        <v>60</v>
      </c>
      <c r="I929">
        <v>70</v>
      </c>
    </row>
    <row r="930" spans="1:9">
      <c r="A930">
        <v>8.5</v>
      </c>
      <c r="B930">
        <v>850</v>
      </c>
      <c r="C930">
        <v>0</v>
      </c>
      <c r="D930">
        <v>65</v>
      </c>
      <c r="E930">
        <v>4.25</v>
      </c>
      <c r="F930">
        <v>0</v>
      </c>
      <c r="G930">
        <v>0</v>
      </c>
      <c r="H930">
        <v>60</v>
      </c>
      <c r="I930">
        <v>70</v>
      </c>
    </row>
    <row r="931" spans="1:9">
      <c r="A931">
        <v>9</v>
      </c>
      <c r="B931">
        <v>900</v>
      </c>
      <c r="C931">
        <v>0</v>
      </c>
      <c r="D931">
        <v>65</v>
      </c>
      <c r="E931">
        <v>4.5</v>
      </c>
      <c r="F931">
        <v>0</v>
      </c>
      <c r="G931">
        <v>0</v>
      </c>
      <c r="H931">
        <v>60</v>
      </c>
      <c r="I931">
        <v>70</v>
      </c>
    </row>
    <row r="932" spans="1:9">
      <c r="A932">
        <v>9.5</v>
      </c>
      <c r="B932">
        <v>950</v>
      </c>
      <c r="C932">
        <v>0</v>
      </c>
      <c r="D932">
        <v>65</v>
      </c>
      <c r="E932">
        <v>4.75</v>
      </c>
      <c r="F932">
        <v>0</v>
      </c>
      <c r="G932">
        <v>0</v>
      </c>
      <c r="H932">
        <v>60</v>
      </c>
      <c r="I932">
        <v>70</v>
      </c>
    </row>
    <row r="933" spans="1:9">
      <c r="A933">
        <v>10</v>
      </c>
      <c r="B933">
        <v>1000</v>
      </c>
      <c r="C933">
        <v>0</v>
      </c>
      <c r="D933">
        <v>65</v>
      </c>
      <c r="E933">
        <v>5</v>
      </c>
      <c r="F933">
        <v>0</v>
      </c>
      <c r="G933">
        <v>0</v>
      </c>
      <c r="H933">
        <v>60</v>
      </c>
      <c r="I933">
        <v>70</v>
      </c>
    </row>
    <row r="934" spans="1:9">
      <c r="A934">
        <v>10.5</v>
      </c>
      <c r="B934">
        <v>1050</v>
      </c>
      <c r="C934">
        <v>0</v>
      </c>
      <c r="D934">
        <v>65</v>
      </c>
      <c r="E934">
        <v>5.25</v>
      </c>
      <c r="F934">
        <v>0</v>
      </c>
      <c r="G934">
        <v>0</v>
      </c>
      <c r="H934">
        <v>60</v>
      </c>
      <c r="I934">
        <v>70</v>
      </c>
    </row>
    <row r="935" spans="1:9">
      <c r="A935">
        <v>11</v>
      </c>
      <c r="B935">
        <v>1100</v>
      </c>
      <c r="C935">
        <v>0</v>
      </c>
      <c r="D935">
        <v>65</v>
      </c>
      <c r="E935">
        <v>5.5</v>
      </c>
      <c r="F935">
        <v>0</v>
      </c>
      <c r="G935">
        <v>0</v>
      </c>
      <c r="H935">
        <v>60</v>
      </c>
      <c r="I935">
        <v>70</v>
      </c>
    </row>
    <row r="936" spans="1:9">
      <c r="A936">
        <v>11.5</v>
      </c>
      <c r="B936">
        <v>1150</v>
      </c>
      <c r="C936">
        <v>0</v>
      </c>
      <c r="D936">
        <v>65</v>
      </c>
      <c r="E936">
        <v>5.75</v>
      </c>
      <c r="F936">
        <v>0</v>
      </c>
      <c r="G936">
        <v>0</v>
      </c>
      <c r="H936">
        <v>60</v>
      </c>
      <c r="I936">
        <v>70</v>
      </c>
    </row>
    <row r="937" spans="1:9">
      <c r="A937">
        <v>12</v>
      </c>
      <c r="B937">
        <v>1200</v>
      </c>
      <c r="C937">
        <v>0</v>
      </c>
      <c r="D937">
        <v>65</v>
      </c>
      <c r="E937">
        <v>6</v>
      </c>
      <c r="F937">
        <v>0</v>
      </c>
      <c r="G937">
        <v>0</v>
      </c>
      <c r="H937">
        <v>60</v>
      </c>
      <c r="I937">
        <v>70</v>
      </c>
    </row>
    <row r="938" spans="1:9">
      <c r="A938">
        <v>12.5</v>
      </c>
      <c r="B938">
        <v>1250</v>
      </c>
      <c r="C938">
        <v>0</v>
      </c>
      <c r="D938">
        <v>65</v>
      </c>
      <c r="E938">
        <v>6.25</v>
      </c>
      <c r="F938">
        <v>0</v>
      </c>
      <c r="G938">
        <v>0</v>
      </c>
      <c r="H938">
        <v>60</v>
      </c>
      <c r="I938">
        <v>70</v>
      </c>
    </row>
    <row r="939" spans="1:9">
      <c r="A939">
        <v>13</v>
      </c>
      <c r="B939">
        <v>1300</v>
      </c>
      <c r="C939">
        <v>0</v>
      </c>
      <c r="D939">
        <v>65</v>
      </c>
      <c r="E939">
        <v>6.5</v>
      </c>
      <c r="F939">
        <v>0</v>
      </c>
      <c r="G939">
        <v>0</v>
      </c>
      <c r="H939">
        <v>60</v>
      </c>
      <c r="I939">
        <v>70</v>
      </c>
    </row>
    <row r="940" spans="1:9">
      <c r="A940">
        <v>13.5</v>
      </c>
      <c r="B940">
        <v>1350</v>
      </c>
      <c r="C940">
        <v>0</v>
      </c>
      <c r="D940">
        <v>65</v>
      </c>
      <c r="E940">
        <v>6.75</v>
      </c>
      <c r="F940">
        <v>0</v>
      </c>
      <c r="G940">
        <v>0</v>
      </c>
      <c r="H940">
        <v>60</v>
      </c>
      <c r="I940">
        <v>70</v>
      </c>
    </row>
    <row r="941" spans="1:9">
      <c r="A941">
        <v>14</v>
      </c>
      <c r="B941">
        <v>1400</v>
      </c>
      <c r="C941">
        <v>0</v>
      </c>
      <c r="D941">
        <v>65</v>
      </c>
      <c r="E941">
        <v>7</v>
      </c>
      <c r="F941">
        <v>0</v>
      </c>
      <c r="G941">
        <v>0</v>
      </c>
      <c r="H941">
        <v>60</v>
      </c>
      <c r="I941">
        <v>70</v>
      </c>
    </row>
    <row r="942" spans="1:9">
      <c r="A942">
        <v>14.5</v>
      </c>
      <c r="B942">
        <v>1450</v>
      </c>
      <c r="C942">
        <v>0</v>
      </c>
      <c r="D942">
        <v>65</v>
      </c>
      <c r="E942">
        <v>7.25</v>
      </c>
      <c r="F942">
        <v>0</v>
      </c>
      <c r="G942">
        <v>0</v>
      </c>
      <c r="H942">
        <v>60</v>
      </c>
      <c r="I942">
        <v>70</v>
      </c>
    </row>
    <row r="943" spans="1:9">
      <c r="A943">
        <v>15</v>
      </c>
      <c r="B943">
        <v>1500</v>
      </c>
      <c r="C943">
        <v>0</v>
      </c>
      <c r="D943">
        <v>65</v>
      </c>
      <c r="E943">
        <v>7.5</v>
      </c>
      <c r="F943">
        <v>0</v>
      </c>
      <c r="G943">
        <v>0</v>
      </c>
      <c r="H943">
        <v>60</v>
      </c>
      <c r="I943">
        <v>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837B4-45C7-4213-8DC6-B21EB1405CB9}">
  <sheetPr codeName="Sheet6">
    <tabColor rgb="FFFF0000"/>
  </sheetPr>
  <dimension ref="A1:AG27"/>
  <sheetViews>
    <sheetView zoomScale="85" zoomScaleNormal="85" workbookViewId="0">
      <selection activeCell="P13" sqref="P13"/>
    </sheetView>
  </sheetViews>
  <sheetFormatPr defaultRowHeight="15"/>
  <cols>
    <col min="1" max="1" width="36.5703125" customWidth="1"/>
    <col min="11" max="11" width="15.7109375" bestFit="1" customWidth="1"/>
    <col min="12" max="12" width="14.28515625" customWidth="1"/>
  </cols>
  <sheetData>
    <row r="1" spans="1:33">
      <c r="A1" t="s">
        <v>272</v>
      </c>
      <c r="B1">
        <v>15</v>
      </c>
      <c r="C1">
        <v>1500</v>
      </c>
      <c r="D1">
        <v>0</v>
      </c>
      <c r="E1">
        <v>5</v>
      </c>
      <c r="F1">
        <v>7.5</v>
      </c>
      <c r="G1">
        <v>-10</v>
      </c>
      <c r="H1">
        <v>0</v>
      </c>
      <c r="I1">
        <v>0</v>
      </c>
      <c r="J1">
        <v>10</v>
      </c>
      <c r="K1">
        <v>31</v>
      </c>
      <c r="L1" t="s">
        <v>330</v>
      </c>
      <c r="M1">
        <v>1</v>
      </c>
    </row>
    <row r="2" spans="1:33">
      <c r="A2" t="s">
        <v>273</v>
      </c>
      <c r="B2">
        <v>15</v>
      </c>
      <c r="C2">
        <v>1500</v>
      </c>
      <c r="D2">
        <v>0</v>
      </c>
      <c r="E2">
        <v>5</v>
      </c>
      <c r="F2">
        <v>7.5</v>
      </c>
      <c r="G2">
        <v>10</v>
      </c>
      <c r="H2">
        <v>0</v>
      </c>
      <c r="I2">
        <v>0</v>
      </c>
      <c r="J2">
        <v>10</v>
      </c>
      <c r="K2">
        <v>31</v>
      </c>
      <c r="L2" t="s">
        <v>330</v>
      </c>
      <c r="M2">
        <v>2</v>
      </c>
      <c r="O2" t="s">
        <v>330</v>
      </c>
      <c r="P2">
        <v>17</v>
      </c>
      <c r="Q2">
        <v>1</v>
      </c>
      <c r="R2">
        <v>2</v>
      </c>
      <c r="S2">
        <v>3</v>
      </c>
      <c r="T2">
        <v>4</v>
      </c>
      <c r="U2">
        <v>5</v>
      </c>
      <c r="V2">
        <v>6</v>
      </c>
      <c r="W2">
        <v>7</v>
      </c>
      <c r="X2">
        <v>8</v>
      </c>
      <c r="Y2">
        <v>9</v>
      </c>
      <c r="Z2">
        <v>10</v>
      </c>
      <c r="AA2">
        <v>11</v>
      </c>
      <c r="AB2">
        <v>12</v>
      </c>
      <c r="AC2">
        <v>13</v>
      </c>
      <c r="AD2">
        <v>14</v>
      </c>
      <c r="AE2">
        <v>15</v>
      </c>
      <c r="AF2">
        <v>16</v>
      </c>
      <c r="AG2">
        <v>17</v>
      </c>
    </row>
    <row r="3" spans="1:33">
      <c r="A3" t="s">
        <v>274</v>
      </c>
      <c r="B3">
        <v>15</v>
      </c>
      <c r="C3">
        <v>1500</v>
      </c>
      <c r="D3">
        <v>0</v>
      </c>
      <c r="E3">
        <v>15</v>
      </c>
      <c r="F3">
        <v>7.5</v>
      </c>
      <c r="G3">
        <v>-10</v>
      </c>
      <c r="H3">
        <v>0</v>
      </c>
      <c r="I3">
        <v>10</v>
      </c>
      <c r="J3">
        <v>20</v>
      </c>
      <c r="K3">
        <v>31</v>
      </c>
      <c r="L3" t="s">
        <v>330</v>
      </c>
      <c r="M3">
        <v>3</v>
      </c>
      <c r="O3" t="s">
        <v>326</v>
      </c>
      <c r="P3">
        <v>2</v>
      </c>
      <c r="Q3">
        <v>18</v>
      </c>
      <c r="R3">
        <v>19</v>
      </c>
    </row>
    <row r="4" spans="1:33">
      <c r="A4" t="s">
        <v>275</v>
      </c>
      <c r="B4">
        <v>15</v>
      </c>
      <c r="C4">
        <v>1500</v>
      </c>
      <c r="D4">
        <v>0</v>
      </c>
      <c r="E4">
        <v>15</v>
      </c>
      <c r="F4">
        <v>7.5</v>
      </c>
      <c r="G4">
        <v>10</v>
      </c>
      <c r="H4">
        <v>0</v>
      </c>
      <c r="I4">
        <v>10</v>
      </c>
      <c r="J4">
        <v>20</v>
      </c>
      <c r="K4">
        <v>31</v>
      </c>
      <c r="L4" t="s">
        <v>330</v>
      </c>
      <c r="M4">
        <v>4</v>
      </c>
      <c r="O4" t="s">
        <v>327</v>
      </c>
      <c r="P4">
        <v>1</v>
      </c>
      <c r="Q4">
        <v>20</v>
      </c>
    </row>
    <row r="5" spans="1:33">
      <c r="A5" t="s">
        <v>276</v>
      </c>
      <c r="B5">
        <v>15</v>
      </c>
      <c r="C5">
        <v>1500</v>
      </c>
      <c r="D5">
        <v>0</v>
      </c>
      <c r="E5">
        <v>25</v>
      </c>
      <c r="F5">
        <v>7.5</v>
      </c>
      <c r="G5">
        <v>-10</v>
      </c>
      <c r="H5">
        <v>0</v>
      </c>
      <c r="I5">
        <v>20</v>
      </c>
      <c r="J5">
        <v>30</v>
      </c>
      <c r="K5">
        <v>31</v>
      </c>
      <c r="L5" t="s">
        <v>330</v>
      </c>
      <c r="M5">
        <v>5</v>
      </c>
      <c r="O5" t="s">
        <v>36</v>
      </c>
      <c r="P5">
        <v>7</v>
      </c>
      <c r="Q5">
        <v>21</v>
      </c>
      <c r="R5">
        <v>22</v>
      </c>
      <c r="S5">
        <v>23</v>
      </c>
      <c r="T5">
        <v>24</v>
      </c>
      <c r="U5">
        <v>25</v>
      </c>
      <c r="V5">
        <v>26</v>
      </c>
      <c r="W5">
        <v>27</v>
      </c>
    </row>
    <row r="6" spans="1:33">
      <c r="A6" t="s">
        <v>277</v>
      </c>
      <c r="B6">
        <v>15</v>
      </c>
      <c r="C6">
        <v>1500</v>
      </c>
      <c r="D6">
        <v>0</v>
      </c>
      <c r="E6">
        <v>25</v>
      </c>
      <c r="F6">
        <v>7.5</v>
      </c>
      <c r="G6">
        <v>10</v>
      </c>
      <c r="H6">
        <v>0</v>
      </c>
      <c r="I6">
        <v>20</v>
      </c>
      <c r="J6">
        <v>30</v>
      </c>
      <c r="K6">
        <v>31</v>
      </c>
      <c r="L6" t="s">
        <v>330</v>
      </c>
      <c r="M6">
        <v>6</v>
      </c>
    </row>
    <row r="7" spans="1:33">
      <c r="A7" t="s">
        <v>278</v>
      </c>
      <c r="B7">
        <v>15</v>
      </c>
      <c r="C7">
        <v>1500</v>
      </c>
      <c r="D7">
        <v>0</v>
      </c>
      <c r="E7">
        <v>35</v>
      </c>
      <c r="F7">
        <v>7.5</v>
      </c>
      <c r="G7">
        <v>-10</v>
      </c>
      <c r="H7">
        <v>0</v>
      </c>
      <c r="I7">
        <v>30</v>
      </c>
      <c r="J7">
        <v>40</v>
      </c>
      <c r="K7">
        <v>31</v>
      </c>
      <c r="L7" t="s">
        <v>330</v>
      </c>
      <c r="M7">
        <v>7</v>
      </c>
    </row>
    <row r="8" spans="1:33">
      <c r="A8" t="s">
        <v>279</v>
      </c>
      <c r="B8">
        <v>15</v>
      </c>
      <c r="C8">
        <v>1500</v>
      </c>
      <c r="D8">
        <v>0</v>
      </c>
      <c r="E8">
        <v>35</v>
      </c>
      <c r="F8">
        <v>7.5</v>
      </c>
      <c r="G8">
        <v>10</v>
      </c>
      <c r="H8">
        <v>0</v>
      </c>
      <c r="I8">
        <v>30</v>
      </c>
      <c r="J8">
        <v>40</v>
      </c>
      <c r="K8">
        <v>31</v>
      </c>
      <c r="L8" t="s">
        <v>330</v>
      </c>
      <c r="M8">
        <v>8</v>
      </c>
    </row>
    <row r="9" spans="1:33">
      <c r="A9" t="s">
        <v>280</v>
      </c>
      <c r="B9">
        <v>15</v>
      </c>
      <c r="C9">
        <v>1500</v>
      </c>
      <c r="D9">
        <v>0</v>
      </c>
      <c r="E9">
        <v>45</v>
      </c>
      <c r="F9">
        <v>7.5</v>
      </c>
      <c r="G9">
        <v>-10</v>
      </c>
      <c r="H9">
        <v>0</v>
      </c>
      <c r="I9">
        <v>40</v>
      </c>
      <c r="J9">
        <v>50</v>
      </c>
      <c r="K9">
        <v>31</v>
      </c>
      <c r="L9" t="s">
        <v>330</v>
      </c>
      <c r="M9">
        <v>9</v>
      </c>
    </row>
    <row r="10" spans="1:33">
      <c r="A10" t="s">
        <v>281</v>
      </c>
      <c r="B10">
        <v>15</v>
      </c>
      <c r="C10">
        <v>1500</v>
      </c>
      <c r="D10">
        <v>0</v>
      </c>
      <c r="E10">
        <v>45</v>
      </c>
      <c r="F10">
        <v>7.5</v>
      </c>
      <c r="G10">
        <v>10</v>
      </c>
      <c r="H10">
        <v>0</v>
      </c>
      <c r="I10">
        <v>40</v>
      </c>
      <c r="J10">
        <v>50</v>
      </c>
      <c r="K10">
        <v>31</v>
      </c>
      <c r="L10" t="s">
        <v>330</v>
      </c>
      <c r="M10">
        <v>10</v>
      </c>
    </row>
    <row r="11" spans="1:33">
      <c r="A11" t="s">
        <v>282</v>
      </c>
      <c r="B11">
        <v>15</v>
      </c>
      <c r="C11">
        <v>1500</v>
      </c>
      <c r="D11">
        <v>0</v>
      </c>
      <c r="E11">
        <v>55</v>
      </c>
      <c r="F11">
        <v>7.5</v>
      </c>
      <c r="G11">
        <v>-10</v>
      </c>
      <c r="H11">
        <v>0</v>
      </c>
      <c r="I11">
        <v>50</v>
      </c>
      <c r="J11">
        <v>60</v>
      </c>
      <c r="K11">
        <v>31</v>
      </c>
      <c r="L11" t="s">
        <v>330</v>
      </c>
      <c r="M11">
        <v>11</v>
      </c>
    </row>
    <row r="12" spans="1:33">
      <c r="A12" t="s">
        <v>283</v>
      </c>
      <c r="B12">
        <v>15</v>
      </c>
      <c r="C12">
        <v>1500</v>
      </c>
      <c r="D12">
        <v>0</v>
      </c>
      <c r="E12">
        <v>55</v>
      </c>
      <c r="F12">
        <v>7.5</v>
      </c>
      <c r="G12">
        <v>10</v>
      </c>
      <c r="H12">
        <v>0</v>
      </c>
      <c r="I12">
        <v>50</v>
      </c>
      <c r="J12">
        <v>60</v>
      </c>
      <c r="K12">
        <v>31</v>
      </c>
      <c r="L12" t="s">
        <v>330</v>
      </c>
      <c r="M12">
        <v>12</v>
      </c>
    </row>
    <row r="13" spans="1:33">
      <c r="A13" t="s">
        <v>284</v>
      </c>
      <c r="B13">
        <v>15</v>
      </c>
      <c r="C13">
        <v>1500</v>
      </c>
      <c r="D13">
        <v>0</v>
      </c>
      <c r="E13">
        <v>65</v>
      </c>
      <c r="F13">
        <v>7.5</v>
      </c>
      <c r="G13">
        <v>10</v>
      </c>
      <c r="H13">
        <v>0</v>
      </c>
      <c r="I13">
        <v>60</v>
      </c>
      <c r="J13">
        <v>70</v>
      </c>
      <c r="K13">
        <v>31</v>
      </c>
      <c r="L13" t="s">
        <v>330</v>
      </c>
      <c r="M13">
        <v>13</v>
      </c>
    </row>
    <row r="14" spans="1:33">
      <c r="A14" t="s">
        <v>285</v>
      </c>
      <c r="B14">
        <v>15</v>
      </c>
      <c r="C14">
        <v>1500</v>
      </c>
      <c r="D14">
        <v>0</v>
      </c>
      <c r="E14">
        <v>75</v>
      </c>
      <c r="F14">
        <v>7.5</v>
      </c>
      <c r="G14">
        <v>0</v>
      </c>
      <c r="H14">
        <v>0</v>
      </c>
      <c r="I14">
        <v>70</v>
      </c>
      <c r="J14">
        <v>80</v>
      </c>
      <c r="K14">
        <v>31</v>
      </c>
      <c r="L14" t="s">
        <v>330</v>
      </c>
      <c r="M14">
        <v>14</v>
      </c>
    </row>
    <row r="15" spans="1:33">
      <c r="A15" t="s">
        <v>286</v>
      </c>
      <c r="B15">
        <v>15</v>
      </c>
      <c r="C15">
        <v>1500</v>
      </c>
      <c r="D15">
        <v>0</v>
      </c>
      <c r="E15">
        <v>75</v>
      </c>
      <c r="F15">
        <v>7.5</v>
      </c>
      <c r="G15">
        <v>10</v>
      </c>
      <c r="H15">
        <v>0</v>
      </c>
      <c r="I15">
        <v>70</v>
      </c>
      <c r="J15">
        <v>80</v>
      </c>
      <c r="K15">
        <v>31</v>
      </c>
      <c r="L15" t="s">
        <v>330</v>
      </c>
      <c r="M15">
        <v>15</v>
      </c>
    </row>
    <row r="16" spans="1:33">
      <c r="A16" t="s">
        <v>287</v>
      </c>
      <c r="B16">
        <v>15</v>
      </c>
      <c r="C16">
        <v>1500</v>
      </c>
      <c r="D16">
        <v>0</v>
      </c>
      <c r="E16">
        <v>85</v>
      </c>
      <c r="F16">
        <v>7.5</v>
      </c>
      <c r="G16">
        <v>0</v>
      </c>
      <c r="H16">
        <v>0</v>
      </c>
      <c r="I16">
        <v>80</v>
      </c>
      <c r="J16">
        <v>90</v>
      </c>
      <c r="K16">
        <v>31</v>
      </c>
      <c r="L16" t="s">
        <v>330</v>
      </c>
      <c r="M16">
        <v>16</v>
      </c>
    </row>
    <row r="17" spans="1:17">
      <c r="A17" t="s">
        <v>288</v>
      </c>
      <c r="B17">
        <v>15</v>
      </c>
      <c r="C17">
        <v>1500</v>
      </c>
      <c r="D17">
        <v>0</v>
      </c>
      <c r="E17">
        <v>85</v>
      </c>
      <c r="F17">
        <v>7.5</v>
      </c>
      <c r="G17">
        <v>10</v>
      </c>
      <c r="H17">
        <v>0</v>
      </c>
      <c r="I17">
        <v>80</v>
      </c>
      <c r="J17">
        <v>90</v>
      </c>
      <c r="K17">
        <v>31</v>
      </c>
      <c r="L17" t="s">
        <v>330</v>
      </c>
      <c r="M17">
        <v>17</v>
      </c>
    </row>
    <row r="18" spans="1:17">
      <c r="A18" t="s">
        <v>289</v>
      </c>
      <c r="B18">
        <v>15</v>
      </c>
      <c r="C18">
        <v>1500</v>
      </c>
      <c r="D18">
        <v>0</v>
      </c>
      <c r="E18">
        <v>75</v>
      </c>
      <c r="F18">
        <v>7.5</v>
      </c>
      <c r="G18">
        <v>-10</v>
      </c>
      <c r="H18">
        <v>0</v>
      </c>
      <c r="I18">
        <v>70</v>
      </c>
      <c r="J18">
        <v>80</v>
      </c>
      <c r="K18">
        <v>31</v>
      </c>
      <c r="L18" t="s">
        <v>326</v>
      </c>
      <c r="M18">
        <v>18</v>
      </c>
    </row>
    <row r="19" spans="1:17">
      <c r="A19" t="s">
        <v>290</v>
      </c>
      <c r="B19">
        <v>15</v>
      </c>
      <c r="C19">
        <v>1500</v>
      </c>
      <c r="D19">
        <v>0</v>
      </c>
      <c r="E19">
        <v>65</v>
      </c>
      <c r="F19">
        <v>7.5</v>
      </c>
      <c r="G19">
        <v>-10</v>
      </c>
      <c r="H19">
        <v>0</v>
      </c>
      <c r="I19">
        <v>60</v>
      </c>
      <c r="J19">
        <v>70</v>
      </c>
      <c r="K19">
        <v>31</v>
      </c>
      <c r="L19" t="s">
        <v>326</v>
      </c>
      <c r="M19">
        <v>19</v>
      </c>
      <c r="O19" s="2"/>
      <c r="P19" s="2"/>
      <c r="Q19" t="s">
        <v>331</v>
      </c>
    </row>
    <row r="20" spans="1:17">
      <c r="A20" t="s">
        <v>291</v>
      </c>
      <c r="B20">
        <v>15</v>
      </c>
      <c r="C20">
        <v>1500</v>
      </c>
      <c r="D20">
        <v>0</v>
      </c>
      <c r="E20">
        <v>85</v>
      </c>
      <c r="F20">
        <v>7.5</v>
      </c>
      <c r="G20">
        <v>-10</v>
      </c>
      <c r="H20">
        <v>0</v>
      </c>
      <c r="I20">
        <v>80</v>
      </c>
      <c r="J20">
        <v>90</v>
      </c>
      <c r="K20">
        <v>31</v>
      </c>
      <c r="L20" t="s">
        <v>327</v>
      </c>
      <c r="M20">
        <v>20</v>
      </c>
      <c r="O20" s="2"/>
      <c r="P20" s="2"/>
    </row>
    <row r="21" spans="1:17">
      <c r="A21" t="s">
        <v>292</v>
      </c>
      <c r="B21">
        <v>15</v>
      </c>
      <c r="C21">
        <v>1500</v>
      </c>
      <c r="D21">
        <v>0</v>
      </c>
      <c r="E21">
        <v>5</v>
      </c>
      <c r="F21">
        <v>7.5</v>
      </c>
      <c r="G21">
        <v>0</v>
      </c>
      <c r="H21">
        <v>0</v>
      </c>
      <c r="I21">
        <v>0</v>
      </c>
      <c r="J21">
        <v>10</v>
      </c>
      <c r="K21">
        <v>31</v>
      </c>
      <c r="L21" t="s">
        <v>36</v>
      </c>
      <c r="M21">
        <v>21</v>
      </c>
    </row>
    <row r="22" spans="1:17">
      <c r="A22" t="s">
        <v>293</v>
      </c>
      <c r="B22">
        <v>15</v>
      </c>
      <c r="C22">
        <v>1500</v>
      </c>
      <c r="D22">
        <v>0</v>
      </c>
      <c r="E22">
        <v>15</v>
      </c>
      <c r="F22">
        <v>7.5</v>
      </c>
      <c r="G22">
        <v>0</v>
      </c>
      <c r="H22">
        <v>0</v>
      </c>
      <c r="I22">
        <v>10</v>
      </c>
      <c r="J22">
        <v>20</v>
      </c>
      <c r="K22">
        <v>31</v>
      </c>
      <c r="L22" t="s">
        <v>36</v>
      </c>
      <c r="M22">
        <v>22</v>
      </c>
    </row>
    <row r="23" spans="1:17">
      <c r="A23" t="s">
        <v>294</v>
      </c>
      <c r="B23">
        <v>15</v>
      </c>
      <c r="C23">
        <v>1500</v>
      </c>
      <c r="D23">
        <v>0</v>
      </c>
      <c r="E23">
        <v>25</v>
      </c>
      <c r="F23">
        <v>7.5</v>
      </c>
      <c r="G23">
        <v>0</v>
      </c>
      <c r="H23">
        <v>0</v>
      </c>
      <c r="I23">
        <v>20</v>
      </c>
      <c r="J23">
        <v>30</v>
      </c>
      <c r="K23">
        <v>31</v>
      </c>
      <c r="L23" t="s">
        <v>36</v>
      </c>
      <c r="M23">
        <v>23</v>
      </c>
    </row>
    <row r="24" spans="1:17">
      <c r="A24" t="s">
        <v>295</v>
      </c>
      <c r="B24">
        <v>15</v>
      </c>
      <c r="C24">
        <v>1500</v>
      </c>
      <c r="D24">
        <v>0</v>
      </c>
      <c r="E24">
        <v>35</v>
      </c>
      <c r="F24">
        <v>7.5</v>
      </c>
      <c r="G24">
        <v>0</v>
      </c>
      <c r="H24">
        <v>0</v>
      </c>
      <c r="I24">
        <v>30</v>
      </c>
      <c r="J24">
        <v>40</v>
      </c>
      <c r="K24">
        <v>31</v>
      </c>
      <c r="L24" t="s">
        <v>36</v>
      </c>
      <c r="M24">
        <v>24</v>
      </c>
    </row>
    <row r="25" spans="1:17">
      <c r="A25" t="s">
        <v>296</v>
      </c>
      <c r="B25">
        <v>15</v>
      </c>
      <c r="C25">
        <v>1500</v>
      </c>
      <c r="D25">
        <v>0</v>
      </c>
      <c r="E25">
        <v>45</v>
      </c>
      <c r="F25">
        <v>7.5</v>
      </c>
      <c r="G25">
        <v>0</v>
      </c>
      <c r="H25">
        <v>0</v>
      </c>
      <c r="I25">
        <v>40</v>
      </c>
      <c r="J25">
        <v>50</v>
      </c>
      <c r="K25">
        <v>31</v>
      </c>
      <c r="L25" t="s">
        <v>36</v>
      </c>
      <c r="M25">
        <v>25</v>
      </c>
    </row>
    <row r="26" spans="1:17">
      <c r="A26" s="2" t="s">
        <v>297</v>
      </c>
      <c r="B26">
        <v>15</v>
      </c>
      <c r="C26">
        <v>1500</v>
      </c>
      <c r="D26">
        <v>0</v>
      </c>
      <c r="E26">
        <v>55</v>
      </c>
      <c r="F26">
        <v>7.5</v>
      </c>
      <c r="G26">
        <v>0</v>
      </c>
      <c r="H26">
        <v>0</v>
      </c>
      <c r="I26">
        <v>50</v>
      </c>
      <c r="J26">
        <v>60</v>
      </c>
      <c r="K26">
        <v>31</v>
      </c>
      <c r="L26" t="s">
        <v>36</v>
      </c>
      <c r="M26">
        <v>26</v>
      </c>
      <c r="O26" s="2"/>
    </row>
    <row r="27" spans="1:17">
      <c r="A27" t="s">
        <v>298</v>
      </c>
      <c r="B27">
        <v>15</v>
      </c>
      <c r="C27">
        <v>1500</v>
      </c>
      <c r="D27">
        <v>0</v>
      </c>
      <c r="E27">
        <v>65</v>
      </c>
      <c r="F27">
        <v>7.5</v>
      </c>
      <c r="G27">
        <v>0</v>
      </c>
      <c r="H27">
        <v>0</v>
      </c>
      <c r="I27">
        <v>60</v>
      </c>
      <c r="J27">
        <v>70</v>
      </c>
      <c r="K27">
        <v>31</v>
      </c>
      <c r="L27" t="s">
        <v>36</v>
      </c>
      <c r="M27">
        <v>27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33B69-4888-49CC-8880-3A4966E59155}">
  <sheetPr codeName="Sheet8"/>
  <dimension ref="A1:C28"/>
  <sheetViews>
    <sheetView workbookViewId="0">
      <selection activeCell="H19" sqref="H19"/>
    </sheetView>
  </sheetViews>
  <sheetFormatPr defaultRowHeight="15"/>
  <cols>
    <col min="2" max="2" width="16.85546875" bestFit="1" customWidth="1"/>
  </cols>
  <sheetData>
    <row r="1" spans="1:3">
      <c r="B1" t="s">
        <v>0</v>
      </c>
      <c r="C1" t="s">
        <v>21</v>
      </c>
    </row>
    <row r="2" spans="1:3">
      <c r="A2">
        <v>1</v>
      </c>
      <c r="B2" t="str">
        <f>tanks_summary!A1</f>
        <v>wbt1p</v>
      </c>
      <c r="C2">
        <v>1.0249999999999999</v>
      </c>
    </row>
    <row r="3" spans="1:3">
      <c r="A3">
        <v>2</v>
      </c>
      <c r="B3" t="str">
        <f>tanks_summary!A2</f>
        <v>wbt1s</v>
      </c>
      <c r="C3">
        <v>1.0249999999999999</v>
      </c>
    </row>
    <row r="4" spans="1:3">
      <c r="A4">
        <v>3</v>
      </c>
      <c r="B4" t="str">
        <f>tanks_summary!A3</f>
        <v>wbt2p</v>
      </c>
      <c r="C4">
        <v>1.0249999999999999</v>
      </c>
    </row>
    <row r="5" spans="1:3">
      <c r="A5">
        <v>4</v>
      </c>
      <c r="B5" t="str">
        <f>tanks_summary!A4</f>
        <v>wbt2s</v>
      </c>
      <c r="C5">
        <v>1.0249999999999999</v>
      </c>
    </row>
    <row r="6" spans="1:3">
      <c r="A6">
        <v>5</v>
      </c>
      <c r="B6" t="str">
        <f>tanks_summary!A5</f>
        <v>wbt3p</v>
      </c>
      <c r="C6">
        <v>1.0249999999999999</v>
      </c>
    </row>
    <row r="7" spans="1:3">
      <c r="A7">
        <v>6</v>
      </c>
      <c r="B7" t="str">
        <f>tanks_summary!A6</f>
        <v>wbt3s</v>
      </c>
      <c r="C7">
        <v>1.0249999999999999</v>
      </c>
    </row>
    <row r="8" spans="1:3">
      <c r="A8">
        <v>7</v>
      </c>
      <c r="B8" t="str">
        <f>tanks_summary!A7</f>
        <v>wbt4p</v>
      </c>
      <c r="C8">
        <v>1.0249999999999999</v>
      </c>
    </row>
    <row r="9" spans="1:3">
      <c r="A9">
        <v>8</v>
      </c>
      <c r="B9" t="str">
        <f>tanks_summary!A8</f>
        <v>wbt4s</v>
      </c>
      <c r="C9">
        <v>1.0249999999999999</v>
      </c>
    </row>
    <row r="10" spans="1:3">
      <c r="A10">
        <v>9</v>
      </c>
      <c r="B10" t="str">
        <f>tanks_summary!A9</f>
        <v>wbt5p</v>
      </c>
      <c r="C10">
        <v>1.0249999999999999</v>
      </c>
    </row>
    <row r="11" spans="1:3">
      <c r="A11">
        <v>10</v>
      </c>
      <c r="B11" t="str">
        <f>tanks_summary!A10</f>
        <v>wbt5s</v>
      </c>
      <c r="C11">
        <v>1.0249999999999999</v>
      </c>
    </row>
    <row r="12" spans="1:3">
      <c r="A12">
        <v>11</v>
      </c>
      <c r="B12" t="str">
        <f>tanks_summary!A11</f>
        <v>wbt6p</v>
      </c>
      <c r="C12">
        <v>1.0249999999999999</v>
      </c>
    </row>
    <row r="13" spans="1:3">
      <c r="A13">
        <v>12</v>
      </c>
      <c r="B13" t="str">
        <f>tanks_summary!A12</f>
        <v>wbt6s</v>
      </c>
      <c r="C13">
        <v>1.0249999999999999</v>
      </c>
    </row>
    <row r="14" spans="1:3">
      <c r="A14">
        <v>13</v>
      </c>
      <c r="B14" t="str">
        <f>tanks_summary!A13</f>
        <v>wbt7s</v>
      </c>
      <c r="C14">
        <v>1.0249999999999999</v>
      </c>
    </row>
    <row r="15" spans="1:3">
      <c r="A15">
        <v>14</v>
      </c>
      <c r="B15" t="str">
        <f>tanks_summary!A14</f>
        <v>wbt8c</v>
      </c>
      <c r="C15">
        <v>1.0249999999999999</v>
      </c>
    </row>
    <row r="16" spans="1:3">
      <c r="A16">
        <v>15</v>
      </c>
      <c r="B16" t="str">
        <f>tanks_summary!A15</f>
        <v>wbt8s</v>
      </c>
      <c r="C16">
        <v>1.0249999999999999</v>
      </c>
    </row>
    <row r="17" spans="1:3">
      <c r="A17">
        <v>16</v>
      </c>
      <c r="B17" t="str">
        <f>tanks_summary!A16</f>
        <v>wbt9c</v>
      </c>
      <c r="C17">
        <v>1.0249999999999999</v>
      </c>
    </row>
    <row r="18" spans="1:3">
      <c r="A18">
        <v>17</v>
      </c>
      <c r="B18" t="str">
        <f>tanks_summary!A17</f>
        <v>wbt9s</v>
      </c>
      <c r="C18">
        <v>1.0249999999999999</v>
      </c>
    </row>
    <row r="19" spans="1:3">
      <c r="A19">
        <v>18</v>
      </c>
      <c r="B19" t="str">
        <f>tanks_summary!A18</f>
        <v>fwt1p</v>
      </c>
      <c r="C19">
        <v>1</v>
      </c>
    </row>
    <row r="20" spans="1:3">
      <c r="A20">
        <v>19</v>
      </c>
      <c r="B20" t="str">
        <f>tanks_summary!A19</f>
        <v>fwt2p</v>
      </c>
      <c r="C20">
        <v>1</v>
      </c>
    </row>
    <row r="21" spans="1:3">
      <c r="A21">
        <v>20</v>
      </c>
      <c r="B21" t="str">
        <f>tanks_summary!A20</f>
        <v>fot1p</v>
      </c>
      <c r="C21">
        <v>1</v>
      </c>
    </row>
    <row r="22" spans="1:3">
      <c r="A22">
        <v>21</v>
      </c>
      <c r="B22" t="str">
        <f>tanks_summary!A21</f>
        <v>cot1c</v>
      </c>
      <c r="C22">
        <v>0.9</v>
      </c>
    </row>
    <row r="23" spans="1:3">
      <c r="A23">
        <v>22</v>
      </c>
      <c r="B23" t="str">
        <f>tanks_summary!A22</f>
        <v>cot2c</v>
      </c>
      <c r="C23">
        <v>0.9</v>
      </c>
    </row>
    <row r="24" spans="1:3">
      <c r="A24">
        <v>23</v>
      </c>
      <c r="B24" t="str">
        <f>tanks_summary!A23</f>
        <v>cot3c</v>
      </c>
      <c r="C24">
        <v>0.9</v>
      </c>
    </row>
    <row r="25" spans="1:3">
      <c r="A25">
        <v>24</v>
      </c>
      <c r="B25" t="str">
        <f>tanks_summary!A24</f>
        <v>cot4c</v>
      </c>
      <c r="C25">
        <v>0.9</v>
      </c>
    </row>
    <row r="26" spans="1:3">
      <c r="A26">
        <v>25</v>
      </c>
      <c r="B26" t="str">
        <f>tanks_summary!A25</f>
        <v>cot5c</v>
      </c>
      <c r="C26">
        <v>0.9</v>
      </c>
    </row>
    <row r="27" spans="1:3">
      <c r="A27">
        <v>26</v>
      </c>
      <c r="B27" t="str">
        <f>tanks_summary!A26</f>
        <v>cot6c</v>
      </c>
      <c r="C27">
        <v>0.9</v>
      </c>
    </row>
    <row r="28" spans="1:3">
      <c r="A28">
        <v>27</v>
      </c>
      <c r="B28" t="str">
        <f>tanks_summary!A27</f>
        <v>cot7c</v>
      </c>
      <c r="C28">
        <v>0.9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2C1AB-5918-4B00-839C-9DBD59843CA1}">
  <sheetPr codeName="Sheet9"/>
  <dimension ref="A1:I11"/>
  <sheetViews>
    <sheetView workbookViewId="0">
      <selection activeCell="B17" sqref="B17"/>
    </sheetView>
  </sheetViews>
  <sheetFormatPr defaultRowHeight="15"/>
  <cols>
    <col min="1" max="1" width="22.7109375" bestFit="1" customWidth="1"/>
    <col min="2" max="2" width="9.5703125" bestFit="1" customWidth="1"/>
    <col min="3" max="3" width="14" customWidth="1"/>
    <col min="4" max="5" width="9.28515625" bestFit="1" customWidth="1"/>
    <col min="6" max="6" width="17.5703125" customWidth="1"/>
    <col min="7" max="7" width="9.140625" style="63"/>
  </cols>
  <sheetData>
    <row r="1" spans="1:9">
      <c r="A1" s="3" t="s">
        <v>0</v>
      </c>
      <c r="B1" s="3" t="s">
        <v>12</v>
      </c>
      <c r="C1" s="3" t="s">
        <v>14</v>
      </c>
      <c r="D1" s="3" t="s">
        <v>16</v>
      </c>
      <c r="E1" s="3" t="s">
        <v>15</v>
      </c>
      <c r="F1" s="3" t="s">
        <v>66</v>
      </c>
      <c r="G1" s="79" t="s">
        <v>67</v>
      </c>
      <c r="H1" s="3" t="s">
        <v>18</v>
      </c>
      <c r="I1" s="3" t="s">
        <v>19</v>
      </c>
    </row>
    <row r="2" spans="1:9">
      <c r="A2" t="s">
        <v>43</v>
      </c>
      <c r="B2" s="68">
        <v>0</v>
      </c>
      <c r="C2" s="68">
        <v>45</v>
      </c>
      <c r="D2" s="68">
        <v>0</v>
      </c>
      <c r="E2" s="68">
        <v>5</v>
      </c>
      <c r="F2" t="s">
        <v>68</v>
      </c>
      <c r="G2" s="63">
        <v>1</v>
      </c>
      <c r="H2">
        <v>0</v>
      </c>
      <c r="I2">
        <v>90</v>
      </c>
    </row>
    <row r="3" spans="1:9">
      <c r="A3" t="s">
        <v>299</v>
      </c>
      <c r="B3" s="68">
        <v>750</v>
      </c>
      <c r="C3" s="68">
        <v>5</v>
      </c>
      <c r="D3" s="68">
        <v>0</v>
      </c>
      <c r="E3" s="68">
        <v>5</v>
      </c>
      <c r="F3" t="s">
        <v>68</v>
      </c>
      <c r="G3" s="63">
        <v>1</v>
      </c>
      <c r="H3">
        <v>0</v>
      </c>
      <c r="I3">
        <v>10</v>
      </c>
    </row>
    <row r="4" spans="1:9">
      <c r="A4" t="s">
        <v>300</v>
      </c>
      <c r="B4" s="68">
        <v>900</v>
      </c>
      <c r="C4">
        <v>15</v>
      </c>
      <c r="D4" s="68">
        <v>0</v>
      </c>
      <c r="E4" s="68">
        <v>5</v>
      </c>
      <c r="F4" t="s">
        <v>68</v>
      </c>
      <c r="G4" s="63">
        <v>1</v>
      </c>
      <c r="H4">
        <v>10</v>
      </c>
      <c r="I4">
        <v>20</v>
      </c>
    </row>
    <row r="5" spans="1:9">
      <c r="A5" t="s">
        <v>301</v>
      </c>
      <c r="B5" s="68">
        <v>900</v>
      </c>
      <c r="C5" s="68">
        <v>25</v>
      </c>
      <c r="D5" s="68">
        <v>0</v>
      </c>
      <c r="E5" s="68">
        <v>5</v>
      </c>
      <c r="F5" t="s">
        <v>68</v>
      </c>
      <c r="G5" s="63">
        <v>1</v>
      </c>
      <c r="H5">
        <v>20</v>
      </c>
      <c r="I5">
        <v>30</v>
      </c>
    </row>
    <row r="6" spans="1:9">
      <c r="A6" t="s">
        <v>302</v>
      </c>
      <c r="B6" s="68">
        <v>1000</v>
      </c>
      <c r="C6">
        <v>35</v>
      </c>
      <c r="D6" s="68">
        <v>0</v>
      </c>
      <c r="E6" s="68">
        <v>5</v>
      </c>
      <c r="F6" t="s">
        <v>68</v>
      </c>
      <c r="G6" s="63">
        <v>1</v>
      </c>
      <c r="H6">
        <v>30</v>
      </c>
      <c r="I6">
        <v>40</v>
      </c>
    </row>
    <row r="7" spans="1:9">
      <c r="A7" t="s">
        <v>303</v>
      </c>
      <c r="B7" s="68">
        <v>1000</v>
      </c>
      <c r="C7" s="68">
        <v>45</v>
      </c>
      <c r="D7" s="68">
        <v>0</v>
      </c>
      <c r="E7" s="68">
        <v>5</v>
      </c>
      <c r="F7" t="s">
        <v>68</v>
      </c>
      <c r="G7" s="63">
        <v>1</v>
      </c>
      <c r="H7">
        <v>40</v>
      </c>
      <c r="I7">
        <v>50</v>
      </c>
    </row>
    <row r="8" spans="1:9">
      <c r="A8" t="s">
        <v>304</v>
      </c>
      <c r="B8" s="68">
        <v>1000</v>
      </c>
      <c r="C8">
        <v>55</v>
      </c>
      <c r="D8" s="68">
        <v>0</v>
      </c>
      <c r="E8" s="68">
        <v>5</v>
      </c>
      <c r="F8" t="s">
        <v>68</v>
      </c>
      <c r="G8" s="63">
        <v>1</v>
      </c>
      <c r="H8">
        <v>50</v>
      </c>
      <c r="I8">
        <v>60</v>
      </c>
    </row>
    <row r="9" spans="1:9">
      <c r="A9" t="s">
        <v>305</v>
      </c>
      <c r="B9" s="68">
        <v>900</v>
      </c>
      <c r="C9" s="68">
        <v>65</v>
      </c>
      <c r="D9" s="68">
        <v>0</v>
      </c>
      <c r="E9" s="68">
        <v>5</v>
      </c>
      <c r="F9" t="s">
        <v>68</v>
      </c>
      <c r="G9" s="63">
        <v>1</v>
      </c>
      <c r="H9">
        <v>60</v>
      </c>
      <c r="I9">
        <v>70</v>
      </c>
    </row>
    <row r="10" spans="1:9">
      <c r="A10" t="s">
        <v>306</v>
      </c>
      <c r="B10" s="68">
        <v>900</v>
      </c>
      <c r="C10">
        <v>75</v>
      </c>
      <c r="D10" s="68">
        <v>0</v>
      </c>
      <c r="E10" s="68">
        <v>5</v>
      </c>
      <c r="F10" t="s">
        <v>68</v>
      </c>
      <c r="G10" s="63">
        <v>1</v>
      </c>
      <c r="H10">
        <v>70</v>
      </c>
      <c r="I10">
        <v>80</v>
      </c>
    </row>
    <row r="11" spans="1:9">
      <c r="A11" t="s">
        <v>307</v>
      </c>
      <c r="B11" s="68">
        <v>750</v>
      </c>
      <c r="C11" s="68">
        <v>85</v>
      </c>
      <c r="D11" s="68">
        <v>0</v>
      </c>
      <c r="E11" s="68">
        <v>5</v>
      </c>
      <c r="F11" t="s">
        <v>68</v>
      </c>
      <c r="G11" s="63">
        <v>1</v>
      </c>
      <c r="H11">
        <v>80</v>
      </c>
      <c r="I11">
        <v>90</v>
      </c>
    </row>
  </sheetData>
  <phoneticPr fontId="1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EA374-A96C-43BF-B0C9-C2666A090BED}">
  <sheetPr codeName="Sheet10"/>
  <dimension ref="A1:L43"/>
  <sheetViews>
    <sheetView workbookViewId="0">
      <selection activeCell="L22" sqref="L22"/>
    </sheetView>
  </sheetViews>
  <sheetFormatPr defaultRowHeight="15"/>
  <cols>
    <col min="1" max="1" width="5.85546875" bestFit="1" customWidth="1"/>
    <col min="2" max="2" width="11.140625" customWidth="1"/>
    <col min="3" max="3" width="7" customWidth="1"/>
    <col min="4" max="4" width="16.5703125" customWidth="1"/>
    <col min="12" max="12" width="31" customWidth="1"/>
  </cols>
  <sheetData>
    <row r="1" spans="1:12">
      <c r="A1" s="3" t="s">
        <v>82</v>
      </c>
      <c r="B1" s="3" t="s">
        <v>0</v>
      </c>
      <c r="C1" s="3">
        <v>1</v>
      </c>
      <c r="D1" s="3" t="s">
        <v>83</v>
      </c>
      <c r="E1" s="3">
        <v>2</v>
      </c>
    </row>
    <row r="2" spans="1:12">
      <c r="A2" t="s">
        <v>80</v>
      </c>
      <c r="B2" t="s">
        <v>272</v>
      </c>
      <c r="C2" t="s">
        <v>81</v>
      </c>
      <c r="D2" s="67">
        <v>1000</v>
      </c>
      <c r="E2" t="s">
        <v>308</v>
      </c>
      <c r="L2" s="90"/>
    </row>
    <row r="3" spans="1:12">
      <c r="A3" t="s">
        <v>80</v>
      </c>
      <c r="B3" t="s">
        <v>273</v>
      </c>
      <c r="C3" t="s">
        <v>81</v>
      </c>
      <c r="D3" s="67">
        <v>1000</v>
      </c>
      <c r="E3" t="s">
        <v>309</v>
      </c>
      <c r="L3" s="90"/>
    </row>
    <row r="4" spans="1:12">
      <c r="A4" t="s">
        <v>80</v>
      </c>
      <c r="B4" t="s">
        <v>274</v>
      </c>
      <c r="C4" t="s">
        <v>81</v>
      </c>
      <c r="D4" s="67">
        <v>0</v>
      </c>
      <c r="E4" t="s">
        <v>310</v>
      </c>
      <c r="H4" s="67"/>
      <c r="L4" s="90"/>
    </row>
    <row r="5" spans="1:12">
      <c r="A5" t="s">
        <v>80</v>
      </c>
      <c r="B5" t="s">
        <v>275</v>
      </c>
      <c r="C5" t="s">
        <v>81</v>
      </c>
      <c r="D5" s="67">
        <v>0</v>
      </c>
      <c r="E5" t="s">
        <v>311</v>
      </c>
      <c r="L5" s="90"/>
    </row>
    <row r="6" spans="1:12">
      <c r="A6" t="s">
        <v>80</v>
      </c>
      <c r="B6" t="s">
        <v>276</v>
      </c>
      <c r="C6" t="s">
        <v>81</v>
      </c>
      <c r="D6" s="67">
        <v>0</v>
      </c>
      <c r="E6" t="s">
        <v>312</v>
      </c>
      <c r="H6" s="67"/>
      <c r="L6" s="90"/>
    </row>
    <row r="7" spans="1:12">
      <c r="A7" t="s">
        <v>80</v>
      </c>
      <c r="B7" t="s">
        <v>277</v>
      </c>
      <c r="C7" t="s">
        <v>81</v>
      </c>
      <c r="D7" s="67">
        <v>0</v>
      </c>
      <c r="E7" t="s">
        <v>313</v>
      </c>
      <c r="F7" s="67"/>
      <c r="L7" s="90"/>
    </row>
    <row r="8" spans="1:12">
      <c r="A8" t="s">
        <v>80</v>
      </c>
      <c r="B8" t="s">
        <v>278</v>
      </c>
      <c r="C8" t="s">
        <v>81</v>
      </c>
      <c r="D8" s="67">
        <v>0</v>
      </c>
      <c r="E8" t="s">
        <v>314</v>
      </c>
      <c r="F8" s="67"/>
      <c r="L8" s="90"/>
    </row>
    <row r="9" spans="1:12">
      <c r="A9" t="s">
        <v>80</v>
      </c>
      <c r="B9" t="s">
        <v>279</v>
      </c>
      <c r="C9" t="s">
        <v>81</v>
      </c>
      <c r="D9" s="67">
        <v>0</v>
      </c>
      <c r="E9" t="s">
        <v>315</v>
      </c>
      <c r="F9" s="67"/>
      <c r="H9" s="67"/>
      <c r="L9" s="90"/>
    </row>
    <row r="10" spans="1:12">
      <c r="A10" t="s">
        <v>80</v>
      </c>
      <c r="B10" t="s">
        <v>280</v>
      </c>
      <c r="C10" t="s">
        <v>81</v>
      </c>
      <c r="D10" s="67">
        <v>0</v>
      </c>
      <c r="E10" t="s">
        <v>316</v>
      </c>
      <c r="F10" s="67"/>
      <c r="L10" s="90"/>
    </row>
    <row r="11" spans="1:12">
      <c r="A11" t="s">
        <v>80</v>
      </c>
      <c r="B11" t="s">
        <v>281</v>
      </c>
      <c r="C11" t="s">
        <v>81</v>
      </c>
      <c r="D11" s="67">
        <v>0</v>
      </c>
      <c r="E11" t="s">
        <v>317</v>
      </c>
      <c r="F11" s="67"/>
      <c r="L11" s="90"/>
    </row>
    <row r="12" spans="1:12">
      <c r="A12" t="s">
        <v>80</v>
      </c>
      <c r="B12" t="s">
        <v>282</v>
      </c>
      <c r="C12" t="s">
        <v>81</v>
      </c>
      <c r="D12" s="67">
        <v>0</v>
      </c>
      <c r="E12" t="s">
        <v>318</v>
      </c>
      <c r="F12" s="67"/>
      <c r="H12" s="67"/>
      <c r="L12" s="90"/>
    </row>
    <row r="13" spans="1:12">
      <c r="A13" t="s">
        <v>80</v>
      </c>
      <c r="B13" t="s">
        <v>283</v>
      </c>
      <c r="C13" t="s">
        <v>81</v>
      </c>
      <c r="D13" s="67">
        <v>0</v>
      </c>
      <c r="E13" t="s">
        <v>319</v>
      </c>
      <c r="F13" s="67"/>
      <c r="L13" s="90"/>
    </row>
    <row r="14" spans="1:12">
      <c r="A14" t="s">
        <v>80</v>
      </c>
      <c r="B14" t="s">
        <v>284</v>
      </c>
      <c r="C14" t="s">
        <v>81</v>
      </c>
      <c r="D14" s="67">
        <v>0</v>
      </c>
      <c r="E14" t="s">
        <v>320</v>
      </c>
      <c r="F14" s="67"/>
      <c r="L14" s="90"/>
    </row>
    <row r="15" spans="1:12">
      <c r="A15" t="s">
        <v>80</v>
      </c>
      <c r="B15" t="s">
        <v>285</v>
      </c>
      <c r="C15" t="s">
        <v>81</v>
      </c>
      <c r="D15" s="67">
        <v>1000</v>
      </c>
      <c r="E15" t="s">
        <v>321</v>
      </c>
      <c r="F15" s="67"/>
      <c r="H15" s="67"/>
      <c r="L15" s="90"/>
    </row>
    <row r="16" spans="1:12">
      <c r="A16" t="s">
        <v>80</v>
      </c>
      <c r="B16" t="s">
        <v>286</v>
      </c>
      <c r="C16" t="s">
        <v>81</v>
      </c>
      <c r="D16" s="67">
        <v>1000</v>
      </c>
      <c r="E16" t="s">
        <v>322</v>
      </c>
      <c r="F16" s="67"/>
      <c r="L16" s="90"/>
    </row>
    <row r="17" spans="1:12">
      <c r="A17" t="s">
        <v>80</v>
      </c>
      <c r="B17" t="s">
        <v>287</v>
      </c>
      <c r="C17" t="s">
        <v>81</v>
      </c>
      <c r="D17" s="67">
        <v>1000</v>
      </c>
      <c r="E17" t="s">
        <v>323</v>
      </c>
      <c r="F17" s="67"/>
      <c r="L17" s="90"/>
    </row>
    <row r="18" spans="1:12">
      <c r="A18" t="s">
        <v>80</v>
      </c>
      <c r="B18" t="s">
        <v>288</v>
      </c>
      <c r="C18" t="s">
        <v>81</v>
      </c>
      <c r="D18" s="67">
        <v>1000</v>
      </c>
      <c r="E18" t="s">
        <v>324</v>
      </c>
      <c r="F18" s="67"/>
      <c r="L18" s="90"/>
    </row>
    <row r="19" spans="1:12">
      <c r="D19" s="67"/>
      <c r="F19" s="67"/>
      <c r="L19" s="90"/>
    </row>
    <row r="20" spans="1:12">
      <c r="D20" s="67"/>
      <c r="F20" s="67"/>
      <c r="L20" s="90"/>
    </row>
    <row r="21" spans="1:12">
      <c r="D21" s="67"/>
      <c r="F21" s="67"/>
      <c r="L21" s="90"/>
    </row>
    <row r="22" spans="1:12">
      <c r="D22" s="67"/>
      <c r="F22" s="67"/>
      <c r="L22" s="90"/>
    </row>
    <row r="23" spans="1:12">
      <c r="D23" s="67"/>
    </row>
    <row r="24" spans="1:12">
      <c r="D24" s="67"/>
    </row>
    <row r="25" spans="1:12">
      <c r="D25" s="67"/>
    </row>
    <row r="26" spans="1:12">
      <c r="D26" s="67"/>
    </row>
    <row r="27" spans="1:12">
      <c r="D27" s="67"/>
    </row>
    <row r="28" spans="1:12">
      <c r="D28" s="67"/>
    </row>
    <row r="29" spans="1:12">
      <c r="D29" s="67"/>
    </row>
    <row r="30" spans="1:12">
      <c r="D30" s="67"/>
    </row>
    <row r="31" spans="1:12">
      <c r="D31" s="67"/>
    </row>
    <row r="32" spans="1:12">
      <c r="D32" s="67"/>
    </row>
    <row r="33" spans="4:4">
      <c r="D33" s="67"/>
    </row>
    <row r="34" spans="4:4">
      <c r="D34" s="67"/>
    </row>
    <row r="35" spans="4:4">
      <c r="D35" s="67"/>
    </row>
    <row r="36" spans="4:4">
      <c r="D36" s="67"/>
    </row>
    <row r="37" spans="4:4">
      <c r="D37" s="67"/>
    </row>
    <row r="38" spans="4:4">
      <c r="D38" s="67"/>
    </row>
    <row r="39" spans="4:4">
      <c r="D39" s="67"/>
    </row>
    <row r="40" spans="4:4">
      <c r="D40" s="67"/>
    </row>
    <row r="41" spans="4:4">
      <c r="D41" s="67"/>
    </row>
    <row r="42" spans="4:4">
      <c r="D42" s="67"/>
    </row>
    <row r="43" spans="4:4">
      <c r="D43" s="67"/>
    </row>
  </sheetData>
  <phoneticPr fontId="1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10E85-0683-4D75-BCDA-74D18A7EC7BD}">
  <sheetPr codeName="Sheet13"/>
  <dimension ref="A1:U24"/>
  <sheetViews>
    <sheetView workbookViewId="0">
      <selection activeCell="J34" sqref="J34"/>
    </sheetView>
  </sheetViews>
  <sheetFormatPr defaultRowHeight="15"/>
  <cols>
    <col min="7" max="7" width="12.140625" bestFit="1" customWidth="1"/>
    <col min="11" max="11" width="19.140625" bestFit="1" customWidth="1"/>
    <col min="12" max="12" width="15.28515625" bestFit="1" customWidth="1"/>
    <col min="13" max="13" width="20.7109375" bestFit="1" customWidth="1"/>
    <col min="15" max="15" width="12.140625" bestFit="1" customWidth="1"/>
    <col min="16" max="16" width="11.42578125" bestFit="1" customWidth="1"/>
    <col min="20" max="20" width="8.42578125" bestFit="1" customWidth="1"/>
    <col min="21" max="21" width="10.28515625" bestFit="1" customWidth="1"/>
  </cols>
  <sheetData>
    <row r="1" spans="1:21">
      <c r="A1" s="103" t="s">
        <v>0</v>
      </c>
      <c r="B1" s="103" t="s">
        <v>5</v>
      </c>
      <c r="C1" s="103" t="s">
        <v>14</v>
      </c>
      <c r="D1" s="103" t="s">
        <v>16</v>
      </c>
      <c r="E1" s="103" t="s">
        <v>15</v>
      </c>
      <c r="F1" s="103" t="s">
        <v>36</v>
      </c>
      <c r="G1" s="104" t="s">
        <v>37</v>
      </c>
      <c r="H1" s="103" t="s">
        <v>38</v>
      </c>
      <c r="I1" s="103" t="s">
        <v>39</v>
      </c>
      <c r="J1" s="103" t="s">
        <v>40</v>
      </c>
      <c r="K1" s="103" t="s">
        <v>120</v>
      </c>
      <c r="L1" s="103" t="s">
        <v>121</v>
      </c>
      <c r="M1" s="103" t="s">
        <v>122</v>
      </c>
      <c r="N1" s="103" t="s">
        <v>123</v>
      </c>
      <c r="O1" s="103" t="s">
        <v>124</v>
      </c>
      <c r="P1" s="105" t="s">
        <v>125</v>
      </c>
      <c r="Q1" s="106" t="s">
        <v>126</v>
      </c>
      <c r="R1" s="107" t="s">
        <v>127</v>
      </c>
      <c r="S1" s="103" t="s">
        <v>128</v>
      </c>
      <c r="T1" s="103" t="s">
        <v>129</v>
      </c>
      <c r="U1" s="103" t="s">
        <v>130</v>
      </c>
    </row>
    <row r="2" spans="1:21">
      <c r="A2" s="108" t="s">
        <v>131</v>
      </c>
      <c r="B2" s="109">
        <v>20</v>
      </c>
      <c r="C2" s="109">
        <v>165</v>
      </c>
      <c r="D2" s="109">
        <v>0</v>
      </c>
      <c r="E2" s="109">
        <v>15</v>
      </c>
      <c r="F2" s="110">
        <v>0.65</v>
      </c>
      <c r="G2" s="110">
        <v>0</v>
      </c>
      <c r="H2" s="110">
        <v>0</v>
      </c>
      <c r="I2" s="110">
        <v>0</v>
      </c>
      <c r="J2" s="110">
        <v>0</v>
      </c>
      <c r="K2" s="108">
        <v>0</v>
      </c>
      <c r="L2" s="108">
        <v>1</v>
      </c>
      <c r="M2" s="108">
        <v>0</v>
      </c>
      <c r="N2" s="108">
        <v>0</v>
      </c>
      <c r="O2" s="108">
        <v>1</v>
      </c>
      <c r="P2" s="111">
        <v>0</v>
      </c>
      <c r="Q2" s="112">
        <v>0</v>
      </c>
      <c r="R2" s="113"/>
      <c r="S2" s="108"/>
      <c r="T2" s="108"/>
      <c r="U2" s="108"/>
    </row>
    <row r="3" spans="1:21">
      <c r="A3" s="108" t="s">
        <v>132</v>
      </c>
      <c r="B3" s="109">
        <v>20</v>
      </c>
      <c r="C3" s="109">
        <v>165</v>
      </c>
      <c r="D3" s="109">
        <v>0</v>
      </c>
      <c r="E3" s="109">
        <v>15</v>
      </c>
      <c r="F3" s="110">
        <v>0.64</v>
      </c>
      <c r="G3" s="110">
        <v>0</v>
      </c>
      <c r="H3" s="110">
        <v>0</v>
      </c>
      <c r="I3" s="110">
        <v>0</v>
      </c>
      <c r="J3" s="110">
        <v>0</v>
      </c>
      <c r="K3" s="108">
        <v>0</v>
      </c>
      <c r="L3" s="108">
        <v>1</v>
      </c>
      <c r="M3" s="108">
        <v>0</v>
      </c>
      <c r="N3" s="108">
        <v>0</v>
      </c>
      <c r="O3" s="108">
        <v>1</v>
      </c>
      <c r="P3" s="111">
        <v>1</v>
      </c>
      <c r="Q3" s="112">
        <v>0</v>
      </c>
      <c r="R3" s="113"/>
      <c r="S3" s="108"/>
      <c r="T3" s="108"/>
      <c r="U3" s="108"/>
    </row>
    <row r="4" spans="1:21">
      <c r="A4" s="108" t="s">
        <v>133</v>
      </c>
      <c r="B4" s="109">
        <v>20</v>
      </c>
      <c r="C4" s="109">
        <v>165</v>
      </c>
      <c r="D4" s="109">
        <v>0</v>
      </c>
      <c r="E4" s="109">
        <v>15</v>
      </c>
      <c r="F4" s="110">
        <v>0.63</v>
      </c>
      <c r="G4" s="110">
        <v>0</v>
      </c>
      <c r="H4" s="110">
        <v>0</v>
      </c>
      <c r="I4" s="110">
        <v>0</v>
      </c>
      <c r="J4" s="110">
        <v>0</v>
      </c>
      <c r="K4" s="108">
        <v>0</v>
      </c>
      <c r="L4" s="108">
        <v>1</v>
      </c>
      <c r="M4" s="108">
        <v>0</v>
      </c>
      <c r="N4" s="108">
        <v>0</v>
      </c>
      <c r="O4" s="108">
        <v>1</v>
      </c>
      <c r="P4" s="111">
        <v>1</v>
      </c>
      <c r="Q4" s="112">
        <v>0</v>
      </c>
      <c r="R4" s="113"/>
      <c r="S4" s="108"/>
      <c r="T4" s="108"/>
      <c r="U4" s="108"/>
    </row>
    <row r="5" spans="1:21">
      <c r="A5" s="108" t="s">
        <v>134</v>
      </c>
      <c r="B5" s="109">
        <v>20</v>
      </c>
      <c r="C5" s="109">
        <v>165</v>
      </c>
      <c r="D5" s="109">
        <v>0</v>
      </c>
      <c r="E5" s="109">
        <v>15</v>
      </c>
      <c r="F5" s="110">
        <v>0.62</v>
      </c>
      <c r="G5" s="110">
        <v>0</v>
      </c>
      <c r="H5" s="110">
        <v>0</v>
      </c>
      <c r="I5" s="110">
        <v>0</v>
      </c>
      <c r="J5" s="110">
        <v>0</v>
      </c>
      <c r="K5" s="108">
        <v>0</v>
      </c>
      <c r="L5" s="108">
        <v>1</v>
      </c>
      <c r="M5" s="108">
        <v>0</v>
      </c>
      <c r="N5" s="108">
        <v>0</v>
      </c>
      <c r="O5" s="108">
        <v>1</v>
      </c>
      <c r="P5" s="111">
        <v>1</v>
      </c>
      <c r="Q5" s="112">
        <v>0</v>
      </c>
      <c r="R5" s="113"/>
      <c r="S5" s="108"/>
      <c r="T5" s="108"/>
      <c r="U5" s="108"/>
    </row>
    <row r="6" spans="1:21">
      <c r="A6" s="108" t="s">
        <v>135</v>
      </c>
      <c r="B6" s="109">
        <v>20</v>
      </c>
      <c r="C6" s="109">
        <v>165</v>
      </c>
      <c r="D6" s="109">
        <v>0</v>
      </c>
      <c r="E6" s="109">
        <v>15</v>
      </c>
      <c r="F6" s="110">
        <v>0.61</v>
      </c>
      <c r="G6" s="110">
        <v>0</v>
      </c>
      <c r="H6" s="110">
        <v>0</v>
      </c>
      <c r="I6" s="110">
        <v>0</v>
      </c>
      <c r="J6" s="110">
        <v>0</v>
      </c>
      <c r="K6" s="108">
        <v>0</v>
      </c>
      <c r="L6" s="108">
        <v>1</v>
      </c>
      <c r="M6" s="108">
        <v>0</v>
      </c>
      <c r="N6" s="108">
        <v>0</v>
      </c>
      <c r="O6" s="108">
        <v>1</v>
      </c>
      <c r="P6" s="111">
        <v>1</v>
      </c>
      <c r="Q6" s="112">
        <v>0</v>
      </c>
      <c r="R6" s="113"/>
      <c r="S6" s="108"/>
      <c r="T6" s="108"/>
      <c r="U6" s="108"/>
    </row>
    <row r="7" spans="1:21">
      <c r="A7" s="108" t="s">
        <v>136</v>
      </c>
      <c r="B7" s="109">
        <v>20</v>
      </c>
      <c r="C7" s="109">
        <v>165</v>
      </c>
      <c r="D7" s="109">
        <v>0</v>
      </c>
      <c r="E7" s="109">
        <v>15</v>
      </c>
      <c r="F7" s="110">
        <v>0.6</v>
      </c>
      <c r="G7" s="110">
        <v>0</v>
      </c>
      <c r="H7" s="110">
        <v>0</v>
      </c>
      <c r="I7" s="110">
        <v>0</v>
      </c>
      <c r="J7" s="110">
        <v>0</v>
      </c>
      <c r="K7" s="108">
        <v>0</v>
      </c>
      <c r="L7" s="108">
        <v>1</v>
      </c>
      <c r="M7" s="108">
        <v>0</v>
      </c>
      <c r="N7" s="108">
        <v>0</v>
      </c>
      <c r="O7" s="108">
        <v>1</v>
      </c>
      <c r="P7" s="111">
        <v>1</v>
      </c>
      <c r="Q7" s="112">
        <v>0</v>
      </c>
      <c r="R7" s="113"/>
      <c r="S7" s="108"/>
      <c r="T7" s="108"/>
      <c r="U7" s="108"/>
    </row>
    <row r="8" spans="1:21">
      <c r="A8" s="108" t="s">
        <v>137</v>
      </c>
      <c r="B8" s="109">
        <v>20</v>
      </c>
      <c r="C8" s="109">
        <v>165</v>
      </c>
      <c r="D8" s="109">
        <v>0</v>
      </c>
      <c r="E8" s="109">
        <v>15</v>
      </c>
      <c r="F8" s="110">
        <v>0.59</v>
      </c>
      <c r="G8" s="110">
        <v>0</v>
      </c>
      <c r="H8" s="110">
        <v>0</v>
      </c>
      <c r="I8" s="110">
        <v>0</v>
      </c>
      <c r="J8" s="110">
        <v>0</v>
      </c>
      <c r="K8" s="108">
        <v>0</v>
      </c>
      <c r="L8" s="108">
        <v>1</v>
      </c>
      <c r="M8" s="108">
        <v>0</v>
      </c>
      <c r="N8" s="108">
        <v>0</v>
      </c>
      <c r="O8" s="108">
        <v>1</v>
      </c>
      <c r="P8" s="111">
        <v>1</v>
      </c>
      <c r="Q8" s="112">
        <v>0</v>
      </c>
      <c r="R8" s="113"/>
      <c r="S8" s="108"/>
      <c r="T8" s="108"/>
      <c r="U8" s="108"/>
    </row>
    <row r="9" spans="1:21">
      <c r="A9" s="108" t="s">
        <v>138</v>
      </c>
      <c r="B9" s="109">
        <v>20</v>
      </c>
      <c r="C9" s="109">
        <v>165</v>
      </c>
      <c r="D9" s="109">
        <v>0</v>
      </c>
      <c r="E9" s="109">
        <v>15</v>
      </c>
      <c r="F9" s="110">
        <v>0.57999999999999996</v>
      </c>
      <c r="G9" s="110">
        <v>0</v>
      </c>
      <c r="H9" s="110">
        <v>0</v>
      </c>
      <c r="I9" s="110">
        <v>0</v>
      </c>
      <c r="J9" s="110">
        <v>0</v>
      </c>
      <c r="K9" s="108">
        <v>0</v>
      </c>
      <c r="L9" s="108">
        <v>1</v>
      </c>
      <c r="M9" s="108">
        <v>0</v>
      </c>
      <c r="N9" s="108">
        <v>0</v>
      </c>
      <c r="O9" s="108">
        <v>1</v>
      </c>
      <c r="P9" s="111">
        <v>1</v>
      </c>
      <c r="Q9" s="112">
        <v>0</v>
      </c>
      <c r="R9" s="113"/>
      <c r="S9" s="108"/>
      <c r="T9" s="108"/>
      <c r="U9" s="108"/>
    </row>
    <row r="10" spans="1:21">
      <c r="A10" s="108" t="s">
        <v>139</v>
      </c>
      <c r="B10" s="109">
        <v>20</v>
      </c>
      <c r="C10" s="109">
        <v>165</v>
      </c>
      <c r="D10" s="109">
        <v>0</v>
      </c>
      <c r="E10" s="109">
        <v>15</v>
      </c>
      <c r="F10" s="110">
        <v>0.56999999999999995</v>
      </c>
      <c r="G10" s="110">
        <v>0</v>
      </c>
      <c r="H10" s="110">
        <v>0</v>
      </c>
      <c r="I10" s="110">
        <v>0</v>
      </c>
      <c r="J10" s="110">
        <v>0</v>
      </c>
      <c r="K10" s="108">
        <v>0</v>
      </c>
      <c r="L10" s="108">
        <v>1</v>
      </c>
      <c r="M10" s="108">
        <v>0</v>
      </c>
      <c r="N10" s="108">
        <v>0</v>
      </c>
      <c r="O10" s="108">
        <v>1</v>
      </c>
      <c r="P10" s="111">
        <v>1</v>
      </c>
      <c r="Q10" s="112">
        <v>0</v>
      </c>
      <c r="R10" s="113"/>
      <c r="S10" s="108"/>
      <c r="T10" s="108"/>
      <c r="U10" s="108"/>
    </row>
    <row r="11" spans="1:21">
      <c r="A11" s="108" t="s">
        <v>140</v>
      </c>
      <c r="B11" s="109">
        <v>20</v>
      </c>
      <c r="C11" s="109">
        <v>165</v>
      </c>
      <c r="D11" s="109">
        <v>0</v>
      </c>
      <c r="E11" s="109">
        <v>15</v>
      </c>
      <c r="F11" s="110">
        <v>0.56000000000000005</v>
      </c>
      <c r="G11" s="110">
        <v>0</v>
      </c>
      <c r="H11" s="110">
        <v>0</v>
      </c>
      <c r="I11" s="110">
        <v>0</v>
      </c>
      <c r="J11" s="110">
        <v>0</v>
      </c>
      <c r="K11" s="108">
        <v>0</v>
      </c>
      <c r="L11" s="108">
        <v>1</v>
      </c>
      <c r="M11" s="108">
        <v>0</v>
      </c>
      <c r="N11" s="108">
        <v>0</v>
      </c>
      <c r="O11" s="108">
        <v>1</v>
      </c>
      <c r="P11" s="111">
        <v>1</v>
      </c>
      <c r="Q11" s="112">
        <v>0</v>
      </c>
      <c r="R11" s="113"/>
      <c r="S11" s="108"/>
      <c r="T11" s="108"/>
      <c r="U11" s="108"/>
    </row>
    <row r="12" spans="1:21">
      <c r="A12" s="108" t="s">
        <v>141</v>
      </c>
      <c r="B12" s="109">
        <v>20</v>
      </c>
      <c r="C12" s="109">
        <v>165</v>
      </c>
      <c r="D12" s="109">
        <v>0</v>
      </c>
      <c r="E12" s="109">
        <v>15</v>
      </c>
      <c r="F12" s="110">
        <v>0.55000000000000004</v>
      </c>
      <c r="G12" s="110">
        <v>0</v>
      </c>
      <c r="H12" s="110">
        <v>0</v>
      </c>
      <c r="I12" s="110">
        <v>0</v>
      </c>
      <c r="J12" s="110">
        <v>0</v>
      </c>
      <c r="K12" s="108">
        <v>0</v>
      </c>
      <c r="L12" s="108">
        <v>1</v>
      </c>
      <c r="M12" s="108">
        <v>0</v>
      </c>
      <c r="N12" s="108">
        <v>0</v>
      </c>
      <c r="O12" s="108">
        <v>1</v>
      </c>
      <c r="P12" s="111">
        <v>1</v>
      </c>
      <c r="Q12" s="112">
        <v>0</v>
      </c>
      <c r="R12" s="113"/>
      <c r="S12" s="108"/>
      <c r="T12" s="108"/>
      <c r="U12" s="108"/>
    </row>
    <row r="13" spans="1:21">
      <c r="A13" s="108" t="s">
        <v>142</v>
      </c>
      <c r="B13" s="109">
        <v>20</v>
      </c>
      <c r="C13" s="109">
        <v>165</v>
      </c>
      <c r="D13" s="109">
        <v>0</v>
      </c>
      <c r="E13" s="109">
        <v>15</v>
      </c>
      <c r="F13" s="110">
        <v>0.54</v>
      </c>
      <c r="G13" s="110">
        <v>0</v>
      </c>
      <c r="H13" s="110">
        <v>0</v>
      </c>
      <c r="I13" s="110">
        <v>0</v>
      </c>
      <c r="J13" s="110">
        <v>0</v>
      </c>
      <c r="K13" s="108">
        <v>0</v>
      </c>
      <c r="L13" s="108">
        <v>1</v>
      </c>
      <c r="M13" s="108">
        <v>0</v>
      </c>
      <c r="N13" s="108">
        <v>0</v>
      </c>
      <c r="O13" s="108">
        <v>1</v>
      </c>
      <c r="P13" s="111">
        <v>1</v>
      </c>
      <c r="Q13" s="112">
        <v>0</v>
      </c>
      <c r="R13" s="113"/>
      <c r="S13" s="108"/>
      <c r="T13" s="108"/>
      <c r="U13" s="108"/>
    </row>
    <row r="14" spans="1:21">
      <c r="A14" s="108" t="s">
        <v>143</v>
      </c>
      <c r="B14" s="109">
        <v>20</v>
      </c>
      <c r="C14" s="109">
        <v>165</v>
      </c>
      <c r="D14" s="109">
        <v>0</v>
      </c>
      <c r="E14" s="109">
        <v>15</v>
      </c>
      <c r="F14" s="110">
        <v>0.53</v>
      </c>
      <c r="G14" s="110">
        <v>0</v>
      </c>
      <c r="H14" s="110">
        <v>0</v>
      </c>
      <c r="I14" s="110">
        <v>0</v>
      </c>
      <c r="J14" s="110">
        <v>0</v>
      </c>
      <c r="K14" s="108">
        <v>0</v>
      </c>
      <c r="L14" s="108">
        <v>1</v>
      </c>
      <c r="M14" s="108">
        <v>0</v>
      </c>
      <c r="N14" s="108">
        <v>0</v>
      </c>
      <c r="O14" s="108">
        <v>1</v>
      </c>
      <c r="P14" s="111">
        <v>1</v>
      </c>
      <c r="Q14" s="112">
        <v>0</v>
      </c>
      <c r="R14" s="113"/>
      <c r="S14" s="108"/>
      <c r="T14" s="108"/>
      <c r="U14" s="108"/>
    </row>
    <row r="15" spans="1:21">
      <c r="A15" s="108" t="s">
        <v>144</v>
      </c>
      <c r="B15" s="109">
        <v>20</v>
      </c>
      <c r="C15" s="109">
        <v>165</v>
      </c>
      <c r="D15" s="109">
        <v>0</v>
      </c>
      <c r="E15" s="109">
        <v>15</v>
      </c>
      <c r="F15" s="110">
        <v>0.52</v>
      </c>
      <c r="G15" s="110">
        <v>0</v>
      </c>
      <c r="H15" s="110">
        <v>0</v>
      </c>
      <c r="I15" s="110">
        <v>0</v>
      </c>
      <c r="J15" s="110">
        <v>0</v>
      </c>
      <c r="K15" s="108">
        <v>0</v>
      </c>
      <c r="L15" s="108">
        <v>1</v>
      </c>
      <c r="M15" s="108">
        <v>0</v>
      </c>
      <c r="N15" s="108">
        <v>0</v>
      </c>
      <c r="O15" s="108">
        <v>1</v>
      </c>
      <c r="P15" s="111">
        <v>1</v>
      </c>
      <c r="Q15" s="112">
        <v>0</v>
      </c>
      <c r="R15" s="113"/>
      <c r="S15" s="108"/>
      <c r="T15" s="108"/>
      <c r="U15" s="108"/>
    </row>
    <row r="16" spans="1:21">
      <c r="A16" s="108" t="s">
        <v>145</v>
      </c>
      <c r="B16" s="109">
        <v>20</v>
      </c>
      <c r="C16" s="109">
        <v>165</v>
      </c>
      <c r="D16" s="109">
        <v>0</v>
      </c>
      <c r="E16" s="109">
        <v>15</v>
      </c>
      <c r="F16" s="110">
        <v>0.51</v>
      </c>
      <c r="G16" s="110">
        <v>0</v>
      </c>
      <c r="H16" s="110">
        <v>0</v>
      </c>
      <c r="I16" s="110">
        <v>0</v>
      </c>
      <c r="J16" s="110">
        <v>0</v>
      </c>
      <c r="K16" s="108">
        <v>0</v>
      </c>
      <c r="L16" s="108">
        <v>1</v>
      </c>
      <c r="M16" s="108">
        <v>0</v>
      </c>
      <c r="N16" s="108">
        <v>0</v>
      </c>
      <c r="O16" s="108">
        <v>1</v>
      </c>
      <c r="P16" s="111">
        <v>1</v>
      </c>
      <c r="Q16" s="112">
        <v>0</v>
      </c>
      <c r="R16" s="113"/>
      <c r="S16" s="108"/>
      <c r="T16" s="108"/>
      <c r="U16" s="108"/>
    </row>
    <row r="17" spans="1:21">
      <c r="A17" s="108" t="s">
        <v>146</v>
      </c>
      <c r="B17" s="109">
        <v>20</v>
      </c>
      <c r="C17" s="109">
        <v>165</v>
      </c>
      <c r="D17" s="109">
        <v>0</v>
      </c>
      <c r="E17" s="109">
        <v>15</v>
      </c>
      <c r="F17" s="110">
        <v>0.5</v>
      </c>
      <c r="G17" s="110">
        <v>0</v>
      </c>
      <c r="H17" s="110">
        <v>0</v>
      </c>
      <c r="I17" s="110">
        <v>0</v>
      </c>
      <c r="J17" s="110">
        <v>0</v>
      </c>
      <c r="K17" s="108">
        <v>0</v>
      </c>
      <c r="L17" s="108">
        <v>1</v>
      </c>
      <c r="M17" s="108">
        <v>0</v>
      </c>
      <c r="N17" s="108">
        <v>0</v>
      </c>
      <c r="O17" s="108">
        <v>1</v>
      </c>
      <c r="P17" s="111">
        <v>1</v>
      </c>
      <c r="Q17" s="112">
        <v>0</v>
      </c>
      <c r="R17" s="113"/>
      <c r="S17" s="108"/>
      <c r="T17" s="108"/>
      <c r="U17" s="108"/>
    </row>
    <row r="18" spans="1:21">
      <c r="A18" s="108" t="s">
        <v>147</v>
      </c>
      <c r="B18" s="109">
        <v>20</v>
      </c>
      <c r="C18" s="109">
        <v>165</v>
      </c>
      <c r="D18" s="109">
        <v>0</v>
      </c>
      <c r="E18" s="109">
        <v>15</v>
      </c>
      <c r="F18" s="110">
        <v>0.49</v>
      </c>
      <c r="G18" s="110">
        <v>0</v>
      </c>
      <c r="H18" s="110">
        <v>0</v>
      </c>
      <c r="I18" s="110">
        <v>0</v>
      </c>
      <c r="J18" s="110">
        <v>0</v>
      </c>
      <c r="K18" s="108">
        <v>0</v>
      </c>
      <c r="L18" s="108">
        <v>1</v>
      </c>
      <c r="M18" s="108">
        <v>0</v>
      </c>
      <c r="N18" s="108">
        <v>0</v>
      </c>
      <c r="O18" s="108">
        <v>1</v>
      </c>
      <c r="P18" s="111">
        <v>1</v>
      </c>
      <c r="Q18" s="112">
        <v>0</v>
      </c>
      <c r="R18" s="113"/>
      <c r="S18" s="108"/>
      <c r="T18" s="108"/>
      <c r="U18" s="108"/>
    </row>
    <row r="19" spans="1:21">
      <c r="A19" s="108" t="s">
        <v>148</v>
      </c>
      <c r="B19" s="109">
        <v>20</v>
      </c>
      <c r="C19" s="109">
        <v>165</v>
      </c>
      <c r="D19" s="109">
        <v>0</v>
      </c>
      <c r="E19" s="109">
        <v>15</v>
      </c>
      <c r="F19" s="110">
        <v>0.48</v>
      </c>
      <c r="G19" s="110">
        <v>0</v>
      </c>
      <c r="H19" s="110">
        <v>0</v>
      </c>
      <c r="I19" s="110">
        <v>0</v>
      </c>
      <c r="J19" s="110">
        <v>0</v>
      </c>
      <c r="K19" s="108">
        <v>0</v>
      </c>
      <c r="L19" s="108">
        <v>1</v>
      </c>
      <c r="M19" s="108">
        <v>0</v>
      </c>
      <c r="N19" s="108">
        <v>0</v>
      </c>
      <c r="O19" s="108">
        <v>1</v>
      </c>
      <c r="P19" s="111">
        <v>1</v>
      </c>
      <c r="Q19" s="112">
        <v>0</v>
      </c>
      <c r="R19" s="113"/>
      <c r="S19" s="108"/>
      <c r="T19" s="108"/>
      <c r="U19" s="108"/>
    </row>
    <row r="20" spans="1:21">
      <c r="A20" s="108" t="s">
        <v>149</v>
      </c>
      <c r="B20" s="109">
        <v>20</v>
      </c>
      <c r="C20" s="109">
        <v>165</v>
      </c>
      <c r="D20" s="109">
        <v>0</v>
      </c>
      <c r="E20" s="109">
        <v>15</v>
      </c>
      <c r="F20" s="110">
        <v>0.47</v>
      </c>
      <c r="G20" s="110">
        <v>0</v>
      </c>
      <c r="H20" s="110">
        <v>0</v>
      </c>
      <c r="I20" s="110">
        <v>0</v>
      </c>
      <c r="J20" s="110">
        <v>0</v>
      </c>
      <c r="K20" s="108">
        <v>0</v>
      </c>
      <c r="L20" s="108">
        <v>1</v>
      </c>
      <c r="M20" s="108">
        <v>0</v>
      </c>
      <c r="N20" s="108">
        <v>0</v>
      </c>
      <c r="O20" s="108">
        <v>1</v>
      </c>
      <c r="P20" s="111">
        <v>1</v>
      </c>
      <c r="Q20" s="112">
        <v>0</v>
      </c>
      <c r="R20" s="113"/>
      <c r="S20" s="108"/>
      <c r="T20" s="108"/>
      <c r="U20" s="108"/>
    </row>
    <row r="21" spans="1:21">
      <c r="A21" s="108" t="s">
        <v>150</v>
      </c>
      <c r="B21" s="109">
        <v>20</v>
      </c>
      <c r="C21" s="109">
        <v>165</v>
      </c>
      <c r="D21" s="109">
        <v>0</v>
      </c>
      <c r="E21" s="109">
        <v>15</v>
      </c>
      <c r="F21" s="110">
        <v>0.46</v>
      </c>
      <c r="G21" s="110">
        <v>0</v>
      </c>
      <c r="H21" s="110">
        <v>0</v>
      </c>
      <c r="I21" s="110">
        <v>0</v>
      </c>
      <c r="J21" s="110">
        <v>0</v>
      </c>
      <c r="K21" s="108">
        <v>0</v>
      </c>
      <c r="L21" s="108">
        <v>1</v>
      </c>
      <c r="M21" s="108">
        <v>0</v>
      </c>
      <c r="N21" s="108">
        <v>0</v>
      </c>
      <c r="O21" s="108">
        <v>1</v>
      </c>
      <c r="P21" s="111">
        <v>1</v>
      </c>
      <c r="Q21" s="112">
        <v>0</v>
      </c>
      <c r="R21" s="113"/>
      <c r="S21" s="108"/>
      <c r="T21" s="108"/>
      <c r="U21" s="108"/>
    </row>
    <row r="22" spans="1:21">
      <c r="A22" s="108" t="s">
        <v>151</v>
      </c>
      <c r="B22" s="109">
        <v>20</v>
      </c>
      <c r="C22" s="109">
        <v>165</v>
      </c>
      <c r="D22" s="109">
        <v>0</v>
      </c>
      <c r="E22" s="109">
        <v>15</v>
      </c>
      <c r="F22" s="110">
        <v>0.45</v>
      </c>
      <c r="G22" s="110">
        <v>0</v>
      </c>
      <c r="H22" s="110">
        <v>0</v>
      </c>
      <c r="I22" s="110">
        <v>0</v>
      </c>
      <c r="J22" s="110">
        <v>0</v>
      </c>
      <c r="K22" s="108">
        <v>0</v>
      </c>
      <c r="L22" s="108">
        <v>1</v>
      </c>
      <c r="M22" s="108">
        <v>0</v>
      </c>
      <c r="N22" s="108">
        <v>0</v>
      </c>
      <c r="O22" s="108">
        <v>1</v>
      </c>
      <c r="P22" s="111">
        <v>1</v>
      </c>
      <c r="Q22" s="112">
        <v>0</v>
      </c>
      <c r="R22" s="113"/>
      <c r="S22" s="108"/>
      <c r="T22" s="108"/>
      <c r="U22" s="108"/>
    </row>
    <row r="23" spans="1:21">
      <c r="A23" s="108" t="s">
        <v>152</v>
      </c>
      <c r="B23" s="109">
        <v>20</v>
      </c>
      <c r="C23" s="109">
        <v>165</v>
      </c>
      <c r="D23" s="109">
        <v>0</v>
      </c>
      <c r="E23" s="109">
        <v>15</v>
      </c>
      <c r="F23" s="110">
        <v>0.44</v>
      </c>
      <c r="G23" s="110">
        <v>0</v>
      </c>
      <c r="H23" s="110">
        <v>0</v>
      </c>
      <c r="I23" s="110">
        <v>0</v>
      </c>
      <c r="J23" s="110">
        <v>0</v>
      </c>
      <c r="K23" s="108">
        <v>0</v>
      </c>
      <c r="L23" s="108">
        <v>1</v>
      </c>
      <c r="M23" s="108">
        <v>0</v>
      </c>
      <c r="N23" s="108">
        <v>0</v>
      </c>
      <c r="O23" s="108">
        <v>1</v>
      </c>
      <c r="P23" s="111">
        <v>1</v>
      </c>
      <c r="Q23" s="112">
        <v>0</v>
      </c>
      <c r="R23" s="113"/>
      <c r="S23" s="108"/>
      <c r="T23" s="108"/>
      <c r="U23" s="108"/>
    </row>
    <row r="24" spans="1:21">
      <c r="A24" s="108" t="s">
        <v>153</v>
      </c>
      <c r="B24" s="109">
        <v>20</v>
      </c>
      <c r="C24" s="109">
        <v>165</v>
      </c>
      <c r="D24" s="109">
        <v>0</v>
      </c>
      <c r="E24" s="109">
        <v>15</v>
      </c>
      <c r="F24" s="110">
        <v>0.43</v>
      </c>
      <c r="G24" s="110">
        <v>0</v>
      </c>
      <c r="H24" s="110">
        <v>0</v>
      </c>
      <c r="I24" s="110">
        <v>0</v>
      </c>
      <c r="J24" s="110">
        <v>0</v>
      </c>
      <c r="K24" s="108">
        <v>0</v>
      </c>
      <c r="L24" s="108">
        <v>1</v>
      </c>
      <c r="M24" s="108">
        <v>0</v>
      </c>
      <c r="N24" s="108">
        <v>0</v>
      </c>
      <c r="O24" s="108">
        <v>1</v>
      </c>
      <c r="P24" s="111">
        <v>1</v>
      </c>
      <c r="Q24" s="112">
        <v>0</v>
      </c>
      <c r="R24" s="113"/>
      <c r="S24" s="108"/>
      <c r="T24" s="108"/>
      <c r="U24" s="108"/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7F736-A354-4D9D-9FC6-796B2F5BD88B}">
  <sheetPr codeName="Sheet11"/>
  <dimension ref="A1:C9"/>
  <sheetViews>
    <sheetView workbookViewId="0">
      <selection activeCell="G13" sqref="G13"/>
    </sheetView>
  </sheetViews>
  <sheetFormatPr defaultRowHeight="15"/>
  <cols>
    <col min="1" max="7" width="14" customWidth="1"/>
  </cols>
  <sheetData>
    <row r="1" spans="1:3">
      <c r="A1" t="s">
        <v>111</v>
      </c>
      <c r="B1" t="s">
        <v>29</v>
      </c>
    </row>
    <row r="2" spans="1:3">
      <c r="A2" t="s">
        <v>112</v>
      </c>
      <c r="B2" t="s">
        <v>28</v>
      </c>
    </row>
    <row r="3" spans="1:3">
      <c r="A3" t="s">
        <v>113</v>
      </c>
      <c r="B3" t="s">
        <v>29</v>
      </c>
      <c r="C3" t="s">
        <v>28</v>
      </c>
    </row>
    <row r="4" spans="1:3">
      <c r="A4" t="s">
        <v>114</v>
      </c>
      <c r="B4" t="s">
        <v>29</v>
      </c>
      <c r="C4" t="s">
        <v>27</v>
      </c>
    </row>
    <row r="5" spans="1:3">
      <c r="A5" t="s">
        <v>115</v>
      </c>
      <c r="B5" t="s">
        <v>29</v>
      </c>
      <c r="C5" t="s">
        <v>26</v>
      </c>
    </row>
    <row r="6" spans="1:3">
      <c r="A6" t="s">
        <v>116</v>
      </c>
      <c r="B6" t="s">
        <v>29</v>
      </c>
      <c r="C6" t="s">
        <v>25</v>
      </c>
    </row>
    <row r="7" spans="1:3">
      <c r="A7" t="s">
        <v>117</v>
      </c>
      <c r="B7" t="s">
        <v>29</v>
      </c>
      <c r="C7" t="s">
        <v>23</v>
      </c>
    </row>
    <row r="8" spans="1:3">
      <c r="A8" t="s">
        <v>118</v>
      </c>
      <c r="B8" t="s">
        <v>29</v>
      </c>
      <c r="C8" t="s">
        <v>24</v>
      </c>
    </row>
    <row r="9" spans="1:3">
      <c r="A9" t="s">
        <v>119</v>
      </c>
      <c r="B9" t="s">
        <v>22</v>
      </c>
    </row>
  </sheetData>
  <phoneticPr fontId="1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B782C-C5FF-4A7A-B447-385B0AE18C09}">
  <sheetPr codeName="Sheet12"/>
  <dimension ref="A1:A104"/>
  <sheetViews>
    <sheetView workbookViewId="0">
      <selection activeCell="J96" sqref="J96"/>
    </sheetView>
  </sheetViews>
  <sheetFormatPr defaultRowHeight="15"/>
  <cols>
    <col min="1" max="1" width="16.7109375" customWidth="1"/>
  </cols>
  <sheetData>
    <row r="1" spans="1:1">
      <c r="A1" t="s">
        <v>155</v>
      </c>
    </row>
    <row r="2" spans="1:1">
      <c r="A2" t="s">
        <v>156</v>
      </c>
    </row>
    <row r="3" spans="1:1">
      <c r="A3" t="s">
        <v>157</v>
      </c>
    </row>
    <row r="4" spans="1:1">
      <c r="A4" t="s">
        <v>158</v>
      </c>
    </row>
    <row r="5" spans="1:1">
      <c r="A5" t="s">
        <v>159</v>
      </c>
    </row>
    <row r="6" spans="1:1">
      <c r="A6" t="s">
        <v>160</v>
      </c>
    </row>
    <row r="7" spans="1:1">
      <c r="A7" t="s">
        <v>161</v>
      </c>
    </row>
    <row r="8" spans="1:1">
      <c r="A8" t="s">
        <v>162</v>
      </c>
    </row>
    <row r="9" spans="1:1">
      <c r="A9" t="s">
        <v>163</v>
      </c>
    </row>
    <row r="10" spans="1:1">
      <c r="A10" t="s">
        <v>164</v>
      </c>
    </row>
    <row r="11" spans="1:1">
      <c r="A11" t="s">
        <v>165</v>
      </c>
    </row>
    <row r="12" spans="1:1">
      <c r="A12" t="s">
        <v>166</v>
      </c>
    </row>
    <row r="13" spans="1:1">
      <c r="A13" t="s">
        <v>167</v>
      </c>
    </row>
    <row r="14" spans="1:1">
      <c r="A14" t="s">
        <v>168</v>
      </c>
    </row>
    <row r="15" spans="1:1">
      <c r="A15" t="s">
        <v>169</v>
      </c>
    </row>
    <row r="16" spans="1:1">
      <c r="A16" t="s">
        <v>170</v>
      </c>
    </row>
    <row r="17" spans="1:1">
      <c r="A17" t="s">
        <v>171</v>
      </c>
    </row>
    <row r="18" spans="1:1">
      <c r="A18" t="s">
        <v>172</v>
      </c>
    </row>
    <row r="19" spans="1:1">
      <c r="A19" t="s">
        <v>173</v>
      </c>
    </row>
    <row r="20" spans="1:1">
      <c r="A20" t="s">
        <v>174</v>
      </c>
    </row>
    <row r="21" spans="1:1">
      <c r="A21" t="s">
        <v>175</v>
      </c>
    </row>
    <row r="22" spans="1:1">
      <c r="A22" t="s">
        <v>176</v>
      </c>
    </row>
    <row r="23" spans="1:1">
      <c r="A23" t="s">
        <v>177</v>
      </c>
    </row>
    <row r="24" spans="1:1">
      <c r="A24" t="s">
        <v>178</v>
      </c>
    </row>
    <row r="25" spans="1:1">
      <c r="A25" t="s">
        <v>179</v>
      </c>
    </row>
    <row r="26" spans="1:1">
      <c r="A26" t="s">
        <v>180</v>
      </c>
    </row>
    <row r="27" spans="1:1">
      <c r="A27" t="s">
        <v>181</v>
      </c>
    </row>
    <row r="28" spans="1:1">
      <c r="A28" t="s">
        <v>182</v>
      </c>
    </row>
    <row r="29" spans="1:1">
      <c r="A29" t="s">
        <v>183</v>
      </c>
    </row>
    <row r="30" spans="1:1">
      <c r="A30" t="s">
        <v>184</v>
      </c>
    </row>
    <row r="31" spans="1:1">
      <c r="A31" t="s">
        <v>185</v>
      </c>
    </row>
    <row r="32" spans="1:1">
      <c r="A32" t="s">
        <v>186</v>
      </c>
    </row>
    <row r="33" spans="1:1">
      <c r="A33" t="s">
        <v>187</v>
      </c>
    </row>
    <row r="34" spans="1:1">
      <c r="A34" t="s">
        <v>188</v>
      </c>
    </row>
    <row r="35" spans="1:1">
      <c r="A35" t="s">
        <v>189</v>
      </c>
    </row>
    <row r="36" spans="1:1">
      <c r="A36" t="s">
        <v>190</v>
      </c>
    </row>
    <row r="37" spans="1:1">
      <c r="A37" t="s">
        <v>191</v>
      </c>
    </row>
    <row r="38" spans="1:1">
      <c r="A38" t="s">
        <v>192</v>
      </c>
    </row>
    <row r="39" spans="1:1">
      <c r="A39" t="s">
        <v>193</v>
      </c>
    </row>
    <row r="40" spans="1:1">
      <c r="A40" t="s">
        <v>194</v>
      </c>
    </row>
    <row r="41" spans="1:1">
      <c r="A41" t="s">
        <v>195</v>
      </c>
    </row>
    <row r="42" spans="1:1">
      <c r="A42" t="s">
        <v>196</v>
      </c>
    </row>
    <row r="43" spans="1:1">
      <c r="A43" t="s">
        <v>197</v>
      </c>
    </row>
    <row r="44" spans="1:1">
      <c r="A44" t="s">
        <v>198</v>
      </c>
    </row>
    <row r="45" spans="1:1">
      <c r="A45" t="s">
        <v>199</v>
      </c>
    </row>
    <row r="46" spans="1:1">
      <c r="A46" t="s">
        <v>200</v>
      </c>
    </row>
    <row r="47" spans="1:1">
      <c r="A47" t="s">
        <v>201</v>
      </c>
    </row>
    <row r="48" spans="1:1">
      <c r="A48" t="s">
        <v>202</v>
      </c>
    </row>
    <row r="49" spans="1:1">
      <c r="A49" t="s">
        <v>203</v>
      </c>
    </row>
    <row r="50" spans="1:1">
      <c r="A50" t="s">
        <v>204</v>
      </c>
    </row>
    <row r="51" spans="1:1">
      <c r="A51" t="s">
        <v>205</v>
      </c>
    </row>
    <row r="52" spans="1:1">
      <c r="A52" t="s">
        <v>206</v>
      </c>
    </row>
    <row r="53" spans="1:1">
      <c r="A53" t="s">
        <v>207</v>
      </c>
    </row>
    <row r="54" spans="1:1">
      <c r="A54" t="s">
        <v>208</v>
      </c>
    </row>
    <row r="55" spans="1:1">
      <c r="A55" t="s">
        <v>209</v>
      </c>
    </row>
    <row r="56" spans="1:1">
      <c r="A56" t="s">
        <v>210</v>
      </c>
    </row>
    <row r="57" spans="1:1">
      <c r="A57" t="s">
        <v>211</v>
      </c>
    </row>
    <row r="58" spans="1:1">
      <c r="A58" t="s">
        <v>212</v>
      </c>
    </row>
    <row r="59" spans="1:1">
      <c r="A59" t="s">
        <v>213</v>
      </c>
    </row>
    <row r="60" spans="1:1">
      <c r="A60" t="s">
        <v>214</v>
      </c>
    </row>
    <row r="61" spans="1:1">
      <c r="A61" t="s">
        <v>215</v>
      </c>
    </row>
    <row r="62" spans="1:1">
      <c r="A62" t="s">
        <v>216</v>
      </c>
    </row>
    <row r="63" spans="1:1">
      <c r="A63" t="s">
        <v>217</v>
      </c>
    </row>
    <row r="64" spans="1:1">
      <c r="A64" t="s">
        <v>218</v>
      </c>
    </row>
    <row r="65" spans="1:1">
      <c r="A65" t="s">
        <v>219</v>
      </c>
    </row>
    <row r="66" spans="1:1">
      <c r="A66" t="s">
        <v>220</v>
      </c>
    </row>
    <row r="67" spans="1:1">
      <c r="A67" t="s">
        <v>221</v>
      </c>
    </row>
    <row r="68" spans="1:1">
      <c r="A68" t="s">
        <v>222</v>
      </c>
    </row>
    <row r="69" spans="1:1">
      <c r="A69" t="s">
        <v>223</v>
      </c>
    </row>
    <row r="70" spans="1:1">
      <c r="A70" t="s">
        <v>224</v>
      </c>
    </row>
    <row r="71" spans="1:1">
      <c r="A71" t="s">
        <v>225</v>
      </c>
    </row>
    <row r="72" spans="1:1">
      <c r="A72" t="s">
        <v>226</v>
      </c>
    </row>
    <row r="73" spans="1:1">
      <c r="A73" t="s">
        <v>227</v>
      </c>
    </row>
    <row r="74" spans="1:1">
      <c r="A74" t="s">
        <v>228</v>
      </c>
    </row>
    <row r="75" spans="1:1">
      <c r="A75" t="s">
        <v>229</v>
      </c>
    </row>
    <row r="76" spans="1:1">
      <c r="A76" t="s">
        <v>230</v>
      </c>
    </row>
    <row r="77" spans="1:1">
      <c r="A77" t="s">
        <v>231</v>
      </c>
    </row>
    <row r="78" spans="1:1">
      <c r="A78" t="s">
        <v>232</v>
      </c>
    </row>
    <row r="79" spans="1:1">
      <c r="A79" t="s">
        <v>233</v>
      </c>
    </row>
    <row r="80" spans="1:1">
      <c r="A80" t="s">
        <v>234</v>
      </c>
    </row>
    <row r="81" spans="1:1">
      <c r="A81" t="s">
        <v>235</v>
      </c>
    </row>
    <row r="82" spans="1:1">
      <c r="A82" t="s">
        <v>236</v>
      </c>
    </row>
    <row r="83" spans="1:1">
      <c r="A83" t="s">
        <v>237</v>
      </c>
    </row>
    <row r="84" spans="1:1">
      <c r="A84" t="s">
        <v>238</v>
      </c>
    </row>
    <row r="85" spans="1:1">
      <c r="A85" t="s">
        <v>239</v>
      </c>
    </row>
    <row r="86" spans="1:1">
      <c r="A86" t="s">
        <v>240</v>
      </c>
    </row>
    <row r="87" spans="1:1">
      <c r="A87" t="s">
        <v>241</v>
      </c>
    </row>
    <row r="88" spans="1:1">
      <c r="A88" t="s">
        <v>242</v>
      </c>
    </row>
    <row r="89" spans="1:1">
      <c r="A89" t="s">
        <v>243</v>
      </c>
    </row>
    <row r="90" spans="1:1">
      <c r="A90" t="s">
        <v>244</v>
      </c>
    </row>
    <row r="91" spans="1:1">
      <c r="A91" t="s">
        <v>245</v>
      </c>
    </row>
    <row r="92" spans="1:1">
      <c r="A92" t="s">
        <v>246</v>
      </c>
    </row>
    <row r="93" spans="1:1">
      <c r="A93" t="s">
        <v>247</v>
      </c>
    </row>
    <row r="94" spans="1:1">
      <c r="A94" t="s">
        <v>248</v>
      </c>
    </row>
    <row r="95" spans="1:1">
      <c r="A95" t="s">
        <v>249</v>
      </c>
    </row>
    <row r="96" spans="1:1">
      <c r="A96" t="s">
        <v>250</v>
      </c>
    </row>
    <row r="97" spans="1:1">
      <c r="A97" t="s">
        <v>251</v>
      </c>
    </row>
    <row r="98" spans="1:1">
      <c r="A98" t="s">
        <v>252</v>
      </c>
    </row>
    <row r="99" spans="1:1">
      <c r="A99" t="s">
        <v>253</v>
      </c>
    </row>
    <row r="100" spans="1:1">
      <c r="A100" t="s">
        <v>254</v>
      </c>
    </row>
    <row r="101" spans="1:1">
      <c r="A101" t="s">
        <v>255</v>
      </c>
    </row>
    <row r="102" spans="1:1">
      <c r="A102" t="s">
        <v>256</v>
      </c>
    </row>
    <row r="103" spans="1:1">
      <c r="A103" t="s">
        <v>257</v>
      </c>
    </row>
    <row r="104" spans="1:1">
      <c r="A104" t="s">
        <v>258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3EC3B-C7D6-4931-9E92-15B0F20B7668}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BB44F2F-0BF3-4F95-A6F9-AE81E3027FB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Result</vt:lpstr>
      <vt:lpstr>dimension</vt:lpstr>
      <vt:lpstr>bonjean</vt:lpstr>
      <vt:lpstr>hydrostatics</vt:lpstr>
      <vt:lpstr>tanks</vt:lpstr>
      <vt:lpstr>tanks_summary</vt:lpstr>
      <vt:lpstr>density</vt:lpstr>
      <vt:lpstr>lwt</vt:lpstr>
      <vt:lpstr>LC</vt:lpstr>
      <vt:lpstr>LoadingConditions</vt:lpstr>
      <vt:lpstr>DamCase</vt:lpstr>
      <vt:lpstr>opening</vt:lpstr>
      <vt:lpstr>Sheet7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Sinik Jang</dc:creator>
  <cp:lastModifiedBy>Sinik Jang</cp:lastModifiedBy>
  <dcterms:created xsi:type="dcterms:W3CDTF">2025-01-29T07:38:24Z</dcterms:created>
  <dcterms:modified xsi:type="dcterms:W3CDTF">2025-02-26T14:19:00Z</dcterms:modified>
</cp:coreProperties>
</file>