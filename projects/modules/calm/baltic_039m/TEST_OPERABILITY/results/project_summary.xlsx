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workspace-hub\digitalmodel\projects\modules\calm\baltic_039m\TEST_OPERABILITY\results\"/>
    </mc:Choice>
  </mc:AlternateContent>
  <xr:revisionPtr revIDLastSave="0" documentId="13_ncr:1_{F886EA48-0B58-4C8F-90EB-70DAB4613732}" xr6:coauthVersionLast="47" xr6:coauthVersionMax="47" xr10:uidLastSave="{00000000-0000-0000-0000-000000000000}"/>
  <bookViews>
    <workbookView xWindow="-108" yWindow="-108" windowWidth="23256" windowHeight="12576" xr2:uid="{2410E4D2-3E22-45C0-A70E-D969989C64D5}"/>
  </bookViews>
  <sheets>
    <sheet name="inputs" sheetId="2" r:id="rId1"/>
    <sheet name="summary" sheetId="3" r:id="rId2"/>
    <sheet name="lines" sheetId="4" r:id="rId3"/>
    <sheet name="buoy" sheetId="5" r:id="rId4"/>
    <sheet name="vessel_abs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3" l="1"/>
  <c r="K22" i="3"/>
  <c r="J22" i="3"/>
  <c r="I22" i="3"/>
  <c r="H22" i="3"/>
  <c r="G22" i="3"/>
  <c r="L21" i="3"/>
  <c r="K21" i="3"/>
  <c r="J21" i="3"/>
  <c r="I21" i="3"/>
  <c r="H21" i="3"/>
  <c r="G21" i="3"/>
  <c r="H20" i="3"/>
  <c r="J20" i="3" s="1"/>
  <c r="L20" i="3" s="1"/>
  <c r="N20" i="3" s="1"/>
  <c r="F20" i="3"/>
  <c r="E20" i="3"/>
  <c r="G20" i="3" s="1"/>
  <c r="I20" i="3" s="1"/>
  <c r="K20" i="3" s="1"/>
  <c r="M20" i="3" s="1"/>
  <c r="L12" i="3"/>
  <c r="K12" i="3"/>
  <c r="J12" i="3"/>
  <c r="I12" i="3"/>
  <c r="H12" i="3"/>
  <c r="G12" i="3"/>
  <c r="F12" i="3"/>
  <c r="E12" i="3"/>
  <c r="D12" i="3"/>
  <c r="C12" i="3"/>
  <c r="O12" i="3" s="1"/>
  <c r="D11" i="3"/>
  <c r="E11" i="3"/>
  <c r="F11" i="3"/>
  <c r="G11" i="3"/>
  <c r="H11" i="3"/>
  <c r="I11" i="3"/>
  <c r="J11" i="3"/>
  <c r="K11" i="3"/>
  <c r="L11" i="3"/>
  <c r="C11" i="3"/>
  <c r="O11" i="3" s="1"/>
  <c r="F10" i="3"/>
  <c r="H10" i="3" s="1"/>
  <c r="J10" i="3" s="1"/>
  <c r="L10" i="3" s="1"/>
  <c r="N10" i="3" s="1"/>
  <c r="E10" i="3"/>
  <c r="G10" i="3" s="1"/>
  <c r="I10" i="3" s="1"/>
  <c r="K10" i="3" s="1"/>
  <c r="M10" i="3" s="1"/>
  <c r="D17" i="3" l="1"/>
  <c r="I7" i="3"/>
  <c r="H7" i="3"/>
  <c r="G7" i="3"/>
  <c r="F7" i="3"/>
  <c r="E7" i="3"/>
  <c r="D7" i="3"/>
  <c r="D16" i="3"/>
  <c r="I6" i="3"/>
  <c r="H6" i="3"/>
  <c r="G6" i="3"/>
  <c r="F6" i="3"/>
  <c r="E6" i="3"/>
  <c r="D6" i="3"/>
</calcChain>
</file>

<file path=xl/sharedStrings.xml><?xml version="1.0" encoding="utf-8"?>
<sst xmlns="http://schemas.openxmlformats.org/spreadsheetml/2006/main" count="217" uniqueCount="106">
  <si>
    <t>fe_filename</t>
  </si>
  <si>
    <t>fe_filename_stem</t>
  </si>
  <si>
    <t>run_status</t>
  </si>
  <si>
    <t>start_time</t>
  </si>
  <si>
    <t>stop_time</t>
  </si>
  <si>
    <t>description</t>
  </si>
  <si>
    <t>statistic</t>
  </si>
  <si>
    <t>vessel1_X_abs_min</t>
  </si>
  <si>
    <t>vessel1_X_abs_max</t>
  </si>
  <si>
    <t>vessel1_Y_abs_min</t>
  </si>
  <si>
    <t>vessel1_Y_abs_max</t>
  </si>
  <si>
    <t>vessel1_Z_abs_min</t>
  </si>
  <si>
    <t>vessel1_Z_abs_max</t>
  </si>
  <si>
    <t>vessel1_R1_abs_min</t>
  </si>
  <si>
    <t>vessel1_R1_abs_max</t>
  </si>
  <si>
    <t>vessel1_R2_abs_min</t>
  </si>
  <si>
    <t>vessel1_R2_abs_max</t>
  </si>
  <si>
    <t>vessel1_R3_abs_min</t>
  </si>
  <si>
    <t>vessel1_R3_abs_max</t>
  </si>
  <si>
    <t>D:/workspace-hub/digitalmodel/projects/modules/calm/baltic_039m/TEST_OPERABILITY/orcaflex/analysis_models/CALM_atb_000deg_1yr_simple.sim</t>
  </si>
  <si>
    <t>CALM_atb_000deg_1yr_simple</t>
  </si>
  <si>
    <t>SimulationStopped</t>
  </si>
  <si>
    <t>D:/workspace-hub/digitalmodel/projects/modules/calm/baltic_039m/TEST_OPERABILITY/orcaflex/analysis_models/CALM_atb_000deg_no_load.sim</t>
  </si>
  <si>
    <t>CALM_atb_000deg_no_load</t>
  </si>
  <si>
    <t>D:/workspace-hub/digitalmodel/projects/modules/calm/baltic_039m/TEST_OPERABILITY/orcaflex/analysis_models/CALM_atb_030deg_1yr_simple.sim</t>
  </si>
  <si>
    <t>CALM_atb_030deg_1yr_simple</t>
  </si>
  <si>
    <t>Input Data</t>
  </si>
  <si>
    <t>Description</t>
  </si>
  <si>
    <t>Nominal diameter</t>
  </si>
  <si>
    <t>Type</t>
  </si>
  <si>
    <t>Unit</t>
  </si>
  <si>
    <t>-</t>
  </si>
  <si>
    <t>mm</t>
  </si>
  <si>
    <t>R4, Studless chain</t>
  </si>
  <si>
    <t>Value</t>
  </si>
  <si>
    <t>CALM Buoy - Chain Properties</t>
  </si>
  <si>
    <t>CALM Buoy - Clump Weight Properties</t>
  </si>
  <si>
    <t>Weight</t>
  </si>
  <si>
    <t>mT</t>
  </si>
  <si>
    <t>m</t>
  </si>
  <si>
    <t>Location along length of chain from Buoy/ Top of chain</t>
  </si>
  <si>
    <t>Nylon Rope</t>
  </si>
  <si>
    <t>Hawser Properties</t>
  </si>
  <si>
    <t>Length</t>
  </si>
  <si>
    <t>Environment Data - Operating</t>
  </si>
  <si>
    <t>Wind</t>
  </si>
  <si>
    <t>Current</t>
  </si>
  <si>
    <t>knots</t>
  </si>
  <si>
    <t>Wave Hs</t>
  </si>
  <si>
    <t>Mooring1_eff_tension_min</t>
  </si>
  <si>
    <t>Mooring1_eff_tension_max</t>
  </si>
  <si>
    <t>Mooring2_eff_tension_min</t>
  </si>
  <si>
    <t>Mooring2_eff_tension_max</t>
  </si>
  <si>
    <t>Mooring3_eff_tension_min</t>
  </si>
  <si>
    <t>Mooring3_eff_tension_max</t>
  </si>
  <si>
    <t>Mooring4_eff_tension_min</t>
  </si>
  <si>
    <t>Mooring4_eff_tension_max</t>
  </si>
  <si>
    <t>Mooring5_eff_tension_min</t>
  </si>
  <si>
    <t>Mooring5_eff_tension_max</t>
  </si>
  <si>
    <t>Mooring6_eff_tension_min</t>
  </si>
  <si>
    <t>Mooring6_eff_tension_max</t>
  </si>
  <si>
    <t>Hawser_eff_tension_min</t>
  </si>
  <si>
    <t>Hawser_eff_tension_max</t>
  </si>
  <si>
    <t>D:/workspace-hub/digitalmodel/projects/modules/calm/baltic_039m/TEST_OPERABILITY/orcaflex/analysis_models/NSE_CALM_001_000deg_1yr_simple.sim</t>
  </si>
  <si>
    <t>NSE_CALM_001_000deg_1yr_simple</t>
  </si>
  <si>
    <t>D:/workspace-hub/digitalmodel/projects/modules/calm/baltic_039m/TEST_OPERABILITY/orcaflex/analysis_models/NSE_CALM_001_000deg_no_load.sim</t>
  </si>
  <si>
    <t>NSE_CALM_001_000deg_no_load</t>
  </si>
  <si>
    <t>D:/workspace-hub/digitalmodel/projects/modules/calm/baltic_039m/TEST_OPERABILITY/orcaflex/analysis_models/NSE_CALM_001_030deg_1yr_simple.sim</t>
  </si>
  <si>
    <t>NSE_CALM_001_030deg_1yr_simple</t>
  </si>
  <si>
    <t>CALMTop_X_abs_min</t>
  </si>
  <si>
    <t>CALMTop_X_abs_max</t>
  </si>
  <si>
    <t>CALMTop_Y_abs_min</t>
  </si>
  <si>
    <t>CALMTop_Y_abs_max</t>
  </si>
  <si>
    <t>CALMTop_Z_abs_min</t>
  </si>
  <si>
    <t>CALMTop_Z_abs_max</t>
  </si>
  <si>
    <t>CALMTop_R1_abs_min</t>
  </si>
  <si>
    <t>CALMTop_R1_abs_max</t>
  </si>
  <si>
    <t>CALMTop_R2_abs_min</t>
  </si>
  <si>
    <t>CALMTop_R2_abs_max</t>
  </si>
  <si>
    <t>CALMTop_R3_abs_min</t>
  </si>
  <si>
    <t>CALMTop_R3_abs_max</t>
  </si>
  <si>
    <t>Operating Condition</t>
  </si>
  <si>
    <t>0 deg colinear</t>
  </si>
  <si>
    <t>30 deg colinear</t>
  </si>
  <si>
    <t>kN</t>
  </si>
  <si>
    <t>Mooring 1</t>
  </si>
  <si>
    <t>Mooring 2</t>
  </si>
  <si>
    <t>Mooring 3</t>
  </si>
  <si>
    <t>Mooring 4</t>
  </si>
  <si>
    <t>Mooring 5</t>
  </si>
  <si>
    <t>Mooring 6</t>
  </si>
  <si>
    <t>CALM Buoy - Chain Maximum Tension</t>
  </si>
  <si>
    <t>Hawser Maximum Tension</t>
  </si>
  <si>
    <t>Surge (m)</t>
  </si>
  <si>
    <t>Sway (m)</t>
  </si>
  <si>
    <t>Heave (m)</t>
  </si>
  <si>
    <t>Roll (deg)</t>
  </si>
  <si>
    <t>Pitch (deg)</t>
  </si>
  <si>
    <t>Yaw (deg)</t>
  </si>
  <si>
    <t>Min</t>
  </si>
  <si>
    <t>Max</t>
  </si>
  <si>
    <t>CALM Buoy - 6 DOF</t>
  </si>
  <si>
    <t>Excursion (m)</t>
  </si>
  <si>
    <t>Crowley 650 - 6 DOF</t>
  </si>
  <si>
    <t>* RAOs used are for reference vessel and are conservative. Hull specific diffraction analysis not performed.</t>
  </si>
  <si>
    <t>Summary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</si>
</sst>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b/>
      <sz val="10"/>
      <color rgb="FF233845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0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10" xfId="0" applyFont="1" applyBorder="1"/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wrapText="1"/>
    </xf>
    <xf numFmtId="0" fontId="20" fillId="0" borderId="10" xfId="0" applyFont="1" applyBorder="1" applyAlignment="1">
      <alignment horizontal="left"/>
    </xf>
    <xf numFmtId="2" fontId="20" fillId="0" borderId="10" xfId="0" applyNumberFormat="1" applyFont="1" applyBorder="1" applyAlignment="1">
      <alignment horizontal="center"/>
    </xf>
    <xf numFmtId="164" fontId="20" fillId="0" borderId="10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0" fontId="24" fillId="33" borderId="10" xfId="0" applyFont="1" applyFill="1" applyBorder="1" applyAlignment="1">
      <alignment horizontal="center" vertical="center" wrapText="1" readingOrder="1"/>
    </xf>
    <xf numFmtId="0" fontId="22" fillId="0" borderId="10" xfId="0" applyFont="1" applyBorder="1"/>
    <xf numFmtId="0" fontId="25" fillId="0" borderId="10" xfId="0" applyFont="1" applyBorder="1"/>
    <xf numFmtId="0" fontId="22" fillId="0" borderId="10" xfId="0" applyFont="1" applyBorder="1" applyAlignment="1">
      <alignment horizontal="left"/>
    </xf>
    <xf numFmtId="0" fontId="24" fillId="33" borderId="10" xfId="0" applyFont="1" applyFill="1" applyBorder="1" applyAlignment="1">
      <alignment horizontal="center"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1</xdr:row>
      <xdr:rowOff>76200</xdr:rowOff>
    </xdr:from>
    <xdr:to>
      <xdr:col>19</xdr:col>
      <xdr:colOff>426720</xdr:colOff>
      <xdr:row>26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A1044-CEA0-A55C-193A-76A8486B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6760" y="251460"/>
          <a:ext cx="9144000" cy="495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9466-28DC-4F9A-8119-8ADCD4B271B4}">
  <dimension ref="A2:D24"/>
  <sheetViews>
    <sheetView tabSelected="1" workbookViewId="0">
      <selection activeCell="G4" sqref="G4"/>
    </sheetView>
  </sheetViews>
  <sheetFormatPr defaultRowHeight="13.8" x14ac:dyDescent="0.25"/>
  <cols>
    <col min="1" max="1" width="8.88671875" style="4"/>
    <col min="2" max="2" width="24.77734375" style="4" customWidth="1"/>
    <col min="3" max="3" width="8.88671875" style="4"/>
    <col min="4" max="4" width="17.6640625" style="4" customWidth="1"/>
    <col min="5" max="16384" width="8.88671875" style="4"/>
  </cols>
  <sheetData>
    <row r="2" spans="1:4" s="3" customFormat="1" ht="17.399999999999999" x14ac:dyDescent="0.3">
      <c r="A2" s="2" t="s">
        <v>26</v>
      </c>
    </row>
    <row r="4" spans="1:4" ht="15.6" x14ac:dyDescent="0.3">
      <c r="B4" s="17" t="s">
        <v>35</v>
      </c>
      <c r="C4" s="17"/>
      <c r="D4" s="17"/>
    </row>
    <row r="5" spans="1:4" x14ac:dyDescent="0.25">
      <c r="B5" s="5" t="s">
        <v>27</v>
      </c>
      <c r="C5" s="5" t="s">
        <v>30</v>
      </c>
      <c r="D5" s="5" t="s">
        <v>34</v>
      </c>
    </row>
    <row r="6" spans="1:4" x14ac:dyDescent="0.25">
      <c r="B6" s="6" t="s">
        <v>29</v>
      </c>
      <c r="C6" s="6" t="s">
        <v>31</v>
      </c>
      <c r="D6" s="7" t="s">
        <v>33</v>
      </c>
    </row>
    <row r="7" spans="1:4" x14ac:dyDescent="0.25">
      <c r="B7" s="6" t="s">
        <v>28</v>
      </c>
      <c r="C7" s="6" t="s">
        <v>32</v>
      </c>
      <c r="D7" s="7">
        <v>76</v>
      </c>
    </row>
    <row r="9" spans="1:4" ht="15.6" x14ac:dyDescent="0.3">
      <c r="B9" s="17" t="s">
        <v>36</v>
      </c>
      <c r="C9" s="17"/>
      <c r="D9" s="17"/>
    </row>
    <row r="10" spans="1:4" x14ac:dyDescent="0.25">
      <c r="B10" s="5" t="s">
        <v>27</v>
      </c>
      <c r="C10" s="5" t="s">
        <v>30</v>
      </c>
      <c r="D10" s="5" t="s">
        <v>34</v>
      </c>
    </row>
    <row r="11" spans="1:4" x14ac:dyDescent="0.25">
      <c r="B11" s="6" t="s">
        <v>37</v>
      </c>
      <c r="C11" s="6" t="s">
        <v>38</v>
      </c>
      <c r="D11" s="7">
        <v>5</v>
      </c>
    </row>
    <row r="12" spans="1:4" ht="41.4" x14ac:dyDescent="0.25">
      <c r="B12" s="8" t="s">
        <v>40</v>
      </c>
      <c r="C12" s="6" t="s">
        <v>39</v>
      </c>
      <c r="D12" s="7">
        <v>40</v>
      </c>
    </row>
    <row r="14" spans="1:4" ht="15.6" x14ac:dyDescent="0.3">
      <c r="B14" s="17" t="s">
        <v>42</v>
      </c>
      <c r="C14" s="17"/>
      <c r="D14" s="17"/>
    </row>
    <row r="15" spans="1:4" x14ac:dyDescent="0.25">
      <c r="B15" s="5" t="s">
        <v>27</v>
      </c>
      <c r="C15" s="5" t="s">
        <v>30</v>
      </c>
      <c r="D15" s="5" t="s">
        <v>34</v>
      </c>
    </row>
    <row r="16" spans="1:4" x14ac:dyDescent="0.25">
      <c r="B16" s="6" t="s">
        <v>29</v>
      </c>
      <c r="C16" s="6" t="s">
        <v>31</v>
      </c>
      <c r="D16" s="7" t="s">
        <v>41</v>
      </c>
    </row>
    <row r="17" spans="2:4" x14ac:dyDescent="0.25">
      <c r="B17" s="6" t="s">
        <v>28</v>
      </c>
      <c r="C17" s="6" t="s">
        <v>32</v>
      </c>
      <c r="D17" s="7">
        <v>76</v>
      </c>
    </row>
    <row r="18" spans="2:4" x14ac:dyDescent="0.25">
      <c r="B18" s="6" t="s">
        <v>43</v>
      </c>
      <c r="C18" s="6" t="s">
        <v>39</v>
      </c>
      <c r="D18" s="7">
        <v>40</v>
      </c>
    </row>
    <row r="20" spans="2:4" ht="15.6" x14ac:dyDescent="0.3">
      <c r="B20" s="17" t="s">
        <v>44</v>
      </c>
      <c r="C20" s="17"/>
      <c r="D20" s="17"/>
    </row>
    <row r="21" spans="2:4" x14ac:dyDescent="0.25">
      <c r="B21" s="5" t="s">
        <v>27</v>
      </c>
      <c r="C21" s="5" t="s">
        <v>30</v>
      </c>
      <c r="D21" s="5" t="s">
        <v>34</v>
      </c>
    </row>
    <row r="22" spans="2:4" x14ac:dyDescent="0.25">
      <c r="B22" s="6" t="s">
        <v>48</v>
      </c>
      <c r="C22" s="9" t="s">
        <v>39</v>
      </c>
      <c r="D22" s="7">
        <v>2.5</v>
      </c>
    </row>
    <row r="23" spans="2:4" x14ac:dyDescent="0.25">
      <c r="B23" s="6" t="s">
        <v>45</v>
      </c>
      <c r="C23" s="9" t="s">
        <v>47</v>
      </c>
      <c r="D23" s="7">
        <v>30</v>
      </c>
    </row>
    <row r="24" spans="2:4" x14ac:dyDescent="0.25">
      <c r="B24" s="6" t="s">
        <v>46</v>
      </c>
      <c r="C24" s="9" t="s">
        <v>47</v>
      </c>
      <c r="D24" s="7">
        <v>1.5</v>
      </c>
    </row>
  </sheetData>
  <mergeCells count="4">
    <mergeCell ref="B4:D4"/>
    <mergeCell ref="B9:D9"/>
    <mergeCell ref="B14:D14"/>
    <mergeCell ref="B20:D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4F7C-0E34-4C76-8355-3E925DD5DDC3}">
  <dimension ref="A2:O23"/>
  <sheetViews>
    <sheetView topLeftCell="A8" workbookViewId="0">
      <selection activeCell="A3" sqref="A3"/>
    </sheetView>
  </sheetViews>
  <sheetFormatPr defaultRowHeight="13.8" x14ac:dyDescent="0.25"/>
  <cols>
    <col min="1" max="1" width="8.88671875" style="4"/>
    <col min="2" max="2" width="24.77734375" style="4" customWidth="1"/>
    <col min="3" max="3" width="8.88671875" style="4"/>
    <col min="4" max="14" width="9" style="4" customWidth="1"/>
    <col min="15" max="15" width="11.21875" style="4" customWidth="1"/>
    <col min="16" max="16384" width="8.88671875" style="4"/>
  </cols>
  <sheetData>
    <row r="2" spans="1:15" s="3" customFormat="1" ht="17.399999999999999" x14ac:dyDescent="0.3">
      <c r="A2" s="2" t="s">
        <v>105</v>
      </c>
    </row>
    <row r="4" spans="1:15" ht="15.6" x14ac:dyDescent="0.3">
      <c r="B4" s="17" t="s">
        <v>91</v>
      </c>
      <c r="C4" s="17"/>
      <c r="D4" s="17"/>
    </row>
    <row r="5" spans="1:15" ht="26.4" x14ac:dyDescent="0.25">
      <c r="B5" s="5" t="s">
        <v>81</v>
      </c>
      <c r="C5" s="5" t="s">
        <v>30</v>
      </c>
      <c r="D5" s="14" t="s">
        <v>85</v>
      </c>
      <c r="E5" s="14" t="s">
        <v>86</v>
      </c>
      <c r="F5" s="14" t="s">
        <v>87</v>
      </c>
      <c r="G5" s="14" t="s">
        <v>88</v>
      </c>
      <c r="H5" s="14" t="s">
        <v>89</v>
      </c>
      <c r="I5" s="14" t="s">
        <v>90</v>
      </c>
    </row>
    <row r="6" spans="1:15" x14ac:dyDescent="0.25">
      <c r="B6" s="6" t="s">
        <v>82</v>
      </c>
      <c r="C6" s="6" t="s">
        <v>84</v>
      </c>
      <c r="D6" s="12">
        <f>lines!I2</f>
        <v>34.085662999999997</v>
      </c>
      <c r="E6" s="12">
        <f>lines!K2</f>
        <v>10.742940000000001</v>
      </c>
      <c r="F6" s="12">
        <f>lines!M2</f>
        <v>14.269387999999999</v>
      </c>
      <c r="G6" s="12">
        <f>lines!O2</f>
        <v>864.59484899999995</v>
      </c>
      <c r="H6" s="12">
        <f>lines!Q2</f>
        <v>811.29107699999997</v>
      </c>
      <c r="I6" s="12">
        <f>lines!S2</f>
        <v>36.235283000000003</v>
      </c>
    </row>
    <row r="7" spans="1:15" x14ac:dyDescent="0.25">
      <c r="B7" s="6" t="s">
        <v>83</v>
      </c>
      <c r="C7" s="6" t="s">
        <v>84</v>
      </c>
      <c r="D7" s="12">
        <f>lines!I4</f>
        <v>30.492628</v>
      </c>
      <c r="E7" s="12">
        <f>lines!K4</f>
        <v>11.070611</v>
      </c>
      <c r="F7" s="12">
        <f>lines!M4</f>
        <v>10.540855000000001</v>
      </c>
      <c r="G7" s="12">
        <f>lines!O4</f>
        <v>512.41156000000001</v>
      </c>
      <c r="H7" s="13">
        <f>lines!Q4</f>
        <v>2267.6857909999999</v>
      </c>
      <c r="I7" s="12">
        <f>lines!S4</f>
        <v>995.96636999999998</v>
      </c>
    </row>
    <row r="9" spans="1:15" ht="26.4" x14ac:dyDescent="0.3">
      <c r="B9" s="15" t="s">
        <v>101</v>
      </c>
      <c r="C9" s="18" t="s">
        <v>93</v>
      </c>
      <c r="D9" s="18"/>
      <c r="E9" s="18" t="s">
        <v>94</v>
      </c>
      <c r="F9" s="18"/>
      <c r="G9" s="18" t="s">
        <v>95</v>
      </c>
      <c r="H9" s="18"/>
      <c r="I9" s="18" t="s">
        <v>96</v>
      </c>
      <c r="J9" s="18"/>
      <c r="K9" s="18" t="s">
        <v>97</v>
      </c>
      <c r="L9" s="18"/>
      <c r="M9" s="18" t="s">
        <v>98</v>
      </c>
      <c r="N9" s="18"/>
      <c r="O9" s="14" t="s">
        <v>102</v>
      </c>
    </row>
    <row r="10" spans="1:15" x14ac:dyDescent="0.25">
      <c r="B10" s="5" t="s">
        <v>81</v>
      </c>
      <c r="C10" s="14" t="s">
        <v>99</v>
      </c>
      <c r="D10" s="14" t="s">
        <v>100</v>
      </c>
      <c r="E10" s="14" t="str">
        <f t="shared" ref="E10:N10" si="0">C10</f>
        <v>Min</v>
      </c>
      <c r="F10" s="14" t="str">
        <f t="shared" si="0"/>
        <v>Max</v>
      </c>
      <c r="G10" s="14" t="str">
        <f t="shared" si="0"/>
        <v>Min</v>
      </c>
      <c r="H10" s="14" t="str">
        <f t="shared" si="0"/>
        <v>Max</v>
      </c>
      <c r="I10" s="14" t="str">
        <f t="shared" si="0"/>
        <v>Min</v>
      </c>
      <c r="J10" s="14" t="str">
        <f t="shared" si="0"/>
        <v>Max</v>
      </c>
      <c r="K10" s="14" t="str">
        <f t="shared" si="0"/>
        <v>Min</v>
      </c>
      <c r="L10" s="14" t="str">
        <f t="shared" si="0"/>
        <v>Max</v>
      </c>
      <c r="M10" s="14" t="str">
        <f t="shared" si="0"/>
        <v>Min</v>
      </c>
      <c r="N10" s="14" t="str">
        <f t="shared" si="0"/>
        <v>Max</v>
      </c>
      <c r="O10" s="14" t="s">
        <v>100</v>
      </c>
    </row>
    <row r="11" spans="1:15" x14ac:dyDescent="0.25">
      <c r="B11" s="6" t="s">
        <v>82</v>
      </c>
      <c r="C11" s="11">
        <f>buoy!H2</f>
        <v>-4.219525</v>
      </c>
      <c r="D11" s="11">
        <f>buoy!I2</f>
        <v>5.9944670000000002</v>
      </c>
      <c r="E11" s="11">
        <f>buoy!J2</f>
        <v>2.4569000000000001</v>
      </c>
      <c r="F11" s="11">
        <f>buoy!K2</f>
        <v>5.0679850000000002</v>
      </c>
      <c r="G11" s="11">
        <f>buoy!L2</f>
        <v>4.4764999999999999E-2</v>
      </c>
      <c r="H11" s="11">
        <f>buoy!M2</f>
        <v>2.5348639999999998</v>
      </c>
      <c r="I11" s="11">
        <f>buoy!N2</f>
        <v>-9.1503340000000009</v>
      </c>
      <c r="J11" s="11">
        <f>buoy!O2</f>
        <v>0.27551199999999998</v>
      </c>
      <c r="K11" s="11">
        <f>buoy!P2</f>
        <v>-13.648834000000001</v>
      </c>
      <c r="L11" s="11">
        <f>buoy!Q2</f>
        <v>16.285311</v>
      </c>
      <c r="M11" s="11" t="s">
        <v>31</v>
      </c>
      <c r="N11" s="11" t="s">
        <v>31</v>
      </c>
      <c r="O11" s="10">
        <f>SQRT(SUMSQ(MAX(ABS(C11),ABS(D11)),MAX(ABS(E11),ABS(F11))))</f>
        <v>7.849720158981083</v>
      </c>
    </row>
    <row r="12" spans="1:15" x14ac:dyDescent="0.25">
      <c r="B12" s="6" t="s">
        <v>83</v>
      </c>
      <c r="C12" s="11">
        <f>buoy!H4</f>
        <v>-3.932572</v>
      </c>
      <c r="D12" s="11">
        <f>buoy!I4</f>
        <v>5.5948060000000002</v>
      </c>
      <c r="E12" s="11">
        <f>buoy!J4</f>
        <v>2.28586</v>
      </c>
      <c r="F12" s="11">
        <f>buoy!K4</f>
        <v>7.5194710000000002</v>
      </c>
      <c r="G12" s="11">
        <f>buoy!L4</f>
        <v>0.107352</v>
      </c>
      <c r="H12" s="11">
        <f>buoy!M4</f>
        <v>2.3280110000000001</v>
      </c>
      <c r="I12" s="11">
        <f>buoy!N4</f>
        <v>-12.996532999999999</v>
      </c>
      <c r="J12" s="11">
        <f>buoy!O4</f>
        <v>5.3467830000000003</v>
      </c>
      <c r="K12" s="11">
        <f>buoy!P4</f>
        <v>-11.992941999999999</v>
      </c>
      <c r="L12" s="11">
        <f>buoy!Q4</f>
        <v>15.245862000000001</v>
      </c>
      <c r="M12" s="11" t="s">
        <v>31</v>
      </c>
      <c r="N12" s="11" t="s">
        <v>31</v>
      </c>
      <c r="O12" s="10">
        <f>SQRT(SUMSQ(MAX(ABS(C12),ABS(D12)),MAX(ABS(E12),ABS(F12))))</f>
        <v>9.3725289168653401</v>
      </c>
    </row>
    <row r="14" spans="1:15" ht="15.6" x14ac:dyDescent="0.3">
      <c r="B14" s="17" t="s">
        <v>92</v>
      </c>
      <c r="C14" s="17"/>
      <c r="D14" s="17"/>
    </row>
    <row r="15" spans="1:15" x14ac:dyDescent="0.25">
      <c r="B15" s="5" t="s">
        <v>81</v>
      </c>
      <c r="C15" s="5" t="s">
        <v>30</v>
      </c>
      <c r="D15" s="5" t="s">
        <v>34</v>
      </c>
    </row>
    <row r="16" spans="1:15" x14ac:dyDescent="0.25">
      <c r="B16" s="6" t="s">
        <v>82</v>
      </c>
      <c r="C16" s="6" t="s">
        <v>84</v>
      </c>
      <c r="D16" s="12">
        <f>lines!U2</f>
        <v>150.64286799999999</v>
      </c>
    </row>
    <row r="17" spans="2:14" x14ac:dyDescent="0.25">
      <c r="B17" s="6" t="s">
        <v>83</v>
      </c>
      <c r="C17" s="6" t="s">
        <v>84</v>
      </c>
      <c r="D17" s="12">
        <f>lines!U4</f>
        <v>196.693085</v>
      </c>
    </row>
    <row r="19" spans="2:14" ht="15.6" x14ac:dyDescent="0.3">
      <c r="B19" s="15" t="s">
        <v>103</v>
      </c>
      <c r="C19" s="18" t="s">
        <v>93</v>
      </c>
      <c r="D19" s="18"/>
      <c r="E19" s="18" t="s">
        <v>94</v>
      </c>
      <c r="F19" s="18"/>
      <c r="G19" s="18" t="s">
        <v>95</v>
      </c>
      <c r="H19" s="18"/>
      <c r="I19" s="18" t="s">
        <v>96</v>
      </c>
      <c r="J19" s="18"/>
      <c r="K19" s="18" t="s">
        <v>97</v>
      </c>
      <c r="L19" s="18"/>
      <c r="M19" s="18" t="s">
        <v>98</v>
      </c>
      <c r="N19" s="18"/>
    </row>
    <row r="20" spans="2:14" x14ac:dyDescent="0.25">
      <c r="B20" s="5" t="s">
        <v>81</v>
      </c>
      <c r="C20" s="14" t="s">
        <v>99</v>
      </c>
      <c r="D20" s="14" t="s">
        <v>100</v>
      </c>
      <c r="E20" s="14" t="str">
        <f t="shared" ref="E20" si="1">C20</f>
        <v>Min</v>
      </c>
      <c r="F20" s="14" t="str">
        <f t="shared" ref="F20" si="2">D20</f>
        <v>Max</v>
      </c>
      <c r="G20" s="14" t="str">
        <f t="shared" ref="G20" si="3">E20</f>
        <v>Min</v>
      </c>
      <c r="H20" s="14" t="str">
        <f t="shared" ref="H20" si="4">F20</f>
        <v>Max</v>
      </c>
      <c r="I20" s="14" t="str">
        <f t="shared" ref="I20" si="5">G20</f>
        <v>Min</v>
      </c>
      <c r="J20" s="14" t="str">
        <f t="shared" ref="J20" si="6">H20</f>
        <v>Max</v>
      </c>
      <c r="K20" s="14" t="str">
        <f t="shared" ref="K20" si="7">I20</f>
        <v>Min</v>
      </c>
      <c r="L20" s="14" t="str">
        <f t="shared" ref="L20" si="8">J20</f>
        <v>Max</v>
      </c>
      <c r="M20" s="14" t="str">
        <f t="shared" ref="M20" si="9">K20</f>
        <v>Min</v>
      </c>
      <c r="N20" s="14" t="str">
        <f t="shared" ref="N20" si="10">L20</f>
        <v>Max</v>
      </c>
    </row>
    <row r="21" spans="2:14" x14ac:dyDescent="0.25">
      <c r="B21" s="6" t="s">
        <v>82</v>
      </c>
      <c r="C21" s="11" t="s">
        <v>31</v>
      </c>
      <c r="D21" s="11" t="s">
        <v>31</v>
      </c>
      <c r="E21" s="11" t="s">
        <v>31</v>
      </c>
      <c r="F21" s="11" t="s">
        <v>31</v>
      </c>
      <c r="G21" s="11">
        <f>vessel_abs!L2</f>
        <v>-0.67205499999999996</v>
      </c>
      <c r="H21" s="11">
        <f>vessel_abs!M2</f>
        <v>0.62917800000000002</v>
      </c>
      <c r="I21" s="11">
        <f>vessel_abs!N2</f>
        <v>-8.8760049999999993</v>
      </c>
      <c r="J21" s="11">
        <f>vessel_abs!O2</f>
        <v>5.384646</v>
      </c>
      <c r="K21" s="11">
        <f>vessel_abs!P2</f>
        <v>-1.5783609999999999</v>
      </c>
      <c r="L21" s="11">
        <f>vessel_abs!Q2</f>
        <v>1.7673380000000001</v>
      </c>
      <c r="M21" s="11" t="s">
        <v>31</v>
      </c>
      <c r="N21" s="11" t="s">
        <v>31</v>
      </c>
    </row>
    <row r="22" spans="2:14" x14ac:dyDescent="0.25">
      <c r="B22" s="6" t="s">
        <v>83</v>
      </c>
      <c r="C22" s="11" t="s">
        <v>31</v>
      </c>
      <c r="D22" s="11" t="s">
        <v>31</v>
      </c>
      <c r="E22" s="11" t="s">
        <v>31</v>
      </c>
      <c r="F22" s="11" t="s">
        <v>31</v>
      </c>
      <c r="G22" s="11">
        <f>vessel_abs!L3</f>
        <v>-0.56144499999999997</v>
      </c>
      <c r="H22" s="11">
        <f>vessel_abs!M3</f>
        <v>0.539022</v>
      </c>
      <c r="I22" s="11">
        <f>vessel_abs!N3</f>
        <v>-5.675287</v>
      </c>
      <c r="J22" s="11">
        <f>vessel_abs!O3</f>
        <v>5.2675340000000004</v>
      </c>
      <c r="K22" s="11">
        <f>vessel_abs!P3</f>
        <v>-1.485762</v>
      </c>
      <c r="L22" s="11">
        <f>vessel_abs!Q3</f>
        <v>1.602438</v>
      </c>
      <c r="M22" s="11" t="s">
        <v>31</v>
      </c>
      <c r="N22" s="11" t="s">
        <v>31</v>
      </c>
    </row>
    <row r="23" spans="2:14" x14ac:dyDescent="0.25">
      <c r="B23" s="16" t="s">
        <v>104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</sheetData>
  <mergeCells count="14">
    <mergeCell ref="B4:D4"/>
    <mergeCell ref="B14:D14"/>
    <mergeCell ref="C9:D9"/>
    <mergeCell ref="E9:F9"/>
    <mergeCell ref="C19:D19"/>
    <mergeCell ref="E19:F19"/>
    <mergeCell ref="G19:H19"/>
    <mergeCell ref="I19:J19"/>
    <mergeCell ref="K19:L19"/>
    <mergeCell ref="M19:N19"/>
    <mergeCell ref="G9:H9"/>
    <mergeCell ref="I9:J9"/>
    <mergeCell ref="K9:L9"/>
    <mergeCell ref="M9:N9"/>
  </mergeCells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4ACB-B819-4C94-A22D-1C17CE3F1491}">
  <dimension ref="A1:U7"/>
  <sheetViews>
    <sheetView workbookViewId="0">
      <selection activeCell="Q4" sqref="Q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</row>
    <row r="2" spans="1:21" x14ac:dyDescent="0.3">
      <c r="A2" t="s">
        <v>19</v>
      </c>
      <c r="B2" t="s">
        <v>20</v>
      </c>
      <c r="C2" t="s">
        <v>21</v>
      </c>
      <c r="D2">
        <v>-10</v>
      </c>
      <c r="E2">
        <v>100</v>
      </c>
      <c r="H2">
        <v>0.77114400000000005</v>
      </c>
      <c r="I2">
        <v>34.085662999999997</v>
      </c>
      <c r="J2">
        <v>3.1370209999999998</v>
      </c>
      <c r="K2">
        <v>10.742940000000001</v>
      </c>
      <c r="L2">
        <v>3.5280610000000001</v>
      </c>
      <c r="M2">
        <v>14.269387999999999</v>
      </c>
      <c r="N2">
        <v>1.9904550000000001</v>
      </c>
      <c r="O2">
        <v>864.59484899999995</v>
      </c>
      <c r="P2">
        <v>4.2718350000000003</v>
      </c>
      <c r="Q2">
        <v>811.29107699999997</v>
      </c>
      <c r="R2">
        <v>4.214645</v>
      </c>
      <c r="S2">
        <v>36.235283000000003</v>
      </c>
      <c r="T2">
        <v>0.10661900000000001</v>
      </c>
      <c r="U2">
        <v>150.64286799999999</v>
      </c>
    </row>
    <row r="3" spans="1:21" x14ac:dyDescent="0.3">
      <c r="A3" t="s">
        <v>22</v>
      </c>
      <c r="B3" t="s">
        <v>23</v>
      </c>
      <c r="C3" t="s">
        <v>21</v>
      </c>
      <c r="D3">
        <v>-10</v>
      </c>
      <c r="E3">
        <v>100</v>
      </c>
      <c r="H3">
        <v>10.975854999999999</v>
      </c>
      <c r="I3">
        <v>33.541046000000001</v>
      </c>
      <c r="J3">
        <v>6.406301</v>
      </c>
      <c r="K3">
        <v>8.4165159999999997</v>
      </c>
      <c r="L3">
        <v>3.6179999999999999</v>
      </c>
      <c r="M3">
        <v>12.686366</v>
      </c>
      <c r="N3">
        <v>3.7364489999999999</v>
      </c>
      <c r="O3">
        <v>10.779612999999999</v>
      </c>
      <c r="P3">
        <v>6.9577720000000003</v>
      </c>
      <c r="Q3">
        <v>10.535887000000001</v>
      </c>
      <c r="R3">
        <v>17.881166</v>
      </c>
      <c r="S3">
        <v>33.926495000000003</v>
      </c>
      <c r="T3">
        <v>0.15807599999999999</v>
      </c>
      <c r="U3">
        <v>1.2379640000000001</v>
      </c>
    </row>
    <row r="4" spans="1:21" x14ac:dyDescent="0.3">
      <c r="A4" t="s">
        <v>24</v>
      </c>
      <c r="B4" t="s">
        <v>25</v>
      </c>
      <c r="C4" t="s">
        <v>21</v>
      </c>
      <c r="D4">
        <v>-10</v>
      </c>
      <c r="E4">
        <v>100</v>
      </c>
      <c r="H4">
        <v>1.3289820000000001</v>
      </c>
      <c r="I4">
        <v>30.492628</v>
      </c>
      <c r="J4">
        <v>1.533766</v>
      </c>
      <c r="K4">
        <v>11.070611</v>
      </c>
      <c r="L4">
        <v>4.0397369999999997</v>
      </c>
      <c r="M4">
        <v>10.540855000000001</v>
      </c>
      <c r="N4">
        <v>2.6165099999999999</v>
      </c>
      <c r="O4">
        <v>512.41156000000001</v>
      </c>
      <c r="P4">
        <v>0.86419999999999997</v>
      </c>
      <c r="Q4">
        <v>2267.6857909999999</v>
      </c>
      <c r="R4">
        <v>5.9883179999999996</v>
      </c>
      <c r="S4">
        <v>995.96636999999998</v>
      </c>
      <c r="T4">
        <v>-5.6400000000000005E-4</v>
      </c>
      <c r="U4">
        <v>196.693085</v>
      </c>
    </row>
    <row r="5" spans="1:21" x14ac:dyDescent="0.3">
      <c r="A5" t="s">
        <v>63</v>
      </c>
      <c r="B5" t="s">
        <v>64</v>
      </c>
      <c r="C5" t="s">
        <v>21</v>
      </c>
      <c r="D5">
        <v>-10</v>
      </c>
      <c r="E5">
        <v>100</v>
      </c>
      <c r="H5">
        <v>1.0139910000000001</v>
      </c>
      <c r="I5">
        <v>34.506461999999999</v>
      </c>
      <c r="J5">
        <v>3.149092</v>
      </c>
      <c r="K5">
        <v>10.5901</v>
      </c>
      <c r="L5">
        <v>1.7455369999999999</v>
      </c>
      <c r="M5">
        <v>13.501179</v>
      </c>
      <c r="N5">
        <v>0.29515599999999997</v>
      </c>
      <c r="O5">
        <v>180.69757100000001</v>
      </c>
      <c r="P5">
        <v>4.2566680000000003</v>
      </c>
      <c r="Q5">
        <v>1058.7113039999999</v>
      </c>
      <c r="R5">
        <v>4.4716230000000001</v>
      </c>
      <c r="S5">
        <v>37.608947999999998</v>
      </c>
      <c r="T5">
        <v>0.11720899999999999</v>
      </c>
      <c r="U5">
        <v>120.571236</v>
      </c>
    </row>
    <row r="6" spans="1:21" x14ac:dyDescent="0.3">
      <c r="A6" t="s">
        <v>65</v>
      </c>
      <c r="B6" t="s">
        <v>66</v>
      </c>
      <c r="C6" t="s">
        <v>21</v>
      </c>
      <c r="D6">
        <v>-10</v>
      </c>
      <c r="E6">
        <v>100</v>
      </c>
      <c r="H6">
        <v>10.967392</v>
      </c>
      <c r="I6">
        <v>33.541054000000003</v>
      </c>
      <c r="J6">
        <v>6.4243980000000001</v>
      </c>
      <c r="K6">
        <v>8.4165159999999997</v>
      </c>
      <c r="L6">
        <v>4.8132270000000004</v>
      </c>
      <c r="M6">
        <v>11.877186999999999</v>
      </c>
      <c r="N6">
        <v>5.1232610000000003</v>
      </c>
      <c r="O6">
        <v>9.8102619999999998</v>
      </c>
      <c r="P6">
        <v>6.9578199999999999</v>
      </c>
      <c r="Q6">
        <v>10.534891999999999</v>
      </c>
      <c r="R6">
        <v>17.902376</v>
      </c>
      <c r="S6">
        <v>33.926498000000002</v>
      </c>
      <c r="T6">
        <v>0.16009499999999999</v>
      </c>
      <c r="U6">
        <v>1.237965</v>
      </c>
    </row>
    <row r="7" spans="1:21" x14ac:dyDescent="0.3">
      <c r="A7" t="s">
        <v>67</v>
      </c>
      <c r="B7" t="s">
        <v>68</v>
      </c>
      <c r="C7" t="s">
        <v>21</v>
      </c>
      <c r="D7">
        <v>-10</v>
      </c>
      <c r="E7">
        <v>100</v>
      </c>
      <c r="H7">
        <v>1.6222760000000001</v>
      </c>
      <c r="I7">
        <v>30.453878</v>
      </c>
      <c r="J7">
        <v>1.9586650000000001</v>
      </c>
      <c r="K7">
        <v>11.225820000000001</v>
      </c>
      <c r="L7">
        <v>3.9381719999999998</v>
      </c>
      <c r="M7">
        <v>9.1786019999999997</v>
      </c>
      <c r="N7">
        <v>1.5258560000000001</v>
      </c>
      <c r="O7">
        <v>21.974678000000001</v>
      </c>
      <c r="P7">
        <v>0.49963999999999997</v>
      </c>
      <c r="Q7">
        <v>976.581726</v>
      </c>
      <c r="R7">
        <v>10.170781</v>
      </c>
      <c r="S7">
        <v>669.33526600000005</v>
      </c>
      <c r="T7">
        <v>4.8389000000000001E-2</v>
      </c>
      <c r="U7">
        <v>119.84232299999999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D428-B7EB-4BFE-B839-366D113A6811}">
  <dimension ref="A1:S7"/>
  <sheetViews>
    <sheetView workbookViewId="0">
      <selection activeCell="N4" sqref="N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</row>
    <row r="2" spans="1:19" x14ac:dyDescent="0.3">
      <c r="A2" t="s">
        <v>19</v>
      </c>
      <c r="B2" t="s">
        <v>20</v>
      </c>
      <c r="C2" t="s">
        <v>21</v>
      </c>
      <c r="D2">
        <v>-10</v>
      </c>
      <c r="E2">
        <v>100</v>
      </c>
      <c r="H2">
        <v>-4.219525</v>
      </c>
      <c r="I2">
        <v>5.9944670000000002</v>
      </c>
      <c r="J2">
        <v>2.4569000000000001</v>
      </c>
      <c r="K2">
        <v>5.0679850000000002</v>
      </c>
      <c r="L2">
        <v>4.4764999999999999E-2</v>
      </c>
      <c r="M2">
        <v>2.5348639999999998</v>
      </c>
      <c r="N2">
        <v>-9.1503340000000009</v>
      </c>
      <c r="O2">
        <v>0.27551199999999998</v>
      </c>
      <c r="P2">
        <v>-13.648834000000001</v>
      </c>
      <c r="Q2">
        <v>16.285311</v>
      </c>
      <c r="R2">
        <v>-104.89180899999999</v>
      </c>
      <c r="S2">
        <v>-12.041886999999999</v>
      </c>
    </row>
    <row r="3" spans="1:19" x14ac:dyDescent="0.3">
      <c r="A3" t="s">
        <v>22</v>
      </c>
      <c r="B3" t="s">
        <v>23</v>
      </c>
      <c r="C3" t="s">
        <v>21</v>
      </c>
      <c r="D3">
        <v>-10</v>
      </c>
      <c r="E3">
        <v>100</v>
      </c>
      <c r="H3">
        <v>-4.4047080000000003</v>
      </c>
      <c r="I3">
        <v>-1.6133729999999999</v>
      </c>
      <c r="J3">
        <v>2.3943620000000001</v>
      </c>
      <c r="K3">
        <v>2.748421</v>
      </c>
      <c r="L3">
        <v>0.53306399999999998</v>
      </c>
      <c r="M3">
        <v>2.288856</v>
      </c>
      <c r="N3">
        <v>-2.3760080000000001</v>
      </c>
      <c r="O3">
        <v>-0.40455000000000002</v>
      </c>
      <c r="P3">
        <v>-9.4651130000000006</v>
      </c>
      <c r="Q3">
        <v>8.4929729999999992</v>
      </c>
      <c r="R3">
        <v>-47.105638999999996</v>
      </c>
      <c r="S3">
        <v>-6.4825489999999997</v>
      </c>
    </row>
    <row r="4" spans="1:19" x14ac:dyDescent="0.3">
      <c r="A4" t="s">
        <v>24</v>
      </c>
      <c r="B4" t="s">
        <v>25</v>
      </c>
      <c r="C4" t="s">
        <v>21</v>
      </c>
      <c r="D4">
        <v>-10</v>
      </c>
      <c r="E4">
        <v>100</v>
      </c>
      <c r="H4">
        <v>-3.932572</v>
      </c>
      <c r="I4">
        <v>5.5948060000000002</v>
      </c>
      <c r="J4">
        <v>2.28586</v>
      </c>
      <c r="K4">
        <v>7.5194710000000002</v>
      </c>
      <c r="L4">
        <v>0.107352</v>
      </c>
      <c r="M4">
        <v>2.3280110000000001</v>
      </c>
      <c r="N4">
        <v>-12.996532999999999</v>
      </c>
      <c r="O4">
        <v>5.3467830000000003</v>
      </c>
      <c r="P4">
        <v>-11.992941999999999</v>
      </c>
      <c r="Q4">
        <v>15.245862000000001</v>
      </c>
      <c r="R4">
        <v>-117.436893</v>
      </c>
      <c r="S4">
        <v>-14.424758000000001</v>
      </c>
    </row>
    <row r="5" spans="1:19" x14ac:dyDescent="0.3">
      <c r="A5" t="s">
        <v>63</v>
      </c>
      <c r="B5" t="s">
        <v>64</v>
      </c>
      <c r="C5" t="s">
        <v>21</v>
      </c>
      <c r="D5">
        <v>-10</v>
      </c>
      <c r="E5">
        <v>100</v>
      </c>
      <c r="H5">
        <v>-4.1649190000000003</v>
      </c>
      <c r="I5">
        <v>5.4591479999999999</v>
      </c>
      <c r="J5">
        <v>2.523174</v>
      </c>
      <c r="K5">
        <v>5.6841049999999997</v>
      </c>
      <c r="L5">
        <v>-3.6746000000000001E-2</v>
      </c>
      <c r="M5">
        <v>2.4634149999999999</v>
      </c>
      <c r="N5">
        <v>-10.917809</v>
      </c>
      <c r="O5">
        <v>2.0371779999999999</v>
      </c>
      <c r="P5">
        <v>-13.588663</v>
      </c>
      <c r="Q5">
        <v>19.038170000000001</v>
      </c>
      <c r="R5">
        <v>-81.424345000000002</v>
      </c>
      <c r="S5">
        <v>-7.8559710000000003</v>
      </c>
    </row>
    <row r="6" spans="1:19" x14ac:dyDescent="0.3">
      <c r="A6" t="s">
        <v>65</v>
      </c>
      <c r="B6" t="s">
        <v>66</v>
      </c>
      <c r="C6" t="s">
        <v>21</v>
      </c>
      <c r="D6">
        <v>-10</v>
      </c>
      <c r="E6">
        <v>100</v>
      </c>
      <c r="H6">
        <v>-4.4047090000000004</v>
      </c>
      <c r="I6">
        <v>-1.610965</v>
      </c>
      <c r="J6">
        <v>2.3943620000000001</v>
      </c>
      <c r="K6">
        <v>2.7491310000000002</v>
      </c>
      <c r="L6">
        <v>0.53313299999999997</v>
      </c>
      <c r="M6">
        <v>2.2886479999999998</v>
      </c>
      <c r="N6">
        <v>-2.3787180000000001</v>
      </c>
      <c r="O6">
        <v>-0.40082000000000001</v>
      </c>
      <c r="P6">
        <v>-9.4642370000000007</v>
      </c>
      <c r="Q6">
        <v>8.4951600000000003</v>
      </c>
      <c r="R6">
        <v>-47.60633</v>
      </c>
      <c r="S6">
        <v>-6.4826119999999996</v>
      </c>
    </row>
    <row r="7" spans="1:19" x14ac:dyDescent="0.3">
      <c r="A7" t="s">
        <v>67</v>
      </c>
      <c r="B7" t="s">
        <v>68</v>
      </c>
      <c r="C7" t="s">
        <v>21</v>
      </c>
      <c r="D7">
        <v>-10</v>
      </c>
      <c r="E7">
        <v>100</v>
      </c>
      <c r="H7">
        <v>-3.8857629999999999</v>
      </c>
      <c r="I7">
        <v>3.1953290000000001</v>
      </c>
      <c r="J7">
        <v>2.5109590000000002</v>
      </c>
      <c r="K7">
        <v>7.1783729999999997</v>
      </c>
      <c r="L7">
        <v>6.2178999999999998E-2</v>
      </c>
      <c r="M7">
        <v>2.4874849999999999</v>
      </c>
      <c r="N7">
        <v>-13.005087</v>
      </c>
      <c r="O7">
        <v>4.9260599999999997</v>
      </c>
      <c r="P7">
        <v>-12.403962</v>
      </c>
      <c r="Q7">
        <v>14.950039</v>
      </c>
      <c r="R7">
        <v>-79.851257000000004</v>
      </c>
      <c r="S7">
        <v>-5.9368689999999997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F6D7-658C-47AF-8528-0700A529A6B0}">
  <dimension ref="A1:S9"/>
  <sheetViews>
    <sheetView workbookViewId="0">
      <selection activeCell="G13" sqref="G1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-10</v>
      </c>
      <c r="E2">
        <v>100</v>
      </c>
      <c r="H2">
        <v>-53.116329</v>
      </c>
      <c r="I2">
        <v>93.038833999999994</v>
      </c>
      <c r="J2">
        <v>54.544998</v>
      </c>
      <c r="K2">
        <v>95.151038999999997</v>
      </c>
      <c r="L2">
        <v>-0.67205499999999996</v>
      </c>
      <c r="M2">
        <v>0.62917800000000002</v>
      </c>
      <c r="N2">
        <v>-8.8760049999999993</v>
      </c>
      <c r="O2">
        <v>5.384646</v>
      </c>
      <c r="P2">
        <v>-1.5783609999999999</v>
      </c>
      <c r="Q2">
        <v>1.7673380000000001</v>
      </c>
      <c r="R2">
        <v>-153.746206</v>
      </c>
      <c r="S2">
        <v>-55.411614</v>
      </c>
    </row>
    <row r="3" spans="1:19" x14ac:dyDescent="0.3">
      <c r="A3" t="s">
        <v>22</v>
      </c>
      <c r="B3" t="s">
        <v>23</v>
      </c>
      <c r="C3" t="s">
        <v>21</v>
      </c>
      <c r="D3">
        <v>-10</v>
      </c>
      <c r="E3">
        <v>100</v>
      </c>
      <c r="H3">
        <v>-55.721977000000003</v>
      </c>
      <c r="I3">
        <v>-30.667573999999998</v>
      </c>
      <c r="J3">
        <v>79.281807000000001</v>
      </c>
      <c r="K3">
        <v>80.489845000000003</v>
      </c>
      <c r="L3">
        <v>-0.56144499999999997</v>
      </c>
      <c r="M3">
        <v>0.539022</v>
      </c>
      <c r="N3">
        <v>-5.675287</v>
      </c>
      <c r="O3">
        <v>5.2675340000000004</v>
      </c>
      <c r="P3">
        <v>-1.485762</v>
      </c>
      <c r="Q3">
        <v>1.602438</v>
      </c>
      <c r="R3">
        <v>-56.501114000000001</v>
      </c>
      <c r="S3">
        <v>-53.327897</v>
      </c>
    </row>
    <row r="4" spans="1:19" x14ac:dyDescent="0.3">
      <c r="A4" t="s">
        <v>24</v>
      </c>
      <c r="B4" t="s">
        <v>25</v>
      </c>
      <c r="C4" t="s">
        <v>21</v>
      </c>
      <c r="D4">
        <v>-10</v>
      </c>
      <c r="E4">
        <v>100</v>
      </c>
      <c r="H4">
        <v>-53.528500000000001</v>
      </c>
      <c r="I4">
        <v>82.012550000000005</v>
      </c>
      <c r="J4">
        <v>53.746448999999998</v>
      </c>
      <c r="K4">
        <v>106.63814499999999</v>
      </c>
      <c r="L4">
        <v>-1.042381</v>
      </c>
      <c r="M4">
        <v>0.98170199999999996</v>
      </c>
      <c r="N4">
        <v>-16.965600999999999</v>
      </c>
      <c r="O4">
        <v>15.496741</v>
      </c>
      <c r="P4">
        <v>-2.3332389999999998</v>
      </c>
      <c r="Q4">
        <v>1.9974700000000001</v>
      </c>
      <c r="R4">
        <v>-131.362078</v>
      </c>
      <c r="S4">
        <v>-54.921557999999997</v>
      </c>
    </row>
    <row r="5" spans="1:19" x14ac:dyDescent="0.3">
      <c r="A5" t="s">
        <v>63</v>
      </c>
      <c r="B5" t="s">
        <v>64</v>
      </c>
      <c r="C5" t="s">
        <v>21</v>
      </c>
      <c r="D5">
        <v>-10</v>
      </c>
      <c r="E5">
        <v>100</v>
      </c>
      <c r="H5">
        <v>-55.068821</v>
      </c>
      <c r="I5">
        <v>27.820371999999999</v>
      </c>
      <c r="J5">
        <v>79.913048000000003</v>
      </c>
      <c r="K5">
        <v>92.829491000000004</v>
      </c>
      <c r="L5">
        <v>-0.60882499999999995</v>
      </c>
      <c r="M5">
        <v>0.65242100000000003</v>
      </c>
      <c r="N5">
        <v>-7.2702159999999996</v>
      </c>
      <c r="O5">
        <v>6.0909240000000002</v>
      </c>
      <c r="P5">
        <v>-2.3099240000000001</v>
      </c>
      <c r="Q5">
        <v>2.3890359999999999</v>
      </c>
      <c r="R5">
        <v>-89.673192</v>
      </c>
      <c r="S5">
        <v>-54.863781000000003</v>
      </c>
    </row>
    <row r="6" spans="1:19" x14ac:dyDescent="0.3">
      <c r="A6" t="s">
        <v>65</v>
      </c>
      <c r="B6" t="s">
        <v>66</v>
      </c>
      <c r="C6" t="s">
        <v>21</v>
      </c>
      <c r="D6">
        <v>-10</v>
      </c>
      <c r="E6">
        <v>100</v>
      </c>
      <c r="H6">
        <v>-55.721972999999998</v>
      </c>
      <c r="I6">
        <v>-30.109489</v>
      </c>
      <c r="J6">
        <v>79.282234000000003</v>
      </c>
      <c r="K6">
        <v>80.673820000000006</v>
      </c>
      <c r="L6">
        <v>-0.56144400000000005</v>
      </c>
      <c r="M6">
        <v>0.53902099999999997</v>
      </c>
      <c r="N6">
        <v>-5.7141869999999999</v>
      </c>
      <c r="O6">
        <v>5.2931350000000004</v>
      </c>
      <c r="P6">
        <v>-1.4857530000000001</v>
      </c>
      <c r="Q6">
        <v>1.6024339999999999</v>
      </c>
      <c r="R6">
        <v>-56.649521</v>
      </c>
      <c r="S6">
        <v>-53.324103000000001</v>
      </c>
    </row>
    <row r="7" spans="1:19" x14ac:dyDescent="0.3">
      <c r="A7" t="s">
        <v>67</v>
      </c>
      <c r="B7" t="s">
        <v>68</v>
      </c>
      <c r="C7" t="s">
        <v>21</v>
      </c>
      <c r="D7">
        <v>-10</v>
      </c>
      <c r="E7">
        <v>100</v>
      </c>
      <c r="H7">
        <v>-55.616703000000001</v>
      </c>
      <c r="I7">
        <v>46.376724000000003</v>
      </c>
      <c r="J7">
        <v>80.087547000000001</v>
      </c>
      <c r="K7">
        <v>98.498626999999999</v>
      </c>
      <c r="L7">
        <v>-1.3950849999999999</v>
      </c>
      <c r="M7">
        <v>1.499576</v>
      </c>
      <c r="N7">
        <v>-14.069989</v>
      </c>
      <c r="O7">
        <v>13.213725</v>
      </c>
      <c r="P7">
        <v>-1.0299659999999999</v>
      </c>
      <c r="Q7">
        <v>1.053007</v>
      </c>
      <c r="R7">
        <v>-114.021744</v>
      </c>
      <c r="S7">
        <v>-54.416246999999998</v>
      </c>
    </row>
    <row r="8" spans="1:19" x14ac:dyDescent="0.3">
      <c r="H8" s="1"/>
      <c r="I8" s="1"/>
      <c r="J8" s="1"/>
      <c r="K8" s="1"/>
      <c r="L8" s="1"/>
      <c r="M8" s="1"/>
    </row>
    <row r="9" spans="1:19" x14ac:dyDescent="0.3">
      <c r="H9" s="1"/>
      <c r="I9" s="1"/>
      <c r="J9" s="1"/>
      <c r="K9" s="1"/>
      <c r="L9" s="1"/>
      <c r="M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summary</vt:lpstr>
      <vt:lpstr>lines</vt:lpstr>
      <vt:lpstr>buoy</vt:lpstr>
      <vt:lpstr>vessel_abs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Vamsee Achanta</cp:lastModifiedBy>
  <dcterms:created xsi:type="dcterms:W3CDTF">2025-11-14T16:36:41Z</dcterms:created>
  <dcterms:modified xsi:type="dcterms:W3CDTF">2025-11-15T11:11:18Z</dcterms:modified>
</cp:coreProperties>
</file>