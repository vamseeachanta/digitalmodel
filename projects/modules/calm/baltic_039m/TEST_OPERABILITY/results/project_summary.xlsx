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\\Acma-ansys05\d\workspace-hub\digitalmodel\projects\modules\calm\baltic_039m\TEST_OPERABILITY\results\"/>
    </mc:Choice>
  </mc:AlternateContent>
  <xr:revisionPtr revIDLastSave="0" documentId="13_ncr:1_{191C9218-AE93-4124-90AD-39634FC039A5}" xr6:coauthVersionLast="47" xr6:coauthVersionMax="47" xr10:uidLastSave="{00000000-0000-0000-0000-000000000000}"/>
  <bookViews>
    <workbookView xWindow="-28920" yWindow="-120" windowWidth="29040" windowHeight="15990" xr2:uid="{2410E4D2-3E22-45C0-A70E-D969989C64D5}"/>
  </bookViews>
  <sheets>
    <sheet name="inputs" sheetId="2" r:id="rId1"/>
    <sheet name="summary" sheetId="3" r:id="rId2"/>
    <sheet name="lines" sheetId="4" r:id="rId3"/>
    <sheet name="buoy" sheetId="5" r:id="rId4"/>
    <sheet name="vessel_abs" sheetId="1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6" i="3" l="1"/>
  <c r="E26" i="3"/>
  <c r="F26" i="3"/>
  <c r="C26" i="3"/>
  <c r="D25" i="3"/>
  <c r="E25" i="3"/>
  <c r="F25" i="3"/>
  <c r="C25" i="3"/>
  <c r="F14" i="3"/>
  <c r="H14" i="3" s="1"/>
  <c r="J14" i="3" s="1"/>
  <c r="L14" i="3" s="1"/>
  <c r="N14" i="3" s="1"/>
  <c r="E14" i="3"/>
  <c r="G14" i="3" s="1"/>
  <c r="I14" i="3" s="1"/>
  <c r="K14" i="3" s="1"/>
  <c r="M14" i="3" s="1"/>
  <c r="L26" i="3"/>
  <c r="K26" i="3"/>
  <c r="J26" i="3"/>
  <c r="I26" i="3"/>
  <c r="H26" i="3"/>
  <c r="G26" i="3"/>
  <c r="L25" i="3"/>
  <c r="K25" i="3"/>
  <c r="J25" i="3"/>
  <c r="I25" i="3"/>
  <c r="H25" i="3"/>
  <c r="G25" i="3"/>
  <c r="F24" i="3"/>
  <c r="H24" i="3" s="1"/>
  <c r="J24" i="3" s="1"/>
  <c r="L24" i="3" s="1"/>
  <c r="N24" i="3" s="1"/>
  <c r="E24" i="3"/>
  <c r="G24" i="3" s="1"/>
  <c r="I24" i="3" s="1"/>
  <c r="K24" i="3" s="1"/>
  <c r="M24" i="3" s="1"/>
  <c r="L11" i="3"/>
  <c r="K11" i="3"/>
  <c r="J11" i="3"/>
  <c r="I11" i="3"/>
  <c r="H11" i="3"/>
  <c r="G11" i="3"/>
  <c r="F11" i="3"/>
  <c r="E11" i="3"/>
  <c r="D11" i="3"/>
  <c r="C11" i="3"/>
  <c r="D10" i="3"/>
  <c r="E10" i="3"/>
  <c r="F10" i="3"/>
  <c r="G10" i="3"/>
  <c r="H10" i="3"/>
  <c r="I10" i="3"/>
  <c r="J10" i="3"/>
  <c r="K10" i="3"/>
  <c r="L10" i="3"/>
  <c r="C10" i="3"/>
  <c r="O10" i="3" s="1"/>
  <c r="F9" i="3"/>
  <c r="H9" i="3" s="1"/>
  <c r="J9" i="3" s="1"/>
  <c r="L9" i="3" s="1"/>
  <c r="N9" i="3" s="1"/>
  <c r="E9" i="3"/>
  <c r="G9" i="3" s="1"/>
  <c r="I9" i="3" s="1"/>
  <c r="K9" i="3" s="1"/>
  <c r="M9" i="3" s="1"/>
  <c r="O11" i="3" l="1"/>
  <c r="D21" i="3"/>
  <c r="D20" i="3"/>
</calcChain>
</file>

<file path=xl/sharedStrings.xml><?xml version="1.0" encoding="utf-8"?>
<sst xmlns="http://schemas.openxmlformats.org/spreadsheetml/2006/main" count="218" uniqueCount="113">
  <si>
    <t>fe_filename</t>
  </si>
  <si>
    <t>fe_filename_stem</t>
  </si>
  <si>
    <t>run_status</t>
  </si>
  <si>
    <t>start_time</t>
  </si>
  <si>
    <t>stop_time</t>
  </si>
  <si>
    <t>description</t>
  </si>
  <si>
    <t>statistic</t>
  </si>
  <si>
    <t>vessel1_X_abs_min</t>
  </si>
  <si>
    <t>vessel1_X_abs_max</t>
  </si>
  <si>
    <t>vessel1_Y_abs_min</t>
  </si>
  <si>
    <t>vessel1_Y_abs_max</t>
  </si>
  <si>
    <t>vessel1_Z_abs_min</t>
  </si>
  <si>
    <t>vessel1_Z_abs_max</t>
  </si>
  <si>
    <t>vessel1_R1_abs_min</t>
  </si>
  <si>
    <t>vessel1_R1_abs_max</t>
  </si>
  <si>
    <t>vessel1_R2_abs_min</t>
  </si>
  <si>
    <t>vessel1_R2_abs_max</t>
  </si>
  <si>
    <t>vessel1_R3_abs_min</t>
  </si>
  <si>
    <t>vessel1_R3_abs_max</t>
  </si>
  <si>
    <t>D:/workspace-hub/digitalmodel/projects/modules/calm/baltic_039m/TEST_OPERABILITY/orcaflex/analysis_models/CALM_atb_000deg_1yr_simple.sim</t>
  </si>
  <si>
    <t>CALM_atb_000deg_1yr_simple</t>
  </si>
  <si>
    <t>SimulationStopped</t>
  </si>
  <si>
    <t>D:/workspace-hub/digitalmodel/projects/modules/calm/baltic_039m/TEST_OPERABILITY/orcaflex/analysis_models/CALM_atb_000deg_no_load.sim</t>
  </si>
  <si>
    <t>CALM_atb_000deg_no_load</t>
  </si>
  <si>
    <t>D:/workspace-hub/digitalmodel/projects/modules/calm/baltic_039m/TEST_OPERABILITY/orcaflex/analysis_models/CALM_atb_030deg_1yr_simple.sim</t>
  </si>
  <si>
    <t>CALM_atb_030deg_1yr_simple</t>
  </si>
  <si>
    <t>Input Data</t>
  </si>
  <si>
    <t>Description</t>
  </si>
  <si>
    <t>Nominal diameter</t>
  </si>
  <si>
    <t>Type</t>
  </si>
  <si>
    <t>Unit</t>
  </si>
  <si>
    <t>-</t>
  </si>
  <si>
    <t>mm</t>
  </si>
  <si>
    <t>R4, Studless chain</t>
  </si>
  <si>
    <t>Value</t>
  </si>
  <si>
    <t>CALM Buoy - Chain Properties</t>
  </si>
  <si>
    <t>CALM Buoy - Clump Weight Properties</t>
  </si>
  <si>
    <t>Weight</t>
  </si>
  <si>
    <t>mT</t>
  </si>
  <si>
    <t>m</t>
  </si>
  <si>
    <t>Location along length of chain from Buoy/ Top of chain</t>
  </si>
  <si>
    <t>Nylon Rope</t>
  </si>
  <si>
    <t>Hawser Properties</t>
  </si>
  <si>
    <t>Length</t>
  </si>
  <si>
    <t>Environment Data - Operating</t>
  </si>
  <si>
    <t>Wind</t>
  </si>
  <si>
    <t>Current</t>
  </si>
  <si>
    <t>knots</t>
  </si>
  <si>
    <t>Wave Hs</t>
  </si>
  <si>
    <t>Mooring1_eff_tension_min</t>
  </si>
  <si>
    <t>Mooring1_eff_tension_max</t>
  </si>
  <si>
    <t>Mooring2_eff_tension_min</t>
  </si>
  <si>
    <t>Mooring2_eff_tension_max</t>
  </si>
  <si>
    <t>Mooring3_eff_tension_min</t>
  </si>
  <si>
    <t>Mooring3_eff_tension_max</t>
  </si>
  <si>
    <t>Mooring4_eff_tension_min</t>
  </si>
  <si>
    <t>Mooring4_eff_tension_max</t>
  </si>
  <si>
    <t>Mooring5_eff_tension_min</t>
  </si>
  <si>
    <t>Mooring5_eff_tension_max</t>
  </si>
  <si>
    <t>Mooring6_eff_tension_min</t>
  </si>
  <si>
    <t>Mooring6_eff_tension_max</t>
  </si>
  <si>
    <t>Hawser_eff_tension_min</t>
  </si>
  <si>
    <t>Hawser_eff_tension_max</t>
  </si>
  <si>
    <t>D:/workspace-hub/digitalmodel/projects/modules/calm/baltic_039m/TEST_OPERABILITY/orcaflex/analysis_models/NSE_CALM_001_000deg_1yr_simple.sim</t>
  </si>
  <si>
    <t>NSE_CALM_001_000deg_1yr_simple</t>
  </si>
  <si>
    <t>D:/workspace-hub/digitalmodel/projects/modules/calm/baltic_039m/TEST_OPERABILITY/orcaflex/analysis_models/NSE_CALM_001_000deg_no_load.sim</t>
  </si>
  <si>
    <t>NSE_CALM_001_000deg_no_load</t>
  </si>
  <si>
    <t>D:/workspace-hub/digitalmodel/projects/modules/calm/baltic_039m/TEST_OPERABILITY/orcaflex/analysis_models/NSE_CALM_001_030deg_1yr_simple.sim</t>
  </si>
  <si>
    <t>NSE_CALM_001_030deg_1yr_simple</t>
  </si>
  <si>
    <t>CALMTop_X_abs_min</t>
  </si>
  <si>
    <t>CALMTop_X_abs_max</t>
  </si>
  <si>
    <t>CALMTop_Y_abs_min</t>
  </si>
  <si>
    <t>CALMTop_Y_abs_max</t>
  </si>
  <si>
    <t>CALMTop_Z_abs_min</t>
  </si>
  <si>
    <t>CALMTop_Z_abs_max</t>
  </si>
  <si>
    <t>CALMTop_R1_abs_min</t>
  </si>
  <si>
    <t>CALMTop_R1_abs_max</t>
  </si>
  <si>
    <t>CALMTop_R2_abs_min</t>
  </si>
  <si>
    <t>CALMTop_R2_abs_max</t>
  </si>
  <si>
    <t>CALMTop_R3_abs_min</t>
  </si>
  <si>
    <t>CALMTop_R3_abs_max</t>
  </si>
  <si>
    <t>Operating Condition</t>
  </si>
  <si>
    <t>0 deg colinear</t>
  </si>
  <si>
    <t>30 deg colinear</t>
  </si>
  <si>
    <t>kN</t>
  </si>
  <si>
    <t>Hawser Maximum Tension</t>
  </si>
  <si>
    <t>Surge (m)</t>
  </si>
  <si>
    <t>Sway (m)</t>
  </si>
  <si>
    <t>Heave (m)</t>
  </si>
  <si>
    <t>Roll (deg)</t>
  </si>
  <si>
    <t>Pitch (deg)</t>
  </si>
  <si>
    <t>Yaw (deg)</t>
  </si>
  <si>
    <t>Min</t>
  </si>
  <si>
    <t>Max</t>
  </si>
  <si>
    <t>CALM Buoy - 6 DOF</t>
  </si>
  <si>
    <t>Excursion (m)</t>
  </si>
  <si>
    <t>Crowley 650 - 6 DOF</t>
  </si>
  <si>
    <t>* RAOs used are for reference vessel and are conservative. Hull specific diffraction analysis not performed.</t>
  </si>
  <si>
    <t>Summary Results</t>
  </si>
  <si>
    <t>Line 1</t>
  </si>
  <si>
    <t>Line 2</t>
  </si>
  <si>
    <t>Line 3</t>
  </si>
  <si>
    <t>Line 4</t>
  </si>
  <si>
    <t>Line 5</t>
  </si>
  <si>
    <t>Line 6</t>
  </si>
  <si>
    <t>Mooring Line Tension</t>
  </si>
  <si>
    <t>Alan C. McClure Associates, Inc.</t>
  </si>
  <si>
    <t>Drilling Island - SPM Export Terminal Mooring Analysis</t>
  </si>
  <si>
    <t>ACMA Job No. B1535_1</t>
  </si>
  <si>
    <t>November 14, 20025</t>
  </si>
  <si>
    <t>0 deg colinear (kN)</t>
  </si>
  <si>
    <t>30 deg colinear (kN)</t>
  </si>
  <si>
    <t>DHI - Drilling Island Development Project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</si>
</sst>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9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rial"/>
      <family val="2"/>
    </font>
    <font>
      <sz val="14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sz val="8"/>
      <name val="Aptos Narrow"/>
      <family val="2"/>
      <scheme val="minor"/>
    </font>
    <font>
      <b/>
      <sz val="10"/>
      <color rgb="FF233845"/>
      <name val="Arial"/>
      <family val="2"/>
    </font>
    <font>
      <sz val="10"/>
      <color theme="1"/>
      <name val="Arial"/>
      <family val="2"/>
    </font>
    <font>
      <b/>
      <sz val="18"/>
      <color theme="1"/>
      <name val="Arial"/>
      <family val="2"/>
    </font>
    <font>
      <b/>
      <sz val="16"/>
      <color theme="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10" xfId="0" applyFont="1" applyBorder="1"/>
    <xf numFmtId="0" fontId="21" fillId="0" borderId="10" xfId="0" applyFont="1" applyBorder="1"/>
    <xf numFmtId="0" fontId="21" fillId="0" borderId="10" xfId="0" applyFont="1" applyBorder="1" applyAlignment="1">
      <alignment horizontal="center"/>
    </xf>
    <xf numFmtId="0" fontId="21" fillId="0" borderId="10" xfId="0" applyFont="1" applyBorder="1" applyAlignment="1">
      <alignment wrapText="1"/>
    </xf>
    <xf numFmtId="0" fontId="21" fillId="0" borderId="10" xfId="0" applyFont="1" applyBorder="1" applyAlignment="1">
      <alignment horizontal="left"/>
    </xf>
    <xf numFmtId="2" fontId="21" fillId="0" borderId="10" xfId="0" applyNumberFormat="1" applyFont="1" applyBorder="1" applyAlignment="1">
      <alignment horizontal="center"/>
    </xf>
    <xf numFmtId="164" fontId="21" fillId="0" borderId="10" xfId="0" applyNumberFormat="1" applyFont="1" applyBorder="1" applyAlignment="1">
      <alignment horizontal="center"/>
    </xf>
    <xf numFmtId="1" fontId="21" fillId="0" borderId="10" xfId="0" applyNumberFormat="1" applyFont="1" applyBorder="1" applyAlignment="1">
      <alignment horizontal="center"/>
    </xf>
    <xf numFmtId="0" fontId="26" fillId="0" borderId="10" xfId="0" applyFont="1" applyBorder="1"/>
    <xf numFmtId="0" fontId="23" fillId="0" borderId="10" xfId="0" applyFont="1" applyBorder="1" applyAlignment="1">
      <alignment horizontal="left"/>
    </xf>
    <xf numFmtId="0" fontId="23" fillId="0" borderId="10" xfId="0" applyFont="1" applyBorder="1" applyAlignment="1">
      <alignment horizontal="left"/>
    </xf>
    <xf numFmtId="0" fontId="0" fillId="0" borderId="0" xfId="0" applyAlignment="1">
      <alignment wrapText="1"/>
    </xf>
    <xf numFmtId="2" fontId="0" fillId="0" borderId="0" xfId="0" applyNumberFormat="1" applyAlignment="1">
      <alignment horizontal="center"/>
    </xf>
    <xf numFmtId="0" fontId="0" fillId="0" borderId="11" xfId="0" applyBorder="1" applyAlignment="1">
      <alignment wrapText="1"/>
    </xf>
    <xf numFmtId="2" fontId="0" fillId="0" borderId="11" xfId="0" applyNumberFormat="1" applyBorder="1" applyAlignment="1">
      <alignment horizontal="center"/>
    </xf>
    <xf numFmtId="0" fontId="0" fillId="0" borderId="0" xfId="0" applyAlignment="1">
      <alignment horizontal="center" wrapText="1"/>
    </xf>
    <xf numFmtId="0" fontId="0" fillId="0" borderId="11" xfId="0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Border="1"/>
    <xf numFmtId="0" fontId="21" fillId="0" borderId="10" xfId="0" applyFont="1" applyBorder="1" applyAlignment="1">
      <alignment horizontal="right"/>
    </xf>
    <xf numFmtId="0" fontId="27" fillId="0" borderId="0" xfId="0" applyFont="1"/>
    <xf numFmtId="0" fontId="28" fillId="0" borderId="0" xfId="0" applyFont="1"/>
    <xf numFmtId="0" fontId="26" fillId="0" borderId="0" xfId="0" applyFont="1"/>
    <xf numFmtId="164" fontId="0" fillId="0" borderId="10" xfId="0" applyNumberFormat="1" applyBorder="1" applyAlignment="1">
      <alignment horizontal="center"/>
    </xf>
    <xf numFmtId="0" fontId="22" fillId="33" borderId="12" xfId="0" applyFont="1" applyFill="1" applyBorder="1" applyAlignment="1">
      <alignment horizontal="center"/>
    </xf>
    <xf numFmtId="0" fontId="22" fillId="33" borderId="13" xfId="0" applyFont="1" applyFill="1" applyBorder="1" applyAlignment="1">
      <alignment horizontal="center"/>
    </xf>
    <xf numFmtId="0" fontId="22" fillId="33" borderId="14" xfId="0" applyFont="1" applyFill="1" applyBorder="1" applyAlignment="1">
      <alignment horizontal="center"/>
    </xf>
    <xf numFmtId="0" fontId="25" fillId="33" borderId="10" xfId="0" applyFont="1" applyFill="1" applyBorder="1" applyAlignment="1">
      <alignment horizontal="center" vertical="center" wrapText="1" readingOrder="1"/>
    </xf>
    <xf numFmtId="0" fontId="25" fillId="33" borderId="10" xfId="0" applyFont="1" applyFill="1" applyBorder="1" applyAlignment="1">
      <alignment horizontal="center" vertical="center" wrapText="1" readingOrder="1"/>
    </xf>
    <xf numFmtId="0" fontId="1" fillId="0" borderId="10" xfId="0" applyFont="1" applyBorder="1" applyAlignment="1">
      <alignment horizontal="right"/>
    </xf>
    <xf numFmtId="2" fontId="22" fillId="0" borderId="10" xfId="0" applyNumberFormat="1" applyFont="1" applyBorder="1" applyAlignment="1">
      <alignment horizontal="center"/>
    </xf>
    <xf numFmtId="0" fontId="23" fillId="0" borderId="13" xfId="0" applyFont="1" applyBorder="1" applyAlignment="1">
      <alignment horizontal="left"/>
    </xf>
    <xf numFmtId="0" fontId="22" fillId="0" borderId="0" xfId="0" applyFont="1" applyAlignment="1">
      <alignment horizontal="righ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426720</xdr:colOff>
      <xdr:row>6</xdr:row>
      <xdr:rowOff>76200</xdr:rowOff>
    </xdr:from>
    <xdr:to>
      <xdr:col>19</xdr:col>
      <xdr:colOff>438150</xdr:colOff>
      <xdr:row>32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CA1044-CEA0-A55C-193A-76A8486B07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56760" y="251460"/>
          <a:ext cx="9144000" cy="4953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C9466-28DC-4F9A-8119-8ADCD4B271B4}">
  <dimension ref="B1:O29"/>
  <sheetViews>
    <sheetView tabSelected="1" workbookViewId="0">
      <selection activeCell="L3" sqref="L3"/>
    </sheetView>
  </sheetViews>
  <sheetFormatPr defaultRowHeight="13.8" x14ac:dyDescent="0.25"/>
  <cols>
    <col min="1" max="1" width="2.77734375" style="3" customWidth="1"/>
    <col min="2" max="2" width="24.77734375" style="3" customWidth="1"/>
    <col min="3" max="3" width="8.88671875" style="3"/>
    <col min="4" max="4" width="17.6640625" style="3" customWidth="1"/>
    <col min="5" max="16384" width="8.88671875" style="3"/>
  </cols>
  <sheetData>
    <row r="1" spans="2:15" ht="22.8" x14ac:dyDescent="0.4">
      <c r="B1" s="24" t="s">
        <v>106</v>
      </c>
      <c r="O1" s="36" t="s">
        <v>109</v>
      </c>
    </row>
    <row r="2" spans="2:15" ht="22.8" customHeight="1" x14ac:dyDescent="0.4">
      <c r="B2" s="25" t="s">
        <v>112</v>
      </c>
    </row>
    <row r="3" spans="2:15" ht="16.8" customHeight="1" x14ac:dyDescent="0.25">
      <c r="B3" s="26" t="s">
        <v>108</v>
      </c>
    </row>
    <row r="5" spans="2:15" s="2" customFormat="1" ht="17.399999999999999" x14ac:dyDescent="0.3">
      <c r="B5" s="1" t="s">
        <v>107</v>
      </c>
    </row>
    <row r="7" spans="2:15" s="2" customFormat="1" ht="17.399999999999999" x14ac:dyDescent="0.3">
      <c r="B7" s="1" t="s">
        <v>26</v>
      </c>
    </row>
    <row r="9" spans="2:15" ht="15.6" x14ac:dyDescent="0.3">
      <c r="B9" s="14" t="s">
        <v>35</v>
      </c>
      <c r="C9" s="14"/>
      <c r="D9" s="14"/>
    </row>
    <row r="10" spans="2:15" x14ac:dyDescent="0.25">
      <c r="B10" s="4" t="s">
        <v>27</v>
      </c>
      <c r="C10" s="4" t="s">
        <v>30</v>
      </c>
      <c r="D10" s="4" t="s">
        <v>34</v>
      </c>
    </row>
    <row r="11" spans="2:15" x14ac:dyDescent="0.25">
      <c r="B11" s="5" t="s">
        <v>29</v>
      </c>
      <c r="C11" s="5" t="s">
        <v>31</v>
      </c>
      <c r="D11" s="6" t="s">
        <v>33</v>
      </c>
    </row>
    <row r="12" spans="2:15" x14ac:dyDescent="0.25">
      <c r="B12" s="5" t="s">
        <v>28</v>
      </c>
      <c r="C12" s="5" t="s">
        <v>32</v>
      </c>
      <c r="D12" s="6">
        <v>76</v>
      </c>
    </row>
    <row r="14" spans="2:15" ht="15.6" x14ac:dyDescent="0.3">
      <c r="B14" s="14" t="s">
        <v>36</v>
      </c>
      <c r="C14" s="14"/>
      <c r="D14" s="14"/>
    </row>
    <row r="15" spans="2:15" x14ac:dyDescent="0.25">
      <c r="B15" s="4" t="s">
        <v>27</v>
      </c>
      <c r="C15" s="4" t="s">
        <v>30</v>
      </c>
      <c r="D15" s="4" t="s">
        <v>34</v>
      </c>
    </row>
    <row r="16" spans="2:15" x14ac:dyDescent="0.25">
      <c r="B16" s="5" t="s">
        <v>37</v>
      </c>
      <c r="C16" s="5" t="s">
        <v>38</v>
      </c>
      <c r="D16" s="6">
        <v>5</v>
      </c>
    </row>
    <row r="17" spans="2:4" ht="41.4" x14ac:dyDescent="0.25">
      <c r="B17" s="7" t="s">
        <v>40</v>
      </c>
      <c r="C17" s="5" t="s">
        <v>39</v>
      </c>
      <c r="D17" s="6">
        <v>40</v>
      </c>
    </row>
    <row r="19" spans="2:4" ht="15.6" x14ac:dyDescent="0.3">
      <c r="B19" s="14" t="s">
        <v>42</v>
      </c>
      <c r="C19" s="14"/>
      <c r="D19" s="14"/>
    </row>
    <row r="20" spans="2:4" x14ac:dyDescent="0.25">
      <c r="B20" s="4" t="s">
        <v>27</v>
      </c>
      <c r="C20" s="4" t="s">
        <v>30</v>
      </c>
      <c r="D20" s="4" t="s">
        <v>34</v>
      </c>
    </row>
    <row r="21" spans="2:4" x14ac:dyDescent="0.25">
      <c r="B21" s="5" t="s">
        <v>29</v>
      </c>
      <c r="C21" s="5" t="s">
        <v>31</v>
      </c>
      <c r="D21" s="6" t="s">
        <v>41</v>
      </c>
    </row>
    <row r="22" spans="2:4" x14ac:dyDescent="0.25">
      <c r="B22" s="5" t="s">
        <v>28</v>
      </c>
      <c r="C22" s="5" t="s">
        <v>32</v>
      </c>
      <c r="D22" s="6">
        <v>76</v>
      </c>
    </row>
    <row r="23" spans="2:4" x14ac:dyDescent="0.25">
      <c r="B23" s="5" t="s">
        <v>43</v>
      </c>
      <c r="C23" s="5" t="s">
        <v>39</v>
      </c>
      <c r="D23" s="6">
        <v>40</v>
      </c>
    </row>
    <row r="25" spans="2:4" ht="15.6" x14ac:dyDescent="0.3">
      <c r="B25" s="14" t="s">
        <v>44</v>
      </c>
      <c r="C25" s="14"/>
      <c r="D25" s="14"/>
    </row>
    <row r="26" spans="2:4" x14ac:dyDescent="0.25">
      <c r="B26" s="4" t="s">
        <v>27</v>
      </c>
      <c r="C26" s="4" t="s">
        <v>30</v>
      </c>
      <c r="D26" s="4" t="s">
        <v>34</v>
      </c>
    </row>
    <row r="27" spans="2:4" x14ac:dyDescent="0.25">
      <c r="B27" s="5" t="s">
        <v>48</v>
      </c>
      <c r="C27" s="8" t="s">
        <v>39</v>
      </c>
      <c r="D27" s="6">
        <v>2.5</v>
      </c>
    </row>
    <row r="28" spans="2:4" x14ac:dyDescent="0.25">
      <c r="B28" s="5" t="s">
        <v>45</v>
      </c>
      <c r="C28" s="8" t="s">
        <v>47</v>
      </c>
      <c r="D28" s="6">
        <v>30</v>
      </c>
    </row>
    <row r="29" spans="2:4" x14ac:dyDescent="0.25">
      <c r="B29" s="5" t="s">
        <v>46</v>
      </c>
      <c r="C29" s="8" t="s">
        <v>47</v>
      </c>
      <c r="D29" s="6">
        <v>1.5</v>
      </c>
    </row>
  </sheetData>
  <mergeCells count="4">
    <mergeCell ref="B9:D9"/>
    <mergeCell ref="B14:D14"/>
    <mergeCell ref="B19:D19"/>
    <mergeCell ref="B25:D25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4A4F7C-0E34-4C76-8355-3E925DD5DDC3}">
  <dimension ref="B1:O27"/>
  <sheetViews>
    <sheetView workbookViewId="0">
      <selection sqref="A1:XFD5"/>
    </sheetView>
  </sheetViews>
  <sheetFormatPr defaultRowHeight="13.8" x14ac:dyDescent="0.25"/>
  <cols>
    <col min="1" max="1" width="2.6640625" style="3" customWidth="1"/>
    <col min="2" max="2" width="24.44140625" style="3" customWidth="1"/>
    <col min="3" max="3" width="8.88671875" style="3"/>
    <col min="4" max="14" width="9" style="3" customWidth="1"/>
    <col min="15" max="15" width="10.5546875" style="3" customWidth="1"/>
    <col min="16" max="16384" width="8.88671875" style="3"/>
  </cols>
  <sheetData>
    <row r="1" spans="2:15" ht="22.8" x14ac:dyDescent="0.4">
      <c r="B1" s="24" t="s">
        <v>106</v>
      </c>
      <c r="O1" s="36" t="s">
        <v>109</v>
      </c>
    </row>
    <row r="2" spans="2:15" ht="22.8" customHeight="1" x14ac:dyDescent="0.4">
      <c r="B2" s="25" t="s">
        <v>112</v>
      </c>
    </row>
    <row r="3" spans="2:15" ht="16.8" customHeight="1" x14ac:dyDescent="0.25">
      <c r="B3" s="26" t="s">
        <v>108</v>
      </c>
    </row>
    <row r="5" spans="2:15" s="2" customFormat="1" ht="17.399999999999999" x14ac:dyDescent="0.3">
      <c r="B5" s="1" t="s">
        <v>107</v>
      </c>
    </row>
    <row r="6" spans="2:15" ht="17.399999999999999" x14ac:dyDescent="0.3">
      <c r="B6" s="1" t="s">
        <v>98</v>
      </c>
    </row>
    <row r="8" spans="2:15" ht="26.4" x14ac:dyDescent="0.3">
      <c r="B8" s="13" t="s">
        <v>94</v>
      </c>
      <c r="C8" s="32" t="s">
        <v>86</v>
      </c>
      <c r="D8" s="32"/>
      <c r="E8" s="32" t="s">
        <v>87</v>
      </c>
      <c r="F8" s="32"/>
      <c r="G8" s="32" t="s">
        <v>88</v>
      </c>
      <c r="H8" s="32"/>
      <c r="I8" s="32" t="s">
        <v>89</v>
      </c>
      <c r="J8" s="32"/>
      <c r="K8" s="32" t="s">
        <v>90</v>
      </c>
      <c r="L8" s="32"/>
      <c r="M8" s="32" t="s">
        <v>91</v>
      </c>
      <c r="N8" s="32"/>
      <c r="O8" s="31" t="s">
        <v>95</v>
      </c>
    </row>
    <row r="9" spans="2:15" x14ac:dyDescent="0.25">
      <c r="B9" s="4" t="s">
        <v>81</v>
      </c>
      <c r="C9" s="31" t="s">
        <v>92</v>
      </c>
      <c r="D9" s="31" t="s">
        <v>93</v>
      </c>
      <c r="E9" s="31" t="str">
        <f t="shared" ref="E9:N9" si="0">C9</f>
        <v>Min</v>
      </c>
      <c r="F9" s="31" t="str">
        <f t="shared" si="0"/>
        <v>Max</v>
      </c>
      <c r="G9" s="31" t="str">
        <f t="shared" si="0"/>
        <v>Min</v>
      </c>
      <c r="H9" s="31" t="str">
        <f t="shared" si="0"/>
        <v>Max</v>
      </c>
      <c r="I9" s="31" t="str">
        <f t="shared" si="0"/>
        <v>Min</v>
      </c>
      <c r="J9" s="31" t="str">
        <f t="shared" si="0"/>
        <v>Max</v>
      </c>
      <c r="K9" s="31" t="str">
        <f t="shared" si="0"/>
        <v>Min</v>
      </c>
      <c r="L9" s="31" t="str">
        <f t="shared" si="0"/>
        <v>Max</v>
      </c>
      <c r="M9" s="31" t="str">
        <f t="shared" si="0"/>
        <v>Min</v>
      </c>
      <c r="N9" s="31" t="str">
        <f t="shared" si="0"/>
        <v>Max</v>
      </c>
      <c r="O9" s="31" t="s">
        <v>93</v>
      </c>
    </row>
    <row r="10" spans="2:15" ht="14.4" customHeight="1" x14ac:dyDescent="0.25">
      <c r="B10" s="23" t="s">
        <v>82</v>
      </c>
      <c r="C10" s="10">
        <f>buoy!H2</f>
        <v>-4.219525</v>
      </c>
      <c r="D10" s="10">
        <f>buoy!I2</f>
        <v>5.9944670000000002</v>
      </c>
      <c r="E10" s="10">
        <f>buoy!J2</f>
        <v>2.4569000000000001</v>
      </c>
      <c r="F10" s="10">
        <f>buoy!K2</f>
        <v>5.0679850000000002</v>
      </c>
      <c r="G10" s="10">
        <f>buoy!L2</f>
        <v>4.4764999999999999E-2</v>
      </c>
      <c r="H10" s="10">
        <f>buoy!M2</f>
        <v>2.5348639999999998</v>
      </c>
      <c r="I10" s="10">
        <f>buoy!N2</f>
        <v>-9.1503340000000009</v>
      </c>
      <c r="J10" s="10">
        <f>buoy!O2</f>
        <v>0.27551199999999998</v>
      </c>
      <c r="K10" s="10">
        <f>buoy!P2</f>
        <v>-13.648834000000001</v>
      </c>
      <c r="L10" s="10">
        <f>buoy!Q2</f>
        <v>16.285311</v>
      </c>
      <c r="M10" s="10" t="s">
        <v>31</v>
      </c>
      <c r="N10" s="10" t="s">
        <v>31</v>
      </c>
      <c r="O10" s="34">
        <f>SQRT(SUMSQ(MAX(ABS(C10),ABS(D10)),MAX(ABS(E10),ABS(F10))))</f>
        <v>7.849720158981083</v>
      </c>
    </row>
    <row r="11" spans="2:15" ht="14.4" customHeight="1" x14ac:dyDescent="0.25">
      <c r="B11" s="23" t="s">
        <v>83</v>
      </c>
      <c r="C11" s="10">
        <f>buoy!H4</f>
        <v>-3.932572</v>
      </c>
      <c r="D11" s="10">
        <f>buoy!I4</f>
        <v>5.5948060000000002</v>
      </c>
      <c r="E11" s="10">
        <f>buoy!J4</f>
        <v>2.28586</v>
      </c>
      <c r="F11" s="10">
        <f>buoy!K4</f>
        <v>7.5194710000000002</v>
      </c>
      <c r="G11" s="10">
        <f>buoy!L4</f>
        <v>0.107352</v>
      </c>
      <c r="H11" s="10">
        <f>buoy!M4</f>
        <v>2.3280110000000001</v>
      </c>
      <c r="I11" s="10">
        <f>buoy!N4</f>
        <v>-12.996532999999999</v>
      </c>
      <c r="J11" s="10">
        <f>buoy!O4</f>
        <v>5.3467830000000003</v>
      </c>
      <c r="K11" s="10">
        <f>buoy!P4</f>
        <v>-11.992941999999999</v>
      </c>
      <c r="L11" s="10">
        <f>buoy!Q4</f>
        <v>15.245862000000001</v>
      </c>
      <c r="M11" s="10" t="s">
        <v>31</v>
      </c>
      <c r="N11" s="10" t="s">
        <v>31</v>
      </c>
      <c r="O11" s="34">
        <f>SQRT(SUMSQ(MAX(ABS(C11),ABS(D11)),MAX(ABS(E11),ABS(F11))))</f>
        <v>9.3725289168653401</v>
      </c>
    </row>
    <row r="12" spans="2:15" ht="22.2" customHeight="1" x14ac:dyDescent="0.25"/>
    <row r="13" spans="2:15" ht="22.8" customHeight="1" x14ac:dyDescent="0.3">
      <c r="B13" s="35" t="s">
        <v>105</v>
      </c>
      <c r="C13" s="29" t="s">
        <v>99</v>
      </c>
      <c r="D13" s="28"/>
      <c r="E13" s="29" t="s">
        <v>100</v>
      </c>
      <c r="F13" s="30"/>
      <c r="G13" s="28" t="s">
        <v>101</v>
      </c>
      <c r="H13" s="28"/>
      <c r="I13" s="29" t="s">
        <v>102</v>
      </c>
      <c r="J13" s="30"/>
      <c r="K13" s="28" t="s">
        <v>103</v>
      </c>
      <c r="L13" s="28"/>
      <c r="M13" s="29" t="s">
        <v>104</v>
      </c>
      <c r="N13" s="30"/>
    </row>
    <row r="14" spans="2:15" x14ac:dyDescent="0.25">
      <c r="B14" s="4" t="s">
        <v>81</v>
      </c>
      <c r="C14" s="31" t="s">
        <v>92</v>
      </c>
      <c r="D14" s="31" t="s">
        <v>93</v>
      </c>
      <c r="E14" s="31" t="str">
        <f t="shared" ref="E14" si="1">C14</f>
        <v>Min</v>
      </c>
      <c r="F14" s="31" t="str">
        <f t="shared" ref="F14" si="2">D14</f>
        <v>Max</v>
      </c>
      <c r="G14" s="31" t="str">
        <f t="shared" ref="G14" si="3">E14</f>
        <v>Min</v>
      </c>
      <c r="H14" s="31" t="str">
        <f t="shared" ref="H14" si="4">F14</f>
        <v>Max</v>
      </c>
      <c r="I14" s="31" t="str">
        <f t="shared" ref="I14" si="5">G14</f>
        <v>Min</v>
      </c>
      <c r="J14" s="31" t="str">
        <f t="shared" ref="J14" si="6">H14</f>
        <v>Max</v>
      </c>
      <c r="K14" s="31" t="str">
        <f t="shared" ref="K14" si="7">I14</f>
        <v>Min</v>
      </c>
      <c r="L14" s="31" t="str">
        <f t="shared" ref="L14" si="8">J14</f>
        <v>Max</v>
      </c>
      <c r="M14" s="31" t="str">
        <f t="shared" ref="M14" si="9">K14</f>
        <v>Min</v>
      </c>
      <c r="N14" s="31" t="str">
        <f t="shared" ref="N14" si="10">L14</f>
        <v>Max</v>
      </c>
    </row>
    <row r="15" spans="2:15" ht="16.8" customHeight="1" x14ac:dyDescent="0.3">
      <c r="B15" s="33" t="s">
        <v>110</v>
      </c>
      <c r="C15" s="27">
        <v>0.77114400000000005</v>
      </c>
      <c r="D15" s="27">
        <v>34.085662999999997</v>
      </c>
      <c r="E15" s="27">
        <v>3.1370209999999998</v>
      </c>
      <c r="F15" s="27">
        <v>10.742940000000001</v>
      </c>
      <c r="G15" s="27">
        <v>3.5280610000000001</v>
      </c>
      <c r="H15" s="27">
        <v>14.269387999999999</v>
      </c>
      <c r="I15" s="27">
        <v>1.9904550000000001</v>
      </c>
      <c r="J15" s="27">
        <v>864.59484899999995</v>
      </c>
      <c r="K15" s="27">
        <v>4.2718350000000003</v>
      </c>
      <c r="L15" s="27">
        <v>811.29107699999997</v>
      </c>
      <c r="M15" s="27">
        <v>4.214645</v>
      </c>
      <c r="N15" s="27">
        <v>36.235283000000003</v>
      </c>
    </row>
    <row r="16" spans="2:15" ht="16.8" customHeight="1" x14ac:dyDescent="0.3">
      <c r="B16" s="33" t="s">
        <v>111</v>
      </c>
      <c r="C16" s="27">
        <v>1.3289820000000001</v>
      </c>
      <c r="D16" s="27">
        <v>30.492628</v>
      </c>
      <c r="E16" s="27">
        <v>1.533766</v>
      </c>
      <c r="F16" s="27">
        <v>11.070611</v>
      </c>
      <c r="G16" s="27">
        <v>4.0397369999999997</v>
      </c>
      <c r="H16" s="27">
        <v>10.540855000000001</v>
      </c>
      <c r="I16" s="27">
        <v>2.6165099999999999</v>
      </c>
      <c r="J16" s="27">
        <v>512.41156000000001</v>
      </c>
      <c r="K16" s="27">
        <v>0.86419999999999997</v>
      </c>
      <c r="L16" s="27">
        <v>2267.6857909999999</v>
      </c>
      <c r="M16" s="27">
        <v>5.9883179999999996</v>
      </c>
      <c r="N16" s="27">
        <v>995.96636999999998</v>
      </c>
    </row>
    <row r="17" spans="2:14" ht="19.8" customHeight="1" x14ac:dyDescent="0.25"/>
    <row r="18" spans="2:14" ht="25.2" customHeight="1" x14ac:dyDescent="0.3">
      <c r="B18" s="14" t="s">
        <v>85</v>
      </c>
      <c r="C18" s="14"/>
      <c r="D18" s="14"/>
    </row>
    <row r="19" spans="2:14" x14ac:dyDescent="0.25">
      <c r="B19" s="4" t="s">
        <v>81</v>
      </c>
      <c r="C19" s="4" t="s">
        <v>30</v>
      </c>
      <c r="D19" s="4" t="s">
        <v>34</v>
      </c>
    </row>
    <row r="20" spans="2:14" ht="16.2" customHeight="1" x14ac:dyDescent="0.25">
      <c r="B20" s="23" t="s">
        <v>82</v>
      </c>
      <c r="C20" s="5" t="s">
        <v>84</v>
      </c>
      <c r="D20" s="11">
        <f>lines!U2</f>
        <v>150.64286799999999</v>
      </c>
    </row>
    <row r="21" spans="2:14" ht="16.2" customHeight="1" x14ac:dyDescent="0.25">
      <c r="B21" s="23" t="s">
        <v>83</v>
      </c>
      <c r="C21" s="5" t="s">
        <v>84</v>
      </c>
      <c r="D21" s="11">
        <f>lines!U4</f>
        <v>196.693085</v>
      </c>
    </row>
    <row r="22" spans="2:14" ht="21.6" customHeight="1" x14ac:dyDescent="0.25"/>
    <row r="23" spans="2:14" ht="19.2" customHeight="1" x14ac:dyDescent="0.3">
      <c r="B23" s="13" t="s">
        <v>96</v>
      </c>
      <c r="C23" s="32" t="s">
        <v>86</v>
      </c>
      <c r="D23" s="32"/>
      <c r="E23" s="32" t="s">
        <v>87</v>
      </c>
      <c r="F23" s="32"/>
      <c r="G23" s="32" t="s">
        <v>88</v>
      </c>
      <c r="H23" s="32"/>
      <c r="I23" s="32" t="s">
        <v>89</v>
      </c>
      <c r="J23" s="32"/>
      <c r="K23" s="32" t="s">
        <v>90</v>
      </c>
      <c r="L23" s="32"/>
      <c r="M23" s="32" t="s">
        <v>91</v>
      </c>
      <c r="N23" s="32"/>
    </row>
    <row r="24" spans="2:14" x14ac:dyDescent="0.25">
      <c r="B24" s="4" t="s">
        <v>81</v>
      </c>
      <c r="C24" s="31" t="s">
        <v>92</v>
      </c>
      <c r="D24" s="31" t="s">
        <v>93</v>
      </c>
      <c r="E24" s="31" t="str">
        <f t="shared" ref="E24" si="11">C24</f>
        <v>Min</v>
      </c>
      <c r="F24" s="31" t="str">
        <f t="shared" ref="F24" si="12">D24</f>
        <v>Max</v>
      </c>
      <c r="G24" s="31" t="str">
        <f t="shared" ref="G24" si="13">E24</f>
        <v>Min</v>
      </c>
      <c r="H24" s="31" t="str">
        <f t="shared" ref="H24" si="14">F24</f>
        <v>Max</v>
      </c>
      <c r="I24" s="31" t="str">
        <f t="shared" ref="I24" si="15">G24</f>
        <v>Min</v>
      </c>
      <c r="J24" s="31" t="str">
        <f t="shared" ref="J24" si="16">H24</f>
        <v>Max</v>
      </c>
      <c r="K24" s="31" t="str">
        <f t="shared" ref="K24" si="17">I24</f>
        <v>Min</v>
      </c>
      <c r="L24" s="31" t="str">
        <f t="shared" ref="L24" si="18">J24</f>
        <v>Max</v>
      </c>
      <c r="M24" s="31" t="str">
        <f t="shared" ref="M24" si="19">K24</f>
        <v>Min</v>
      </c>
      <c r="N24" s="31" t="str">
        <f t="shared" ref="N24" si="20">L24</f>
        <v>Max</v>
      </c>
    </row>
    <row r="25" spans="2:14" ht="16.8" customHeight="1" x14ac:dyDescent="0.25">
      <c r="B25" s="23" t="s">
        <v>82</v>
      </c>
      <c r="C25" s="10">
        <f>vessel_abs!H2</f>
        <v>-53.116329</v>
      </c>
      <c r="D25" s="10">
        <f>vessel_abs!I2</f>
        <v>93.038833999999994</v>
      </c>
      <c r="E25" s="10">
        <f>vessel_abs!J2</f>
        <v>54.544998</v>
      </c>
      <c r="F25" s="10">
        <f>vessel_abs!K2</f>
        <v>95.151038999999997</v>
      </c>
      <c r="G25" s="9">
        <f>vessel_abs!L2</f>
        <v>-0.67205499999999996</v>
      </c>
      <c r="H25" s="9">
        <f>vessel_abs!M2</f>
        <v>0.62917800000000002</v>
      </c>
      <c r="I25" s="9">
        <f>vessel_abs!N2</f>
        <v>-8.8760049999999993</v>
      </c>
      <c r="J25" s="9">
        <f>vessel_abs!O2</f>
        <v>5.384646</v>
      </c>
      <c r="K25" s="9">
        <f>vessel_abs!P2</f>
        <v>-1.5783609999999999</v>
      </c>
      <c r="L25" s="9">
        <f>vessel_abs!Q2</f>
        <v>1.7673380000000001</v>
      </c>
      <c r="M25" s="10" t="s">
        <v>31</v>
      </c>
      <c r="N25" s="10" t="s">
        <v>31</v>
      </c>
    </row>
    <row r="26" spans="2:14" ht="16.8" customHeight="1" x14ac:dyDescent="0.25">
      <c r="B26" s="23" t="s">
        <v>83</v>
      </c>
      <c r="C26" s="10">
        <f>vessel_abs!H4</f>
        <v>-53.528500000000001</v>
      </c>
      <c r="D26" s="10">
        <f>vessel_abs!I4</f>
        <v>82.012550000000005</v>
      </c>
      <c r="E26" s="10">
        <f>vessel_abs!J4</f>
        <v>53.746448999999998</v>
      </c>
      <c r="F26" s="10">
        <f>vessel_abs!K4</f>
        <v>106.63814499999999</v>
      </c>
      <c r="G26" s="9">
        <f>vessel_abs!L3</f>
        <v>-0.56144499999999997</v>
      </c>
      <c r="H26" s="9">
        <f>vessel_abs!M3</f>
        <v>0.539022</v>
      </c>
      <c r="I26" s="9">
        <f>vessel_abs!N3</f>
        <v>-5.675287</v>
      </c>
      <c r="J26" s="9">
        <f>vessel_abs!O3</f>
        <v>5.2675340000000004</v>
      </c>
      <c r="K26" s="9">
        <f>vessel_abs!P3</f>
        <v>-1.485762</v>
      </c>
      <c r="L26" s="9">
        <f>vessel_abs!Q3</f>
        <v>1.602438</v>
      </c>
      <c r="M26" s="10" t="s">
        <v>31</v>
      </c>
      <c r="N26" s="10" t="s">
        <v>31</v>
      </c>
    </row>
    <row r="27" spans="2:14" ht="16.8" customHeight="1" x14ac:dyDescent="0.25">
      <c r="B27" s="12" t="s">
        <v>97</v>
      </c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</row>
  </sheetData>
  <mergeCells count="13">
    <mergeCell ref="G23:H23"/>
    <mergeCell ref="I23:J23"/>
    <mergeCell ref="K23:L23"/>
    <mergeCell ref="M23:N23"/>
    <mergeCell ref="G8:H8"/>
    <mergeCell ref="I8:J8"/>
    <mergeCell ref="K8:L8"/>
    <mergeCell ref="M8:N8"/>
    <mergeCell ref="B18:D18"/>
    <mergeCell ref="C8:D8"/>
    <mergeCell ref="E8:F8"/>
    <mergeCell ref="C23:D23"/>
    <mergeCell ref="E23:F23"/>
  </mergeCells>
  <phoneticPr fontId="2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84ACB-B819-4C94-A22D-1C17CE3F1491}">
  <dimension ref="A1:U7"/>
  <sheetViews>
    <sheetView workbookViewId="0">
      <selection activeCell="H4" sqref="H4:S4"/>
    </sheetView>
  </sheetViews>
  <sheetFormatPr defaultRowHeight="14.4" x14ac:dyDescent="0.3"/>
  <cols>
    <col min="2" max="2" width="34.21875" customWidth="1"/>
    <col min="3" max="7" width="0" hidden="1" customWidth="1"/>
    <col min="8" max="19" width="12.44140625" customWidth="1"/>
    <col min="20" max="21" width="17.5546875" customWidth="1"/>
  </cols>
  <sheetData>
    <row r="1" spans="1:21" ht="34.799999999999997" customHeight="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0" t="s">
        <v>49</v>
      </c>
      <c r="I1" s="19" t="s">
        <v>50</v>
      </c>
      <c r="J1" s="20" t="s">
        <v>51</v>
      </c>
      <c r="K1" s="19" t="s">
        <v>52</v>
      </c>
      <c r="L1" s="20" t="s">
        <v>53</v>
      </c>
      <c r="M1" s="19" t="s">
        <v>54</v>
      </c>
      <c r="N1" s="20" t="s">
        <v>55</v>
      </c>
      <c r="O1" s="19" t="s">
        <v>56</v>
      </c>
      <c r="P1" s="20" t="s">
        <v>57</v>
      </c>
      <c r="Q1" s="19" t="s">
        <v>58</v>
      </c>
      <c r="R1" s="20" t="s">
        <v>59</v>
      </c>
      <c r="S1" s="19" t="s">
        <v>60</v>
      </c>
      <c r="T1" s="20" t="s">
        <v>61</v>
      </c>
      <c r="U1" s="19" t="s">
        <v>62</v>
      </c>
    </row>
    <row r="2" spans="1:21" ht="20.399999999999999" customHeight="1" x14ac:dyDescent="0.3">
      <c r="A2" t="s">
        <v>19</v>
      </c>
      <c r="B2" t="s">
        <v>20</v>
      </c>
      <c r="C2" t="s">
        <v>21</v>
      </c>
      <c r="D2">
        <v>-10</v>
      </c>
      <c r="E2">
        <v>100</v>
      </c>
      <c r="H2" s="18">
        <v>0.77114400000000005</v>
      </c>
      <c r="I2" s="16">
        <v>34.085662999999997</v>
      </c>
      <c r="J2" s="18">
        <v>3.1370209999999998</v>
      </c>
      <c r="K2" s="16">
        <v>10.742940000000001</v>
      </c>
      <c r="L2" s="18">
        <v>3.5280610000000001</v>
      </c>
      <c r="M2" s="16">
        <v>14.269387999999999</v>
      </c>
      <c r="N2" s="18">
        <v>1.9904550000000001</v>
      </c>
      <c r="O2" s="16">
        <v>864.59484899999995</v>
      </c>
      <c r="P2" s="18">
        <v>4.2718350000000003</v>
      </c>
      <c r="Q2" s="16">
        <v>811.29107699999997</v>
      </c>
      <c r="R2" s="18">
        <v>4.214645</v>
      </c>
      <c r="S2" s="16">
        <v>36.235283000000003</v>
      </c>
      <c r="T2" s="18">
        <v>0.10661900000000001</v>
      </c>
      <c r="U2" s="16">
        <v>150.64286799999999</v>
      </c>
    </row>
    <row r="3" spans="1:21" ht="20.399999999999999" customHeight="1" x14ac:dyDescent="0.3">
      <c r="A3" t="s">
        <v>22</v>
      </c>
      <c r="B3" t="s">
        <v>23</v>
      </c>
      <c r="C3" t="s">
        <v>21</v>
      </c>
      <c r="D3">
        <v>-10</v>
      </c>
      <c r="E3">
        <v>100</v>
      </c>
      <c r="H3" s="18">
        <v>10.975854999999999</v>
      </c>
      <c r="I3" s="16">
        <v>33.541046000000001</v>
      </c>
      <c r="J3" s="18">
        <v>6.406301</v>
      </c>
      <c r="K3" s="16">
        <v>8.4165159999999997</v>
      </c>
      <c r="L3" s="18">
        <v>3.6179999999999999</v>
      </c>
      <c r="M3" s="16">
        <v>12.686366</v>
      </c>
      <c r="N3" s="18">
        <v>3.7364489999999999</v>
      </c>
      <c r="O3" s="16">
        <v>10.779612999999999</v>
      </c>
      <c r="P3" s="18">
        <v>6.9577720000000003</v>
      </c>
      <c r="Q3" s="16">
        <v>10.535887000000001</v>
      </c>
      <c r="R3" s="18">
        <v>17.881166</v>
      </c>
      <c r="S3" s="16">
        <v>33.926495000000003</v>
      </c>
      <c r="T3" s="18">
        <v>0.15807599999999999</v>
      </c>
      <c r="U3" s="16">
        <v>1.2379640000000001</v>
      </c>
    </row>
    <row r="4" spans="1:21" ht="20.399999999999999" customHeight="1" x14ac:dyDescent="0.3">
      <c r="A4" t="s">
        <v>24</v>
      </c>
      <c r="B4" t="s">
        <v>25</v>
      </c>
      <c r="C4" t="s">
        <v>21</v>
      </c>
      <c r="D4">
        <v>-10</v>
      </c>
      <c r="E4">
        <v>100</v>
      </c>
      <c r="H4" s="18">
        <v>1.3289820000000001</v>
      </c>
      <c r="I4" s="16">
        <v>30.492628</v>
      </c>
      <c r="J4" s="18">
        <v>1.533766</v>
      </c>
      <c r="K4" s="16">
        <v>11.070611</v>
      </c>
      <c r="L4" s="18">
        <v>4.0397369999999997</v>
      </c>
      <c r="M4" s="16">
        <v>10.540855000000001</v>
      </c>
      <c r="N4" s="18">
        <v>2.6165099999999999</v>
      </c>
      <c r="O4" s="16">
        <v>512.41156000000001</v>
      </c>
      <c r="P4" s="18">
        <v>0.86419999999999997</v>
      </c>
      <c r="Q4" s="16">
        <v>2267.6857909999999</v>
      </c>
      <c r="R4" s="18">
        <v>5.9883179999999996</v>
      </c>
      <c r="S4" s="16">
        <v>995.96636999999998</v>
      </c>
      <c r="T4" s="18">
        <v>-5.6400000000000005E-4</v>
      </c>
      <c r="U4" s="16">
        <v>196.693085</v>
      </c>
    </row>
    <row r="5" spans="1:21" ht="28.2" customHeight="1" x14ac:dyDescent="0.3">
      <c r="A5" t="s">
        <v>63</v>
      </c>
      <c r="B5" t="s">
        <v>64</v>
      </c>
      <c r="C5" t="s">
        <v>21</v>
      </c>
      <c r="D5">
        <v>-10</v>
      </c>
      <c r="E5">
        <v>100</v>
      </c>
      <c r="H5" s="18">
        <v>1.0139910000000001</v>
      </c>
      <c r="I5" s="16">
        <v>34.506461999999999</v>
      </c>
      <c r="J5" s="18">
        <v>3.149092</v>
      </c>
      <c r="K5" s="16">
        <v>10.5901</v>
      </c>
      <c r="L5" s="18">
        <v>1.7455369999999999</v>
      </c>
      <c r="M5" s="16">
        <v>13.501179</v>
      </c>
      <c r="N5" s="18">
        <v>0.29515599999999997</v>
      </c>
      <c r="O5" s="16">
        <v>180.69757100000001</v>
      </c>
      <c r="P5" s="18">
        <v>4.2566680000000003</v>
      </c>
      <c r="Q5" s="16">
        <v>1058.7113039999999</v>
      </c>
      <c r="R5" s="18">
        <v>4.4716230000000001</v>
      </c>
      <c r="S5" s="16">
        <v>37.608947999999998</v>
      </c>
      <c r="T5" s="18">
        <v>0.11720899999999999</v>
      </c>
      <c r="U5" s="16">
        <v>120.571236</v>
      </c>
    </row>
    <row r="6" spans="1:21" ht="20.399999999999999" customHeight="1" x14ac:dyDescent="0.3">
      <c r="A6" t="s">
        <v>65</v>
      </c>
      <c r="B6" t="s">
        <v>66</v>
      </c>
      <c r="C6" t="s">
        <v>21</v>
      </c>
      <c r="D6">
        <v>-10</v>
      </c>
      <c r="E6">
        <v>100</v>
      </c>
      <c r="H6" s="18">
        <v>10.967392</v>
      </c>
      <c r="I6" s="16">
        <v>33.541054000000003</v>
      </c>
      <c r="J6" s="18">
        <v>6.4243980000000001</v>
      </c>
      <c r="K6" s="16">
        <v>8.4165159999999997</v>
      </c>
      <c r="L6" s="18">
        <v>4.8132270000000004</v>
      </c>
      <c r="M6" s="16">
        <v>11.877186999999999</v>
      </c>
      <c r="N6" s="18">
        <v>5.1232610000000003</v>
      </c>
      <c r="O6" s="16">
        <v>9.8102619999999998</v>
      </c>
      <c r="P6" s="18">
        <v>6.9578199999999999</v>
      </c>
      <c r="Q6" s="16">
        <v>10.534891999999999</v>
      </c>
      <c r="R6" s="18">
        <v>17.902376</v>
      </c>
      <c r="S6" s="16">
        <v>33.926498000000002</v>
      </c>
      <c r="T6" s="18">
        <v>0.16009499999999999</v>
      </c>
      <c r="U6" s="16">
        <v>1.237965</v>
      </c>
    </row>
    <row r="7" spans="1:21" ht="20.399999999999999" customHeight="1" x14ac:dyDescent="0.3">
      <c r="A7" t="s">
        <v>67</v>
      </c>
      <c r="B7" t="s">
        <v>68</v>
      </c>
      <c r="C7" t="s">
        <v>21</v>
      </c>
      <c r="D7">
        <v>-10</v>
      </c>
      <c r="E7">
        <v>100</v>
      </c>
      <c r="H7" s="18">
        <v>1.6222760000000001</v>
      </c>
      <c r="I7" s="16">
        <v>30.453878</v>
      </c>
      <c r="J7" s="18">
        <v>1.9586650000000001</v>
      </c>
      <c r="K7" s="16">
        <v>11.225820000000001</v>
      </c>
      <c r="L7" s="18">
        <v>3.9381719999999998</v>
      </c>
      <c r="M7" s="16">
        <v>9.1786019999999997</v>
      </c>
      <c r="N7" s="18">
        <v>1.5258560000000001</v>
      </c>
      <c r="O7" s="16">
        <v>21.974678000000001</v>
      </c>
      <c r="P7" s="18">
        <v>0.49963999999999997</v>
      </c>
      <c r="Q7" s="16">
        <v>976.581726</v>
      </c>
      <c r="R7" s="18">
        <v>10.170781</v>
      </c>
      <c r="S7" s="16">
        <v>669.33526600000005</v>
      </c>
      <c r="T7" s="18">
        <v>4.8389000000000001E-2</v>
      </c>
      <c r="U7" s="16">
        <v>119.84232299999999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ED428-B7EB-4BFE-B839-366D113A6811}">
  <dimension ref="A1:T7"/>
  <sheetViews>
    <sheetView workbookViewId="0">
      <selection activeCell="L13" sqref="L13"/>
    </sheetView>
  </sheetViews>
  <sheetFormatPr defaultRowHeight="14.4" x14ac:dyDescent="0.3"/>
  <cols>
    <col min="2" max="2" width="33.33203125" customWidth="1"/>
    <col min="3" max="7" width="0" hidden="1" customWidth="1"/>
    <col min="8" max="8" width="11.109375" style="21" customWidth="1"/>
    <col min="9" max="10" width="11" style="21" customWidth="1"/>
    <col min="11" max="12" width="10.6640625" style="21" customWidth="1"/>
    <col min="13" max="13" width="11" style="21" customWidth="1"/>
    <col min="14" max="14" width="11.44140625" style="21" customWidth="1"/>
    <col min="15" max="15" width="11.6640625" style="21" customWidth="1"/>
    <col min="16" max="16" width="11.44140625" style="21" customWidth="1"/>
    <col min="17" max="17" width="11.6640625" style="21" customWidth="1"/>
    <col min="18" max="18" width="11.77734375" style="21" customWidth="1"/>
    <col min="19" max="19" width="11.5546875" style="21" customWidth="1"/>
  </cols>
  <sheetData>
    <row r="1" spans="1:20" ht="42" customHeight="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0" t="s">
        <v>69</v>
      </c>
      <c r="I1" s="19" t="s">
        <v>70</v>
      </c>
      <c r="J1" s="20" t="s">
        <v>71</v>
      </c>
      <c r="K1" s="19" t="s">
        <v>72</v>
      </c>
      <c r="L1" s="20" t="s">
        <v>73</v>
      </c>
      <c r="M1" s="19" t="s">
        <v>74</v>
      </c>
      <c r="N1" s="20" t="s">
        <v>75</v>
      </c>
      <c r="O1" s="19" t="s">
        <v>76</v>
      </c>
      <c r="P1" s="20" t="s">
        <v>77</v>
      </c>
      <c r="Q1" s="19" t="s">
        <v>78</v>
      </c>
      <c r="R1" s="20" t="s">
        <v>79</v>
      </c>
      <c r="S1" s="19" t="s">
        <v>80</v>
      </c>
      <c r="T1" s="15"/>
    </row>
    <row r="2" spans="1:20" x14ac:dyDescent="0.3">
      <c r="A2" t="s">
        <v>19</v>
      </c>
      <c r="B2" t="s">
        <v>20</v>
      </c>
      <c r="C2" t="s">
        <v>21</v>
      </c>
      <c r="D2">
        <v>-10</v>
      </c>
      <c r="E2">
        <v>100</v>
      </c>
      <c r="H2" s="18">
        <v>-4.219525</v>
      </c>
      <c r="I2" s="16">
        <v>5.9944670000000002</v>
      </c>
      <c r="J2" s="18">
        <v>2.4569000000000001</v>
      </c>
      <c r="K2" s="16">
        <v>5.0679850000000002</v>
      </c>
      <c r="L2" s="18">
        <v>4.4764999999999999E-2</v>
      </c>
      <c r="M2" s="16">
        <v>2.5348639999999998</v>
      </c>
      <c r="N2" s="18">
        <v>-9.1503340000000009</v>
      </c>
      <c r="O2" s="16">
        <v>0.27551199999999998</v>
      </c>
      <c r="P2" s="18">
        <v>-13.648834000000001</v>
      </c>
      <c r="Q2" s="16">
        <v>16.285311</v>
      </c>
      <c r="R2" s="18">
        <v>-104.89180899999999</v>
      </c>
      <c r="S2" s="16">
        <v>-12.041886999999999</v>
      </c>
    </row>
    <row r="3" spans="1:20" x14ac:dyDescent="0.3">
      <c r="A3" t="s">
        <v>22</v>
      </c>
      <c r="B3" t="s">
        <v>23</v>
      </c>
      <c r="C3" t="s">
        <v>21</v>
      </c>
      <c r="D3">
        <v>-10</v>
      </c>
      <c r="E3">
        <v>100</v>
      </c>
      <c r="H3" s="18">
        <v>-4.4047080000000003</v>
      </c>
      <c r="I3" s="16">
        <v>-1.6133729999999999</v>
      </c>
      <c r="J3" s="18">
        <v>2.3943620000000001</v>
      </c>
      <c r="K3" s="16">
        <v>2.748421</v>
      </c>
      <c r="L3" s="18">
        <v>0.53306399999999998</v>
      </c>
      <c r="M3" s="16">
        <v>2.288856</v>
      </c>
      <c r="N3" s="18">
        <v>-2.3760080000000001</v>
      </c>
      <c r="O3" s="16">
        <v>-0.40455000000000002</v>
      </c>
      <c r="P3" s="18">
        <v>-9.4651130000000006</v>
      </c>
      <c r="Q3" s="16">
        <v>8.4929729999999992</v>
      </c>
      <c r="R3" s="18">
        <v>-47.105638999999996</v>
      </c>
      <c r="S3" s="16">
        <v>-6.4825489999999997</v>
      </c>
    </row>
    <row r="4" spans="1:20" x14ac:dyDescent="0.3">
      <c r="A4" t="s">
        <v>24</v>
      </c>
      <c r="B4" t="s">
        <v>25</v>
      </c>
      <c r="C4" t="s">
        <v>21</v>
      </c>
      <c r="D4">
        <v>-10</v>
      </c>
      <c r="E4">
        <v>100</v>
      </c>
      <c r="H4" s="18">
        <v>-3.932572</v>
      </c>
      <c r="I4" s="16">
        <v>5.5948060000000002</v>
      </c>
      <c r="J4" s="18">
        <v>2.28586</v>
      </c>
      <c r="K4" s="16">
        <v>7.5194710000000002</v>
      </c>
      <c r="L4" s="18">
        <v>0.107352</v>
      </c>
      <c r="M4" s="16">
        <v>2.3280110000000001</v>
      </c>
      <c r="N4" s="18">
        <v>-12.996532999999999</v>
      </c>
      <c r="O4" s="16">
        <v>5.3467830000000003</v>
      </c>
      <c r="P4" s="18">
        <v>-11.992941999999999</v>
      </c>
      <c r="Q4" s="16">
        <v>15.245862000000001</v>
      </c>
      <c r="R4" s="18">
        <v>-117.436893</v>
      </c>
      <c r="S4" s="16">
        <v>-14.424758000000001</v>
      </c>
    </row>
    <row r="5" spans="1:20" x14ac:dyDescent="0.3">
      <c r="A5" t="s">
        <v>63</v>
      </c>
      <c r="B5" t="s">
        <v>64</v>
      </c>
      <c r="C5" t="s">
        <v>21</v>
      </c>
      <c r="D5">
        <v>-10</v>
      </c>
      <c r="E5">
        <v>100</v>
      </c>
      <c r="H5" s="18">
        <v>-4.1649190000000003</v>
      </c>
      <c r="I5" s="16">
        <v>5.4591479999999999</v>
      </c>
      <c r="J5" s="18">
        <v>2.523174</v>
      </c>
      <c r="K5" s="16">
        <v>5.6841049999999997</v>
      </c>
      <c r="L5" s="18">
        <v>-3.6746000000000001E-2</v>
      </c>
      <c r="M5" s="16">
        <v>2.4634149999999999</v>
      </c>
      <c r="N5" s="18">
        <v>-10.917809</v>
      </c>
      <c r="O5" s="16">
        <v>2.0371779999999999</v>
      </c>
      <c r="P5" s="18">
        <v>-13.588663</v>
      </c>
      <c r="Q5" s="16">
        <v>19.038170000000001</v>
      </c>
      <c r="R5" s="18">
        <v>-81.424345000000002</v>
      </c>
      <c r="S5" s="16">
        <v>-7.8559710000000003</v>
      </c>
    </row>
    <row r="6" spans="1:20" x14ac:dyDescent="0.3">
      <c r="A6" t="s">
        <v>65</v>
      </c>
      <c r="B6" t="s">
        <v>66</v>
      </c>
      <c r="C6" t="s">
        <v>21</v>
      </c>
      <c r="D6">
        <v>-10</v>
      </c>
      <c r="E6">
        <v>100</v>
      </c>
      <c r="H6" s="18">
        <v>-4.4047090000000004</v>
      </c>
      <c r="I6" s="16">
        <v>-1.610965</v>
      </c>
      <c r="J6" s="18">
        <v>2.3943620000000001</v>
      </c>
      <c r="K6" s="16">
        <v>2.7491310000000002</v>
      </c>
      <c r="L6" s="18">
        <v>0.53313299999999997</v>
      </c>
      <c r="M6" s="16">
        <v>2.2886479999999998</v>
      </c>
      <c r="N6" s="18">
        <v>-2.3787180000000001</v>
      </c>
      <c r="O6" s="16">
        <v>-0.40082000000000001</v>
      </c>
      <c r="P6" s="18">
        <v>-9.4642370000000007</v>
      </c>
      <c r="Q6" s="16">
        <v>8.4951600000000003</v>
      </c>
      <c r="R6" s="18">
        <v>-47.60633</v>
      </c>
      <c r="S6" s="16">
        <v>-6.4826119999999996</v>
      </c>
    </row>
    <row r="7" spans="1:20" x14ac:dyDescent="0.3">
      <c r="A7" t="s">
        <v>67</v>
      </c>
      <c r="B7" t="s">
        <v>68</v>
      </c>
      <c r="C7" t="s">
        <v>21</v>
      </c>
      <c r="D7">
        <v>-10</v>
      </c>
      <c r="E7">
        <v>100</v>
      </c>
      <c r="H7" s="18">
        <v>-3.8857629999999999</v>
      </c>
      <c r="I7" s="16">
        <v>3.1953290000000001</v>
      </c>
      <c r="J7" s="18">
        <v>2.5109590000000002</v>
      </c>
      <c r="K7" s="16">
        <v>7.1783729999999997</v>
      </c>
      <c r="L7" s="18">
        <v>6.2178999999999998E-2</v>
      </c>
      <c r="M7" s="16">
        <v>2.4874849999999999</v>
      </c>
      <c r="N7" s="18">
        <v>-13.005087</v>
      </c>
      <c r="O7" s="16">
        <v>4.9260599999999997</v>
      </c>
      <c r="P7" s="18">
        <v>-12.403962</v>
      </c>
      <c r="Q7" s="16">
        <v>14.950039</v>
      </c>
      <c r="R7" s="18">
        <v>-79.851257000000004</v>
      </c>
      <c r="S7" s="16">
        <v>-5.9368689999999997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3F6D7-658C-47AF-8528-0700A529A6B0}">
  <dimension ref="A1:T9"/>
  <sheetViews>
    <sheetView zoomScale="120" zoomScaleNormal="120" workbookViewId="0">
      <selection activeCell="K16" sqref="K16"/>
    </sheetView>
  </sheetViews>
  <sheetFormatPr defaultRowHeight="14.4" x14ac:dyDescent="0.3"/>
  <cols>
    <col min="2" max="2" width="35.5546875" customWidth="1"/>
    <col min="3" max="7" width="0" hidden="1" customWidth="1"/>
    <col min="8" max="8" width="10.33203125" customWidth="1"/>
    <col min="9" max="9" width="10.44140625" customWidth="1"/>
    <col min="10" max="10" width="10.109375" customWidth="1"/>
    <col min="11" max="11" width="9.88671875" customWidth="1"/>
    <col min="12" max="12" width="9.5546875" customWidth="1"/>
    <col min="13" max="13" width="10" customWidth="1"/>
    <col min="14" max="14" width="10.6640625" customWidth="1"/>
    <col min="15" max="15" width="11.44140625" customWidth="1"/>
    <col min="16" max="16" width="11.109375" customWidth="1"/>
    <col min="17" max="17" width="10.6640625" customWidth="1"/>
    <col min="18" max="18" width="10.77734375" customWidth="1"/>
    <col min="19" max="19" width="10.6640625" customWidth="1"/>
  </cols>
  <sheetData>
    <row r="1" spans="1:20" ht="34.799999999999997" customHeight="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17" t="s">
        <v>7</v>
      </c>
      <c r="I1" s="15" t="s">
        <v>8</v>
      </c>
      <c r="J1" s="17" t="s">
        <v>9</v>
      </c>
      <c r="K1" s="15" t="s">
        <v>10</v>
      </c>
      <c r="L1" s="17" t="s">
        <v>11</v>
      </c>
      <c r="M1" s="15" t="s">
        <v>12</v>
      </c>
      <c r="N1" s="17" t="s">
        <v>13</v>
      </c>
      <c r="O1" s="15" t="s">
        <v>14</v>
      </c>
      <c r="P1" s="17" t="s">
        <v>15</v>
      </c>
      <c r="Q1" s="15" t="s">
        <v>16</v>
      </c>
      <c r="R1" s="17" t="s">
        <v>17</v>
      </c>
      <c r="S1" s="15" t="s">
        <v>18</v>
      </c>
      <c r="T1" s="15"/>
    </row>
    <row r="2" spans="1:20" x14ac:dyDescent="0.3">
      <c r="A2" t="s">
        <v>19</v>
      </c>
      <c r="B2" t="s">
        <v>20</v>
      </c>
      <c r="C2" t="s">
        <v>21</v>
      </c>
      <c r="D2">
        <v>-10</v>
      </c>
      <c r="E2">
        <v>100</v>
      </c>
      <c r="H2" s="18">
        <v>-53.116329</v>
      </c>
      <c r="I2" s="16">
        <v>93.038833999999994</v>
      </c>
      <c r="J2" s="18">
        <v>54.544998</v>
      </c>
      <c r="K2" s="16">
        <v>95.151038999999997</v>
      </c>
      <c r="L2" s="18">
        <v>-0.67205499999999996</v>
      </c>
      <c r="M2" s="16">
        <v>0.62917800000000002</v>
      </c>
      <c r="N2" s="18">
        <v>-8.8760049999999993</v>
      </c>
      <c r="O2" s="16">
        <v>5.384646</v>
      </c>
      <c r="P2" s="18">
        <v>-1.5783609999999999</v>
      </c>
      <c r="Q2" s="16">
        <v>1.7673380000000001</v>
      </c>
      <c r="R2" s="18">
        <v>-153.746206</v>
      </c>
      <c r="S2" s="16">
        <v>-55.411614</v>
      </c>
    </row>
    <row r="3" spans="1:20" x14ac:dyDescent="0.3">
      <c r="A3" t="s">
        <v>22</v>
      </c>
      <c r="B3" t="s">
        <v>23</v>
      </c>
      <c r="C3" t="s">
        <v>21</v>
      </c>
      <c r="D3">
        <v>-10</v>
      </c>
      <c r="E3">
        <v>100</v>
      </c>
      <c r="H3" s="18">
        <v>-55.721977000000003</v>
      </c>
      <c r="I3" s="16">
        <v>-30.667573999999998</v>
      </c>
      <c r="J3" s="18">
        <v>79.281807000000001</v>
      </c>
      <c r="K3" s="16">
        <v>80.489845000000003</v>
      </c>
      <c r="L3" s="18">
        <v>-0.56144499999999997</v>
      </c>
      <c r="M3" s="16">
        <v>0.539022</v>
      </c>
      <c r="N3" s="18">
        <v>-5.675287</v>
      </c>
      <c r="O3" s="16">
        <v>5.2675340000000004</v>
      </c>
      <c r="P3" s="18">
        <v>-1.485762</v>
      </c>
      <c r="Q3" s="16">
        <v>1.602438</v>
      </c>
      <c r="R3" s="18">
        <v>-56.501114000000001</v>
      </c>
      <c r="S3" s="16">
        <v>-53.327897</v>
      </c>
    </row>
    <row r="4" spans="1:20" x14ac:dyDescent="0.3">
      <c r="A4" t="s">
        <v>24</v>
      </c>
      <c r="B4" t="s">
        <v>25</v>
      </c>
      <c r="C4" t="s">
        <v>21</v>
      </c>
      <c r="D4">
        <v>-10</v>
      </c>
      <c r="E4">
        <v>100</v>
      </c>
      <c r="H4" s="18">
        <v>-53.528500000000001</v>
      </c>
      <c r="I4" s="16">
        <v>82.012550000000005</v>
      </c>
      <c r="J4" s="18">
        <v>53.746448999999998</v>
      </c>
      <c r="K4" s="16">
        <v>106.63814499999999</v>
      </c>
      <c r="L4" s="18">
        <v>-1.042381</v>
      </c>
      <c r="M4" s="16">
        <v>0.98170199999999996</v>
      </c>
      <c r="N4" s="18">
        <v>-16.965600999999999</v>
      </c>
      <c r="O4" s="16">
        <v>15.496741</v>
      </c>
      <c r="P4" s="18">
        <v>-2.3332389999999998</v>
      </c>
      <c r="Q4" s="16">
        <v>1.9974700000000001</v>
      </c>
      <c r="R4" s="18">
        <v>-131.362078</v>
      </c>
      <c r="S4" s="16">
        <v>-54.921557999999997</v>
      </c>
    </row>
    <row r="5" spans="1:20" ht="24" customHeight="1" x14ac:dyDescent="0.3">
      <c r="A5" t="s">
        <v>63</v>
      </c>
      <c r="B5" t="s">
        <v>64</v>
      </c>
      <c r="C5" t="s">
        <v>21</v>
      </c>
      <c r="D5">
        <v>-10</v>
      </c>
      <c r="E5">
        <v>100</v>
      </c>
      <c r="H5" s="18">
        <v>-55.068821</v>
      </c>
      <c r="I5" s="16">
        <v>27.820371999999999</v>
      </c>
      <c r="J5" s="18">
        <v>79.913048000000003</v>
      </c>
      <c r="K5" s="16">
        <v>92.829491000000004</v>
      </c>
      <c r="L5" s="18">
        <v>-0.60882499999999995</v>
      </c>
      <c r="M5" s="16">
        <v>0.65242100000000003</v>
      </c>
      <c r="N5" s="18">
        <v>-7.2702159999999996</v>
      </c>
      <c r="O5" s="16">
        <v>6.0909240000000002</v>
      </c>
      <c r="P5" s="18">
        <v>-2.3099240000000001</v>
      </c>
      <c r="Q5" s="16">
        <v>2.3890359999999999</v>
      </c>
      <c r="R5" s="18">
        <v>-89.673192</v>
      </c>
      <c r="S5" s="16">
        <v>-54.863781000000003</v>
      </c>
    </row>
    <row r="6" spans="1:20" x14ac:dyDescent="0.3">
      <c r="A6" t="s">
        <v>65</v>
      </c>
      <c r="B6" t="s">
        <v>66</v>
      </c>
      <c r="C6" t="s">
        <v>21</v>
      </c>
      <c r="D6">
        <v>-10</v>
      </c>
      <c r="E6">
        <v>100</v>
      </c>
      <c r="H6" s="18">
        <v>-55.721972999999998</v>
      </c>
      <c r="I6" s="16">
        <v>-30.109489</v>
      </c>
      <c r="J6" s="18">
        <v>79.282234000000003</v>
      </c>
      <c r="K6" s="16">
        <v>80.673820000000006</v>
      </c>
      <c r="L6" s="18">
        <v>-0.56144400000000005</v>
      </c>
      <c r="M6" s="16">
        <v>0.53902099999999997</v>
      </c>
      <c r="N6" s="18">
        <v>-5.7141869999999999</v>
      </c>
      <c r="O6" s="16">
        <v>5.2931350000000004</v>
      </c>
      <c r="P6" s="18">
        <v>-1.4857530000000001</v>
      </c>
      <c r="Q6" s="16">
        <v>1.6024339999999999</v>
      </c>
      <c r="R6" s="18">
        <v>-56.649521</v>
      </c>
      <c r="S6" s="16">
        <v>-53.324103000000001</v>
      </c>
    </row>
    <row r="7" spans="1:20" x14ac:dyDescent="0.3">
      <c r="A7" t="s">
        <v>67</v>
      </c>
      <c r="B7" t="s">
        <v>68</v>
      </c>
      <c r="C7" t="s">
        <v>21</v>
      </c>
      <c r="D7">
        <v>-10</v>
      </c>
      <c r="E7">
        <v>100</v>
      </c>
      <c r="H7" s="18">
        <v>-55.616703000000001</v>
      </c>
      <c r="I7" s="16">
        <v>46.376724000000003</v>
      </c>
      <c r="J7" s="18">
        <v>80.087547000000001</v>
      </c>
      <c r="K7" s="16">
        <v>98.498626999999999</v>
      </c>
      <c r="L7" s="18">
        <v>-1.3950849999999999</v>
      </c>
      <c r="M7" s="16">
        <v>1.499576</v>
      </c>
      <c r="N7" s="18">
        <v>-14.069989</v>
      </c>
      <c r="O7" s="16">
        <v>13.213725</v>
      </c>
      <c r="P7" s="18">
        <v>-1.0299659999999999</v>
      </c>
      <c r="Q7" s="16">
        <v>1.053007</v>
      </c>
      <c r="R7" s="18">
        <v>-114.021744</v>
      </c>
      <c r="S7" s="16">
        <v>-54.416246999999998</v>
      </c>
    </row>
    <row r="8" spans="1:20" x14ac:dyDescent="0.3">
      <c r="H8" s="22"/>
      <c r="I8" s="22"/>
      <c r="J8" s="22"/>
      <c r="K8" s="22"/>
      <c r="L8" s="22"/>
      <c r="M8" s="22"/>
    </row>
    <row r="9" spans="1:20" x14ac:dyDescent="0.3">
      <c r="H9" s="22"/>
      <c r="I9" s="22"/>
      <c r="J9" s="22"/>
      <c r="K9" s="22"/>
      <c r="L9" s="22"/>
      <c r="M9" s="2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inputs</vt:lpstr>
      <vt:lpstr>summary</vt:lpstr>
      <vt:lpstr>lines</vt:lpstr>
      <vt:lpstr>buoy</vt:lpstr>
      <vt:lpstr>vessel_abs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Scott McClure</cp:lastModifiedBy>
  <dcterms:created xsi:type="dcterms:W3CDTF">2025-11-14T16:36:41Z</dcterms:created>
  <dcterms:modified xsi:type="dcterms:W3CDTF">2025-11-17T15:47:32Z</dcterms:modified>
</cp:coreProperties>
</file>