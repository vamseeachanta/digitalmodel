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codeName="ThisWorkbook"/>
  <mc:AlternateContent xmlns:mc="http://schemas.openxmlformats.org/markup-compatibility/2006">
    <mc:Choice Requires="x15">
      <x15ac:absPath xmlns:x15ac="http://schemas.microsoft.com/office/spreadsheetml/2010/11/ac" url="P:\006 Examples\4 Examples Development (Rev Controlled)\E Pipelay and recovery\E08 Lay table automation\"/>
    </mc:Choice>
  </mc:AlternateContent>
  <xr:revisionPtr revIDLastSave="0" documentId="13_ncr:1_{19F56FBA-288A-477E-8271-9B2379A0B3C2}" xr6:coauthVersionLast="47" xr6:coauthVersionMax="47" xr10:uidLastSave="{00000000-0000-0000-0000-000000000000}"/>
  <bookViews>
    <workbookView xWindow="-120" yWindow="-120" windowWidth="29040" windowHeight="15840" activeTab="4" xr2:uid="{00000000-000D-0000-FFFF-FFFF00000000}"/>
  </bookViews>
  <sheets>
    <sheet name="Pre-processing" sheetId="15" r:id="rId1"/>
    <sheet name="General Post-processing" sheetId="16" r:id="rId2"/>
    <sheet name="__$Orcina_Hidden_Sheet$__" sheetId="5" state="veryHidden" r:id="rId3"/>
    <sheet name="Range Graphs Post-processing" sheetId="20" r:id="rId4"/>
    <sheet name="Final Results" sheetId="18" r:id="rId5"/>
    <sheet name="General Results" sheetId="17" r:id="rId6"/>
    <sheet name="Range Graph Results" sheetId="48" r:id="rId7"/>
  </sheets>
  <definedNames>
    <definedName name="_xlnm.Print_Area" localSheetId="4">'Final Results'!$B$2:$V$43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5" i="18" l="1"/>
  <c r="K34" i="18"/>
  <c r="K33" i="18"/>
  <c r="C20" i="18"/>
  <c r="C19" i="18"/>
  <c r="DM385" i="48"/>
  <c r="DG385" i="48"/>
  <c r="DA385" i="48"/>
  <c r="CU385" i="48"/>
  <c r="CO385" i="48"/>
  <c r="CI385" i="48"/>
  <c r="CC385" i="48"/>
  <c r="BW385" i="48"/>
  <c r="BQ385" i="48"/>
  <c r="BK385" i="48"/>
  <c r="BE385" i="48"/>
  <c r="AY385" i="48"/>
  <c r="AS385" i="48"/>
  <c r="AM385" i="48"/>
  <c r="AG385" i="48"/>
  <c r="AA385" i="48"/>
  <c r="U385" i="48"/>
  <c r="O385" i="48"/>
  <c r="I385" i="48"/>
  <c r="C385" i="48"/>
  <c r="DM384" i="48"/>
  <c r="DG384" i="48"/>
  <c r="DA384" i="48"/>
  <c r="CU384" i="48"/>
  <c r="CO384" i="48"/>
  <c r="CI384" i="48"/>
  <c r="CC384" i="48"/>
  <c r="BW384" i="48"/>
  <c r="BQ384" i="48"/>
  <c r="BK384" i="48"/>
  <c r="BE384" i="48"/>
  <c r="AY384" i="48"/>
  <c r="AS384" i="48"/>
  <c r="AM384" i="48"/>
  <c r="AG384" i="48"/>
  <c r="AA384" i="48"/>
  <c r="U384" i="48"/>
  <c r="O384" i="48"/>
  <c r="I384" i="48"/>
  <c r="C384" i="48"/>
  <c r="DM383" i="48"/>
  <c r="DG383" i="48"/>
  <c r="DA383" i="48"/>
  <c r="CU383" i="48"/>
  <c r="CO383" i="48"/>
  <c r="CI383" i="48"/>
  <c r="CC383" i="48"/>
  <c r="BW383" i="48"/>
  <c r="BQ383" i="48"/>
  <c r="BK383" i="48"/>
  <c r="BE383" i="48"/>
  <c r="AY383" i="48"/>
  <c r="AS383" i="48"/>
  <c r="AM383" i="48"/>
  <c r="AG383" i="48"/>
  <c r="AA383" i="48"/>
  <c r="U383" i="48"/>
  <c r="O383" i="48"/>
  <c r="I383" i="48"/>
  <c r="C383" i="48"/>
  <c r="DM382" i="48"/>
  <c r="DG382" i="48"/>
  <c r="DA382" i="48"/>
  <c r="CU382" i="48"/>
  <c r="CO382" i="48"/>
  <c r="CI382" i="48"/>
  <c r="CC382" i="48"/>
  <c r="BW382" i="48"/>
  <c r="BQ382" i="48"/>
  <c r="BK382" i="48"/>
  <c r="BE382" i="48"/>
  <c r="AY382" i="48"/>
  <c r="AS382" i="48"/>
  <c r="AM382" i="48"/>
  <c r="AG382" i="48"/>
  <c r="AA382" i="48"/>
  <c r="U382" i="48"/>
  <c r="O382" i="48"/>
  <c r="I382" i="48"/>
  <c r="C382" i="48"/>
  <c r="DM381" i="48"/>
  <c r="DG381" i="48"/>
  <c r="DA381" i="48"/>
  <c r="CU381" i="48"/>
  <c r="CO381" i="48"/>
  <c r="CI381" i="48"/>
  <c r="CC381" i="48"/>
  <c r="BW381" i="48"/>
  <c r="BQ381" i="48"/>
  <c r="BK381" i="48"/>
  <c r="BE381" i="48"/>
  <c r="AY381" i="48"/>
  <c r="AS381" i="48"/>
  <c r="AM381" i="48"/>
  <c r="AG381" i="48"/>
  <c r="AA381" i="48"/>
  <c r="U381" i="48"/>
  <c r="O381" i="48"/>
  <c r="I381" i="48"/>
  <c r="C381" i="48"/>
  <c r="DM380" i="48"/>
  <c r="DG380" i="48"/>
  <c r="DA380" i="48"/>
  <c r="CU380" i="48"/>
  <c r="CO380" i="48"/>
  <c r="CI380" i="48"/>
  <c r="CC380" i="48"/>
  <c r="BW380" i="48"/>
  <c r="BQ380" i="48"/>
  <c r="BK380" i="48"/>
  <c r="BE380" i="48"/>
  <c r="AY380" i="48"/>
  <c r="AS380" i="48"/>
  <c r="AM380" i="48"/>
  <c r="AG380" i="48"/>
  <c r="AA380" i="48"/>
  <c r="U380" i="48"/>
  <c r="O380" i="48"/>
  <c r="I380" i="48"/>
  <c r="C380" i="48"/>
  <c r="DM379" i="48"/>
  <c r="DG379" i="48"/>
  <c r="DA379" i="48"/>
  <c r="CU379" i="48"/>
  <c r="CO379" i="48"/>
  <c r="CI379" i="48"/>
  <c r="CC379" i="48"/>
  <c r="BW379" i="48"/>
  <c r="BQ379" i="48"/>
  <c r="BK379" i="48"/>
  <c r="BE379" i="48"/>
  <c r="AY379" i="48"/>
  <c r="AS379" i="48"/>
  <c r="AM379" i="48"/>
  <c r="AG379" i="48"/>
  <c r="AA379" i="48"/>
  <c r="U379" i="48"/>
  <c r="O379" i="48"/>
  <c r="I379" i="48"/>
  <c r="C379" i="48"/>
  <c r="DM378" i="48"/>
  <c r="DG378" i="48"/>
  <c r="DA378" i="48"/>
  <c r="CU378" i="48"/>
  <c r="CO378" i="48"/>
  <c r="CI378" i="48"/>
  <c r="CC378" i="48"/>
  <c r="BW378" i="48"/>
  <c r="BQ378" i="48"/>
  <c r="BK378" i="48"/>
  <c r="BE378" i="48"/>
  <c r="AY378" i="48"/>
  <c r="AS378" i="48"/>
  <c r="AM378" i="48"/>
  <c r="AG378" i="48"/>
  <c r="AA378" i="48"/>
  <c r="U378" i="48"/>
  <c r="O378" i="48"/>
  <c r="I378" i="48"/>
  <c r="C378" i="48"/>
  <c r="DM377" i="48"/>
  <c r="DG377" i="48"/>
  <c r="DA377" i="48"/>
  <c r="CU377" i="48"/>
  <c r="CO377" i="48"/>
  <c r="CI377" i="48"/>
  <c r="CC377" i="48"/>
  <c r="BW377" i="48"/>
  <c r="BQ377" i="48"/>
  <c r="BK377" i="48"/>
  <c r="BE377" i="48"/>
  <c r="AY377" i="48"/>
  <c r="AS377" i="48"/>
  <c r="AM377" i="48"/>
  <c r="AG377" i="48"/>
  <c r="AA377" i="48"/>
  <c r="U377" i="48"/>
  <c r="O377" i="48"/>
  <c r="I377" i="48"/>
  <c r="C377" i="48"/>
  <c r="DM376" i="48"/>
  <c r="DG376" i="48"/>
  <c r="DA376" i="48"/>
  <c r="CU376" i="48"/>
  <c r="CO376" i="48"/>
  <c r="CI376" i="48"/>
  <c r="CC376" i="48"/>
  <c r="BW376" i="48"/>
  <c r="BQ376" i="48"/>
  <c r="BK376" i="48"/>
  <c r="BE376" i="48"/>
  <c r="AY376" i="48"/>
  <c r="AS376" i="48"/>
  <c r="AM376" i="48"/>
  <c r="AG376" i="48"/>
  <c r="AA376" i="48"/>
  <c r="U376" i="48"/>
  <c r="O376" i="48"/>
  <c r="I376" i="48"/>
  <c r="C376" i="48"/>
  <c r="DM375" i="48"/>
  <c r="DG375" i="48"/>
  <c r="DA375" i="48"/>
  <c r="CU375" i="48"/>
  <c r="CO375" i="48"/>
  <c r="CI375" i="48"/>
  <c r="CC375" i="48"/>
  <c r="BW375" i="48"/>
  <c r="BQ375" i="48"/>
  <c r="BK375" i="48"/>
  <c r="BE375" i="48"/>
  <c r="AY375" i="48"/>
  <c r="AS375" i="48"/>
  <c r="AM375" i="48"/>
  <c r="AG375" i="48"/>
  <c r="AA375" i="48"/>
  <c r="U375" i="48"/>
  <c r="O375" i="48"/>
  <c r="I375" i="48"/>
  <c r="C375" i="48"/>
  <c r="DM374" i="48"/>
  <c r="DG374" i="48"/>
  <c r="DA374" i="48"/>
  <c r="CU374" i="48"/>
  <c r="CO374" i="48"/>
  <c r="CI374" i="48"/>
  <c r="CC374" i="48"/>
  <c r="BW374" i="48"/>
  <c r="BQ374" i="48"/>
  <c r="BK374" i="48"/>
  <c r="BE374" i="48"/>
  <c r="AY374" i="48"/>
  <c r="AS374" i="48"/>
  <c r="AM374" i="48"/>
  <c r="AG374" i="48"/>
  <c r="AA374" i="48"/>
  <c r="U374" i="48"/>
  <c r="O374" i="48"/>
  <c r="I374" i="48"/>
  <c r="C374" i="48"/>
  <c r="DM373" i="48"/>
  <c r="DG373" i="48"/>
  <c r="DA373" i="48"/>
  <c r="CU373" i="48"/>
  <c r="CO373" i="48"/>
  <c r="CI373" i="48"/>
  <c r="CC373" i="48"/>
  <c r="BW373" i="48"/>
  <c r="BQ373" i="48"/>
  <c r="BK373" i="48"/>
  <c r="BE373" i="48"/>
  <c r="AY373" i="48"/>
  <c r="AS373" i="48"/>
  <c r="AM373" i="48"/>
  <c r="AG373" i="48"/>
  <c r="AA373" i="48"/>
  <c r="U373" i="48"/>
  <c r="O373" i="48"/>
  <c r="I373" i="48"/>
  <c r="C373" i="48"/>
  <c r="DM372" i="48"/>
  <c r="DG372" i="48"/>
  <c r="DA372" i="48"/>
  <c r="CU372" i="48"/>
  <c r="CO372" i="48"/>
  <c r="CI372" i="48"/>
  <c r="CC372" i="48"/>
  <c r="BW372" i="48"/>
  <c r="BQ372" i="48"/>
  <c r="BK372" i="48"/>
  <c r="BE372" i="48"/>
  <c r="AY372" i="48"/>
  <c r="AS372" i="48"/>
  <c r="AM372" i="48"/>
  <c r="AG372" i="48"/>
  <c r="AA372" i="48"/>
  <c r="U372" i="48"/>
  <c r="O372" i="48"/>
  <c r="I372" i="48"/>
  <c r="C372" i="48"/>
  <c r="DM371" i="48"/>
  <c r="DG371" i="48"/>
  <c r="DA371" i="48"/>
  <c r="CU371" i="48"/>
  <c r="CO371" i="48"/>
  <c r="CI371" i="48"/>
  <c r="CC371" i="48"/>
  <c r="BW371" i="48"/>
  <c r="BQ371" i="48"/>
  <c r="BK371" i="48"/>
  <c r="BE371" i="48"/>
  <c r="AY371" i="48"/>
  <c r="AS371" i="48"/>
  <c r="AM371" i="48"/>
  <c r="AG371" i="48"/>
  <c r="AA371" i="48"/>
  <c r="U371" i="48"/>
  <c r="O371" i="48"/>
  <c r="I371" i="48"/>
  <c r="C371" i="48"/>
  <c r="DM370" i="48"/>
  <c r="DG370" i="48"/>
  <c r="DA370" i="48"/>
  <c r="CU370" i="48"/>
  <c r="CO370" i="48"/>
  <c r="CI370" i="48"/>
  <c r="CC370" i="48"/>
  <c r="BW370" i="48"/>
  <c r="BQ370" i="48"/>
  <c r="BK370" i="48"/>
  <c r="BE370" i="48"/>
  <c r="AY370" i="48"/>
  <c r="AS370" i="48"/>
  <c r="AM370" i="48"/>
  <c r="AG370" i="48"/>
  <c r="AA370" i="48"/>
  <c r="U370" i="48"/>
  <c r="O370" i="48"/>
  <c r="I370" i="48"/>
  <c r="C370" i="48"/>
  <c r="DM369" i="48"/>
  <c r="DG369" i="48"/>
  <c r="DA369" i="48"/>
  <c r="CU369" i="48"/>
  <c r="CO369" i="48"/>
  <c r="CI369" i="48"/>
  <c r="CC369" i="48"/>
  <c r="BW369" i="48"/>
  <c r="BQ369" i="48"/>
  <c r="BK369" i="48"/>
  <c r="BE369" i="48"/>
  <c r="AY369" i="48"/>
  <c r="AS369" i="48"/>
  <c r="AM369" i="48"/>
  <c r="AG369" i="48"/>
  <c r="AA369" i="48"/>
  <c r="U369" i="48"/>
  <c r="O369" i="48"/>
  <c r="I369" i="48"/>
  <c r="C369" i="48"/>
  <c r="DM368" i="48"/>
  <c r="DG368" i="48"/>
  <c r="DA368" i="48"/>
  <c r="CU368" i="48"/>
  <c r="CO368" i="48"/>
  <c r="CI368" i="48"/>
  <c r="CC368" i="48"/>
  <c r="BW368" i="48"/>
  <c r="BQ368" i="48"/>
  <c r="BK368" i="48"/>
  <c r="BE368" i="48"/>
  <c r="AY368" i="48"/>
  <c r="AS368" i="48"/>
  <c r="AM368" i="48"/>
  <c r="AG368" i="48"/>
  <c r="AA368" i="48"/>
  <c r="U368" i="48"/>
  <c r="O368" i="48"/>
  <c r="I368" i="48"/>
  <c r="C368" i="48"/>
  <c r="DM367" i="48"/>
  <c r="DG367" i="48"/>
  <c r="DA367" i="48"/>
  <c r="CU367" i="48"/>
  <c r="CO367" i="48"/>
  <c r="CI367" i="48"/>
  <c r="CC367" i="48"/>
  <c r="BW367" i="48"/>
  <c r="BQ367" i="48"/>
  <c r="BK367" i="48"/>
  <c r="BE367" i="48"/>
  <c r="AY367" i="48"/>
  <c r="AS367" i="48"/>
  <c r="AM367" i="48"/>
  <c r="AG367" i="48"/>
  <c r="AA367" i="48"/>
  <c r="U367" i="48"/>
  <c r="O367" i="48"/>
  <c r="I367" i="48"/>
  <c r="C367" i="48"/>
  <c r="DM366" i="48"/>
  <c r="DG366" i="48"/>
  <c r="DA366" i="48"/>
  <c r="CU366" i="48"/>
  <c r="CO366" i="48"/>
  <c r="CI366" i="48"/>
  <c r="CC366" i="48"/>
  <c r="BW366" i="48"/>
  <c r="BQ366" i="48"/>
  <c r="BK366" i="48"/>
  <c r="BE366" i="48"/>
  <c r="AY366" i="48"/>
  <c r="AS366" i="48"/>
  <c r="AM366" i="48"/>
  <c r="AG366" i="48"/>
  <c r="AA366" i="48"/>
  <c r="U366" i="48"/>
  <c r="O366" i="48"/>
  <c r="I366" i="48"/>
  <c r="C366" i="48"/>
  <c r="DM365" i="48"/>
  <c r="DG365" i="48"/>
  <c r="DA365" i="48"/>
  <c r="CU365" i="48"/>
  <c r="CO365" i="48"/>
  <c r="CI365" i="48"/>
  <c r="CC365" i="48"/>
  <c r="BW365" i="48"/>
  <c r="BQ365" i="48"/>
  <c r="BK365" i="48"/>
  <c r="BE365" i="48"/>
  <c r="AY365" i="48"/>
  <c r="AS365" i="48"/>
  <c r="AM365" i="48"/>
  <c r="AG365" i="48"/>
  <c r="AA365" i="48"/>
  <c r="U365" i="48"/>
  <c r="O365" i="48"/>
  <c r="I365" i="48"/>
  <c r="C365" i="48"/>
  <c r="DM364" i="48"/>
  <c r="DG364" i="48"/>
  <c r="DA364" i="48"/>
  <c r="CU364" i="48"/>
  <c r="CO364" i="48"/>
  <c r="CI364" i="48"/>
  <c r="CC364" i="48"/>
  <c r="BW364" i="48"/>
  <c r="BQ364" i="48"/>
  <c r="BK364" i="48"/>
  <c r="BE364" i="48"/>
  <c r="AY364" i="48"/>
  <c r="AS364" i="48"/>
  <c r="AM364" i="48"/>
  <c r="AG364" i="48"/>
  <c r="AA364" i="48"/>
  <c r="U364" i="48"/>
  <c r="O364" i="48"/>
  <c r="I364" i="48"/>
  <c r="C364" i="48"/>
  <c r="DM363" i="48"/>
  <c r="DG363" i="48"/>
  <c r="DA363" i="48"/>
  <c r="CU363" i="48"/>
  <c r="CO363" i="48"/>
  <c r="CI363" i="48"/>
  <c r="CC363" i="48"/>
  <c r="BW363" i="48"/>
  <c r="BQ363" i="48"/>
  <c r="BK363" i="48"/>
  <c r="BE363" i="48"/>
  <c r="AY363" i="48"/>
  <c r="AS363" i="48"/>
  <c r="AM363" i="48"/>
  <c r="AG363" i="48"/>
  <c r="AA363" i="48"/>
  <c r="U363" i="48"/>
  <c r="O363" i="48"/>
  <c r="I363" i="48"/>
  <c r="C363" i="48"/>
  <c r="DM362" i="48"/>
  <c r="DG362" i="48"/>
  <c r="DA362" i="48"/>
  <c r="CU362" i="48"/>
  <c r="CO362" i="48"/>
  <c r="CI362" i="48"/>
  <c r="CC362" i="48"/>
  <c r="BW362" i="48"/>
  <c r="BQ362" i="48"/>
  <c r="BK362" i="48"/>
  <c r="BE362" i="48"/>
  <c r="AY362" i="48"/>
  <c r="AS362" i="48"/>
  <c r="AM362" i="48"/>
  <c r="AG362" i="48"/>
  <c r="AA362" i="48"/>
  <c r="U362" i="48"/>
  <c r="O362" i="48"/>
  <c r="I362" i="48"/>
  <c r="C362" i="48"/>
  <c r="DM361" i="48"/>
  <c r="DG361" i="48"/>
  <c r="DA361" i="48"/>
  <c r="CU361" i="48"/>
  <c r="CO361" i="48"/>
  <c r="CI361" i="48"/>
  <c r="CC361" i="48"/>
  <c r="BW361" i="48"/>
  <c r="BQ361" i="48"/>
  <c r="BK361" i="48"/>
  <c r="BE361" i="48"/>
  <c r="AY361" i="48"/>
  <c r="AS361" i="48"/>
  <c r="AM361" i="48"/>
  <c r="AG361" i="48"/>
  <c r="AA361" i="48"/>
  <c r="U361" i="48"/>
  <c r="O361" i="48"/>
  <c r="I361" i="48"/>
  <c r="C361" i="48"/>
  <c r="DM360" i="48"/>
  <c r="DG360" i="48"/>
  <c r="DA360" i="48"/>
  <c r="CU360" i="48"/>
  <c r="CO360" i="48"/>
  <c r="CI360" i="48"/>
  <c r="CC360" i="48"/>
  <c r="BW360" i="48"/>
  <c r="BQ360" i="48"/>
  <c r="BK360" i="48"/>
  <c r="BE360" i="48"/>
  <c r="AY360" i="48"/>
  <c r="AS360" i="48"/>
  <c r="AM360" i="48"/>
  <c r="AG360" i="48"/>
  <c r="AA360" i="48"/>
  <c r="U360" i="48"/>
  <c r="O360" i="48"/>
  <c r="I360" i="48"/>
  <c r="C360" i="48"/>
  <c r="DM359" i="48"/>
  <c r="DG359" i="48"/>
  <c r="DA359" i="48"/>
  <c r="CU359" i="48"/>
  <c r="CO359" i="48"/>
  <c r="CI359" i="48"/>
  <c r="CC359" i="48"/>
  <c r="BW359" i="48"/>
  <c r="BQ359" i="48"/>
  <c r="BK359" i="48"/>
  <c r="BE359" i="48"/>
  <c r="AY359" i="48"/>
  <c r="AS359" i="48"/>
  <c r="AM359" i="48"/>
  <c r="AG359" i="48"/>
  <c r="AA359" i="48"/>
  <c r="U359" i="48"/>
  <c r="O359" i="48"/>
  <c r="I359" i="48"/>
  <c r="C359" i="48"/>
  <c r="DM358" i="48"/>
  <c r="DG358" i="48"/>
  <c r="DA358" i="48"/>
  <c r="CU358" i="48"/>
  <c r="CO358" i="48"/>
  <c r="CI358" i="48"/>
  <c r="CC358" i="48"/>
  <c r="BW358" i="48"/>
  <c r="BQ358" i="48"/>
  <c r="BK358" i="48"/>
  <c r="BE358" i="48"/>
  <c r="AY358" i="48"/>
  <c r="AS358" i="48"/>
  <c r="AM358" i="48"/>
  <c r="AG358" i="48"/>
  <c r="AA358" i="48"/>
  <c r="U358" i="48"/>
  <c r="O358" i="48"/>
  <c r="I358" i="48"/>
  <c r="C358" i="48"/>
  <c r="DM357" i="48"/>
  <c r="DG357" i="48"/>
  <c r="DA357" i="48"/>
  <c r="CU357" i="48"/>
  <c r="CO357" i="48"/>
  <c r="CI357" i="48"/>
  <c r="CC357" i="48"/>
  <c r="BW357" i="48"/>
  <c r="BQ357" i="48"/>
  <c r="BK357" i="48"/>
  <c r="BE357" i="48"/>
  <c r="AY357" i="48"/>
  <c r="AS357" i="48"/>
  <c r="AM357" i="48"/>
  <c r="AG357" i="48"/>
  <c r="AA357" i="48"/>
  <c r="U357" i="48"/>
  <c r="O357" i="48"/>
  <c r="I357" i="48"/>
  <c r="C357" i="48"/>
  <c r="DM356" i="48"/>
  <c r="DG356" i="48"/>
  <c r="DA356" i="48"/>
  <c r="CU356" i="48"/>
  <c r="CO356" i="48"/>
  <c r="CI356" i="48"/>
  <c r="CC356" i="48"/>
  <c r="BW356" i="48"/>
  <c r="BQ356" i="48"/>
  <c r="BK356" i="48"/>
  <c r="BE356" i="48"/>
  <c r="AY356" i="48"/>
  <c r="AS356" i="48"/>
  <c r="AM356" i="48"/>
  <c r="AG356" i="48"/>
  <c r="AA356" i="48"/>
  <c r="U356" i="48"/>
  <c r="O356" i="48"/>
  <c r="I356" i="48"/>
  <c r="C356" i="48"/>
  <c r="DM355" i="48"/>
  <c r="DG355" i="48"/>
  <c r="DA355" i="48"/>
  <c r="CU355" i="48"/>
  <c r="CO355" i="48"/>
  <c r="CI355" i="48"/>
  <c r="CC355" i="48"/>
  <c r="BW355" i="48"/>
  <c r="BQ355" i="48"/>
  <c r="BK355" i="48"/>
  <c r="BE355" i="48"/>
  <c r="AY355" i="48"/>
  <c r="AS355" i="48"/>
  <c r="AM355" i="48"/>
  <c r="AG355" i="48"/>
  <c r="AA355" i="48"/>
  <c r="U355" i="48"/>
  <c r="O355" i="48"/>
  <c r="I355" i="48"/>
  <c r="C355" i="48"/>
  <c r="DM354" i="48"/>
  <c r="DG354" i="48"/>
  <c r="DA354" i="48"/>
  <c r="CU354" i="48"/>
  <c r="CO354" i="48"/>
  <c r="CI354" i="48"/>
  <c r="CC354" i="48"/>
  <c r="BW354" i="48"/>
  <c r="BQ354" i="48"/>
  <c r="BK354" i="48"/>
  <c r="BE354" i="48"/>
  <c r="AY354" i="48"/>
  <c r="AS354" i="48"/>
  <c r="AM354" i="48"/>
  <c r="AG354" i="48"/>
  <c r="AA354" i="48"/>
  <c r="U354" i="48"/>
  <c r="O354" i="48"/>
  <c r="I354" i="48"/>
  <c r="C354" i="48"/>
  <c r="DM353" i="48"/>
  <c r="DG353" i="48"/>
  <c r="DA353" i="48"/>
  <c r="CU353" i="48"/>
  <c r="CO353" i="48"/>
  <c r="CI353" i="48"/>
  <c r="CC353" i="48"/>
  <c r="BW353" i="48"/>
  <c r="BQ353" i="48"/>
  <c r="BK353" i="48"/>
  <c r="BE353" i="48"/>
  <c r="AY353" i="48"/>
  <c r="AS353" i="48"/>
  <c r="AM353" i="48"/>
  <c r="AG353" i="48"/>
  <c r="AA353" i="48"/>
  <c r="U353" i="48"/>
  <c r="O353" i="48"/>
  <c r="I353" i="48"/>
  <c r="C353" i="48"/>
  <c r="DM352" i="48"/>
  <c r="DG352" i="48"/>
  <c r="DA352" i="48"/>
  <c r="CU352" i="48"/>
  <c r="CO352" i="48"/>
  <c r="CI352" i="48"/>
  <c r="CC352" i="48"/>
  <c r="BW352" i="48"/>
  <c r="BQ352" i="48"/>
  <c r="BK352" i="48"/>
  <c r="BE352" i="48"/>
  <c r="AY352" i="48"/>
  <c r="AS352" i="48"/>
  <c r="AM352" i="48"/>
  <c r="AG352" i="48"/>
  <c r="AA352" i="48"/>
  <c r="U352" i="48"/>
  <c r="O352" i="48"/>
  <c r="I352" i="48"/>
  <c r="C352" i="48"/>
  <c r="DM351" i="48"/>
  <c r="DG351" i="48"/>
  <c r="DA351" i="48"/>
  <c r="CU351" i="48"/>
  <c r="CO351" i="48"/>
  <c r="CI351" i="48"/>
  <c r="CC351" i="48"/>
  <c r="BW351" i="48"/>
  <c r="BQ351" i="48"/>
  <c r="BK351" i="48"/>
  <c r="BE351" i="48"/>
  <c r="AY351" i="48"/>
  <c r="AS351" i="48"/>
  <c r="AM351" i="48"/>
  <c r="AG351" i="48"/>
  <c r="AA351" i="48"/>
  <c r="U351" i="48"/>
  <c r="O351" i="48"/>
  <c r="I351" i="48"/>
  <c r="C351" i="48"/>
  <c r="DM350" i="48"/>
  <c r="DG350" i="48"/>
  <c r="DA350" i="48"/>
  <c r="CU350" i="48"/>
  <c r="CO350" i="48"/>
  <c r="CI350" i="48"/>
  <c r="CC350" i="48"/>
  <c r="BW350" i="48"/>
  <c r="BQ350" i="48"/>
  <c r="BK350" i="48"/>
  <c r="BE350" i="48"/>
  <c r="AY350" i="48"/>
  <c r="AS350" i="48"/>
  <c r="AM350" i="48"/>
  <c r="AG350" i="48"/>
  <c r="AA350" i="48"/>
  <c r="U350" i="48"/>
  <c r="O350" i="48"/>
  <c r="I350" i="48"/>
  <c r="C350" i="48"/>
  <c r="DM349" i="48"/>
  <c r="DG349" i="48"/>
  <c r="DA349" i="48"/>
  <c r="CU349" i="48"/>
  <c r="CO349" i="48"/>
  <c r="CI349" i="48"/>
  <c r="CC349" i="48"/>
  <c r="BW349" i="48"/>
  <c r="BQ349" i="48"/>
  <c r="BK349" i="48"/>
  <c r="BE349" i="48"/>
  <c r="AY349" i="48"/>
  <c r="AS349" i="48"/>
  <c r="AM349" i="48"/>
  <c r="AG349" i="48"/>
  <c r="AA349" i="48"/>
  <c r="U349" i="48"/>
  <c r="O349" i="48"/>
  <c r="I349" i="48"/>
  <c r="C349" i="48"/>
  <c r="DM348" i="48"/>
  <c r="DG348" i="48"/>
  <c r="DA348" i="48"/>
  <c r="CU348" i="48"/>
  <c r="CO348" i="48"/>
  <c r="CI348" i="48"/>
  <c r="CC348" i="48"/>
  <c r="BW348" i="48"/>
  <c r="BQ348" i="48"/>
  <c r="BK348" i="48"/>
  <c r="BE348" i="48"/>
  <c r="AY348" i="48"/>
  <c r="AS348" i="48"/>
  <c r="AM348" i="48"/>
  <c r="AG348" i="48"/>
  <c r="AA348" i="48"/>
  <c r="U348" i="48"/>
  <c r="O348" i="48"/>
  <c r="I348" i="48"/>
  <c r="C348" i="48"/>
  <c r="DM347" i="48"/>
  <c r="DG347" i="48"/>
  <c r="DA347" i="48"/>
  <c r="CU347" i="48"/>
  <c r="CO347" i="48"/>
  <c r="CI347" i="48"/>
  <c r="CC347" i="48"/>
  <c r="BW347" i="48"/>
  <c r="BQ347" i="48"/>
  <c r="BK347" i="48"/>
  <c r="BE347" i="48"/>
  <c r="AY347" i="48"/>
  <c r="AS347" i="48"/>
  <c r="AM347" i="48"/>
  <c r="AG347" i="48"/>
  <c r="AA347" i="48"/>
  <c r="U347" i="48"/>
  <c r="O347" i="48"/>
  <c r="I347" i="48"/>
  <c r="C347" i="48"/>
  <c r="DM346" i="48"/>
  <c r="DG346" i="48"/>
  <c r="DA346" i="48"/>
  <c r="CU346" i="48"/>
  <c r="CO346" i="48"/>
  <c r="CI346" i="48"/>
  <c r="CC346" i="48"/>
  <c r="BW346" i="48"/>
  <c r="BQ346" i="48"/>
  <c r="BK346" i="48"/>
  <c r="BE346" i="48"/>
  <c r="AY346" i="48"/>
  <c r="AS346" i="48"/>
  <c r="AM346" i="48"/>
  <c r="AG346" i="48"/>
  <c r="AA346" i="48"/>
  <c r="U346" i="48"/>
  <c r="O346" i="48"/>
  <c r="I346" i="48"/>
  <c r="C346" i="48"/>
  <c r="DM345" i="48"/>
  <c r="DG345" i="48"/>
  <c r="DA345" i="48"/>
  <c r="CU345" i="48"/>
  <c r="CO345" i="48"/>
  <c r="CI345" i="48"/>
  <c r="CC345" i="48"/>
  <c r="BW345" i="48"/>
  <c r="BQ345" i="48"/>
  <c r="BK345" i="48"/>
  <c r="BE345" i="48"/>
  <c r="AY345" i="48"/>
  <c r="AS345" i="48"/>
  <c r="AM345" i="48"/>
  <c r="AG345" i="48"/>
  <c r="AA345" i="48"/>
  <c r="U345" i="48"/>
  <c r="O345" i="48"/>
  <c r="I345" i="48"/>
  <c r="C345" i="48"/>
  <c r="DM344" i="48"/>
  <c r="DG344" i="48"/>
  <c r="DA344" i="48"/>
  <c r="CU344" i="48"/>
  <c r="CO344" i="48"/>
  <c r="CI344" i="48"/>
  <c r="CC344" i="48"/>
  <c r="BW344" i="48"/>
  <c r="BQ344" i="48"/>
  <c r="BK344" i="48"/>
  <c r="BE344" i="48"/>
  <c r="AY344" i="48"/>
  <c r="AS344" i="48"/>
  <c r="AM344" i="48"/>
  <c r="AG344" i="48"/>
  <c r="AA344" i="48"/>
  <c r="U344" i="48"/>
  <c r="O344" i="48"/>
  <c r="I344" i="48"/>
  <c r="C344" i="48"/>
  <c r="DM343" i="48"/>
  <c r="DG343" i="48"/>
  <c r="DA343" i="48"/>
  <c r="CU343" i="48"/>
  <c r="CO343" i="48"/>
  <c r="CI343" i="48"/>
  <c r="CC343" i="48"/>
  <c r="BW343" i="48"/>
  <c r="BQ343" i="48"/>
  <c r="BK343" i="48"/>
  <c r="BE343" i="48"/>
  <c r="AY343" i="48"/>
  <c r="AS343" i="48"/>
  <c r="AM343" i="48"/>
  <c r="AG343" i="48"/>
  <c r="AA343" i="48"/>
  <c r="U343" i="48"/>
  <c r="O343" i="48"/>
  <c r="I343" i="48"/>
  <c r="C343" i="48"/>
  <c r="DM342" i="48"/>
  <c r="DG342" i="48"/>
  <c r="DA342" i="48"/>
  <c r="CU342" i="48"/>
  <c r="CO342" i="48"/>
  <c r="CI342" i="48"/>
  <c r="CC342" i="48"/>
  <c r="BW342" i="48"/>
  <c r="BQ342" i="48"/>
  <c r="BK342" i="48"/>
  <c r="BE342" i="48"/>
  <c r="AY342" i="48"/>
  <c r="AS342" i="48"/>
  <c r="AM342" i="48"/>
  <c r="AG342" i="48"/>
  <c r="AA342" i="48"/>
  <c r="U342" i="48"/>
  <c r="O342" i="48"/>
  <c r="I342" i="48"/>
  <c r="C342" i="48"/>
  <c r="DM341" i="48"/>
  <c r="DG341" i="48"/>
  <c r="DA341" i="48"/>
  <c r="CU341" i="48"/>
  <c r="CO341" i="48"/>
  <c r="CI341" i="48"/>
  <c r="CC341" i="48"/>
  <c r="BW341" i="48"/>
  <c r="BQ341" i="48"/>
  <c r="BK341" i="48"/>
  <c r="BE341" i="48"/>
  <c r="AY341" i="48"/>
  <c r="AS341" i="48"/>
  <c r="AM341" i="48"/>
  <c r="AG341" i="48"/>
  <c r="AA341" i="48"/>
  <c r="U341" i="48"/>
  <c r="O341" i="48"/>
  <c r="I341" i="48"/>
  <c r="C341" i="48"/>
  <c r="DM340" i="48"/>
  <c r="DG340" i="48"/>
  <c r="DA340" i="48"/>
  <c r="CU340" i="48"/>
  <c r="CO340" i="48"/>
  <c r="CI340" i="48"/>
  <c r="CC340" i="48"/>
  <c r="BW340" i="48"/>
  <c r="BQ340" i="48"/>
  <c r="BK340" i="48"/>
  <c r="BE340" i="48"/>
  <c r="AY340" i="48"/>
  <c r="AS340" i="48"/>
  <c r="AM340" i="48"/>
  <c r="AG340" i="48"/>
  <c r="AA340" i="48"/>
  <c r="U340" i="48"/>
  <c r="O340" i="48"/>
  <c r="I340" i="48"/>
  <c r="C340" i="48"/>
  <c r="DM339" i="48"/>
  <c r="DG339" i="48"/>
  <c r="DA339" i="48"/>
  <c r="CU339" i="48"/>
  <c r="CO339" i="48"/>
  <c r="CI339" i="48"/>
  <c r="CC339" i="48"/>
  <c r="BW339" i="48"/>
  <c r="BQ339" i="48"/>
  <c r="BK339" i="48"/>
  <c r="BE339" i="48"/>
  <c r="AY339" i="48"/>
  <c r="AS339" i="48"/>
  <c r="AM339" i="48"/>
  <c r="AG339" i="48"/>
  <c r="AA339" i="48"/>
  <c r="U339" i="48"/>
  <c r="O339" i="48"/>
  <c r="I339" i="48"/>
  <c r="C339" i="48"/>
  <c r="DM338" i="48"/>
  <c r="DG338" i="48"/>
  <c r="DA338" i="48"/>
  <c r="CU338" i="48"/>
  <c r="CO338" i="48"/>
  <c r="CI338" i="48"/>
  <c r="CC338" i="48"/>
  <c r="BW338" i="48"/>
  <c r="BQ338" i="48"/>
  <c r="BK338" i="48"/>
  <c r="BE338" i="48"/>
  <c r="AY338" i="48"/>
  <c r="AS338" i="48"/>
  <c r="AM338" i="48"/>
  <c r="AG338" i="48"/>
  <c r="AA338" i="48"/>
  <c r="U338" i="48"/>
  <c r="O338" i="48"/>
  <c r="I338" i="48"/>
  <c r="C338" i="48"/>
  <c r="DM337" i="48"/>
  <c r="DG337" i="48"/>
  <c r="DA337" i="48"/>
  <c r="CU337" i="48"/>
  <c r="CO337" i="48"/>
  <c r="CI337" i="48"/>
  <c r="CC337" i="48"/>
  <c r="BW337" i="48"/>
  <c r="BQ337" i="48"/>
  <c r="BK337" i="48"/>
  <c r="BE337" i="48"/>
  <c r="AY337" i="48"/>
  <c r="AS337" i="48"/>
  <c r="AM337" i="48"/>
  <c r="AG337" i="48"/>
  <c r="AA337" i="48"/>
  <c r="U337" i="48"/>
  <c r="O337" i="48"/>
  <c r="I337" i="48"/>
  <c r="C337" i="48"/>
  <c r="DM336" i="48"/>
  <c r="DG336" i="48"/>
  <c r="DA336" i="48"/>
  <c r="CU336" i="48"/>
  <c r="CO336" i="48"/>
  <c r="CI336" i="48"/>
  <c r="CC336" i="48"/>
  <c r="BW336" i="48"/>
  <c r="BQ336" i="48"/>
  <c r="BK336" i="48"/>
  <c r="BE336" i="48"/>
  <c r="AY336" i="48"/>
  <c r="AS336" i="48"/>
  <c r="AM336" i="48"/>
  <c r="AG336" i="48"/>
  <c r="AA336" i="48"/>
  <c r="U336" i="48"/>
  <c r="O336" i="48"/>
  <c r="I336" i="48"/>
  <c r="C336" i="48"/>
  <c r="DM335" i="48"/>
  <c r="DG335" i="48"/>
  <c r="DA335" i="48"/>
  <c r="CU335" i="48"/>
  <c r="CO335" i="48"/>
  <c r="CI335" i="48"/>
  <c r="CC335" i="48"/>
  <c r="BW335" i="48"/>
  <c r="BQ335" i="48"/>
  <c r="BK335" i="48"/>
  <c r="BE335" i="48"/>
  <c r="AY335" i="48"/>
  <c r="AS335" i="48"/>
  <c r="AM335" i="48"/>
  <c r="AG335" i="48"/>
  <c r="AA335" i="48"/>
  <c r="U335" i="48"/>
  <c r="O335" i="48"/>
  <c r="I335" i="48"/>
  <c r="C335" i="48"/>
  <c r="DM334" i="48"/>
  <c r="DG334" i="48"/>
  <c r="DA334" i="48"/>
  <c r="CU334" i="48"/>
  <c r="CO334" i="48"/>
  <c r="CI334" i="48"/>
  <c r="CC334" i="48"/>
  <c r="BW334" i="48"/>
  <c r="BQ334" i="48"/>
  <c r="BK334" i="48"/>
  <c r="BE334" i="48"/>
  <c r="AY334" i="48"/>
  <c r="AS334" i="48"/>
  <c r="AM334" i="48"/>
  <c r="AG334" i="48"/>
  <c r="AA334" i="48"/>
  <c r="U334" i="48"/>
  <c r="O334" i="48"/>
  <c r="I334" i="48"/>
  <c r="C334" i="48"/>
  <c r="DM333" i="48"/>
  <c r="DG333" i="48"/>
  <c r="DA333" i="48"/>
  <c r="CU333" i="48"/>
  <c r="CO333" i="48"/>
  <c r="CI333" i="48"/>
  <c r="CC333" i="48"/>
  <c r="BW333" i="48"/>
  <c r="BQ333" i="48"/>
  <c r="BK333" i="48"/>
  <c r="BE333" i="48"/>
  <c r="AY333" i="48"/>
  <c r="AS333" i="48"/>
  <c r="AM333" i="48"/>
  <c r="AG333" i="48"/>
  <c r="AA333" i="48"/>
  <c r="U333" i="48"/>
  <c r="O333" i="48"/>
  <c r="I333" i="48"/>
  <c r="C333" i="48"/>
  <c r="DM332" i="48"/>
  <c r="DG332" i="48"/>
  <c r="DA332" i="48"/>
  <c r="CU332" i="48"/>
  <c r="CO332" i="48"/>
  <c r="CI332" i="48"/>
  <c r="CC332" i="48"/>
  <c r="BW332" i="48"/>
  <c r="BQ332" i="48"/>
  <c r="BK332" i="48"/>
  <c r="BE332" i="48"/>
  <c r="AY332" i="48"/>
  <c r="AS332" i="48"/>
  <c r="AM332" i="48"/>
  <c r="AG332" i="48"/>
  <c r="AA332" i="48"/>
  <c r="U332" i="48"/>
  <c r="O332" i="48"/>
  <c r="I332" i="48"/>
  <c r="C332" i="48"/>
  <c r="DM331" i="48"/>
  <c r="DG331" i="48"/>
  <c r="DA331" i="48"/>
  <c r="CU331" i="48"/>
  <c r="CO331" i="48"/>
  <c r="CI331" i="48"/>
  <c r="CC331" i="48"/>
  <c r="BW331" i="48"/>
  <c r="BQ331" i="48"/>
  <c r="BK331" i="48"/>
  <c r="BE331" i="48"/>
  <c r="AY331" i="48"/>
  <c r="AS331" i="48"/>
  <c r="AM331" i="48"/>
  <c r="AG331" i="48"/>
  <c r="AA331" i="48"/>
  <c r="U331" i="48"/>
  <c r="O331" i="48"/>
  <c r="I331" i="48"/>
  <c r="C331" i="48"/>
  <c r="DM330" i="48"/>
  <c r="DG330" i="48"/>
  <c r="DA330" i="48"/>
  <c r="CU330" i="48"/>
  <c r="CO330" i="48"/>
  <c r="CI330" i="48"/>
  <c r="CC330" i="48"/>
  <c r="BW330" i="48"/>
  <c r="BQ330" i="48"/>
  <c r="BK330" i="48"/>
  <c r="BE330" i="48"/>
  <c r="AY330" i="48"/>
  <c r="AS330" i="48"/>
  <c r="AM330" i="48"/>
  <c r="AG330" i="48"/>
  <c r="AA330" i="48"/>
  <c r="U330" i="48"/>
  <c r="O330" i="48"/>
  <c r="I330" i="48"/>
  <c r="C330" i="48"/>
  <c r="DM329" i="48"/>
  <c r="DG329" i="48"/>
  <c r="DA329" i="48"/>
  <c r="CU329" i="48"/>
  <c r="CO329" i="48"/>
  <c r="CI329" i="48"/>
  <c r="CC329" i="48"/>
  <c r="BW329" i="48"/>
  <c r="BQ329" i="48"/>
  <c r="BK329" i="48"/>
  <c r="BE329" i="48"/>
  <c r="AY329" i="48"/>
  <c r="AS329" i="48"/>
  <c r="AM329" i="48"/>
  <c r="AG329" i="48"/>
  <c r="AA329" i="48"/>
  <c r="U329" i="48"/>
  <c r="O329" i="48"/>
  <c r="I329" i="48"/>
  <c r="C329" i="48"/>
  <c r="DM328" i="48"/>
  <c r="DG328" i="48"/>
  <c r="DA328" i="48"/>
  <c r="CU328" i="48"/>
  <c r="CO328" i="48"/>
  <c r="CI328" i="48"/>
  <c r="CC328" i="48"/>
  <c r="BW328" i="48"/>
  <c r="BQ328" i="48"/>
  <c r="BK328" i="48"/>
  <c r="BE328" i="48"/>
  <c r="AY328" i="48"/>
  <c r="AS328" i="48"/>
  <c r="AM328" i="48"/>
  <c r="AG328" i="48"/>
  <c r="AA328" i="48"/>
  <c r="U328" i="48"/>
  <c r="O328" i="48"/>
  <c r="I328" i="48"/>
  <c r="C328" i="48"/>
  <c r="DM327" i="48"/>
  <c r="DG327" i="48"/>
  <c r="DA327" i="48"/>
  <c r="CU327" i="48"/>
  <c r="CO327" i="48"/>
  <c r="CI327" i="48"/>
  <c r="CC327" i="48"/>
  <c r="BW327" i="48"/>
  <c r="BQ327" i="48"/>
  <c r="BK327" i="48"/>
  <c r="BE327" i="48"/>
  <c r="AY327" i="48"/>
  <c r="AS327" i="48"/>
  <c r="AM327" i="48"/>
  <c r="AG327" i="48"/>
  <c r="AA327" i="48"/>
  <c r="U327" i="48"/>
  <c r="O327" i="48"/>
  <c r="I327" i="48"/>
  <c r="C327" i="48"/>
  <c r="DM326" i="48"/>
  <c r="DG326" i="48"/>
  <c r="DA326" i="48"/>
  <c r="CU326" i="48"/>
  <c r="CO326" i="48"/>
  <c r="CI326" i="48"/>
  <c r="CC326" i="48"/>
  <c r="BW326" i="48"/>
  <c r="BQ326" i="48"/>
  <c r="BK326" i="48"/>
  <c r="BE326" i="48"/>
  <c r="AY326" i="48"/>
  <c r="AS326" i="48"/>
  <c r="AM326" i="48"/>
  <c r="AG326" i="48"/>
  <c r="AA326" i="48"/>
  <c r="U326" i="48"/>
  <c r="O326" i="48"/>
  <c r="I326" i="48"/>
  <c r="C326" i="48"/>
  <c r="DM325" i="48"/>
  <c r="DG325" i="48"/>
  <c r="DA325" i="48"/>
  <c r="CU325" i="48"/>
  <c r="CO325" i="48"/>
  <c r="CI325" i="48"/>
  <c r="CC325" i="48"/>
  <c r="BW325" i="48"/>
  <c r="BQ325" i="48"/>
  <c r="BK325" i="48"/>
  <c r="BE325" i="48"/>
  <c r="AY325" i="48"/>
  <c r="AS325" i="48"/>
  <c r="AM325" i="48"/>
  <c r="AG325" i="48"/>
  <c r="AA325" i="48"/>
  <c r="U325" i="48"/>
  <c r="O325" i="48"/>
  <c r="I325" i="48"/>
  <c r="C325" i="48"/>
  <c r="DM324" i="48"/>
  <c r="DG324" i="48"/>
  <c r="DA324" i="48"/>
  <c r="CU324" i="48"/>
  <c r="CO324" i="48"/>
  <c r="CI324" i="48"/>
  <c r="CC324" i="48"/>
  <c r="BW324" i="48"/>
  <c r="BQ324" i="48"/>
  <c r="BK324" i="48"/>
  <c r="BE324" i="48"/>
  <c r="AY324" i="48"/>
  <c r="AS324" i="48"/>
  <c r="AM324" i="48"/>
  <c r="AG324" i="48"/>
  <c r="AA324" i="48"/>
  <c r="U324" i="48"/>
  <c r="O324" i="48"/>
  <c r="I324" i="48"/>
  <c r="C324" i="48"/>
  <c r="DM323" i="48"/>
  <c r="DG323" i="48"/>
  <c r="DA323" i="48"/>
  <c r="CU323" i="48"/>
  <c r="CO323" i="48"/>
  <c r="CI323" i="48"/>
  <c r="CC323" i="48"/>
  <c r="BW323" i="48"/>
  <c r="BQ323" i="48"/>
  <c r="BK323" i="48"/>
  <c r="BE323" i="48"/>
  <c r="AY323" i="48"/>
  <c r="AS323" i="48"/>
  <c r="AM323" i="48"/>
  <c r="AG323" i="48"/>
  <c r="AA323" i="48"/>
  <c r="U323" i="48"/>
  <c r="O323" i="48"/>
  <c r="I323" i="48"/>
  <c r="C323" i="48"/>
  <c r="DM322" i="48"/>
  <c r="DG322" i="48"/>
  <c r="DA322" i="48"/>
  <c r="CU322" i="48"/>
  <c r="CO322" i="48"/>
  <c r="CI322" i="48"/>
  <c r="CC322" i="48"/>
  <c r="BW322" i="48"/>
  <c r="BQ322" i="48"/>
  <c r="BK322" i="48"/>
  <c r="BE322" i="48"/>
  <c r="AY322" i="48"/>
  <c r="AS322" i="48"/>
  <c r="AM322" i="48"/>
  <c r="AG322" i="48"/>
  <c r="AA322" i="48"/>
  <c r="U322" i="48"/>
  <c r="O322" i="48"/>
  <c r="I322" i="48"/>
  <c r="C322" i="48"/>
  <c r="DM321" i="48"/>
  <c r="DG321" i="48"/>
  <c r="DA321" i="48"/>
  <c r="CU321" i="48"/>
  <c r="CO321" i="48"/>
  <c r="CI321" i="48"/>
  <c r="CC321" i="48"/>
  <c r="BW321" i="48"/>
  <c r="BQ321" i="48"/>
  <c r="BK321" i="48"/>
  <c r="BE321" i="48"/>
  <c r="AY321" i="48"/>
  <c r="AS321" i="48"/>
  <c r="AM321" i="48"/>
  <c r="AG321" i="48"/>
  <c r="AA321" i="48"/>
  <c r="U321" i="48"/>
  <c r="O321" i="48"/>
  <c r="I321" i="48"/>
  <c r="C321" i="48"/>
  <c r="DM320" i="48"/>
  <c r="DG320" i="48"/>
  <c r="DA320" i="48"/>
  <c r="CU320" i="48"/>
  <c r="CO320" i="48"/>
  <c r="CI320" i="48"/>
  <c r="CC320" i="48"/>
  <c r="BW320" i="48"/>
  <c r="BQ320" i="48"/>
  <c r="BK320" i="48"/>
  <c r="BE320" i="48"/>
  <c r="AY320" i="48"/>
  <c r="AS320" i="48"/>
  <c r="AM320" i="48"/>
  <c r="AG320" i="48"/>
  <c r="AA320" i="48"/>
  <c r="U320" i="48"/>
  <c r="O320" i="48"/>
  <c r="I320" i="48"/>
  <c r="C320" i="48"/>
  <c r="DM319" i="48"/>
  <c r="DG319" i="48"/>
  <c r="DA319" i="48"/>
  <c r="CU319" i="48"/>
  <c r="CO319" i="48"/>
  <c r="CI319" i="48"/>
  <c r="CC319" i="48"/>
  <c r="BW319" i="48"/>
  <c r="BQ319" i="48"/>
  <c r="BK319" i="48"/>
  <c r="BE319" i="48"/>
  <c r="AY319" i="48"/>
  <c r="AS319" i="48"/>
  <c r="AM319" i="48"/>
  <c r="AG319" i="48"/>
  <c r="AA319" i="48"/>
  <c r="U319" i="48"/>
  <c r="O319" i="48"/>
  <c r="I319" i="48"/>
  <c r="C319" i="48"/>
  <c r="DM318" i="48"/>
  <c r="DG318" i="48"/>
  <c r="DA318" i="48"/>
  <c r="CU318" i="48"/>
  <c r="CO318" i="48"/>
  <c r="CI318" i="48"/>
  <c r="CC318" i="48"/>
  <c r="BW318" i="48"/>
  <c r="BQ318" i="48"/>
  <c r="BK318" i="48"/>
  <c r="BE318" i="48"/>
  <c r="AY318" i="48"/>
  <c r="AS318" i="48"/>
  <c r="AM318" i="48"/>
  <c r="AG318" i="48"/>
  <c r="AA318" i="48"/>
  <c r="U318" i="48"/>
  <c r="O318" i="48"/>
  <c r="I318" i="48"/>
  <c r="C318" i="48"/>
  <c r="DM317" i="48"/>
  <c r="DG317" i="48"/>
  <c r="DA317" i="48"/>
  <c r="CU317" i="48"/>
  <c r="CO317" i="48"/>
  <c r="CI317" i="48"/>
  <c r="CC317" i="48"/>
  <c r="BW317" i="48"/>
  <c r="BQ317" i="48"/>
  <c r="BK317" i="48"/>
  <c r="BE317" i="48"/>
  <c r="AY317" i="48"/>
  <c r="AS317" i="48"/>
  <c r="AM317" i="48"/>
  <c r="AG317" i="48"/>
  <c r="AA317" i="48"/>
  <c r="U317" i="48"/>
  <c r="O317" i="48"/>
  <c r="I317" i="48"/>
  <c r="C317" i="48"/>
  <c r="DM316" i="48"/>
  <c r="DG316" i="48"/>
  <c r="DA316" i="48"/>
  <c r="CU316" i="48"/>
  <c r="CO316" i="48"/>
  <c r="CI316" i="48"/>
  <c r="CC316" i="48"/>
  <c r="BW316" i="48"/>
  <c r="BQ316" i="48"/>
  <c r="BK316" i="48"/>
  <c r="BE316" i="48"/>
  <c r="AY316" i="48"/>
  <c r="AS316" i="48"/>
  <c r="AM316" i="48"/>
  <c r="AG316" i="48"/>
  <c r="AA316" i="48"/>
  <c r="U316" i="48"/>
  <c r="O316" i="48"/>
  <c r="I316" i="48"/>
  <c r="C316" i="48"/>
  <c r="DM315" i="48"/>
  <c r="DG315" i="48"/>
  <c r="DA315" i="48"/>
  <c r="CU315" i="48"/>
  <c r="CO315" i="48"/>
  <c r="CI315" i="48"/>
  <c r="CC315" i="48"/>
  <c r="BW315" i="48"/>
  <c r="BQ315" i="48"/>
  <c r="BK315" i="48"/>
  <c r="BE315" i="48"/>
  <c r="AY315" i="48"/>
  <c r="AS315" i="48"/>
  <c r="AM315" i="48"/>
  <c r="AG315" i="48"/>
  <c r="AA315" i="48"/>
  <c r="U315" i="48"/>
  <c r="O315" i="48"/>
  <c r="I315" i="48"/>
  <c r="C315" i="48"/>
  <c r="DM314" i="48"/>
  <c r="DG314" i="48"/>
  <c r="DA314" i="48"/>
  <c r="CU314" i="48"/>
  <c r="CO314" i="48"/>
  <c r="CI314" i="48"/>
  <c r="CC314" i="48"/>
  <c r="BW314" i="48"/>
  <c r="BQ314" i="48"/>
  <c r="BK314" i="48"/>
  <c r="BE314" i="48"/>
  <c r="AY314" i="48"/>
  <c r="AS314" i="48"/>
  <c r="AM314" i="48"/>
  <c r="AG314" i="48"/>
  <c r="AA314" i="48"/>
  <c r="U314" i="48"/>
  <c r="O314" i="48"/>
  <c r="I314" i="48"/>
  <c r="C314" i="48"/>
  <c r="DM313" i="48"/>
  <c r="DG313" i="48"/>
  <c r="DA313" i="48"/>
  <c r="CU313" i="48"/>
  <c r="CO313" i="48"/>
  <c r="CI313" i="48"/>
  <c r="CC313" i="48"/>
  <c r="BW313" i="48"/>
  <c r="BQ313" i="48"/>
  <c r="BK313" i="48"/>
  <c r="BE313" i="48"/>
  <c r="AY313" i="48"/>
  <c r="AS313" i="48"/>
  <c r="AM313" i="48"/>
  <c r="AG313" i="48"/>
  <c r="AA313" i="48"/>
  <c r="U313" i="48"/>
  <c r="O313" i="48"/>
  <c r="I313" i="48"/>
  <c r="C313" i="48"/>
  <c r="DM312" i="48"/>
  <c r="DG312" i="48"/>
  <c r="DA312" i="48"/>
  <c r="CU312" i="48"/>
  <c r="CO312" i="48"/>
  <c r="CI312" i="48"/>
  <c r="CC312" i="48"/>
  <c r="BW312" i="48"/>
  <c r="BQ312" i="48"/>
  <c r="BK312" i="48"/>
  <c r="BE312" i="48"/>
  <c r="AY312" i="48"/>
  <c r="AS312" i="48"/>
  <c r="AM312" i="48"/>
  <c r="AG312" i="48"/>
  <c r="AA312" i="48"/>
  <c r="U312" i="48"/>
  <c r="O312" i="48"/>
  <c r="I312" i="48"/>
  <c r="C312" i="48"/>
  <c r="DM311" i="48"/>
  <c r="DG311" i="48"/>
  <c r="DA311" i="48"/>
  <c r="CU311" i="48"/>
  <c r="CO311" i="48"/>
  <c r="CI311" i="48"/>
  <c r="CC311" i="48"/>
  <c r="BW311" i="48"/>
  <c r="BQ311" i="48"/>
  <c r="BK311" i="48"/>
  <c r="BE311" i="48"/>
  <c r="AY311" i="48"/>
  <c r="AS311" i="48"/>
  <c r="AM311" i="48"/>
  <c r="AG311" i="48"/>
  <c r="AA311" i="48"/>
  <c r="U311" i="48"/>
  <c r="O311" i="48"/>
  <c r="I311" i="48"/>
  <c r="C311" i="48"/>
  <c r="DM310" i="48"/>
  <c r="DG310" i="48"/>
  <c r="DA310" i="48"/>
  <c r="CU310" i="48"/>
  <c r="CO310" i="48"/>
  <c r="CI310" i="48"/>
  <c r="CC310" i="48"/>
  <c r="BW310" i="48"/>
  <c r="BQ310" i="48"/>
  <c r="BK310" i="48"/>
  <c r="BE310" i="48"/>
  <c r="AY310" i="48"/>
  <c r="AS310" i="48"/>
  <c r="AM310" i="48"/>
  <c r="AG310" i="48"/>
  <c r="AA310" i="48"/>
  <c r="U310" i="48"/>
  <c r="O310" i="48"/>
  <c r="I310" i="48"/>
  <c r="C310" i="48"/>
  <c r="DM309" i="48"/>
  <c r="DG309" i="48"/>
  <c r="DA309" i="48"/>
  <c r="CU309" i="48"/>
  <c r="CO309" i="48"/>
  <c r="CI309" i="48"/>
  <c r="CC309" i="48"/>
  <c r="BW309" i="48"/>
  <c r="BQ309" i="48"/>
  <c r="BK309" i="48"/>
  <c r="BE309" i="48"/>
  <c r="AY309" i="48"/>
  <c r="AS309" i="48"/>
  <c r="AM309" i="48"/>
  <c r="AG309" i="48"/>
  <c r="AA309" i="48"/>
  <c r="U309" i="48"/>
  <c r="O309" i="48"/>
  <c r="I309" i="48"/>
  <c r="C309" i="48"/>
  <c r="DM308" i="48"/>
  <c r="DG308" i="48"/>
  <c r="DA308" i="48"/>
  <c r="CU308" i="48"/>
  <c r="CO308" i="48"/>
  <c r="CI308" i="48"/>
  <c r="CC308" i="48"/>
  <c r="BW308" i="48"/>
  <c r="BQ308" i="48"/>
  <c r="BK308" i="48"/>
  <c r="BE308" i="48"/>
  <c r="AY308" i="48"/>
  <c r="AS308" i="48"/>
  <c r="AM308" i="48"/>
  <c r="AG308" i="48"/>
  <c r="AA308" i="48"/>
  <c r="U308" i="48"/>
  <c r="O308" i="48"/>
  <c r="I308" i="48"/>
  <c r="C308" i="48"/>
  <c r="DM307" i="48"/>
  <c r="DG307" i="48"/>
  <c r="DA307" i="48"/>
  <c r="CU307" i="48"/>
  <c r="CO307" i="48"/>
  <c r="CI307" i="48"/>
  <c r="CC307" i="48"/>
  <c r="BW307" i="48"/>
  <c r="BQ307" i="48"/>
  <c r="BK307" i="48"/>
  <c r="BE307" i="48"/>
  <c r="AY307" i="48"/>
  <c r="AS307" i="48"/>
  <c r="AM307" i="48"/>
  <c r="AG307" i="48"/>
  <c r="AA307" i="48"/>
  <c r="U307" i="48"/>
  <c r="O307" i="48"/>
  <c r="I307" i="48"/>
  <c r="C307" i="48"/>
  <c r="DM306" i="48"/>
  <c r="DG306" i="48"/>
  <c r="DA306" i="48"/>
  <c r="CU306" i="48"/>
  <c r="CO306" i="48"/>
  <c r="CI306" i="48"/>
  <c r="CC306" i="48"/>
  <c r="BW306" i="48"/>
  <c r="BQ306" i="48"/>
  <c r="BK306" i="48"/>
  <c r="BE306" i="48"/>
  <c r="AY306" i="48"/>
  <c r="AS306" i="48"/>
  <c r="AM306" i="48"/>
  <c r="AG306" i="48"/>
  <c r="AA306" i="48"/>
  <c r="U306" i="48"/>
  <c r="O306" i="48"/>
  <c r="I306" i="48"/>
  <c r="C306" i="48"/>
  <c r="DM305" i="48"/>
  <c r="DG305" i="48"/>
  <c r="DA305" i="48"/>
  <c r="CU305" i="48"/>
  <c r="CO305" i="48"/>
  <c r="CI305" i="48"/>
  <c r="CC305" i="48"/>
  <c r="BW305" i="48"/>
  <c r="BQ305" i="48"/>
  <c r="BK305" i="48"/>
  <c r="BE305" i="48"/>
  <c r="AY305" i="48"/>
  <c r="AS305" i="48"/>
  <c r="AM305" i="48"/>
  <c r="AG305" i="48"/>
  <c r="AA305" i="48"/>
  <c r="U305" i="48"/>
  <c r="O305" i="48"/>
  <c r="I305" i="48"/>
  <c r="C305" i="48"/>
  <c r="DM304" i="48"/>
  <c r="DG304" i="48"/>
  <c r="DA304" i="48"/>
  <c r="CU304" i="48"/>
  <c r="CO304" i="48"/>
  <c r="CI304" i="48"/>
  <c r="CC304" i="48"/>
  <c r="BW304" i="48"/>
  <c r="BQ304" i="48"/>
  <c r="BK304" i="48"/>
  <c r="BE304" i="48"/>
  <c r="AY304" i="48"/>
  <c r="AS304" i="48"/>
  <c r="AM304" i="48"/>
  <c r="AG304" i="48"/>
  <c r="AA304" i="48"/>
  <c r="U304" i="48"/>
  <c r="O304" i="48"/>
  <c r="I304" i="48"/>
  <c r="C304" i="48"/>
  <c r="DM303" i="48"/>
  <c r="DG303" i="48"/>
  <c r="DA303" i="48"/>
  <c r="CU303" i="48"/>
  <c r="CO303" i="48"/>
  <c r="CI303" i="48"/>
  <c r="CC303" i="48"/>
  <c r="BW303" i="48"/>
  <c r="BQ303" i="48"/>
  <c r="BK303" i="48"/>
  <c r="BE303" i="48"/>
  <c r="AY303" i="48"/>
  <c r="AS303" i="48"/>
  <c r="AM303" i="48"/>
  <c r="AG303" i="48"/>
  <c r="AA303" i="48"/>
  <c r="U303" i="48"/>
  <c r="O303" i="48"/>
  <c r="I303" i="48"/>
  <c r="C303" i="48"/>
  <c r="DM302" i="48"/>
  <c r="DG302" i="48"/>
  <c r="DA302" i="48"/>
  <c r="CU302" i="48"/>
  <c r="CO302" i="48"/>
  <c r="CI302" i="48"/>
  <c r="CC302" i="48"/>
  <c r="BW302" i="48"/>
  <c r="BQ302" i="48"/>
  <c r="BK302" i="48"/>
  <c r="BE302" i="48"/>
  <c r="AY302" i="48"/>
  <c r="AS302" i="48"/>
  <c r="AM302" i="48"/>
  <c r="AG302" i="48"/>
  <c r="AA302" i="48"/>
  <c r="U302" i="48"/>
  <c r="O302" i="48"/>
  <c r="I302" i="48"/>
  <c r="C302" i="48"/>
  <c r="DM301" i="48"/>
  <c r="DG301" i="48"/>
  <c r="DA301" i="48"/>
  <c r="CU301" i="48"/>
  <c r="CO301" i="48"/>
  <c r="CI301" i="48"/>
  <c r="CC301" i="48"/>
  <c r="BW301" i="48"/>
  <c r="BQ301" i="48"/>
  <c r="BK301" i="48"/>
  <c r="BE301" i="48"/>
  <c r="AY301" i="48"/>
  <c r="AS301" i="48"/>
  <c r="AM301" i="48"/>
  <c r="AG301" i="48"/>
  <c r="AA301" i="48"/>
  <c r="U301" i="48"/>
  <c r="O301" i="48"/>
  <c r="I301" i="48"/>
  <c r="C301" i="48"/>
  <c r="DM300" i="48"/>
  <c r="DG300" i="48"/>
  <c r="DA300" i="48"/>
  <c r="CU300" i="48"/>
  <c r="CO300" i="48"/>
  <c r="CI300" i="48"/>
  <c r="CC300" i="48"/>
  <c r="BW300" i="48"/>
  <c r="BQ300" i="48"/>
  <c r="BK300" i="48"/>
  <c r="BE300" i="48"/>
  <c r="AY300" i="48"/>
  <c r="AS300" i="48"/>
  <c r="AM300" i="48"/>
  <c r="AG300" i="48"/>
  <c r="AA300" i="48"/>
  <c r="U300" i="48"/>
  <c r="O300" i="48"/>
  <c r="I300" i="48"/>
  <c r="C300" i="48"/>
  <c r="DM299" i="48"/>
  <c r="DG299" i="48"/>
  <c r="DA299" i="48"/>
  <c r="CU299" i="48"/>
  <c r="CO299" i="48"/>
  <c r="CI299" i="48"/>
  <c r="CC299" i="48"/>
  <c r="BW299" i="48"/>
  <c r="BQ299" i="48"/>
  <c r="BK299" i="48"/>
  <c r="BE299" i="48"/>
  <c r="AY299" i="48"/>
  <c r="AS299" i="48"/>
  <c r="AM299" i="48"/>
  <c r="AG299" i="48"/>
  <c r="AA299" i="48"/>
  <c r="U299" i="48"/>
  <c r="O299" i="48"/>
  <c r="I299" i="48"/>
  <c r="C299" i="48"/>
  <c r="DM298" i="48"/>
  <c r="DG298" i="48"/>
  <c r="DA298" i="48"/>
  <c r="CU298" i="48"/>
  <c r="CO298" i="48"/>
  <c r="CI298" i="48"/>
  <c r="CC298" i="48"/>
  <c r="BW298" i="48"/>
  <c r="BQ298" i="48"/>
  <c r="BK298" i="48"/>
  <c r="BE298" i="48"/>
  <c r="AY298" i="48"/>
  <c r="AS298" i="48"/>
  <c r="AM298" i="48"/>
  <c r="AG298" i="48"/>
  <c r="AA298" i="48"/>
  <c r="U298" i="48"/>
  <c r="O298" i="48"/>
  <c r="I298" i="48"/>
  <c r="C298" i="48"/>
  <c r="DM297" i="48"/>
  <c r="DG297" i="48"/>
  <c r="DA297" i="48"/>
  <c r="CU297" i="48"/>
  <c r="CO297" i="48"/>
  <c r="CI297" i="48"/>
  <c r="CC297" i="48"/>
  <c r="BW297" i="48"/>
  <c r="BQ297" i="48"/>
  <c r="BK297" i="48"/>
  <c r="BE297" i="48"/>
  <c r="AY297" i="48"/>
  <c r="AS297" i="48"/>
  <c r="AM297" i="48"/>
  <c r="AG297" i="48"/>
  <c r="AA297" i="48"/>
  <c r="U297" i="48"/>
  <c r="O297" i="48"/>
  <c r="I297" i="48"/>
  <c r="C297" i="48"/>
  <c r="DM296" i="48"/>
  <c r="DG296" i="48"/>
  <c r="DA296" i="48"/>
  <c r="CU296" i="48"/>
  <c r="CO296" i="48"/>
  <c r="CI296" i="48"/>
  <c r="CC296" i="48"/>
  <c r="BW296" i="48"/>
  <c r="BQ296" i="48"/>
  <c r="BK296" i="48"/>
  <c r="BE296" i="48"/>
  <c r="AY296" i="48"/>
  <c r="AS296" i="48"/>
  <c r="AM296" i="48"/>
  <c r="AG296" i="48"/>
  <c r="AA296" i="48"/>
  <c r="U296" i="48"/>
  <c r="O296" i="48"/>
  <c r="I296" i="48"/>
  <c r="C296" i="48"/>
  <c r="DM295" i="48"/>
  <c r="DG295" i="48"/>
  <c r="DA295" i="48"/>
  <c r="CU295" i="48"/>
  <c r="CO295" i="48"/>
  <c r="CI295" i="48"/>
  <c r="CC295" i="48"/>
  <c r="BW295" i="48"/>
  <c r="BQ295" i="48"/>
  <c r="BK295" i="48"/>
  <c r="BE295" i="48"/>
  <c r="AY295" i="48"/>
  <c r="AS295" i="48"/>
  <c r="AM295" i="48"/>
  <c r="AG295" i="48"/>
  <c r="AA295" i="48"/>
  <c r="U295" i="48"/>
  <c r="O295" i="48"/>
  <c r="I295" i="48"/>
  <c r="C295" i="48"/>
  <c r="DM294" i="48"/>
  <c r="DG294" i="48"/>
  <c r="DA294" i="48"/>
  <c r="CU294" i="48"/>
  <c r="CO294" i="48"/>
  <c r="CI294" i="48"/>
  <c r="CC294" i="48"/>
  <c r="BW294" i="48"/>
  <c r="BQ294" i="48"/>
  <c r="BK294" i="48"/>
  <c r="BE294" i="48"/>
  <c r="AY294" i="48"/>
  <c r="AS294" i="48"/>
  <c r="AM294" i="48"/>
  <c r="AG294" i="48"/>
  <c r="AA294" i="48"/>
  <c r="U294" i="48"/>
  <c r="O294" i="48"/>
  <c r="I294" i="48"/>
  <c r="C294" i="48"/>
  <c r="DM293" i="48"/>
  <c r="DG293" i="48"/>
  <c r="DA293" i="48"/>
  <c r="CU293" i="48"/>
  <c r="CO293" i="48"/>
  <c r="CI293" i="48"/>
  <c r="CC293" i="48"/>
  <c r="BW293" i="48"/>
  <c r="BQ293" i="48"/>
  <c r="BK293" i="48"/>
  <c r="BE293" i="48"/>
  <c r="AY293" i="48"/>
  <c r="AS293" i="48"/>
  <c r="AM293" i="48"/>
  <c r="AG293" i="48"/>
  <c r="AA293" i="48"/>
  <c r="U293" i="48"/>
  <c r="O293" i="48"/>
  <c r="I293" i="48"/>
  <c r="C293" i="48"/>
  <c r="DM292" i="48"/>
  <c r="DG292" i="48"/>
  <c r="DA292" i="48"/>
  <c r="CU292" i="48"/>
  <c r="CO292" i="48"/>
  <c r="CI292" i="48"/>
  <c r="CC292" i="48"/>
  <c r="BW292" i="48"/>
  <c r="BQ292" i="48"/>
  <c r="BK292" i="48"/>
  <c r="BE292" i="48"/>
  <c r="AY292" i="48"/>
  <c r="AS292" i="48"/>
  <c r="AM292" i="48"/>
  <c r="AG292" i="48"/>
  <c r="AA292" i="48"/>
  <c r="U292" i="48"/>
  <c r="O292" i="48"/>
  <c r="I292" i="48"/>
  <c r="C292" i="48"/>
  <c r="DM291" i="48"/>
  <c r="DG291" i="48"/>
  <c r="DA291" i="48"/>
  <c r="CU291" i="48"/>
  <c r="CO291" i="48"/>
  <c r="CI291" i="48"/>
  <c r="CC291" i="48"/>
  <c r="BW291" i="48"/>
  <c r="BQ291" i="48"/>
  <c r="BK291" i="48"/>
  <c r="BE291" i="48"/>
  <c r="AY291" i="48"/>
  <c r="AS291" i="48"/>
  <c r="AM291" i="48"/>
  <c r="AG291" i="48"/>
  <c r="AA291" i="48"/>
  <c r="U291" i="48"/>
  <c r="O291" i="48"/>
  <c r="I291" i="48"/>
  <c r="C291" i="48"/>
  <c r="DM290" i="48"/>
  <c r="DG290" i="48"/>
  <c r="DA290" i="48"/>
  <c r="CU290" i="48"/>
  <c r="CO290" i="48"/>
  <c r="CI290" i="48"/>
  <c r="CC290" i="48"/>
  <c r="BW290" i="48"/>
  <c r="BQ290" i="48"/>
  <c r="BK290" i="48"/>
  <c r="BE290" i="48"/>
  <c r="AY290" i="48"/>
  <c r="AS290" i="48"/>
  <c r="AM290" i="48"/>
  <c r="AG290" i="48"/>
  <c r="AA290" i="48"/>
  <c r="U290" i="48"/>
  <c r="O290" i="48"/>
  <c r="I290" i="48"/>
  <c r="C290" i="48"/>
  <c r="DM289" i="48"/>
  <c r="DG289" i="48"/>
  <c r="DA289" i="48"/>
  <c r="CU289" i="48"/>
  <c r="CO289" i="48"/>
  <c r="CI289" i="48"/>
  <c r="CC289" i="48"/>
  <c r="BW289" i="48"/>
  <c r="BQ289" i="48"/>
  <c r="BK289" i="48"/>
  <c r="BE289" i="48"/>
  <c r="AY289" i="48"/>
  <c r="AS289" i="48"/>
  <c r="AM289" i="48"/>
  <c r="AG289" i="48"/>
  <c r="AA289" i="48"/>
  <c r="U289" i="48"/>
  <c r="O289" i="48"/>
  <c r="I289" i="48"/>
  <c r="C289" i="48"/>
  <c r="DM288" i="48"/>
  <c r="DG288" i="48"/>
  <c r="DA288" i="48"/>
  <c r="CU288" i="48"/>
  <c r="CO288" i="48"/>
  <c r="CI288" i="48"/>
  <c r="CC288" i="48"/>
  <c r="BW288" i="48"/>
  <c r="BQ288" i="48"/>
  <c r="BK288" i="48"/>
  <c r="BE288" i="48"/>
  <c r="AY288" i="48"/>
  <c r="AS288" i="48"/>
  <c r="AM288" i="48"/>
  <c r="AG288" i="48"/>
  <c r="AA288" i="48"/>
  <c r="U288" i="48"/>
  <c r="O288" i="48"/>
  <c r="I288" i="48"/>
  <c r="C288" i="48"/>
  <c r="DM287" i="48"/>
  <c r="DG287" i="48"/>
  <c r="DA287" i="48"/>
  <c r="CU287" i="48"/>
  <c r="CO287" i="48"/>
  <c r="CI287" i="48"/>
  <c r="CC287" i="48"/>
  <c r="BW287" i="48"/>
  <c r="BQ287" i="48"/>
  <c r="BK287" i="48"/>
  <c r="BE287" i="48"/>
  <c r="AY287" i="48"/>
  <c r="AS287" i="48"/>
  <c r="AM287" i="48"/>
  <c r="AG287" i="48"/>
  <c r="AA287" i="48"/>
  <c r="U287" i="48"/>
  <c r="O287" i="48"/>
  <c r="I287" i="48"/>
  <c r="C287" i="48"/>
  <c r="DM286" i="48"/>
  <c r="DG286" i="48"/>
  <c r="DA286" i="48"/>
  <c r="CU286" i="48"/>
  <c r="CO286" i="48"/>
  <c r="CI286" i="48"/>
  <c r="CC286" i="48"/>
  <c r="BW286" i="48"/>
  <c r="BQ286" i="48"/>
  <c r="BK286" i="48"/>
  <c r="BE286" i="48"/>
  <c r="AY286" i="48"/>
  <c r="AS286" i="48"/>
  <c r="AM286" i="48"/>
  <c r="AG286" i="48"/>
  <c r="AA286" i="48"/>
  <c r="U286" i="48"/>
  <c r="O286" i="48"/>
  <c r="I286" i="48"/>
  <c r="C286" i="48"/>
  <c r="DM285" i="48"/>
  <c r="DG285" i="48"/>
  <c r="DA285" i="48"/>
  <c r="CU285" i="48"/>
  <c r="CO285" i="48"/>
  <c r="CI285" i="48"/>
  <c r="CC285" i="48"/>
  <c r="BW285" i="48"/>
  <c r="BQ285" i="48"/>
  <c r="BK285" i="48"/>
  <c r="BE285" i="48"/>
  <c r="AY285" i="48"/>
  <c r="AS285" i="48"/>
  <c r="AM285" i="48"/>
  <c r="AG285" i="48"/>
  <c r="AA285" i="48"/>
  <c r="U285" i="48"/>
  <c r="O285" i="48"/>
  <c r="I285" i="48"/>
  <c r="C285" i="48"/>
  <c r="DM284" i="48"/>
  <c r="DG284" i="48"/>
  <c r="DA284" i="48"/>
  <c r="CU284" i="48"/>
  <c r="CO284" i="48"/>
  <c r="CI284" i="48"/>
  <c r="CC284" i="48"/>
  <c r="BW284" i="48"/>
  <c r="BQ284" i="48"/>
  <c r="BK284" i="48"/>
  <c r="BE284" i="48"/>
  <c r="AY284" i="48"/>
  <c r="AS284" i="48"/>
  <c r="AM284" i="48"/>
  <c r="AG284" i="48"/>
  <c r="AA284" i="48"/>
  <c r="U284" i="48"/>
  <c r="O284" i="48"/>
  <c r="I284" i="48"/>
  <c r="C284" i="48"/>
  <c r="DM283" i="48"/>
  <c r="DG283" i="48"/>
  <c r="DA283" i="48"/>
  <c r="CU283" i="48"/>
  <c r="CO283" i="48"/>
  <c r="CI283" i="48"/>
  <c r="CC283" i="48"/>
  <c r="BW283" i="48"/>
  <c r="BQ283" i="48"/>
  <c r="BK283" i="48"/>
  <c r="BE283" i="48"/>
  <c r="AY283" i="48"/>
  <c r="AS283" i="48"/>
  <c r="AM283" i="48"/>
  <c r="AG283" i="48"/>
  <c r="AA283" i="48"/>
  <c r="U283" i="48"/>
  <c r="O283" i="48"/>
  <c r="I283" i="48"/>
  <c r="C283" i="48"/>
  <c r="DM282" i="48"/>
  <c r="DG282" i="48"/>
  <c r="DA282" i="48"/>
  <c r="CU282" i="48"/>
  <c r="CO282" i="48"/>
  <c r="CI282" i="48"/>
  <c r="CC282" i="48"/>
  <c r="BW282" i="48"/>
  <c r="BQ282" i="48"/>
  <c r="BK282" i="48"/>
  <c r="BE282" i="48"/>
  <c r="AY282" i="48"/>
  <c r="AS282" i="48"/>
  <c r="AM282" i="48"/>
  <c r="AG282" i="48"/>
  <c r="AA282" i="48"/>
  <c r="U282" i="48"/>
  <c r="O282" i="48"/>
  <c r="I282" i="48"/>
  <c r="C282" i="48"/>
  <c r="DM281" i="48"/>
  <c r="DG281" i="48"/>
  <c r="DA281" i="48"/>
  <c r="CU281" i="48"/>
  <c r="CO281" i="48"/>
  <c r="CI281" i="48"/>
  <c r="CC281" i="48"/>
  <c r="BW281" i="48"/>
  <c r="BQ281" i="48"/>
  <c r="BK281" i="48"/>
  <c r="BE281" i="48"/>
  <c r="AY281" i="48"/>
  <c r="AS281" i="48"/>
  <c r="AM281" i="48"/>
  <c r="AG281" i="48"/>
  <c r="AA281" i="48"/>
  <c r="U281" i="48"/>
  <c r="O281" i="48"/>
  <c r="I281" i="48"/>
  <c r="C281" i="48"/>
  <c r="DM280" i="48"/>
  <c r="DG280" i="48"/>
  <c r="DA280" i="48"/>
  <c r="CU280" i="48"/>
  <c r="CO280" i="48"/>
  <c r="CI280" i="48"/>
  <c r="CC280" i="48"/>
  <c r="BW280" i="48"/>
  <c r="BQ280" i="48"/>
  <c r="BK280" i="48"/>
  <c r="BE280" i="48"/>
  <c r="AY280" i="48"/>
  <c r="AS280" i="48"/>
  <c r="AM280" i="48"/>
  <c r="AG280" i="48"/>
  <c r="AA280" i="48"/>
  <c r="U280" i="48"/>
  <c r="O280" i="48"/>
  <c r="I280" i="48"/>
  <c r="C280" i="48"/>
  <c r="DM279" i="48"/>
  <c r="DG279" i="48"/>
  <c r="DA279" i="48"/>
  <c r="CU279" i="48"/>
  <c r="CO279" i="48"/>
  <c r="CI279" i="48"/>
  <c r="CC279" i="48"/>
  <c r="BW279" i="48"/>
  <c r="BQ279" i="48"/>
  <c r="BK279" i="48"/>
  <c r="BE279" i="48"/>
  <c r="AY279" i="48"/>
  <c r="AS279" i="48"/>
  <c r="AM279" i="48"/>
  <c r="AG279" i="48"/>
  <c r="AA279" i="48"/>
  <c r="U279" i="48"/>
  <c r="O279" i="48"/>
  <c r="I279" i="48"/>
  <c r="C279" i="48"/>
  <c r="DM278" i="48"/>
  <c r="DG278" i="48"/>
  <c r="DA278" i="48"/>
  <c r="CU278" i="48"/>
  <c r="CO278" i="48"/>
  <c r="CI278" i="48"/>
  <c r="CC278" i="48"/>
  <c r="BW278" i="48"/>
  <c r="BQ278" i="48"/>
  <c r="BK278" i="48"/>
  <c r="BE278" i="48"/>
  <c r="AY278" i="48"/>
  <c r="AS278" i="48"/>
  <c r="AM278" i="48"/>
  <c r="AG278" i="48"/>
  <c r="AA278" i="48"/>
  <c r="U278" i="48"/>
  <c r="O278" i="48"/>
  <c r="I278" i="48"/>
  <c r="C278" i="48"/>
  <c r="DM277" i="48"/>
  <c r="DG277" i="48"/>
  <c r="DA277" i="48"/>
  <c r="CU277" i="48"/>
  <c r="CO277" i="48"/>
  <c r="CI277" i="48"/>
  <c r="CC277" i="48"/>
  <c r="BW277" i="48"/>
  <c r="BQ277" i="48"/>
  <c r="BK277" i="48"/>
  <c r="BE277" i="48"/>
  <c r="AY277" i="48"/>
  <c r="AS277" i="48"/>
  <c r="AM277" i="48"/>
  <c r="AG277" i="48"/>
  <c r="AA277" i="48"/>
  <c r="U277" i="48"/>
  <c r="O277" i="48"/>
  <c r="I277" i="48"/>
  <c r="C277" i="48"/>
  <c r="DM276" i="48"/>
  <c r="DG276" i="48"/>
  <c r="DA276" i="48"/>
  <c r="CU276" i="48"/>
  <c r="CO276" i="48"/>
  <c r="CI276" i="48"/>
  <c r="CC276" i="48"/>
  <c r="BW276" i="48"/>
  <c r="BQ276" i="48"/>
  <c r="BK276" i="48"/>
  <c r="BE276" i="48"/>
  <c r="AY276" i="48"/>
  <c r="AS276" i="48"/>
  <c r="AM276" i="48"/>
  <c r="AG276" i="48"/>
  <c r="AA276" i="48"/>
  <c r="U276" i="48"/>
  <c r="O276" i="48"/>
  <c r="I276" i="48"/>
  <c r="C276" i="48"/>
  <c r="DM275" i="48"/>
  <c r="DG275" i="48"/>
  <c r="DA275" i="48"/>
  <c r="CU275" i="48"/>
  <c r="CO275" i="48"/>
  <c r="CI275" i="48"/>
  <c r="CC275" i="48"/>
  <c r="BW275" i="48"/>
  <c r="BQ275" i="48"/>
  <c r="BK275" i="48"/>
  <c r="BE275" i="48"/>
  <c r="AY275" i="48"/>
  <c r="AS275" i="48"/>
  <c r="AM275" i="48"/>
  <c r="AG275" i="48"/>
  <c r="AA275" i="48"/>
  <c r="U275" i="48"/>
  <c r="O275" i="48"/>
  <c r="I275" i="48"/>
  <c r="C275" i="48"/>
  <c r="DM274" i="48"/>
  <c r="DG274" i="48"/>
  <c r="DA274" i="48"/>
  <c r="CU274" i="48"/>
  <c r="CO274" i="48"/>
  <c r="CI274" i="48"/>
  <c r="CC274" i="48"/>
  <c r="BW274" i="48"/>
  <c r="BQ274" i="48"/>
  <c r="BK274" i="48"/>
  <c r="BE274" i="48"/>
  <c r="AY274" i="48"/>
  <c r="AS274" i="48"/>
  <c r="AM274" i="48"/>
  <c r="AG274" i="48"/>
  <c r="AA274" i="48"/>
  <c r="U274" i="48"/>
  <c r="O274" i="48"/>
  <c r="I274" i="48"/>
  <c r="C274" i="48"/>
  <c r="DM273" i="48"/>
  <c r="DG273" i="48"/>
  <c r="DA273" i="48"/>
  <c r="CU273" i="48"/>
  <c r="CO273" i="48"/>
  <c r="CI273" i="48"/>
  <c r="CC273" i="48"/>
  <c r="BW273" i="48"/>
  <c r="BQ273" i="48"/>
  <c r="BK273" i="48"/>
  <c r="BE273" i="48"/>
  <c r="AY273" i="48"/>
  <c r="AS273" i="48"/>
  <c r="AM273" i="48"/>
  <c r="AG273" i="48"/>
  <c r="AA273" i="48"/>
  <c r="U273" i="48"/>
  <c r="O273" i="48"/>
  <c r="I273" i="48"/>
  <c r="C273" i="48"/>
  <c r="DM272" i="48"/>
  <c r="DG272" i="48"/>
  <c r="DA272" i="48"/>
  <c r="CU272" i="48"/>
  <c r="CO272" i="48"/>
  <c r="CI272" i="48"/>
  <c r="CC272" i="48"/>
  <c r="BW272" i="48"/>
  <c r="BQ272" i="48"/>
  <c r="BK272" i="48"/>
  <c r="BE272" i="48"/>
  <c r="AY272" i="48"/>
  <c r="AS272" i="48"/>
  <c r="AM272" i="48"/>
  <c r="AG272" i="48"/>
  <c r="AA272" i="48"/>
  <c r="U272" i="48"/>
  <c r="O272" i="48"/>
  <c r="I272" i="48"/>
  <c r="C272" i="48"/>
  <c r="DM271" i="48"/>
  <c r="DG271" i="48"/>
  <c r="DA271" i="48"/>
  <c r="CU271" i="48"/>
  <c r="CO271" i="48"/>
  <c r="CI271" i="48"/>
  <c r="CC271" i="48"/>
  <c r="BW271" i="48"/>
  <c r="BQ271" i="48"/>
  <c r="BK271" i="48"/>
  <c r="BE271" i="48"/>
  <c r="AY271" i="48"/>
  <c r="AS271" i="48"/>
  <c r="AM271" i="48"/>
  <c r="AG271" i="48"/>
  <c r="AA271" i="48"/>
  <c r="U271" i="48"/>
  <c r="O271" i="48"/>
  <c r="I271" i="48"/>
  <c r="C271" i="48"/>
  <c r="DM270" i="48"/>
  <c r="DG270" i="48"/>
  <c r="DA270" i="48"/>
  <c r="CU270" i="48"/>
  <c r="CO270" i="48"/>
  <c r="CI270" i="48"/>
  <c r="CC270" i="48"/>
  <c r="BW270" i="48"/>
  <c r="BQ270" i="48"/>
  <c r="BK270" i="48"/>
  <c r="BE270" i="48"/>
  <c r="AY270" i="48"/>
  <c r="AS270" i="48"/>
  <c r="AM270" i="48"/>
  <c r="AG270" i="48"/>
  <c r="AA270" i="48"/>
  <c r="U270" i="48"/>
  <c r="O270" i="48"/>
  <c r="I270" i="48"/>
  <c r="C270" i="48"/>
  <c r="DM269" i="48"/>
  <c r="DG269" i="48"/>
  <c r="DA269" i="48"/>
  <c r="CU269" i="48"/>
  <c r="CO269" i="48"/>
  <c r="CI269" i="48"/>
  <c r="CC269" i="48"/>
  <c r="BW269" i="48"/>
  <c r="BQ269" i="48"/>
  <c r="BK269" i="48"/>
  <c r="BE269" i="48"/>
  <c r="AY269" i="48"/>
  <c r="AS269" i="48"/>
  <c r="AM269" i="48"/>
  <c r="AG269" i="48"/>
  <c r="AA269" i="48"/>
  <c r="U269" i="48"/>
  <c r="O269" i="48"/>
  <c r="I269" i="48"/>
  <c r="C269" i="48"/>
  <c r="DM268" i="48"/>
  <c r="DG268" i="48"/>
  <c r="DA268" i="48"/>
  <c r="CU268" i="48"/>
  <c r="CO268" i="48"/>
  <c r="CI268" i="48"/>
  <c r="CC268" i="48"/>
  <c r="BW268" i="48"/>
  <c r="BQ268" i="48"/>
  <c r="BK268" i="48"/>
  <c r="BE268" i="48"/>
  <c r="AY268" i="48"/>
  <c r="AS268" i="48"/>
  <c r="AM268" i="48"/>
  <c r="AG268" i="48"/>
  <c r="AA268" i="48"/>
  <c r="U268" i="48"/>
  <c r="O268" i="48"/>
  <c r="I268" i="48"/>
  <c r="C268" i="48"/>
  <c r="DM267" i="48"/>
  <c r="DG267" i="48"/>
  <c r="DA267" i="48"/>
  <c r="CU267" i="48"/>
  <c r="CO267" i="48"/>
  <c r="CI267" i="48"/>
  <c r="CC267" i="48"/>
  <c r="BW267" i="48"/>
  <c r="BQ267" i="48"/>
  <c r="BK267" i="48"/>
  <c r="BE267" i="48"/>
  <c r="AY267" i="48"/>
  <c r="AS267" i="48"/>
  <c r="AM267" i="48"/>
  <c r="AG267" i="48"/>
  <c r="AA267" i="48"/>
  <c r="U267" i="48"/>
  <c r="O267" i="48"/>
  <c r="I267" i="48"/>
  <c r="C267" i="48"/>
  <c r="DM266" i="48"/>
  <c r="DG266" i="48"/>
  <c r="DA266" i="48"/>
  <c r="CU266" i="48"/>
  <c r="CO266" i="48"/>
  <c r="CI266" i="48"/>
  <c r="CC266" i="48"/>
  <c r="BW266" i="48"/>
  <c r="BQ266" i="48"/>
  <c r="BK266" i="48"/>
  <c r="BE266" i="48"/>
  <c r="AY266" i="48"/>
  <c r="AS266" i="48"/>
  <c r="AM266" i="48"/>
  <c r="AG266" i="48"/>
  <c r="AA266" i="48"/>
  <c r="U266" i="48"/>
  <c r="O266" i="48"/>
  <c r="I266" i="48"/>
  <c r="C266" i="48"/>
  <c r="DM265" i="48"/>
  <c r="DG265" i="48"/>
  <c r="DA265" i="48"/>
  <c r="CU265" i="48"/>
  <c r="CO265" i="48"/>
  <c r="CI265" i="48"/>
  <c r="CC265" i="48"/>
  <c r="BW265" i="48"/>
  <c r="BQ265" i="48"/>
  <c r="BK265" i="48"/>
  <c r="BE265" i="48"/>
  <c r="AY265" i="48"/>
  <c r="AS265" i="48"/>
  <c r="AM265" i="48"/>
  <c r="AG265" i="48"/>
  <c r="AA265" i="48"/>
  <c r="U265" i="48"/>
  <c r="O265" i="48"/>
  <c r="I265" i="48"/>
  <c r="C265" i="48"/>
  <c r="DM264" i="48"/>
  <c r="DG264" i="48"/>
  <c r="DA264" i="48"/>
  <c r="CU264" i="48"/>
  <c r="CO264" i="48"/>
  <c r="CI264" i="48"/>
  <c r="CC264" i="48"/>
  <c r="BW264" i="48"/>
  <c r="BQ264" i="48"/>
  <c r="BK264" i="48"/>
  <c r="BE264" i="48"/>
  <c r="AY264" i="48"/>
  <c r="AS264" i="48"/>
  <c r="AM264" i="48"/>
  <c r="AG264" i="48"/>
  <c r="AA264" i="48"/>
  <c r="U264" i="48"/>
  <c r="O264" i="48"/>
  <c r="I264" i="48"/>
  <c r="C264" i="48"/>
  <c r="DM263" i="48"/>
  <c r="DG263" i="48"/>
  <c r="DA263" i="48"/>
  <c r="CU263" i="48"/>
  <c r="CO263" i="48"/>
  <c r="CI263" i="48"/>
  <c r="CC263" i="48"/>
  <c r="BW263" i="48"/>
  <c r="BQ263" i="48"/>
  <c r="BK263" i="48"/>
  <c r="BE263" i="48"/>
  <c r="AY263" i="48"/>
  <c r="AS263" i="48"/>
  <c r="AM263" i="48"/>
  <c r="AG263" i="48"/>
  <c r="AA263" i="48"/>
  <c r="U263" i="48"/>
  <c r="O263" i="48"/>
  <c r="I263" i="48"/>
  <c r="C263" i="48"/>
  <c r="DM262" i="48"/>
  <c r="DG262" i="48"/>
  <c r="DA262" i="48"/>
  <c r="CU262" i="48"/>
  <c r="CO262" i="48"/>
  <c r="CI262" i="48"/>
  <c r="CC262" i="48"/>
  <c r="BW262" i="48"/>
  <c r="BQ262" i="48"/>
  <c r="BK262" i="48"/>
  <c r="BE262" i="48"/>
  <c r="AY262" i="48"/>
  <c r="AS262" i="48"/>
  <c r="AM262" i="48"/>
  <c r="AG262" i="48"/>
  <c r="AA262" i="48"/>
  <c r="U262" i="48"/>
  <c r="O262" i="48"/>
  <c r="I262" i="48"/>
  <c r="C262" i="48"/>
  <c r="DM261" i="48"/>
  <c r="DG261" i="48"/>
  <c r="DA261" i="48"/>
  <c r="CU261" i="48"/>
  <c r="CO261" i="48"/>
  <c r="CI261" i="48"/>
  <c r="CC261" i="48"/>
  <c r="BW261" i="48"/>
  <c r="BQ261" i="48"/>
  <c r="BK261" i="48"/>
  <c r="BE261" i="48"/>
  <c r="AY261" i="48"/>
  <c r="AS261" i="48"/>
  <c r="AM261" i="48"/>
  <c r="AG261" i="48"/>
  <c r="AA261" i="48"/>
  <c r="U261" i="48"/>
  <c r="O261" i="48"/>
  <c r="I261" i="48"/>
  <c r="C261" i="48"/>
  <c r="DM260" i="48"/>
  <c r="DG260" i="48"/>
  <c r="DA260" i="48"/>
  <c r="CU260" i="48"/>
  <c r="CO260" i="48"/>
  <c r="CI260" i="48"/>
  <c r="CC260" i="48"/>
  <c r="BW260" i="48"/>
  <c r="BQ260" i="48"/>
  <c r="BK260" i="48"/>
  <c r="BE260" i="48"/>
  <c r="AY260" i="48"/>
  <c r="AS260" i="48"/>
  <c r="AM260" i="48"/>
  <c r="AG260" i="48"/>
  <c r="AA260" i="48"/>
  <c r="U260" i="48"/>
  <c r="O260" i="48"/>
  <c r="I260" i="48"/>
  <c r="C260" i="48"/>
  <c r="DM259" i="48"/>
  <c r="DG259" i="48"/>
  <c r="DA259" i="48"/>
  <c r="CU259" i="48"/>
  <c r="CO259" i="48"/>
  <c r="CI259" i="48"/>
  <c r="CC259" i="48"/>
  <c r="BW259" i="48"/>
  <c r="BQ259" i="48"/>
  <c r="BK259" i="48"/>
  <c r="BE259" i="48"/>
  <c r="AY259" i="48"/>
  <c r="AS259" i="48"/>
  <c r="AM259" i="48"/>
  <c r="AG259" i="48"/>
  <c r="AA259" i="48"/>
  <c r="U259" i="48"/>
  <c r="O259" i="48"/>
  <c r="I259" i="48"/>
  <c r="C259" i="48"/>
  <c r="DM258" i="48"/>
  <c r="DG258" i="48"/>
  <c r="DA258" i="48"/>
  <c r="CU258" i="48"/>
  <c r="CO258" i="48"/>
  <c r="CI258" i="48"/>
  <c r="CC258" i="48"/>
  <c r="BW258" i="48"/>
  <c r="BQ258" i="48"/>
  <c r="BK258" i="48"/>
  <c r="BE258" i="48"/>
  <c r="AY258" i="48"/>
  <c r="AS258" i="48"/>
  <c r="AM258" i="48"/>
  <c r="AG258" i="48"/>
  <c r="AA258" i="48"/>
  <c r="U258" i="48"/>
  <c r="O258" i="48"/>
  <c r="I258" i="48"/>
  <c r="C258" i="48"/>
  <c r="DM257" i="48"/>
  <c r="DG257" i="48"/>
  <c r="DA257" i="48"/>
  <c r="CU257" i="48"/>
  <c r="CO257" i="48"/>
  <c r="CI257" i="48"/>
  <c r="CC257" i="48"/>
  <c r="BW257" i="48"/>
  <c r="BQ257" i="48"/>
  <c r="BK257" i="48"/>
  <c r="BE257" i="48"/>
  <c r="AY257" i="48"/>
  <c r="AS257" i="48"/>
  <c r="AM257" i="48"/>
  <c r="AG257" i="48"/>
  <c r="AA257" i="48"/>
  <c r="U257" i="48"/>
  <c r="O257" i="48"/>
  <c r="I257" i="48"/>
  <c r="C257" i="48"/>
  <c r="DM256" i="48"/>
  <c r="DG256" i="48"/>
  <c r="DA256" i="48"/>
  <c r="CU256" i="48"/>
  <c r="CO256" i="48"/>
  <c r="CI256" i="48"/>
  <c r="CC256" i="48"/>
  <c r="BW256" i="48"/>
  <c r="BQ256" i="48"/>
  <c r="BK256" i="48"/>
  <c r="BE256" i="48"/>
  <c r="AY256" i="48"/>
  <c r="AS256" i="48"/>
  <c r="AM256" i="48"/>
  <c r="AG256" i="48"/>
  <c r="AA256" i="48"/>
  <c r="U256" i="48"/>
  <c r="O256" i="48"/>
  <c r="I256" i="48"/>
  <c r="C256" i="48"/>
  <c r="DM255" i="48"/>
  <c r="DG255" i="48"/>
  <c r="DA255" i="48"/>
  <c r="CU255" i="48"/>
  <c r="CO255" i="48"/>
  <c r="CI255" i="48"/>
  <c r="CC255" i="48"/>
  <c r="BW255" i="48"/>
  <c r="BQ255" i="48"/>
  <c r="BK255" i="48"/>
  <c r="BE255" i="48"/>
  <c r="AY255" i="48"/>
  <c r="AS255" i="48"/>
  <c r="AM255" i="48"/>
  <c r="AG255" i="48"/>
  <c r="AA255" i="48"/>
  <c r="U255" i="48"/>
  <c r="O255" i="48"/>
  <c r="I255" i="48"/>
  <c r="C255" i="48"/>
  <c r="DM254" i="48"/>
  <c r="DG254" i="48"/>
  <c r="DA254" i="48"/>
  <c r="CU254" i="48"/>
  <c r="CO254" i="48"/>
  <c r="CI254" i="48"/>
  <c r="CC254" i="48"/>
  <c r="BW254" i="48"/>
  <c r="BQ254" i="48"/>
  <c r="BK254" i="48"/>
  <c r="BE254" i="48"/>
  <c r="AY254" i="48"/>
  <c r="AS254" i="48"/>
  <c r="AM254" i="48"/>
  <c r="AG254" i="48"/>
  <c r="AA254" i="48"/>
  <c r="U254" i="48"/>
  <c r="O254" i="48"/>
  <c r="I254" i="48"/>
  <c r="C254" i="48"/>
  <c r="DM253" i="48"/>
  <c r="DG253" i="48"/>
  <c r="DA253" i="48"/>
  <c r="CU253" i="48"/>
  <c r="CO253" i="48"/>
  <c r="CI253" i="48"/>
  <c r="CC253" i="48"/>
  <c r="BW253" i="48"/>
  <c r="BQ253" i="48"/>
  <c r="BK253" i="48"/>
  <c r="BE253" i="48"/>
  <c r="AY253" i="48"/>
  <c r="AS253" i="48"/>
  <c r="AM253" i="48"/>
  <c r="AG253" i="48"/>
  <c r="AA253" i="48"/>
  <c r="U253" i="48"/>
  <c r="O253" i="48"/>
  <c r="I253" i="48"/>
  <c r="C253" i="48"/>
  <c r="DM252" i="48"/>
  <c r="DG252" i="48"/>
  <c r="DA252" i="48"/>
  <c r="CU252" i="48"/>
  <c r="CO252" i="48"/>
  <c r="CI252" i="48"/>
  <c r="CC252" i="48"/>
  <c r="BW252" i="48"/>
  <c r="BQ252" i="48"/>
  <c r="BK252" i="48"/>
  <c r="BE252" i="48"/>
  <c r="AY252" i="48"/>
  <c r="AS252" i="48"/>
  <c r="AM252" i="48"/>
  <c r="AG252" i="48"/>
  <c r="AA252" i="48"/>
  <c r="U252" i="48"/>
  <c r="O252" i="48"/>
  <c r="I252" i="48"/>
  <c r="C252" i="48"/>
  <c r="DM251" i="48"/>
  <c r="DG251" i="48"/>
  <c r="DA251" i="48"/>
  <c r="CU251" i="48"/>
  <c r="CO251" i="48"/>
  <c r="CI251" i="48"/>
  <c r="CC251" i="48"/>
  <c r="BW251" i="48"/>
  <c r="BQ251" i="48"/>
  <c r="BK251" i="48"/>
  <c r="BE251" i="48"/>
  <c r="AY251" i="48"/>
  <c r="AS251" i="48"/>
  <c r="AM251" i="48"/>
  <c r="AG251" i="48"/>
  <c r="AA251" i="48"/>
  <c r="U251" i="48"/>
  <c r="O251" i="48"/>
  <c r="I251" i="48"/>
  <c r="C251" i="48"/>
  <c r="DM250" i="48"/>
  <c r="DG250" i="48"/>
  <c r="DA250" i="48"/>
  <c r="CU250" i="48"/>
  <c r="CO250" i="48"/>
  <c r="CI250" i="48"/>
  <c r="CC250" i="48"/>
  <c r="BW250" i="48"/>
  <c r="BQ250" i="48"/>
  <c r="BK250" i="48"/>
  <c r="BE250" i="48"/>
  <c r="AY250" i="48"/>
  <c r="AS250" i="48"/>
  <c r="AM250" i="48"/>
  <c r="AG250" i="48"/>
  <c r="AA250" i="48"/>
  <c r="U250" i="48"/>
  <c r="O250" i="48"/>
  <c r="I250" i="48"/>
  <c r="C250" i="48"/>
  <c r="DM249" i="48"/>
  <c r="DG249" i="48"/>
  <c r="DA249" i="48"/>
  <c r="CU249" i="48"/>
  <c r="CO249" i="48"/>
  <c r="CI249" i="48"/>
  <c r="CC249" i="48"/>
  <c r="BW249" i="48"/>
  <c r="BQ249" i="48"/>
  <c r="BK249" i="48"/>
  <c r="BE249" i="48"/>
  <c r="AY249" i="48"/>
  <c r="AS249" i="48"/>
  <c r="AM249" i="48"/>
  <c r="AG249" i="48"/>
  <c r="AA249" i="48"/>
  <c r="U249" i="48"/>
  <c r="O249" i="48"/>
  <c r="I249" i="48"/>
  <c r="C249" i="48"/>
  <c r="DM248" i="48"/>
  <c r="DG248" i="48"/>
  <c r="DA248" i="48"/>
  <c r="CU248" i="48"/>
  <c r="CO248" i="48"/>
  <c r="CI248" i="48"/>
  <c r="CC248" i="48"/>
  <c r="BW248" i="48"/>
  <c r="BQ248" i="48"/>
  <c r="BK248" i="48"/>
  <c r="BE248" i="48"/>
  <c r="AY248" i="48"/>
  <c r="AS248" i="48"/>
  <c r="AM248" i="48"/>
  <c r="AG248" i="48"/>
  <c r="AA248" i="48"/>
  <c r="U248" i="48"/>
  <c r="O248" i="48"/>
  <c r="I248" i="48"/>
  <c r="C248" i="48"/>
  <c r="DM247" i="48"/>
  <c r="DG247" i="48"/>
  <c r="DA247" i="48"/>
  <c r="CU247" i="48"/>
  <c r="CO247" i="48"/>
  <c r="CI247" i="48"/>
  <c r="CC247" i="48"/>
  <c r="BW247" i="48"/>
  <c r="BQ247" i="48"/>
  <c r="BK247" i="48"/>
  <c r="BE247" i="48"/>
  <c r="AY247" i="48"/>
  <c r="AS247" i="48"/>
  <c r="AM247" i="48"/>
  <c r="AG247" i="48"/>
  <c r="AA247" i="48"/>
  <c r="U247" i="48"/>
  <c r="O247" i="48"/>
  <c r="I247" i="48"/>
  <c r="C247" i="48"/>
  <c r="DM246" i="48"/>
  <c r="DG246" i="48"/>
  <c r="DA246" i="48"/>
  <c r="CU246" i="48"/>
  <c r="CO246" i="48"/>
  <c r="CI246" i="48"/>
  <c r="CC246" i="48"/>
  <c r="BW246" i="48"/>
  <c r="BQ246" i="48"/>
  <c r="BK246" i="48"/>
  <c r="BE246" i="48"/>
  <c r="AY246" i="48"/>
  <c r="AS246" i="48"/>
  <c r="AM246" i="48"/>
  <c r="AG246" i="48"/>
  <c r="AA246" i="48"/>
  <c r="U246" i="48"/>
  <c r="O246" i="48"/>
  <c r="I246" i="48"/>
  <c r="C246" i="48"/>
  <c r="DM245" i="48"/>
  <c r="DG245" i="48"/>
  <c r="DA245" i="48"/>
  <c r="CU245" i="48"/>
  <c r="CO245" i="48"/>
  <c r="CI245" i="48"/>
  <c r="CC245" i="48"/>
  <c r="BW245" i="48"/>
  <c r="BQ245" i="48"/>
  <c r="BK245" i="48"/>
  <c r="BE245" i="48"/>
  <c r="AY245" i="48"/>
  <c r="AS245" i="48"/>
  <c r="AM245" i="48"/>
  <c r="AG245" i="48"/>
  <c r="AA245" i="48"/>
  <c r="U245" i="48"/>
  <c r="O245" i="48"/>
  <c r="I245" i="48"/>
  <c r="C245" i="48"/>
  <c r="DM244" i="48"/>
  <c r="DG244" i="48"/>
  <c r="DA244" i="48"/>
  <c r="CU244" i="48"/>
  <c r="CO244" i="48"/>
  <c r="CI244" i="48"/>
  <c r="CC244" i="48"/>
  <c r="BW244" i="48"/>
  <c r="BQ244" i="48"/>
  <c r="BK244" i="48"/>
  <c r="BE244" i="48"/>
  <c r="AY244" i="48"/>
  <c r="AS244" i="48"/>
  <c r="AM244" i="48"/>
  <c r="AG244" i="48"/>
  <c r="AA244" i="48"/>
  <c r="U244" i="48"/>
  <c r="O244" i="48"/>
  <c r="I244" i="48"/>
  <c r="C244" i="48"/>
  <c r="DM243" i="48"/>
  <c r="DG243" i="48"/>
  <c r="DA243" i="48"/>
  <c r="CU243" i="48"/>
  <c r="CO243" i="48"/>
  <c r="CI243" i="48"/>
  <c r="CC243" i="48"/>
  <c r="BW243" i="48"/>
  <c r="BQ243" i="48"/>
  <c r="BK243" i="48"/>
  <c r="BE243" i="48"/>
  <c r="AY243" i="48"/>
  <c r="AS243" i="48"/>
  <c r="AM243" i="48"/>
  <c r="AG243" i="48"/>
  <c r="AA243" i="48"/>
  <c r="U243" i="48"/>
  <c r="O243" i="48"/>
  <c r="I243" i="48"/>
  <c r="C243" i="48"/>
  <c r="DM242" i="48"/>
  <c r="DG242" i="48"/>
  <c r="DA242" i="48"/>
  <c r="CU242" i="48"/>
  <c r="CO242" i="48"/>
  <c r="CI242" i="48"/>
  <c r="CC242" i="48"/>
  <c r="BW242" i="48"/>
  <c r="BQ242" i="48"/>
  <c r="BK242" i="48"/>
  <c r="BE242" i="48"/>
  <c r="AY242" i="48"/>
  <c r="AS242" i="48"/>
  <c r="AM242" i="48"/>
  <c r="AG242" i="48"/>
  <c r="AA242" i="48"/>
  <c r="U242" i="48"/>
  <c r="O242" i="48"/>
  <c r="I242" i="48"/>
  <c r="C242" i="48"/>
  <c r="DM241" i="48"/>
  <c r="DG241" i="48"/>
  <c r="DA241" i="48"/>
  <c r="CU241" i="48"/>
  <c r="CO241" i="48"/>
  <c r="CI241" i="48"/>
  <c r="CC241" i="48"/>
  <c r="BW241" i="48"/>
  <c r="BQ241" i="48"/>
  <c r="BK241" i="48"/>
  <c r="BE241" i="48"/>
  <c r="AY241" i="48"/>
  <c r="AS241" i="48"/>
  <c r="AM241" i="48"/>
  <c r="AG241" i="48"/>
  <c r="AA241" i="48"/>
  <c r="U241" i="48"/>
  <c r="O241" i="48"/>
  <c r="I241" i="48"/>
  <c r="C241" i="48"/>
  <c r="DM240" i="48"/>
  <c r="DG240" i="48"/>
  <c r="DA240" i="48"/>
  <c r="CU240" i="48"/>
  <c r="CO240" i="48"/>
  <c r="CI240" i="48"/>
  <c r="CC240" i="48"/>
  <c r="BW240" i="48"/>
  <c r="BQ240" i="48"/>
  <c r="BK240" i="48"/>
  <c r="BE240" i="48"/>
  <c r="AY240" i="48"/>
  <c r="AS240" i="48"/>
  <c r="AM240" i="48"/>
  <c r="AG240" i="48"/>
  <c r="AA240" i="48"/>
  <c r="U240" i="48"/>
  <c r="O240" i="48"/>
  <c r="I240" i="48"/>
  <c r="C240" i="48"/>
  <c r="DM239" i="48"/>
  <c r="DG239" i="48"/>
  <c r="DA239" i="48"/>
  <c r="CU239" i="48"/>
  <c r="CO239" i="48"/>
  <c r="CI239" i="48"/>
  <c r="CC239" i="48"/>
  <c r="BW239" i="48"/>
  <c r="BQ239" i="48"/>
  <c r="BK239" i="48"/>
  <c r="BE239" i="48"/>
  <c r="AY239" i="48"/>
  <c r="AS239" i="48"/>
  <c r="AM239" i="48"/>
  <c r="AG239" i="48"/>
  <c r="AA239" i="48"/>
  <c r="U239" i="48"/>
  <c r="O239" i="48"/>
  <c r="I239" i="48"/>
  <c r="C239" i="48"/>
  <c r="DM238" i="48"/>
  <c r="DG238" i="48"/>
  <c r="DA238" i="48"/>
  <c r="CU238" i="48"/>
  <c r="CO238" i="48"/>
  <c r="CI238" i="48"/>
  <c r="CC238" i="48"/>
  <c r="BW238" i="48"/>
  <c r="BQ238" i="48"/>
  <c r="BK238" i="48"/>
  <c r="BE238" i="48"/>
  <c r="AY238" i="48"/>
  <c r="AS238" i="48"/>
  <c r="AM238" i="48"/>
  <c r="AG238" i="48"/>
  <c r="AA238" i="48"/>
  <c r="U238" i="48"/>
  <c r="O238" i="48"/>
  <c r="I238" i="48"/>
  <c r="C238" i="48"/>
  <c r="DM237" i="48"/>
  <c r="DG237" i="48"/>
  <c r="DA237" i="48"/>
  <c r="CU237" i="48"/>
  <c r="CO237" i="48"/>
  <c r="CI237" i="48"/>
  <c r="CC237" i="48"/>
  <c r="BW237" i="48"/>
  <c r="BQ237" i="48"/>
  <c r="BK237" i="48"/>
  <c r="BE237" i="48"/>
  <c r="AY237" i="48"/>
  <c r="AS237" i="48"/>
  <c r="AM237" i="48"/>
  <c r="AG237" i="48"/>
  <c r="AA237" i="48"/>
  <c r="U237" i="48"/>
  <c r="O237" i="48"/>
  <c r="I237" i="48"/>
  <c r="C237" i="48"/>
  <c r="DM236" i="48"/>
  <c r="DG236" i="48"/>
  <c r="DA236" i="48"/>
  <c r="CU236" i="48"/>
  <c r="CO236" i="48"/>
  <c r="CI236" i="48"/>
  <c r="CC236" i="48"/>
  <c r="BW236" i="48"/>
  <c r="BQ236" i="48"/>
  <c r="BK236" i="48"/>
  <c r="BE236" i="48"/>
  <c r="AY236" i="48"/>
  <c r="AS236" i="48"/>
  <c r="AM236" i="48"/>
  <c r="AG236" i="48"/>
  <c r="AA236" i="48"/>
  <c r="U236" i="48"/>
  <c r="O236" i="48"/>
  <c r="I236" i="48"/>
  <c r="C236" i="48"/>
  <c r="DM235" i="48"/>
  <c r="DG235" i="48"/>
  <c r="DA235" i="48"/>
  <c r="CU235" i="48"/>
  <c r="CO235" i="48"/>
  <c r="CI235" i="48"/>
  <c r="CC235" i="48"/>
  <c r="BW235" i="48"/>
  <c r="BQ235" i="48"/>
  <c r="BK235" i="48"/>
  <c r="BE235" i="48"/>
  <c r="AY235" i="48"/>
  <c r="AS235" i="48"/>
  <c r="AM235" i="48"/>
  <c r="AG235" i="48"/>
  <c r="AA235" i="48"/>
  <c r="U235" i="48"/>
  <c r="O235" i="48"/>
  <c r="I235" i="48"/>
  <c r="C235" i="48"/>
  <c r="DM234" i="48"/>
  <c r="DG234" i="48"/>
  <c r="DA234" i="48"/>
  <c r="CU234" i="48"/>
  <c r="CO234" i="48"/>
  <c r="CI234" i="48"/>
  <c r="CC234" i="48"/>
  <c r="BW234" i="48"/>
  <c r="BQ234" i="48"/>
  <c r="BK234" i="48"/>
  <c r="BE234" i="48"/>
  <c r="AY234" i="48"/>
  <c r="AS234" i="48"/>
  <c r="AM234" i="48"/>
  <c r="AG234" i="48"/>
  <c r="AA234" i="48"/>
  <c r="U234" i="48"/>
  <c r="O234" i="48"/>
  <c r="I234" i="48"/>
  <c r="C234" i="48"/>
  <c r="DM233" i="48"/>
  <c r="DG233" i="48"/>
  <c r="DA233" i="48"/>
  <c r="CU233" i="48"/>
  <c r="CO233" i="48"/>
  <c r="CI233" i="48"/>
  <c r="CC233" i="48"/>
  <c r="BW233" i="48"/>
  <c r="BQ233" i="48"/>
  <c r="BK233" i="48"/>
  <c r="BE233" i="48"/>
  <c r="AY233" i="48"/>
  <c r="AS233" i="48"/>
  <c r="AM233" i="48"/>
  <c r="AG233" i="48"/>
  <c r="AA233" i="48"/>
  <c r="U233" i="48"/>
  <c r="O233" i="48"/>
  <c r="I233" i="48"/>
  <c r="C233" i="48"/>
  <c r="DM232" i="48"/>
  <c r="DG232" i="48"/>
  <c r="DA232" i="48"/>
  <c r="CU232" i="48"/>
  <c r="CO232" i="48"/>
  <c r="CI232" i="48"/>
  <c r="CC232" i="48"/>
  <c r="BW232" i="48"/>
  <c r="BQ232" i="48"/>
  <c r="BK232" i="48"/>
  <c r="BE232" i="48"/>
  <c r="AY232" i="48"/>
  <c r="AS232" i="48"/>
  <c r="AM232" i="48"/>
  <c r="AG232" i="48"/>
  <c r="AA232" i="48"/>
  <c r="U232" i="48"/>
  <c r="O232" i="48"/>
  <c r="I232" i="48"/>
  <c r="C232" i="48"/>
  <c r="DM231" i="48"/>
  <c r="DG231" i="48"/>
  <c r="DA231" i="48"/>
  <c r="CU231" i="48"/>
  <c r="CO231" i="48"/>
  <c r="CI231" i="48"/>
  <c r="CC231" i="48"/>
  <c r="BW231" i="48"/>
  <c r="BQ231" i="48"/>
  <c r="BK231" i="48"/>
  <c r="BE231" i="48"/>
  <c r="AY231" i="48"/>
  <c r="AS231" i="48"/>
  <c r="AM231" i="48"/>
  <c r="AG231" i="48"/>
  <c r="AA231" i="48"/>
  <c r="U231" i="48"/>
  <c r="O231" i="48"/>
  <c r="I231" i="48"/>
  <c r="C231" i="48"/>
  <c r="DM230" i="48"/>
  <c r="DG230" i="48"/>
  <c r="DA230" i="48"/>
  <c r="CU230" i="48"/>
  <c r="CO230" i="48"/>
  <c r="CI230" i="48"/>
  <c r="CC230" i="48"/>
  <c r="BW230" i="48"/>
  <c r="BQ230" i="48"/>
  <c r="BK230" i="48"/>
  <c r="BE230" i="48"/>
  <c r="AY230" i="48"/>
  <c r="AS230" i="48"/>
  <c r="AM230" i="48"/>
  <c r="AG230" i="48"/>
  <c r="AA230" i="48"/>
  <c r="U230" i="48"/>
  <c r="O230" i="48"/>
  <c r="I230" i="48"/>
  <c r="C230" i="48"/>
  <c r="DM229" i="48"/>
  <c r="DG229" i="48"/>
  <c r="DA229" i="48"/>
  <c r="CU229" i="48"/>
  <c r="CO229" i="48"/>
  <c r="CI229" i="48"/>
  <c r="CC229" i="48"/>
  <c r="BW229" i="48"/>
  <c r="BQ229" i="48"/>
  <c r="BK229" i="48"/>
  <c r="BE229" i="48"/>
  <c r="AY229" i="48"/>
  <c r="AS229" i="48"/>
  <c r="AM229" i="48"/>
  <c r="AG229" i="48"/>
  <c r="AA229" i="48"/>
  <c r="U229" i="48"/>
  <c r="O229" i="48"/>
  <c r="I229" i="48"/>
  <c r="C229" i="48"/>
  <c r="DM228" i="48"/>
  <c r="DG228" i="48"/>
  <c r="DA228" i="48"/>
  <c r="CU228" i="48"/>
  <c r="CO228" i="48"/>
  <c r="CI228" i="48"/>
  <c r="CC228" i="48"/>
  <c r="BW228" i="48"/>
  <c r="BQ228" i="48"/>
  <c r="BK228" i="48"/>
  <c r="BE228" i="48"/>
  <c r="AY228" i="48"/>
  <c r="AS228" i="48"/>
  <c r="AM228" i="48"/>
  <c r="AG228" i="48"/>
  <c r="AA228" i="48"/>
  <c r="U228" i="48"/>
  <c r="O228" i="48"/>
  <c r="I228" i="48"/>
  <c r="C228" i="48"/>
  <c r="DM227" i="48"/>
  <c r="DG227" i="48"/>
  <c r="DA227" i="48"/>
  <c r="CU227" i="48"/>
  <c r="CO227" i="48"/>
  <c r="CI227" i="48"/>
  <c r="CC227" i="48"/>
  <c r="BW227" i="48"/>
  <c r="BQ227" i="48"/>
  <c r="BK227" i="48"/>
  <c r="BE227" i="48"/>
  <c r="AY227" i="48"/>
  <c r="AS227" i="48"/>
  <c r="AM227" i="48"/>
  <c r="AG227" i="48"/>
  <c r="AA227" i="48"/>
  <c r="U227" i="48"/>
  <c r="O227" i="48"/>
  <c r="I227" i="48"/>
  <c r="C227" i="48"/>
  <c r="DM226" i="48"/>
  <c r="DG226" i="48"/>
  <c r="DA226" i="48"/>
  <c r="CU226" i="48"/>
  <c r="CO226" i="48"/>
  <c r="CI226" i="48"/>
  <c r="CC226" i="48"/>
  <c r="BW226" i="48"/>
  <c r="BQ226" i="48"/>
  <c r="BK226" i="48"/>
  <c r="BE226" i="48"/>
  <c r="AY226" i="48"/>
  <c r="AS226" i="48"/>
  <c r="AM226" i="48"/>
  <c r="AG226" i="48"/>
  <c r="AA226" i="48"/>
  <c r="U226" i="48"/>
  <c r="O226" i="48"/>
  <c r="I226" i="48"/>
  <c r="C226" i="48"/>
  <c r="DM225" i="48"/>
  <c r="DG225" i="48"/>
  <c r="DA225" i="48"/>
  <c r="CU225" i="48"/>
  <c r="CO225" i="48"/>
  <c r="CI225" i="48"/>
  <c r="CC225" i="48"/>
  <c r="BW225" i="48"/>
  <c r="BQ225" i="48"/>
  <c r="BK225" i="48"/>
  <c r="BE225" i="48"/>
  <c r="AY225" i="48"/>
  <c r="AS225" i="48"/>
  <c r="AM225" i="48"/>
  <c r="AG225" i="48"/>
  <c r="AA225" i="48"/>
  <c r="U225" i="48"/>
  <c r="O225" i="48"/>
  <c r="I225" i="48"/>
  <c r="C225" i="48"/>
  <c r="DM224" i="48"/>
  <c r="DG224" i="48"/>
  <c r="DA224" i="48"/>
  <c r="CU224" i="48"/>
  <c r="CO224" i="48"/>
  <c r="CI224" i="48"/>
  <c r="CC224" i="48"/>
  <c r="BW224" i="48"/>
  <c r="BQ224" i="48"/>
  <c r="BK224" i="48"/>
  <c r="BE224" i="48"/>
  <c r="AY224" i="48"/>
  <c r="AS224" i="48"/>
  <c r="AM224" i="48"/>
  <c r="AG224" i="48"/>
  <c r="AA224" i="48"/>
  <c r="U224" i="48"/>
  <c r="O224" i="48"/>
  <c r="I224" i="48"/>
  <c r="C224" i="48"/>
  <c r="DM223" i="48"/>
  <c r="DG223" i="48"/>
  <c r="DA223" i="48"/>
  <c r="CU223" i="48"/>
  <c r="CO223" i="48"/>
  <c r="CI223" i="48"/>
  <c r="CC223" i="48"/>
  <c r="BW223" i="48"/>
  <c r="BQ223" i="48"/>
  <c r="BK223" i="48"/>
  <c r="BE223" i="48"/>
  <c r="AY223" i="48"/>
  <c r="AS223" i="48"/>
  <c r="AM223" i="48"/>
  <c r="AG223" i="48"/>
  <c r="AA223" i="48"/>
  <c r="U223" i="48"/>
  <c r="O223" i="48"/>
  <c r="I223" i="48"/>
  <c r="C223" i="48"/>
  <c r="DM222" i="48"/>
  <c r="DG222" i="48"/>
  <c r="DA222" i="48"/>
  <c r="CU222" i="48"/>
  <c r="CO222" i="48"/>
  <c r="CI222" i="48"/>
  <c r="CC222" i="48"/>
  <c r="BW222" i="48"/>
  <c r="BQ222" i="48"/>
  <c r="BK222" i="48"/>
  <c r="BE222" i="48"/>
  <c r="AY222" i="48"/>
  <c r="AS222" i="48"/>
  <c r="AM222" i="48"/>
  <c r="AG222" i="48"/>
  <c r="AA222" i="48"/>
  <c r="U222" i="48"/>
  <c r="O222" i="48"/>
  <c r="I222" i="48"/>
  <c r="C222" i="48"/>
  <c r="DM221" i="48"/>
  <c r="DG221" i="48"/>
  <c r="DA221" i="48"/>
  <c r="CU221" i="48"/>
  <c r="CO221" i="48"/>
  <c r="CI221" i="48"/>
  <c r="CC221" i="48"/>
  <c r="BW221" i="48"/>
  <c r="BQ221" i="48"/>
  <c r="BK221" i="48"/>
  <c r="BE221" i="48"/>
  <c r="AY221" i="48"/>
  <c r="AS221" i="48"/>
  <c r="AM221" i="48"/>
  <c r="AG221" i="48"/>
  <c r="AA221" i="48"/>
  <c r="U221" i="48"/>
  <c r="O221" i="48"/>
  <c r="I221" i="48"/>
  <c r="C221" i="48"/>
  <c r="DM220" i="48"/>
  <c r="DG220" i="48"/>
  <c r="DA220" i="48"/>
  <c r="CU220" i="48"/>
  <c r="CO220" i="48"/>
  <c r="CI220" i="48"/>
  <c r="CC220" i="48"/>
  <c r="BW220" i="48"/>
  <c r="BQ220" i="48"/>
  <c r="BK220" i="48"/>
  <c r="BE220" i="48"/>
  <c r="AY220" i="48"/>
  <c r="AS220" i="48"/>
  <c r="AM220" i="48"/>
  <c r="AG220" i="48"/>
  <c r="AA220" i="48"/>
  <c r="U220" i="48"/>
  <c r="O220" i="48"/>
  <c r="I220" i="48"/>
  <c r="C220" i="48"/>
  <c r="DM219" i="48"/>
  <c r="DG219" i="48"/>
  <c r="DA219" i="48"/>
  <c r="CU219" i="48"/>
  <c r="CO219" i="48"/>
  <c r="CI219" i="48"/>
  <c r="CC219" i="48"/>
  <c r="BW219" i="48"/>
  <c r="BQ219" i="48"/>
  <c r="BK219" i="48"/>
  <c r="BE219" i="48"/>
  <c r="AY219" i="48"/>
  <c r="AS219" i="48"/>
  <c r="AM219" i="48"/>
  <c r="AG219" i="48"/>
  <c r="AA219" i="48"/>
  <c r="U219" i="48"/>
  <c r="O219" i="48"/>
  <c r="I219" i="48"/>
  <c r="C219" i="48"/>
  <c r="DM218" i="48"/>
  <c r="DG218" i="48"/>
  <c r="DA218" i="48"/>
  <c r="CU218" i="48"/>
  <c r="CO218" i="48"/>
  <c r="CI218" i="48"/>
  <c r="CC218" i="48"/>
  <c r="BW218" i="48"/>
  <c r="BQ218" i="48"/>
  <c r="BK218" i="48"/>
  <c r="BE218" i="48"/>
  <c r="AY218" i="48"/>
  <c r="AS218" i="48"/>
  <c r="AM218" i="48"/>
  <c r="AG218" i="48"/>
  <c r="AA218" i="48"/>
  <c r="U218" i="48"/>
  <c r="O218" i="48"/>
  <c r="I218" i="48"/>
  <c r="C218" i="48"/>
  <c r="DM217" i="48"/>
  <c r="DG217" i="48"/>
  <c r="DA217" i="48"/>
  <c r="CU217" i="48"/>
  <c r="CO217" i="48"/>
  <c r="CI217" i="48"/>
  <c r="CC217" i="48"/>
  <c r="BW217" i="48"/>
  <c r="BQ217" i="48"/>
  <c r="BK217" i="48"/>
  <c r="BE217" i="48"/>
  <c r="AY217" i="48"/>
  <c r="AS217" i="48"/>
  <c r="AM217" i="48"/>
  <c r="AG217" i="48"/>
  <c r="AA217" i="48"/>
  <c r="U217" i="48"/>
  <c r="O217" i="48"/>
  <c r="I217" i="48"/>
  <c r="C217" i="48"/>
  <c r="DM216" i="48"/>
  <c r="DG216" i="48"/>
  <c r="DA216" i="48"/>
  <c r="CU216" i="48"/>
  <c r="CO216" i="48"/>
  <c r="CI216" i="48"/>
  <c r="CC216" i="48"/>
  <c r="BW216" i="48"/>
  <c r="BQ216" i="48"/>
  <c r="BK216" i="48"/>
  <c r="BE216" i="48"/>
  <c r="AY216" i="48"/>
  <c r="AS216" i="48"/>
  <c r="AM216" i="48"/>
  <c r="AG216" i="48"/>
  <c r="AA216" i="48"/>
  <c r="U216" i="48"/>
  <c r="O216" i="48"/>
  <c r="I216" i="48"/>
  <c r="C216" i="48"/>
  <c r="DM215" i="48"/>
  <c r="DG215" i="48"/>
  <c r="DA215" i="48"/>
  <c r="CU215" i="48"/>
  <c r="CO215" i="48"/>
  <c r="CI215" i="48"/>
  <c r="CC215" i="48"/>
  <c r="BW215" i="48"/>
  <c r="BQ215" i="48"/>
  <c r="BK215" i="48"/>
  <c r="BE215" i="48"/>
  <c r="AY215" i="48"/>
  <c r="AS215" i="48"/>
  <c r="AM215" i="48"/>
  <c r="AG215" i="48"/>
  <c r="AA215" i="48"/>
  <c r="U215" i="48"/>
  <c r="O215" i="48"/>
  <c r="I215" i="48"/>
  <c r="C215" i="48"/>
  <c r="DM214" i="48"/>
  <c r="DG214" i="48"/>
  <c r="DA214" i="48"/>
  <c r="CU214" i="48"/>
  <c r="CO214" i="48"/>
  <c r="CI214" i="48"/>
  <c r="CC214" i="48"/>
  <c r="BW214" i="48"/>
  <c r="BQ214" i="48"/>
  <c r="BK214" i="48"/>
  <c r="BE214" i="48"/>
  <c r="AY214" i="48"/>
  <c r="AS214" i="48"/>
  <c r="AM214" i="48"/>
  <c r="AG214" i="48"/>
  <c r="AA214" i="48"/>
  <c r="U214" i="48"/>
  <c r="O214" i="48"/>
  <c r="I214" i="48"/>
  <c r="C214" i="48"/>
  <c r="DM213" i="48"/>
  <c r="DG213" i="48"/>
  <c r="DA213" i="48"/>
  <c r="CU213" i="48"/>
  <c r="CO213" i="48"/>
  <c r="CI213" i="48"/>
  <c r="CC213" i="48"/>
  <c r="BW213" i="48"/>
  <c r="BQ213" i="48"/>
  <c r="BK213" i="48"/>
  <c r="BE213" i="48"/>
  <c r="AY213" i="48"/>
  <c r="AS213" i="48"/>
  <c r="AM213" i="48"/>
  <c r="AG213" i="48"/>
  <c r="AA213" i="48"/>
  <c r="U213" i="48"/>
  <c r="O213" i="48"/>
  <c r="I213" i="48"/>
  <c r="C213" i="48"/>
  <c r="DM212" i="48"/>
  <c r="DG212" i="48"/>
  <c r="DA212" i="48"/>
  <c r="CU212" i="48"/>
  <c r="CO212" i="48"/>
  <c r="CI212" i="48"/>
  <c r="CC212" i="48"/>
  <c r="BW212" i="48"/>
  <c r="BQ212" i="48"/>
  <c r="BK212" i="48"/>
  <c r="BE212" i="48"/>
  <c r="AY212" i="48"/>
  <c r="AS212" i="48"/>
  <c r="AM212" i="48"/>
  <c r="AG212" i="48"/>
  <c r="AA212" i="48"/>
  <c r="U212" i="48"/>
  <c r="O212" i="48"/>
  <c r="I212" i="48"/>
  <c r="C212" i="48"/>
  <c r="DM211" i="48"/>
  <c r="DG211" i="48"/>
  <c r="DA211" i="48"/>
  <c r="CU211" i="48"/>
  <c r="CO211" i="48"/>
  <c r="CI211" i="48"/>
  <c r="CC211" i="48"/>
  <c r="BW211" i="48"/>
  <c r="BQ211" i="48"/>
  <c r="BK211" i="48"/>
  <c r="BE211" i="48"/>
  <c r="AY211" i="48"/>
  <c r="AS211" i="48"/>
  <c r="AM211" i="48"/>
  <c r="AG211" i="48"/>
  <c r="AA211" i="48"/>
  <c r="U211" i="48"/>
  <c r="O211" i="48"/>
  <c r="I211" i="48"/>
  <c r="C211" i="48"/>
  <c r="DM210" i="48"/>
  <c r="DG210" i="48"/>
  <c r="DA210" i="48"/>
  <c r="CU210" i="48"/>
  <c r="CO210" i="48"/>
  <c r="CI210" i="48"/>
  <c r="CC210" i="48"/>
  <c r="BW210" i="48"/>
  <c r="BQ210" i="48"/>
  <c r="BK210" i="48"/>
  <c r="BE210" i="48"/>
  <c r="AY210" i="48"/>
  <c r="AS210" i="48"/>
  <c r="AM210" i="48"/>
  <c r="AG210" i="48"/>
  <c r="AA210" i="48"/>
  <c r="U210" i="48"/>
  <c r="O210" i="48"/>
  <c r="I210" i="48"/>
  <c r="C210" i="48"/>
  <c r="DM209" i="48"/>
  <c r="DG209" i="48"/>
  <c r="DA209" i="48"/>
  <c r="CU209" i="48"/>
  <c r="CO209" i="48"/>
  <c r="CI209" i="48"/>
  <c r="CC209" i="48"/>
  <c r="BW209" i="48"/>
  <c r="BQ209" i="48"/>
  <c r="BK209" i="48"/>
  <c r="BE209" i="48"/>
  <c r="AY209" i="48"/>
  <c r="AS209" i="48"/>
  <c r="AM209" i="48"/>
  <c r="AG209" i="48"/>
  <c r="AA209" i="48"/>
  <c r="U209" i="48"/>
  <c r="O209" i="48"/>
  <c r="I209" i="48"/>
  <c r="C209" i="48"/>
  <c r="DM208" i="48"/>
  <c r="DG208" i="48"/>
  <c r="DA208" i="48"/>
  <c r="CU208" i="48"/>
  <c r="CO208" i="48"/>
  <c r="CI208" i="48"/>
  <c r="CC208" i="48"/>
  <c r="BW208" i="48"/>
  <c r="BQ208" i="48"/>
  <c r="BK208" i="48"/>
  <c r="BE208" i="48"/>
  <c r="AY208" i="48"/>
  <c r="AS208" i="48"/>
  <c r="AM208" i="48"/>
  <c r="AG208" i="48"/>
  <c r="AA208" i="48"/>
  <c r="U208" i="48"/>
  <c r="O208" i="48"/>
  <c r="I208" i="48"/>
  <c r="C208" i="48"/>
  <c r="DM207" i="48"/>
  <c r="DG207" i="48"/>
  <c r="DA207" i="48"/>
  <c r="CU207" i="48"/>
  <c r="CO207" i="48"/>
  <c r="CI207" i="48"/>
  <c r="CC207" i="48"/>
  <c r="BW207" i="48"/>
  <c r="BQ207" i="48"/>
  <c r="BK207" i="48"/>
  <c r="BE207" i="48"/>
  <c r="AY207" i="48"/>
  <c r="AS207" i="48"/>
  <c r="AM207" i="48"/>
  <c r="AG207" i="48"/>
  <c r="AA207" i="48"/>
  <c r="U207" i="48"/>
  <c r="O207" i="48"/>
  <c r="I207" i="48"/>
  <c r="C207" i="48"/>
  <c r="DM206" i="48"/>
  <c r="DG206" i="48"/>
  <c r="DA206" i="48"/>
  <c r="CU206" i="48"/>
  <c r="CO206" i="48"/>
  <c r="CI206" i="48"/>
  <c r="CC206" i="48"/>
  <c r="BW206" i="48"/>
  <c r="BQ206" i="48"/>
  <c r="BK206" i="48"/>
  <c r="BE206" i="48"/>
  <c r="AY206" i="48"/>
  <c r="AS206" i="48"/>
  <c r="AM206" i="48"/>
  <c r="AG206" i="48"/>
  <c r="AA206" i="48"/>
  <c r="U206" i="48"/>
  <c r="O206" i="48"/>
  <c r="I206" i="48"/>
  <c r="C206" i="48"/>
  <c r="DM205" i="48"/>
  <c r="DG205" i="48"/>
  <c r="DA205" i="48"/>
  <c r="CU205" i="48"/>
  <c r="CO205" i="48"/>
  <c r="CI205" i="48"/>
  <c r="CC205" i="48"/>
  <c r="BW205" i="48"/>
  <c r="BQ205" i="48"/>
  <c r="BK205" i="48"/>
  <c r="BE205" i="48"/>
  <c r="AY205" i="48"/>
  <c r="AS205" i="48"/>
  <c r="AM205" i="48"/>
  <c r="AG205" i="48"/>
  <c r="AA205" i="48"/>
  <c r="U205" i="48"/>
  <c r="O205" i="48"/>
  <c r="I205" i="48"/>
  <c r="C205" i="48"/>
  <c r="DM204" i="48"/>
  <c r="DG204" i="48"/>
  <c r="DA204" i="48"/>
  <c r="CU204" i="48"/>
  <c r="CO204" i="48"/>
  <c r="CI204" i="48"/>
  <c r="CC204" i="48"/>
  <c r="BW204" i="48"/>
  <c r="BQ204" i="48"/>
  <c r="BK204" i="48"/>
  <c r="BE204" i="48"/>
  <c r="AY204" i="48"/>
  <c r="AS204" i="48"/>
  <c r="AM204" i="48"/>
  <c r="AG204" i="48"/>
  <c r="AA204" i="48"/>
  <c r="U204" i="48"/>
  <c r="O204" i="48"/>
  <c r="I204" i="48"/>
  <c r="C204" i="48"/>
  <c r="DM203" i="48"/>
  <c r="DG203" i="48"/>
  <c r="DA203" i="48"/>
  <c r="CU203" i="48"/>
  <c r="CO203" i="48"/>
  <c r="CI203" i="48"/>
  <c r="CC203" i="48"/>
  <c r="BW203" i="48"/>
  <c r="BQ203" i="48"/>
  <c r="BK203" i="48"/>
  <c r="BE203" i="48"/>
  <c r="AY203" i="48"/>
  <c r="AS203" i="48"/>
  <c r="AM203" i="48"/>
  <c r="AG203" i="48"/>
  <c r="AA203" i="48"/>
  <c r="U203" i="48"/>
  <c r="O203" i="48"/>
  <c r="I203" i="48"/>
  <c r="C203" i="48"/>
  <c r="DM202" i="48"/>
  <c r="DG202" i="48"/>
  <c r="DA202" i="48"/>
  <c r="CU202" i="48"/>
  <c r="CO202" i="48"/>
  <c r="CI202" i="48"/>
  <c r="CC202" i="48"/>
  <c r="BW202" i="48"/>
  <c r="BQ202" i="48"/>
  <c r="BK202" i="48"/>
  <c r="BE202" i="48"/>
  <c r="AY202" i="48"/>
  <c r="AS202" i="48"/>
  <c r="AM202" i="48"/>
  <c r="AG202" i="48"/>
  <c r="AA202" i="48"/>
  <c r="U202" i="48"/>
  <c r="O202" i="48"/>
  <c r="I202" i="48"/>
  <c r="C202" i="48"/>
  <c r="DM201" i="48"/>
  <c r="DG201" i="48"/>
  <c r="DA201" i="48"/>
  <c r="CU201" i="48"/>
  <c r="CO201" i="48"/>
  <c r="CI201" i="48"/>
  <c r="CC201" i="48"/>
  <c r="BW201" i="48"/>
  <c r="BQ201" i="48"/>
  <c r="BK201" i="48"/>
  <c r="BE201" i="48"/>
  <c r="AY201" i="48"/>
  <c r="AS201" i="48"/>
  <c r="AM201" i="48"/>
  <c r="AG201" i="48"/>
  <c r="AA201" i="48"/>
  <c r="U201" i="48"/>
  <c r="O201" i="48"/>
  <c r="I201" i="48"/>
  <c r="C201" i="48"/>
  <c r="DM200" i="48"/>
  <c r="DG200" i="48"/>
  <c r="DA200" i="48"/>
  <c r="CU200" i="48"/>
  <c r="CO200" i="48"/>
  <c r="CI200" i="48"/>
  <c r="CC200" i="48"/>
  <c r="BW200" i="48"/>
  <c r="BQ200" i="48"/>
  <c r="BK200" i="48"/>
  <c r="BE200" i="48"/>
  <c r="AY200" i="48"/>
  <c r="AS200" i="48"/>
  <c r="AM200" i="48"/>
  <c r="AG200" i="48"/>
  <c r="AA200" i="48"/>
  <c r="U200" i="48"/>
  <c r="O200" i="48"/>
  <c r="I200" i="48"/>
  <c r="C200" i="48"/>
  <c r="DM199" i="48"/>
  <c r="DG199" i="48"/>
  <c r="DA199" i="48"/>
  <c r="CU199" i="48"/>
  <c r="CO199" i="48"/>
  <c r="CI199" i="48"/>
  <c r="CC199" i="48"/>
  <c r="BW199" i="48"/>
  <c r="BQ199" i="48"/>
  <c r="BK199" i="48"/>
  <c r="BE199" i="48"/>
  <c r="AY199" i="48"/>
  <c r="AS199" i="48"/>
  <c r="AM199" i="48"/>
  <c r="AG199" i="48"/>
  <c r="AA199" i="48"/>
  <c r="U199" i="48"/>
  <c r="O199" i="48"/>
  <c r="I199" i="48"/>
  <c r="C199" i="48"/>
  <c r="DM198" i="48"/>
  <c r="DG198" i="48"/>
  <c r="DA198" i="48"/>
  <c r="CU198" i="48"/>
  <c r="CO198" i="48"/>
  <c r="CI198" i="48"/>
  <c r="CC198" i="48"/>
  <c r="BW198" i="48"/>
  <c r="BQ198" i="48"/>
  <c r="BK198" i="48"/>
  <c r="BE198" i="48"/>
  <c r="AY198" i="48"/>
  <c r="AS198" i="48"/>
  <c r="AM198" i="48"/>
  <c r="AG198" i="48"/>
  <c r="AA198" i="48"/>
  <c r="U198" i="48"/>
  <c r="O198" i="48"/>
  <c r="I198" i="48"/>
  <c r="C198" i="48"/>
  <c r="DM197" i="48"/>
  <c r="DG197" i="48"/>
  <c r="DA197" i="48"/>
  <c r="CU197" i="48"/>
  <c r="CO197" i="48"/>
  <c r="CI197" i="48"/>
  <c r="CC197" i="48"/>
  <c r="BW197" i="48"/>
  <c r="BQ197" i="48"/>
  <c r="BK197" i="48"/>
  <c r="BE197" i="48"/>
  <c r="AY197" i="48"/>
  <c r="AS197" i="48"/>
  <c r="AM197" i="48"/>
  <c r="AG197" i="48"/>
  <c r="AA197" i="48"/>
  <c r="U197" i="48"/>
  <c r="O197" i="48"/>
  <c r="I197" i="48"/>
  <c r="C197" i="48"/>
  <c r="DM196" i="48"/>
  <c r="DG196" i="48"/>
  <c r="DA196" i="48"/>
  <c r="CU196" i="48"/>
  <c r="CO196" i="48"/>
  <c r="CI196" i="48"/>
  <c r="CC196" i="48"/>
  <c r="BW196" i="48"/>
  <c r="BQ196" i="48"/>
  <c r="BK196" i="48"/>
  <c r="BE196" i="48"/>
  <c r="AY196" i="48"/>
  <c r="AS196" i="48"/>
  <c r="AM196" i="48"/>
  <c r="AG196" i="48"/>
  <c r="AA196" i="48"/>
  <c r="U196" i="48"/>
  <c r="O196" i="48"/>
  <c r="I196" i="48"/>
  <c r="C196" i="48"/>
  <c r="DM195" i="48"/>
  <c r="DG195" i="48"/>
  <c r="DA195" i="48"/>
  <c r="CU195" i="48"/>
  <c r="CO195" i="48"/>
  <c r="CI195" i="48"/>
  <c r="CC195" i="48"/>
  <c r="BW195" i="48"/>
  <c r="BQ195" i="48"/>
  <c r="BK195" i="48"/>
  <c r="BE195" i="48"/>
  <c r="AY195" i="48"/>
  <c r="AS195" i="48"/>
  <c r="AM195" i="48"/>
  <c r="AG195" i="48"/>
  <c r="AA195" i="48"/>
  <c r="U195" i="48"/>
  <c r="O195" i="48"/>
  <c r="I195" i="48"/>
  <c r="C195" i="48"/>
  <c r="DM194" i="48"/>
  <c r="DG194" i="48"/>
  <c r="DA194" i="48"/>
  <c r="CU194" i="48"/>
  <c r="CO194" i="48"/>
  <c r="CI194" i="48"/>
  <c r="CC194" i="48"/>
  <c r="BW194" i="48"/>
  <c r="BQ194" i="48"/>
  <c r="BK194" i="48"/>
  <c r="BE194" i="48"/>
  <c r="AY194" i="48"/>
  <c r="AS194" i="48"/>
  <c r="AM194" i="48"/>
  <c r="AG194" i="48"/>
  <c r="AA194" i="48"/>
  <c r="U194" i="48"/>
  <c r="O194" i="48"/>
  <c r="I194" i="48"/>
  <c r="C194" i="48"/>
  <c r="DM193" i="48"/>
  <c r="DG193" i="48"/>
  <c r="DA193" i="48"/>
  <c r="CU193" i="48"/>
  <c r="CO193" i="48"/>
  <c r="CI193" i="48"/>
  <c r="CC193" i="48"/>
  <c r="BW193" i="48"/>
  <c r="BQ193" i="48"/>
  <c r="BK193" i="48"/>
  <c r="BE193" i="48"/>
  <c r="AY193" i="48"/>
  <c r="AS193" i="48"/>
  <c r="AM193" i="48"/>
  <c r="AG193" i="48"/>
  <c r="AA193" i="48"/>
  <c r="U193" i="48"/>
  <c r="O193" i="48"/>
  <c r="I193" i="48"/>
  <c r="C193" i="48"/>
  <c r="DM192" i="48"/>
  <c r="DG192" i="48"/>
  <c r="DA192" i="48"/>
  <c r="CU192" i="48"/>
  <c r="CO192" i="48"/>
  <c r="CI192" i="48"/>
  <c r="CC192" i="48"/>
  <c r="BW192" i="48"/>
  <c r="BQ192" i="48"/>
  <c r="BK192" i="48"/>
  <c r="BE192" i="48"/>
  <c r="AY192" i="48"/>
  <c r="AS192" i="48"/>
  <c r="AM192" i="48"/>
  <c r="AG192" i="48"/>
  <c r="AA192" i="48"/>
  <c r="U192" i="48"/>
  <c r="O192" i="48"/>
  <c r="I192" i="48"/>
  <c r="C192" i="48"/>
  <c r="DM191" i="48"/>
  <c r="DG191" i="48"/>
  <c r="DA191" i="48"/>
  <c r="CU191" i="48"/>
  <c r="CO191" i="48"/>
  <c r="CI191" i="48"/>
  <c r="CC191" i="48"/>
  <c r="BW191" i="48"/>
  <c r="BQ191" i="48"/>
  <c r="BK191" i="48"/>
  <c r="BE191" i="48"/>
  <c r="AY191" i="48"/>
  <c r="AS191" i="48"/>
  <c r="AM191" i="48"/>
  <c r="AG191" i="48"/>
  <c r="AA191" i="48"/>
  <c r="U191" i="48"/>
  <c r="O191" i="48"/>
  <c r="I191" i="48"/>
  <c r="C191" i="48"/>
  <c r="DM190" i="48"/>
  <c r="DG190" i="48"/>
  <c r="DA190" i="48"/>
  <c r="CU190" i="48"/>
  <c r="CO190" i="48"/>
  <c r="CI190" i="48"/>
  <c r="CC190" i="48"/>
  <c r="BW190" i="48"/>
  <c r="BQ190" i="48"/>
  <c r="BK190" i="48"/>
  <c r="BE190" i="48"/>
  <c r="AY190" i="48"/>
  <c r="AS190" i="48"/>
  <c r="AM190" i="48"/>
  <c r="AG190" i="48"/>
  <c r="AA190" i="48"/>
  <c r="U190" i="48"/>
  <c r="O190" i="48"/>
  <c r="I190" i="48"/>
  <c r="C190" i="48"/>
  <c r="DM189" i="48"/>
  <c r="DG189" i="48"/>
  <c r="DA189" i="48"/>
  <c r="CU189" i="48"/>
  <c r="CO189" i="48"/>
  <c r="CI189" i="48"/>
  <c r="CC189" i="48"/>
  <c r="BW189" i="48"/>
  <c r="BQ189" i="48"/>
  <c r="BK189" i="48"/>
  <c r="BE189" i="48"/>
  <c r="AY189" i="48"/>
  <c r="AS189" i="48"/>
  <c r="AM189" i="48"/>
  <c r="AG189" i="48"/>
  <c r="AA189" i="48"/>
  <c r="U189" i="48"/>
  <c r="O189" i="48"/>
  <c r="I189" i="48"/>
  <c r="C189" i="48"/>
  <c r="DM188" i="48"/>
  <c r="DG188" i="48"/>
  <c r="DA188" i="48"/>
  <c r="CU188" i="48"/>
  <c r="CO188" i="48"/>
  <c r="CI188" i="48"/>
  <c r="CC188" i="48"/>
  <c r="BW188" i="48"/>
  <c r="BQ188" i="48"/>
  <c r="BK188" i="48"/>
  <c r="BE188" i="48"/>
  <c r="AY188" i="48"/>
  <c r="AS188" i="48"/>
  <c r="AM188" i="48"/>
  <c r="AG188" i="48"/>
  <c r="AA188" i="48"/>
  <c r="U188" i="48"/>
  <c r="O188" i="48"/>
  <c r="I188" i="48"/>
  <c r="C188" i="48"/>
  <c r="DM187" i="48"/>
  <c r="DG187" i="48"/>
  <c r="DA187" i="48"/>
  <c r="CU187" i="48"/>
  <c r="CO187" i="48"/>
  <c r="CI187" i="48"/>
  <c r="CC187" i="48"/>
  <c r="BW187" i="48"/>
  <c r="BQ187" i="48"/>
  <c r="BK187" i="48"/>
  <c r="BE187" i="48"/>
  <c r="AY187" i="48"/>
  <c r="AS187" i="48"/>
  <c r="AM187" i="48"/>
  <c r="AG187" i="48"/>
  <c r="AA187" i="48"/>
  <c r="U187" i="48"/>
  <c r="O187" i="48"/>
  <c r="I187" i="48"/>
  <c r="C187" i="48"/>
  <c r="DM186" i="48"/>
  <c r="DG186" i="48"/>
  <c r="DA186" i="48"/>
  <c r="CU186" i="48"/>
  <c r="CO186" i="48"/>
  <c r="CI186" i="48"/>
  <c r="CC186" i="48"/>
  <c r="BW186" i="48"/>
  <c r="BQ186" i="48"/>
  <c r="BK186" i="48"/>
  <c r="BE186" i="48"/>
  <c r="AY186" i="48"/>
  <c r="AS186" i="48"/>
  <c r="AM186" i="48"/>
  <c r="AG186" i="48"/>
  <c r="AA186" i="48"/>
  <c r="U186" i="48"/>
  <c r="O186" i="48"/>
  <c r="I186" i="48"/>
  <c r="C186" i="48"/>
  <c r="DM185" i="48"/>
  <c r="DG185" i="48"/>
  <c r="DA185" i="48"/>
  <c r="CU185" i="48"/>
  <c r="CO185" i="48"/>
  <c r="CI185" i="48"/>
  <c r="CC185" i="48"/>
  <c r="BW185" i="48"/>
  <c r="BQ185" i="48"/>
  <c r="BK185" i="48"/>
  <c r="BE185" i="48"/>
  <c r="AY185" i="48"/>
  <c r="AS185" i="48"/>
  <c r="AM185" i="48"/>
  <c r="AG185" i="48"/>
  <c r="AA185" i="48"/>
  <c r="U185" i="48"/>
  <c r="O185" i="48"/>
  <c r="I185" i="48"/>
  <c r="C185" i="48"/>
  <c r="DM184" i="48"/>
  <c r="DG184" i="48"/>
  <c r="DA184" i="48"/>
  <c r="CU184" i="48"/>
  <c r="CO184" i="48"/>
  <c r="CI184" i="48"/>
  <c r="CC184" i="48"/>
  <c r="BW184" i="48"/>
  <c r="BQ184" i="48"/>
  <c r="BK184" i="48"/>
  <c r="BE184" i="48"/>
  <c r="AY184" i="48"/>
  <c r="AS184" i="48"/>
  <c r="AM184" i="48"/>
  <c r="AG184" i="48"/>
  <c r="AA184" i="48"/>
  <c r="U184" i="48"/>
  <c r="O184" i="48"/>
  <c r="I184" i="48"/>
  <c r="C184" i="48"/>
  <c r="DM183" i="48"/>
  <c r="DG183" i="48"/>
  <c r="DA183" i="48"/>
  <c r="CU183" i="48"/>
  <c r="CO183" i="48"/>
  <c r="CI183" i="48"/>
  <c r="CC183" i="48"/>
  <c r="BW183" i="48"/>
  <c r="BQ183" i="48"/>
  <c r="BK183" i="48"/>
  <c r="BE183" i="48"/>
  <c r="AY183" i="48"/>
  <c r="AS183" i="48"/>
  <c r="AM183" i="48"/>
  <c r="AG183" i="48"/>
  <c r="AA183" i="48"/>
  <c r="U183" i="48"/>
  <c r="O183" i="48"/>
  <c r="I183" i="48"/>
  <c r="C183" i="48"/>
  <c r="DM182" i="48"/>
  <c r="DG182" i="48"/>
  <c r="DA182" i="48"/>
  <c r="CU182" i="48"/>
  <c r="CO182" i="48"/>
  <c r="CI182" i="48"/>
  <c r="CC182" i="48"/>
  <c r="BW182" i="48"/>
  <c r="BQ182" i="48"/>
  <c r="BK182" i="48"/>
  <c r="BE182" i="48"/>
  <c r="AY182" i="48"/>
  <c r="AS182" i="48"/>
  <c r="AM182" i="48"/>
  <c r="AG182" i="48"/>
  <c r="AA182" i="48"/>
  <c r="U182" i="48"/>
  <c r="O182" i="48"/>
  <c r="I182" i="48"/>
  <c r="C182" i="48"/>
  <c r="DM181" i="48"/>
  <c r="DG181" i="48"/>
  <c r="DA181" i="48"/>
  <c r="CU181" i="48"/>
  <c r="CO181" i="48"/>
  <c r="CI181" i="48"/>
  <c r="CC181" i="48"/>
  <c r="BW181" i="48"/>
  <c r="BQ181" i="48"/>
  <c r="BK181" i="48"/>
  <c r="BE181" i="48"/>
  <c r="AY181" i="48"/>
  <c r="AS181" i="48"/>
  <c r="AM181" i="48"/>
  <c r="AG181" i="48"/>
  <c r="AA181" i="48"/>
  <c r="U181" i="48"/>
  <c r="O181" i="48"/>
  <c r="I181" i="48"/>
  <c r="C181" i="48"/>
  <c r="DM180" i="48"/>
  <c r="DG180" i="48"/>
  <c r="DA180" i="48"/>
  <c r="CU180" i="48"/>
  <c r="CO180" i="48"/>
  <c r="CI180" i="48"/>
  <c r="CC180" i="48"/>
  <c r="BW180" i="48"/>
  <c r="BQ180" i="48"/>
  <c r="BK180" i="48"/>
  <c r="BE180" i="48"/>
  <c r="AY180" i="48"/>
  <c r="AS180" i="48"/>
  <c r="AM180" i="48"/>
  <c r="AG180" i="48"/>
  <c r="AA180" i="48"/>
  <c r="U180" i="48"/>
  <c r="O180" i="48"/>
  <c r="I180" i="48"/>
  <c r="C180" i="48"/>
  <c r="DM179" i="48"/>
  <c r="DG179" i="48"/>
  <c r="DA179" i="48"/>
  <c r="CU179" i="48"/>
  <c r="CO179" i="48"/>
  <c r="CI179" i="48"/>
  <c r="CC179" i="48"/>
  <c r="BW179" i="48"/>
  <c r="BQ179" i="48"/>
  <c r="BK179" i="48"/>
  <c r="BE179" i="48"/>
  <c r="AY179" i="48"/>
  <c r="AS179" i="48"/>
  <c r="AM179" i="48"/>
  <c r="AG179" i="48"/>
  <c r="AA179" i="48"/>
  <c r="U179" i="48"/>
  <c r="O179" i="48"/>
  <c r="I179" i="48"/>
  <c r="C179" i="48"/>
  <c r="DM178" i="48"/>
  <c r="DG178" i="48"/>
  <c r="DA178" i="48"/>
  <c r="CU178" i="48"/>
  <c r="CO178" i="48"/>
  <c r="CI178" i="48"/>
  <c r="CC178" i="48"/>
  <c r="BW178" i="48"/>
  <c r="BQ178" i="48"/>
  <c r="BK178" i="48"/>
  <c r="BE178" i="48"/>
  <c r="AY178" i="48"/>
  <c r="AS178" i="48"/>
  <c r="AM178" i="48"/>
  <c r="AG178" i="48"/>
  <c r="AA178" i="48"/>
  <c r="U178" i="48"/>
  <c r="O178" i="48"/>
  <c r="I178" i="48"/>
  <c r="C178" i="48"/>
  <c r="DM177" i="48"/>
  <c r="DG177" i="48"/>
  <c r="DA177" i="48"/>
  <c r="CU177" i="48"/>
  <c r="CO177" i="48"/>
  <c r="CI177" i="48"/>
  <c r="CC177" i="48"/>
  <c r="BW177" i="48"/>
  <c r="BQ177" i="48"/>
  <c r="BK177" i="48"/>
  <c r="BE177" i="48"/>
  <c r="AY177" i="48"/>
  <c r="AS177" i="48"/>
  <c r="AM177" i="48"/>
  <c r="AG177" i="48"/>
  <c r="AA177" i="48"/>
  <c r="U177" i="48"/>
  <c r="O177" i="48"/>
  <c r="I177" i="48"/>
  <c r="C177" i="48"/>
  <c r="DM176" i="48"/>
  <c r="DG176" i="48"/>
  <c r="DA176" i="48"/>
  <c r="CU176" i="48"/>
  <c r="CO176" i="48"/>
  <c r="CI176" i="48"/>
  <c r="CC176" i="48"/>
  <c r="BW176" i="48"/>
  <c r="BQ176" i="48"/>
  <c r="BK176" i="48"/>
  <c r="BE176" i="48"/>
  <c r="AY176" i="48"/>
  <c r="AS176" i="48"/>
  <c r="AM176" i="48"/>
  <c r="AG176" i="48"/>
  <c r="AA176" i="48"/>
  <c r="U176" i="48"/>
  <c r="O176" i="48"/>
  <c r="I176" i="48"/>
  <c r="C176" i="48"/>
  <c r="DM175" i="48"/>
  <c r="DG175" i="48"/>
  <c r="DA175" i="48"/>
  <c r="CU175" i="48"/>
  <c r="CO175" i="48"/>
  <c r="CI175" i="48"/>
  <c r="CC175" i="48"/>
  <c r="BW175" i="48"/>
  <c r="BQ175" i="48"/>
  <c r="BK175" i="48"/>
  <c r="BE175" i="48"/>
  <c r="AY175" i="48"/>
  <c r="AS175" i="48"/>
  <c r="AM175" i="48"/>
  <c r="AG175" i="48"/>
  <c r="AA175" i="48"/>
  <c r="U175" i="48"/>
  <c r="O175" i="48"/>
  <c r="I175" i="48"/>
  <c r="C175" i="48"/>
  <c r="DM174" i="48"/>
  <c r="DG174" i="48"/>
  <c r="DA174" i="48"/>
  <c r="CU174" i="48"/>
  <c r="CO174" i="48"/>
  <c r="CI174" i="48"/>
  <c r="CC174" i="48"/>
  <c r="BW174" i="48"/>
  <c r="BQ174" i="48"/>
  <c r="BK174" i="48"/>
  <c r="BE174" i="48"/>
  <c r="AY174" i="48"/>
  <c r="AS174" i="48"/>
  <c r="AM174" i="48"/>
  <c r="AG174" i="48"/>
  <c r="AA174" i="48"/>
  <c r="U174" i="48"/>
  <c r="O174" i="48"/>
  <c r="I174" i="48"/>
  <c r="C174" i="48"/>
  <c r="DM173" i="48"/>
  <c r="DG173" i="48"/>
  <c r="DA173" i="48"/>
  <c r="CU173" i="48"/>
  <c r="CO173" i="48"/>
  <c r="CI173" i="48"/>
  <c r="CC173" i="48"/>
  <c r="BW173" i="48"/>
  <c r="BQ173" i="48"/>
  <c r="BK173" i="48"/>
  <c r="BE173" i="48"/>
  <c r="AY173" i="48"/>
  <c r="AS173" i="48"/>
  <c r="AM173" i="48"/>
  <c r="AG173" i="48"/>
  <c r="AA173" i="48"/>
  <c r="U173" i="48"/>
  <c r="O173" i="48"/>
  <c r="I173" i="48"/>
  <c r="C173" i="48"/>
  <c r="DM172" i="48"/>
  <c r="DG172" i="48"/>
  <c r="DA172" i="48"/>
  <c r="CU172" i="48"/>
  <c r="CO172" i="48"/>
  <c r="CI172" i="48"/>
  <c r="CC172" i="48"/>
  <c r="BW172" i="48"/>
  <c r="BQ172" i="48"/>
  <c r="BK172" i="48"/>
  <c r="BE172" i="48"/>
  <c r="AY172" i="48"/>
  <c r="AS172" i="48"/>
  <c r="AM172" i="48"/>
  <c r="AG172" i="48"/>
  <c r="AA172" i="48"/>
  <c r="U172" i="48"/>
  <c r="O172" i="48"/>
  <c r="I172" i="48"/>
  <c r="C172" i="48"/>
  <c r="DM171" i="48"/>
  <c r="DG171" i="48"/>
  <c r="DA171" i="48"/>
  <c r="CU171" i="48"/>
  <c r="CO171" i="48"/>
  <c r="CI171" i="48"/>
  <c r="CC171" i="48"/>
  <c r="BW171" i="48"/>
  <c r="BQ171" i="48"/>
  <c r="BK171" i="48"/>
  <c r="BE171" i="48"/>
  <c r="AY171" i="48"/>
  <c r="AS171" i="48"/>
  <c r="AM171" i="48"/>
  <c r="AG171" i="48"/>
  <c r="AA171" i="48"/>
  <c r="U171" i="48"/>
  <c r="O171" i="48"/>
  <c r="I171" i="48"/>
  <c r="C171" i="48"/>
  <c r="DM170" i="48"/>
  <c r="DG170" i="48"/>
  <c r="DA170" i="48"/>
  <c r="CU170" i="48"/>
  <c r="CO170" i="48"/>
  <c r="CI170" i="48"/>
  <c r="CC170" i="48"/>
  <c r="BW170" i="48"/>
  <c r="BQ170" i="48"/>
  <c r="BK170" i="48"/>
  <c r="BE170" i="48"/>
  <c r="AY170" i="48"/>
  <c r="AS170" i="48"/>
  <c r="AM170" i="48"/>
  <c r="AG170" i="48"/>
  <c r="AA170" i="48"/>
  <c r="U170" i="48"/>
  <c r="O170" i="48"/>
  <c r="I170" i="48"/>
  <c r="C170" i="48"/>
  <c r="DM169" i="48"/>
  <c r="DG169" i="48"/>
  <c r="DA169" i="48"/>
  <c r="CU169" i="48"/>
  <c r="CO169" i="48"/>
  <c r="CI169" i="48"/>
  <c r="CC169" i="48"/>
  <c r="BW169" i="48"/>
  <c r="BQ169" i="48"/>
  <c r="BK169" i="48"/>
  <c r="BE169" i="48"/>
  <c r="AY169" i="48"/>
  <c r="AS169" i="48"/>
  <c r="AM169" i="48"/>
  <c r="AG169" i="48"/>
  <c r="AA169" i="48"/>
  <c r="U169" i="48"/>
  <c r="O169" i="48"/>
  <c r="I169" i="48"/>
  <c r="C169" i="48"/>
  <c r="DM168" i="48"/>
  <c r="DG168" i="48"/>
  <c r="DA168" i="48"/>
  <c r="CU168" i="48"/>
  <c r="CO168" i="48"/>
  <c r="CI168" i="48"/>
  <c r="CC168" i="48"/>
  <c r="BW168" i="48"/>
  <c r="BQ168" i="48"/>
  <c r="BK168" i="48"/>
  <c r="BE168" i="48"/>
  <c r="AY168" i="48"/>
  <c r="AS168" i="48"/>
  <c r="AM168" i="48"/>
  <c r="AG168" i="48"/>
  <c r="AA168" i="48"/>
  <c r="U168" i="48"/>
  <c r="O168" i="48"/>
  <c r="I168" i="48"/>
  <c r="C168" i="48"/>
  <c r="DM167" i="48"/>
  <c r="DG167" i="48"/>
  <c r="DA167" i="48"/>
  <c r="CU167" i="48"/>
  <c r="CO167" i="48"/>
  <c r="CI167" i="48"/>
  <c r="CC167" i="48"/>
  <c r="BW167" i="48"/>
  <c r="BQ167" i="48"/>
  <c r="BK167" i="48"/>
  <c r="BE167" i="48"/>
  <c r="AY167" i="48"/>
  <c r="AS167" i="48"/>
  <c r="AM167" i="48"/>
  <c r="AG167" i="48"/>
  <c r="AA167" i="48"/>
  <c r="U167" i="48"/>
  <c r="O167" i="48"/>
  <c r="I167" i="48"/>
  <c r="C167" i="48"/>
  <c r="DM166" i="48"/>
  <c r="DG166" i="48"/>
  <c r="DA166" i="48"/>
  <c r="CU166" i="48"/>
  <c r="CO166" i="48"/>
  <c r="CI166" i="48"/>
  <c r="CC166" i="48"/>
  <c r="BW166" i="48"/>
  <c r="BQ166" i="48"/>
  <c r="BK166" i="48"/>
  <c r="BE166" i="48"/>
  <c r="AY166" i="48"/>
  <c r="AS166" i="48"/>
  <c r="AM166" i="48"/>
  <c r="AG166" i="48"/>
  <c r="AA166" i="48"/>
  <c r="U166" i="48"/>
  <c r="O166" i="48"/>
  <c r="I166" i="48"/>
  <c r="C166" i="48"/>
  <c r="DM165" i="48"/>
  <c r="DG165" i="48"/>
  <c r="DA165" i="48"/>
  <c r="CU165" i="48"/>
  <c r="CO165" i="48"/>
  <c r="CI165" i="48"/>
  <c r="CC165" i="48"/>
  <c r="BW165" i="48"/>
  <c r="BQ165" i="48"/>
  <c r="BK165" i="48"/>
  <c r="BE165" i="48"/>
  <c r="AY165" i="48"/>
  <c r="AS165" i="48"/>
  <c r="AM165" i="48"/>
  <c r="AG165" i="48"/>
  <c r="AA165" i="48"/>
  <c r="U165" i="48"/>
  <c r="O165" i="48"/>
  <c r="I165" i="48"/>
  <c r="C165" i="48"/>
  <c r="DM164" i="48"/>
  <c r="DG164" i="48"/>
  <c r="DA164" i="48"/>
  <c r="CU164" i="48"/>
  <c r="CO164" i="48"/>
  <c r="CI164" i="48"/>
  <c r="CC164" i="48"/>
  <c r="BW164" i="48"/>
  <c r="BQ164" i="48"/>
  <c r="BK164" i="48"/>
  <c r="BE164" i="48"/>
  <c r="AY164" i="48"/>
  <c r="AS164" i="48"/>
  <c r="AM164" i="48"/>
  <c r="AG164" i="48"/>
  <c r="AA164" i="48"/>
  <c r="U164" i="48"/>
  <c r="O164" i="48"/>
  <c r="I164" i="48"/>
  <c r="C164" i="48"/>
  <c r="DM163" i="48"/>
  <c r="DG163" i="48"/>
  <c r="DA163" i="48"/>
  <c r="CU163" i="48"/>
  <c r="CO163" i="48"/>
  <c r="CI163" i="48"/>
  <c r="CC163" i="48"/>
  <c r="BW163" i="48"/>
  <c r="BQ163" i="48"/>
  <c r="BK163" i="48"/>
  <c r="BE163" i="48"/>
  <c r="AY163" i="48"/>
  <c r="AS163" i="48"/>
  <c r="AM163" i="48"/>
  <c r="AG163" i="48"/>
  <c r="AA163" i="48"/>
  <c r="U163" i="48"/>
  <c r="O163" i="48"/>
  <c r="I163" i="48"/>
  <c r="C163" i="48"/>
  <c r="DM162" i="48"/>
  <c r="DG162" i="48"/>
  <c r="DA162" i="48"/>
  <c r="CU162" i="48"/>
  <c r="CO162" i="48"/>
  <c r="CI162" i="48"/>
  <c r="CC162" i="48"/>
  <c r="BW162" i="48"/>
  <c r="BQ162" i="48"/>
  <c r="BK162" i="48"/>
  <c r="BE162" i="48"/>
  <c r="AY162" i="48"/>
  <c r="AS162" i="48"/>
  <c r="AM162" i="48"/>
  <c r="AG162" i="48"/>
  <c r="AA162" i="48"/>
  <c r="U162" i="48"/>
  <c r="O162" i="48"/>
  <c r="I162" i="48"/>
  <c r="C162" i="48"/>
  <c r="DM161" i="48"/>
  <c r="DG161" i="48"/>
  <c r="DA161" i="48"/>
  <c r="CU161" i="48"/>
  <c r="CO161" i="48"/>
  <c r="CI161" i="48"/>
  <c r="CC161" i="48"/>
  <c r="BW161" i="48"/>
  <c r="BQ161" i="48"/>
  <c r="BK161" i="48"/>
  <c r="BE161" i="48"/>
  <c r="AY161" i="48"/>
  <c r="AS161" i="48"/>
  <c r="AM161" i="48"/>
  <c r="AG161" i="48"/>
  <c r="AA161" i="48"/>
  <c r="U161" i="48"/>
  <c r="O161" i="48"/>
  <c r="I161" i="48"/>
  <c r="C161" i="48"/>
  <c r="DM160" i="48"/>
  <c r="DG160" i="48"/>
  <c r="DA160" i="48"/>
  <c r="CU160" i="48"/>
  <c r="CO160" i="48"/>
  <c r="CI160" i="48"/>
  <c r="CC160" i="48"/>
  <c r="BW160" i="48"/>
  <c r="BQ160" i="48"/>
  <c r="BK160" i="48"/>
  <c r="BE160" i="48"/>
  <c r="AY160" i="48"/>
  <c r="AS160" i="48"/>
  <c r="AM160" i="48"/>
  <c r="AG160" i="48"/>
  <c r="AA160" i="48"/>
  <c r="U160" i="48"/>
  <c r="O160" i="48"/>
  <c r="I160" i="48"/>
  <c r="C160" i="48"/>
  <c r="DM159" i="48"/>
  <c r="DG159" i="48"/>
  <c r="DA159" i="48"/>
  <c r="CU159" i="48"/>
  <c r="CO159" i="48"/>
  <c r="CI159" i="48"/>
  <c r="CC159" i="48"/>
  <c r="BW159" i="48"/>
  <c r="BQ159" i="48"/>
  <c r="BK159" i="48"/>
  <c r="BE159" i="48"/>
  <c r="AY159" i="48"/>
  <c r="AS159" i="48"/>
  <c r="AM159" i="48"/>
  <c r="AG159" i="48"/>
  <c r="AA159" i="48"/>
  <c r="U159" i="48"/>
  <c r="O159" i="48"/>
  <c r="I159" i="48"/>
  <c r="C159" i="48"/>
  <c r="DM158" i="48"/>
  <c r="DG158" i="48"/>
  <c r="DA158" i="48"/>
  <c r="CU158" i="48"/>
  <c r="CO158" i="48"/>
  <c r="CI158" i="48"/>
  <c r="CC158" i="48"/>
  <c r="BW158" i="48"/>
  <c r="BQ158" i="48"/>
  <c r="BK158" i="48"/>
  <c r="BE158" i="48"/>
  <c r="AY158" i="48"/>
  <c r="AS158" i="48"/>
  <c r="AM158" i="48"/>
  <c r="AG158" i="48"/>
  <c r="AA158" i="48"/>
  <c r="U158" i="48"/>
  <c r="O158" i="48"/>
  <c r="I158" i="48"/>
  <c r="C158" i="48"/>
  <c r="DM157" i="48"/>
  <c r="DG157" i="48"/>
  <c r="DA157" i="48"/>
  <c r="CU157" i="48"/>
  <c r="CO157" i="48"/>
  <c r="CI157" i="48"/>
  <c r="CC157" i="48"/>
  <c r="BW157" i="48"/>
  <c r="BQ157" i="48"/>
  <c r="BK157" i="48"/>
  <c r="BE157" i="48"/>
  <c r="AY157" i="48"/>
  <c r="AS157" i="48"/>
  <c r="AM157" i="48"/>
  <c r="AG157" i="48"/>
  <c r="AA157" i="48"/>
  <c r="U157" i="48"/>
  <c r="O157" i="48"/>
  <c r="I157" i="48"/>
  <c r="C157" i="48"/>
  <c r="DM156" i="48"/>
  <c r="DG156" i="48"/>
  <c r="DA156" i="48"/>
  <c r="CU156" i="48"/>
  <c r="CO156" i="48"/>
  <c r="CI156" i="48"/>
  <c r="CC156" i="48"/>
  <c r="BW156" i="48"/>
  <c r="BQ156" i="48"/>
  <c r="BK156" i="48"/>
  <c r="BE156" i="48"/>
  <c r="AY156" i="48"/>
  <c r="AS156" i="48"/>
  <c r="AM156" i="48"/>
  <c r="AG156" i="48"/>
  <c r="AA156" i="48"/>
  <c r="U156" i="48"/>
  <c r="O156" i="48"/>
  <c r="I156" i="48"/>
  <c r="C156" i="48"/>
  <c r="DM155" i="48"/>
  <c r="DG155" i="48"/>
  <c r="DA155" i="48"/>
  <c r="CU155" i="48"/>
  <c r="CO155" i="48"/>
  <c r="CI155" i="48"/>
  <c r="CC155" i="48"/>
  <c r="BW155" i="48"/>
  <c r="BQ155" i="48"/>
  <c r="BK155" i="48"/>
  <c r="BE155" i="48"/>
  <c r="AY155" i="48"/>
  <c r="AS155" i="48"/>
  <c r="AM155" i="48"/>
  <c r="AG155" i="48"/>
  <c r="AA155" i="48"/>
  <c r="U155" i="48"/>
  <c r="O155" i="48"/>
  <c r="I155" i="48"/>
  <c r="C155" i="48"/>
  <c r="DM154" i="48"/>
  <c r="DG154" i="48"/>
  <c r="DA154" i="48"/>
  <c r="CU154" i="48"/>
  <c r="CO154" i="48"/>
  <c r="CI154" i="48"/>
  <c r="CC154" i="48"/>
  <c r="BW154" i="48"/>
  <c r="BQ154" i="48"/>
  <c r="BK154" i="48"/>
  <c r="BE154" i="48"/>
  <c r="AY154" i="48"/>
  <c r="AS154" i="48"/>
  <c r="AM154" i="48"/>
  <c r="AG154" i="48"/>
  <c r="AA154" i="48"/>
  <c r="U154" i="48"/>
  <c r="O154" i="48"/>
  <c r="I154" i="48"/>
  <c r="C154" i="48"/>
  <c r="DM153" i="48"/>
  <c r="DG153" i="48"/>
  <c r="DA153" i="48"/>
  <c r="CU153" i="48"/>
  <c r="CO153" i="48"/>
  <c r="CI153" i="48"/>
  <c r="CC153" i="48"/>
  <c r="BW153" i="48"/>
  <c r="BQ153" i="48"/>
  <c r="BK153" i="48"/>
  <c r="BE153" i="48"/>
  <c r="AY153" i="48"/>
  <c r="AS153" i="48"/>
  <c r="AM153" i="48"/>
  <c r="AG153" i="48"/>
  <c r="AA153" i="48"/>
  <c r="U153" i="48"/>
  <c r="O153" i="48"/>
  <c r="I153" i="48"/>
  <c r="C153" i="48"/>
  <c r="DM152" i="48"/>
  <c r="DG152" i="48"/>
  <c r="DA152" i="48"/>
  <c r="CU152" i="48"/>
  <c r="CO152" i="48"/>
  <c r="CI152" i="48"/>
  <c r="CC152" i="48"/>
  <c r="BW152" i="48"/>
  <c r="BQ152" i="48"/>
  <c r="BK152" i="48"/>
  <c r="BE152" i="48"/>
  <c r="AY152" i="48"/>
  <c r="AS152" i="48"/>
  <c r="AM152" i="48"/>
  <c r="AG152" i="48"/>
  <c r="AA152" i="48"/>
  <c r="U152" i="48"/>
  <c r="O152" i="48"/>
  <c r="I152" i="48"/>
  <c r="C152" i="48"/>
  <c r="DM151" i="48"/>
  <c r="DG151" i="48"/>
  <c r="DA151" i="48"/>
  <c r="CU151" i="48"/>
  <c r="CO151" i="48"/>
  <c r="CI151" i="48"/>
  <c r="CC151" i="48"/>
  <c r="BW151" i="48"/>
  <c r="BQ151" i="48"/>
  <c r="BK151" i="48"/>
  <c r="BE151" i="48"/>
  <c r="AY151" i="48"/>
  <c r="AS151" i="48"/>
  <c r="AM151" i="48"/>
  <c r="AG151" i="48"/>
  <c r="AA151" i="48"/>
  <c r="U151" i="48"/>
  <c r="O151" i="48"/>
  <c r="I151" i="48"/>
  <c r="C151" i="48"/>
  <c r="DM150" i="48"/>
  <c r="DG150" i="48"/>
  <c r="DA150" i="48"/>
  <c r="CU150" i="48"/>
  <c r="CO150" i="48"/>
  <c r="CI150" i="48"/>
  <c r="CC150" i="48"/>
  <c r="BW150" i="48"/>
  <c r="BQ150" i="48"/>
  <c r="BK150" i="48"/>
  <c r="BE150" i="48"/>
  <c r="AY150" i="48"/>
  <c r="AS150" i="48"/>
  <c r="AM150" i="48"/>
  <c r="AG150" i="48"/>
  <c r="AA150" i="48"/>
  <c r="U150" i="48"/>
  <c r="O150" i="48"/>
  <c r="I150" i="48"/>
  <c r="C150" i="48"/>
  <c r="DM149" i="48"/>
  <c r="DG149" i="48"/>
  <c r="DA149" i="48"/>
  <c r="CU149" i="48"/>
  <c r="CO149" i="48"/>
  <c r="CI149" i="48"/>
  <c r="CC149" i="48"/>
  <c r="BW149" i="48"/>
  <c r="BQ149" i="48"/>
  <c r="BK149" i="48"/>
  <c r="BE149" i="48"/>
  <c r="AY149" i="48"/>
  <c r="AS149" i="48"/>
  <c r="AM149" i="48"/>
  <c r="AG149" i="48"/>
  <c r="AA149" i="48"/>
  <c r="U149" i="48"/>
  <c r="O149" i="48"/>
  <c r="I149" i="48"/>
  <c r="C149" i="48"/>
  <c r="DM148" i="48"/>
  <c r="DG148" i="48"/>
  <c r="DA148" i="48"/>
  <c r="CU148" i="48"/>
  <c r="CO148" i="48"/>
  <c r="CI148" i="48"/>
  <c r="CC148" i="48"/>
  <c r="BW148" i="48"/>
  <c r="BQ148" i="48"/>
  <c r="BK148" i="48"/>
  <c r="BE148" i="48"/>
  <c r="AY148" i="48"/>
  <c r="AS148" i="48"/>
  <c r="AM148" i="48"/>
  <c r="AG148" i="48"/>
  <c r="AA148" i="48"/>
  <c r="U148" i="48"/>
  <c r="O148" i="48"/>
  <c r="I148" i="48"/>
  <c r="C148" i="48"/>
  <c r="DM147" i="48"/>
  <c r="DG147" i="48"/>
  <c r="DA147" i="48"/>
  <c r="CU147" i="48"/>
  <c r="CO147" i="48"/>
  <c r="CI147" i="48"/>
  <c r="CC147" i="48"/>
  <c r="BW147" i="48"/>
  <c r="BQ147" i="48"/>
  <c r="BK147" i="48"/>
  <c r="BE147" i="48"/>
  <c r="AY147" i="48"/>
  <c r="AS147" i="48"/>
  <c r="AM147" i="48"/>
  <c r="AG147" i="48"/>
  <c r="AA147" i="48"/>
  <c r="U147" i="48"/>
  <c r="O147" i="48"/>
  <c r="I147" i="48"/>
  <c r="C147" i="48"/>
  <c r="DM146" i="48"/>
  <c r="DG146" i="48"/>
  <c r="DA146" i="48"/>
  <c r="CU146" i="48"/>
  <c r="CO146" i="48"/>
  <c r="CI146" i="48"/>
  <c r="CC146" i="48"/>
  <c r="BW146" i="48"/>
  <c r="BQ146" i="48"/>
  <c r="BK146" i="48"/>
  <c r="BE146" i="48"/>
  <c r="AY146" i="48"/>
  <c r="AS146" i="48"/>
  <c r="AM146" i="48"/>
  <c r="AG146" i="48"/>
  <c r="AA146" i="48"/>
  <c r="U146" i="48"/>
  <c r="O146" i="48"/>
  <c r="I146" i="48"/>
  <c r="C146" i="48"/>
  <c r="DM145" i="48"/>
  <c r="DG145" i="48"/>
  <c r="DA145" i="48"/>
  <c r="CU145" i="48"/>
  <c r="CO145" i="48"/>
  <c r="CI145" i="48"/>
  <c r="CC145" i="48"/>
  <c r="BW145" i="48"/>
  <c r="BQ145" i="48"/>
  <c r="BK145" i="48"/>
  <c r="BE145" i="48"/>
  <c r="AY145" i="48"/>
  <c r="AS145" i="48"/>
  <c r="AM145" i="48"/>
  <c r="AG145" i="48"/>
  <c r="AA145" i="48"/>
  <c r="U145" i="48"/>
  <c r="O145" i="48"/>
  <c r="I145" i="48"/>
  <c r="C145" i="48"/>
  <c r="DM144" i="48"/>
  <c r="DG144" i="48"/>
  <c r="DA144" i="48"/>
  <c r="CU144" i="48"/>
  <c r="CO144" i="48"/>
  <c r="CI144" i="48"/>
  <c r="CC144" i="48"/>
  <c r="BW144" i="48"/>
  <c r="BQ144" i="48"/>
  <c r="BK144" i="48"/>
  <c r="BE144" i="48"/>
  <c r="AY144" i="48"/>
  <c r="AS144" i="48"/>
  <c r="AM144" i="48"/>
  <c r="AG144" i="48"/>
  <c r="AA144" i="48"/>
  <c r="U144" i="48"/>
  <c r="O144" i="48"/>
  <c r="I144" i="48"/>
  <c r="C144" i="48"/>
  <c r="DM143" i="48"/>
  <c r="DG143" i="48"/>
  <c r="DA143" i="48"/>
  <c r="CU143" i="48"/>
  <c r="CO143" i="48"/>
  <c r="CI143" i="48"/>
  <c r="CC143" i="48"/>
  <c r="BW143" i="48"/>
  <c r="BQ143" i="48"/>
  <c r="BK143" i="48"/>
  <c r="BE143" i="48"/>
  <c r="AY143" i="48"/>
  <c r="AS143" i="48"/>
  <c r="AM143" i="48"/>
  <c r="AG143" i="48"/>
  <c r="AA143" i="48"/>
  <c r="U143" i="48"/>
  <c r="O143" i="48"/>
  <c r="I143" i="48"/>
  <c r="C143" i="48"/>
  <c r="DM142" i="48"/>
  <c r="DG142" i="48"/>
  <c r="DA142" i="48"/>
  <c r="CU142" i="48"/>
  <c r="CO142" i="48"/>
  <c r="CI142" i="48"/>
  <c r="CC142" i="48"/>
  <c r="BW142" i="48"/>
  <c r="BQ142" i="48"/>
  <c r="BK142" i="48"/>
  <c r="BE142" i="48"/>
  <c r="AY142" i="48"/>
  <c r="AS142" i="48"/>
  <c r="AM142" i="48"/>
  <c r="AG142" i="48"/>
  <c r="AA142" i="48"/>
  <c r="U142" i="48"/>
  <c r="O142" i="48"/>
  <c r="I142" i="48"/>
  <c r="C142" i="48"/>
  <c r="DM141" i="48"/>
  <c r="DG141" i="48"/>
  <c r="DA141" i="48"/>
  <c r="CU141" i="48"/>
  <c r="CO141" i="48"/>
  <c r="CI141" i="48"/>
  <c r="CC141" i="48"/>
  <c r="BW141" i="48"/>
  <c r="BQ141" i="48"/>
  <c r="BK141" i="48"/>
  <c r="BE141" i="48"/>
  <c r="AY141" i="48"/>
  <c r="AS141" i="48"/>
  <c r="AM141" i="48"/>
  <c r="AG141" i="48"/>
  <c r="AA141" i="48"/>
  <c r="U141" i="48"/>
  <c r="O141" i="48"/>
  <c r="I141" i="48"/>
  <c r="C141" i="48"/>
  <c r="DM140" i="48"/>
  <c r="DG140" i="48"/>
  <c r="DA140" i="48"/>
  <c r="CU140" i="48"/>
  <c r="CO140" i="48"/>
  <c r="CI140" i="48"/>
  <c r="CC140" i="48"/>
  <c r="BW140" i="48"/>
  <c r="BQ140" i="48"/>
  <c r="BK140" i="48"/>
  <c r="BE140" i="48"/>
  <c r="AY140" i="48"/>
  <c r="AS140" i="48"/>
  <c r="AM140" i="48"/>
  <c r="AG140" i="48"/>
  <c r="AA140" i="48"/>
  <c r="U140" i="48"/>
  <c r="O140" i="48"/>
  <c r="I140" i="48"/>
  <c r="C140" i="48"/>
  <c r="DM139" i="48"/>
  <c r="DG139" i="48"/>
  <c r="DA139" i="48"/>
  <c r="CU139" i="48"/>
  <c r="CO139" i="48"/>
  <c r="CI139" i="48"/>
  <c r="CC139" i="48"/>
  <c r="BW139" i="48"/>
  <c r="BQ139" i="48"/>
  <c r="BK139" i="48"/>
  <c r="BE139" i="48"/>
  <c r="AY139" i="48"/>
  <c r="AS139" i="48"/>
  <c r="AM139" i="48"/>
  <c r="AG139" i="48"/>
  <c r="AA139" i="48"/>
  <c r="U139" i="48"/>
  <c r="O139" i="48"/>
  <c r="I139" i="48"/>
  <c r="C139" i="48"/>
  <c r="DM138" i="48"/>
  <c r="DG138" i="48"/>
  <c r="DA138" i="48"/>
  <c r="CU138" i="48"/>
  <c r="CO138" i="48"/>
  <c r="CI138" i="48"/>
  <c r="CC138" i="48"/>
  <c r="BW138" i="48"/>
  <c r="BQ138" i="48"/>
  <c r="BK138" i="48"/>
  <c r="BE138" i="48"/>
  <c r="AY138" i="48"/>
  <c r="AS138" i="48"/>
  <c r="AM138" i="48"/>
  <c r="AG138" i="48"/>
  <c r="AA138" i="48"/>
  <c r="U138" i="48"/>
  <c r="O138" i="48"/>
  <c r="I138" i="48"/>
  <c r="C138" i="48"/>
  <c r="DM137" i="48"/>
  <c r="DG137" i="48"/>
  <c r="DA137" i="48"/>
  <c r="CU137" i="48"/>
  <c r="CO137" i="48"/>
  <c r="CI137" i="48"/>
  <c r="CC137" i="48"/>
  <c r="BW137" i="48"/>
  <c r="BQ137" i="48"/>
  <c r="BK137" i="48"/>
  <c r="BE137" i="48"/>
  <c r="AY137" i="48"/>
  <c r="AS137" i="48"/>
  <c r="AM137" i="48"/>
  <c r="AG137" i="48"/>
  <c r="AA137" i="48"/>
  <c r="U137" i="48"/>
  <c r="O137" i="48"/>
  <c r="I137" i="48"/>
  <c r="C137" i="48"/>
  <c r="DM136" i="48"/>
  <c r="DG136" i="48"/>
  <c r="DA136" i="48"/>
  <c r="CU136" i="48"/>
  <c r="CO136" i="48"/>
  <c r="CI136" i="48"/>
  <c r="CC136" i="48"/>
  <c r="BW136" i="48"/>
  <c r="BQ136" i="48"/>
  <c r="BK136" i="48"/>
  <c r="BE136" i="48"/>
  <c r="AY136" i="48"/>
  <c r="AS136" i="48"/>
  <c r="AM136" i="48"/>
  <c r="AG136" i="48"/>
  <c r="AA136" i="48"/>
  <c r="U136" i="48"/>
  <c r="O136" i="48"/>
  <c r="I136" i="48"/>
  <c r="C136" i="48"/>
  <c r="DM135" i="48"/>
  <c r="DG135" i="48"/>
  <c r="DA135" i="48"/>
  <c r="CU135" i="48"/>
  <c r="CO135" i="48"/>
  <c r="CI135" i="48"/>
  <c r="CC135" i="48"/>
  <c r="BW135" i="48"/>
  <c r="BQ135" i="48"/>
  <c r="BK135" i="48"/>
  <c r="BE135" i="48"/>
  <c r="AY135" i="48"/>
  <c r="AS135" i="48"/>
  <c r="AM135" i="48"/>
  <c r="AG135" i="48"/>
  <c r="AA135" i="48"/>
  <c r="U135" i="48"/>
  <c r="O135" i="48"/>
  <c r="I135" i="48"/>
  <c r="C135" i="48"/>
  <c r="DM134" i="48"/>
  <c r="DG134" i="48"/>
  <c r="DA134" i="48"/>
  <c r="CU134" i="48"/>
  <c r="CO134" i="48"/>
  <c r="CI134" i="48"/>
  <c r="CC134" i="48"/>
  <c r="BW134" i="48"/>
  <c r="BQ134" i="48"/>
  <c r="BK134" i="48"/>
  <c r="BE134" i="48"/>
  <c r="AY134" i="48"/>
  <c r="AS134" i="48"/>
  <c r="AM134" i="48"/>
  <c r="AG134" i="48"/>
  <c r="AA134" i="48"/>
  <c r="U134" i="48"/>
  <c r="O134" i="48"/>
  <c r="I134" i="48"/>
  <c r="C134" i="48"/>
  <c r="DM133" i="48"/>
  <c r="DG133" i="48"/>
  <c r="DA133" i="48"/>
  <c r="CU133" i="48"/>
  <c r="CO133" i="48"/>
  <c r="CI133" i="48"/>
  <c r="CC133" i="48"/>
  <c r="BW133" i="48"/>
  <c r="BQ133" i="48"/>
  <c r="BK133" i="48"/>
  <c r="BE133" i="48"/>
  <c r="AY133" i="48"/>
  <c r="AS133" i="48"/>
  <c r="AM133" i="48"/>
  <c r="AG133" i="48"/>
  <c r="AA133" i="48"/>
  <c r="U133" i="48"/>
  <c r="O133" i="48"/>
  <c r="I133" i="48"/>
  <c r="C133" i="48"/>
  <c r="DM132" i="48"/>
  <c r="DG132" i="48"/>
  <c r="DA132" i="48"/>
  <c r="CU132" i="48"/>
  <c r="CO132" i="48"/>
  <c r="CI132" i="48"/>
  <c r="CC132" i="48"/>
  <c r="BW132" i="48"/>
  <c r="BQ132" i="48"/>
  <c r="BK132" i="48"/>
  <c r="BE132" i="48"/>
  <c r="AY132" i="48"/>
  <c r="AS132" i="48"/>
  <c r="AM132" i="48"/>
  <c r="AG132" i="48"/>
  <c r="AA132" i="48"/>
  <c r="U132" i="48"/>
  <c r="O132" i="48"/>
  <c r="I132" i="48"/>
  <c r="C132" i="48"/>
  <c r="DM131" i="48"/>
  <c r="DG131" i="48"/>
  <c r="DA131" i="48"/>
  <c r="CU131" i="48"/>
  <c r="CO131" i="48"/>
  <c r="CI131" i="48"/>
  <c r="CC131" i="48"/>
  <c r="BW131" i="48"/>
  <c r="BQ131" i="48"/>
  <c r="BK131" i="48"/>
  <c r="BE131" i="48"/>
  <c r="AY131" i="48"/>
  <c r="AS131" i="48"/>
  <c r="AM131" i="48"/>
  <c r="AG131" i="48"/>
  <c r="AA131" i="48"/>
  <c r="U131" i="48"/>
  <c r="O131" i="48"/>
  <c r="I131" i="48"/>
  <c r="C131" i="48"/>
  <c r="DM130" i="48"/>
  <c r="DG130" i="48"/>
  <c r="DA130" i="48"/>
  <c r="CU130" i="48"/>
  <c r="CO130" i="48"/>
  <c r="CI130" i="48"/>
  <c r="CC130" i="48"/>
  <c r="BW130" i="48"/>
  <c r="BQ130" i="48"/>
  <c r="BK130" i="48"/>
  <c r="BE130" i="48"/>
  <c r="AY130" i="48"/>
  <c r="AS130" i="48"/>
  <c r="AM130" i="48"/>
  <c r="AG130" i="48"/>
  <c r="AA130" i="48"/>
  <c r="U130" i="48"/>
  <c r="O130" i="48"/>
  <c r="I130" i="48"/>
  <c r="C130" i="48"/>
  <c r="DM129" i="48"/>
  <c r="DG129" i="48"/>
  <c r="DA129" i="48"/>
  <c r="CU129" i="48"/>
  <c r="CO129" i="48"/>
  <c r="CI129" i="48"/>
  <c r="CC129" i="48"/>
  <c r="BW129" i="48"/>
  <c r="BQ129" i="48"/>
  <c r="BK129" i="48"/>
  <c r="BE129" i="48"/>
  <c r="AY129" i="48"/>
  <c r="AS129" i="48"/>
  <c r="AM129" i="48"/>
  <c r="AG129" i="48"/>
  <c r="AA129" i="48"/>
  <c r="U129" i="48"/>
  <c r="O129" i="48"/>
  <c r="I129" i="48"/>
  <c r="C129" i="48"/>
  <c r="DM128" i="48"/>
  <c r="DG128" i="48"/>
  <c r="DA128" i="48"/>
  <c r="CU128" i="48"/>
  <c r="CO128" i="48"/>
  <c r="CI128" i="48"/>
  <c r="CC128" i="48"/>
  <c r="BW128" i="48"/>
  <c r="BQ128" i="48"/>
  <c r="BK128" i="48"/>
  <c r="BE128" i="48"/>
  <c r="AY128" i="48"/>
  <c r="AS128" i="48"/>
  <c r="AM128" i="48"/>
  <c r="AG128" i="48"/>
  <c r="AA128" i="48"/>
  <c r="U128" i="48"/>
  <c r="O128" i="48"/>
  <c r="I128" i="48"/>
  <c r="C128" i="48"/>
  <c r="DM127" i="48"/>
  <c r="DG127" i="48"/>
  <c r="DA127" i="48"/>
  <c r="CU127" i="48"/>
  <c r="CO127" i="48"/>
  <c r="CI127" i="48"/>
  <c r="CC127" i="48"/>
  <c r="BW127" i="48"/>
  <c r="BQ127" i="48"/>
  <c r="BK127" i="48"/>
  <c r="BE127" i="48"/>
  <c r="AY127" i="48"/>
  <c r="AS127" i="48"/>
  <c r="AM127" i="48"/>
  <c r="AG127" i="48"/>
  <c r="AA127" i="48"/>
  <c r="U127" i="48"/>
  <c r="O127" i="48"/>
  <c r="I127" i="48"/>
  <c r="C127" i="48"/>
  <c r="DM126" i="48"/>
  <c r="DG126" i="48"/>
  <c r="DA126" i="48"/>
  <c r="CU126" i="48"/>
  <c r="CO126" i="48"/>
  <c r="CI126" i="48"/>
  <c r="CC126" i="48"/>
  <c r="BW126" i="48"/>
  <c r="BQ126" i="48"/>
  <c r="BK126" i="48"/>
  <c r="BE126" i="48"/>
  <c r="AY126" i="48"/>
  <c r="AS126" i="48"/>
  <c r="AM126" i="48"/>
  <c r="AG126" i="48"/>
  <c r="AA126" i="48"/>
  <c r="U126" i="48"/>
  <c r="O126" i="48"/>
  <c r="I126" i="48"/>
  <c r="C126" i="48"/>
  <c r="DM125" i="48"/>
  <c r="DG125" i="48"/>
  <c r="DA125" i="48"/>
  <c r="CU125" i="48"/>
  <c r="CO125" i="48"/>
  <c r="CI125" i="48"/>
  <c r="CC125" i="48"/>
  <c r="BW125" i="48"/>
  <c r="BQ125" i="48"/>
  <c r="BK125" i="48"/>
  <c r="BE125" i="48"/>
  <c r="AY125" i="48"/>
  <c r="AS125" i="48"/>
  <c r="AM125" i="48"/>
  <c r="AG125" i="48"/>
  <c r="AA125" i="48"/>
  <c r="U125" i="48"/>
  <c r="O125" i="48"/>
  <c r="I125" i="48"/>
  <c r="C125" i="48"/>
  <c r="DM124" i="48"/>
  <c r="DG124" i="48"/>
  <c r="DA124" i="48"/>
  <c r="CU124" i="48"/>
  <c r="CO124" i="48"/>
  <c r="CI124" i="48"/>
  <c r="CC124" i="48"/>
  <c r="BW124" i="48"/>
  <c r="BQ124" i="48"/>
  <c r="BK124" i="48"/>
  <c r="BE124" i="48"/>
  <c r="AY124" i="48"/>
  <c r="AS124" i="48"/>
  <c r="AM124" i="48"/>
  <c r="AG124" i="48"/>
  <c r="AA124" i="48"/>
  <c r="U124" i="48"/>
  <c r="O124" i="48"/>
  <c r="I124" i="48"/>
  <c r="C124" i="48"/>
  <c r="DM123" i="48"/>
  <c r="DG123" i="48"/>
  <c r="DA123" i="48"/>
  <c r="CU123" i="48"/>
  <c r="CO123" i="48"/>
  <c r="CI123" i="48"/>
  <c r="CC123" i="48"/>
  <c r="BW123" i="48"/>
  <c r="BQ123" i="48"/>
  <c r="BK123" i="48"/>
  <c r="BE123" i="48"/>
  <c r="AY123" i="48"/>
  <c r="AS123" i="48"/>
  <c r="AM123" i="48"/>
  <c r="AG123" i="48"/>
  <c r="AA123" i="48"/>
  <c r="U123" i="48"/>
  <c r="O123" i="48"/>
  <c r="I123" i="48"/>
  <c r="C123" i="48"/>
  <c r="DM122" i="48"/>
  <c r="DG122" i="48"/>
  <c r="DA122" i="48"/>
  <c r="CU122" i="48"/>
  <c r="CO122" i="48"/>
  <c r="CI122" i="48"/>
  <c r="CC122" i="48"/>
  <c r="BW122" i="48"/>
  <c r="BQ122" i="48"/>
  <c r="BK122" i="48"/>
  <c r="BE122" i="48"/>
  <c r="AY122" i="48"/>
  <c r="AS122" i="48"/>
  <c r="AM122" i="48"/>
  <c r="AG122" i="48"/>
  <c r="AA122" i="48"/>
  <c r="U122" i="48"/>
  <c r="O122" i="48"/>
  <c r="I122" i="48"/>
  <c r="C122" i="48"/>
  <c r="DM121" i="48"/>
  <c r="DG121" i="48"/>
  <c r="DA121" i="48"/>
  <c r="CU121" i="48"/>
  <c r="CO121" i="48"/>
  <c r="CI121" i="48"/>
  <c r="CC121" i="48"/>
  <c r="BW121" i="48"/>
  <c r="BQ121" i="48"/>
  <c r="BK121" i="48"/>
  <c r="BE121" i="48"/>
  <c r="AY121" i="48"/>
  <c r="AS121" i="48"/>
  <c r="AM121" i="48"/>
  <c r="AG121" i="48"/>
  <c r="AA121" i="48"/>
  <c r="U121" i="48"/>
  <c r="O121" i="48"/>
  <c r="I121" i="48"/>
  <c r="C121" i="48"/>
  <c r="DM120" i="48"/>
  <c r="DG120" i="48"/>
  <c r="DA120" i="48"/>
  <c r="CU120" i="48"/>
  <c r="CO120" i="48"/>
  <c r="CI120" i="48"/>
  <c r="CC120" i="48"/>
  <c r="BW120" i="48"/>
  <c r="BQ120" i="48"/>
  <c r="BK120" i="48"/>
  <c r="BE120" i="48"/>
  <c r="AY120" i="48"/>
  <c r="AS120" i="48"/>
  <c r="AM120" i="48"/>
  <c r="AG120" i="48"/>
  <c r="AA120" i="48"/>
  <c r="U120" i="48"/>
  <c r="O120" i="48"/>
  <c r="I120" i="48"/>
  <c r="C120" i="48"/>
  <c r="DM119" i="48"/>
  <c r="DG119" i="48"/>
  <c r="DA119" i="48"/>
  <c r="CU119" i="48"/>
  <c r="CO119" i="48"/>
  <c r="CI119" i="48"/>
  <c r="CC119" i="48"/>
  <c r="BW119" i="48"/>
  <c r="BQ119" i="48"/>
  <c r="BK119" i="48"/>
  <c r="BE119" i="48"/>
  <c r="AY119" i="48"/>
  <c r="AS119" i="48"/>
  <c r="AM119" i="48"/>
  <c r="AG119" i="48"/>
  <c r="AA119" i="48"/>
  <c r="U119" i="48"/>
  <c r="O119" i="48"/>
  <c r="I119" i="48"/>
  <c r="C119" i="48"/>
  <c r="DM118" i="48"/>
  <c r="DG118" i="48"/>
  <c r="DA118" i="48"/>
  <c r="CU118" i="48"/>
  <c r="CO118" i="48"/>
  <c r="CI118" i="48"/>
  <c r="CC118" i="48"/>
  <c r="BW118" i="48"/>
  <c r="BQ118" i="48"/>
  <c r="BK118" i="48"/>
  <c r="BE118" i="48"/>
  <c r="AY118" i="48"/>
  <c r="AS118" i="48"/>
  <c r="AM118" i="48"/>
  <c r="AG118" i="48"/>
  <c r="AA118" i="48"/>
  <c r="U118" i="48"/>
  <c r="O118" i="48"/>
  <c r="I118" i="48"/>
  <c r="C118" i="48"/>
  <c r="DM117" i="48"/>
  <c r="DG117" i="48"/>
  <c r="DA117" i="48"/>
  <c r="CU117" i="48"/>
  <c r="CO117" i="48"/>
  <c r="CI117" i="48"/>
  <c r="CC117" i="48"/>
  <c r="BW117" i="48"/>
  <c r="BQ117" i="48"/>
  <c r="BK117" i="48"/>
  <c r="BE117" i="48"/>
  <c r="AY117" i="48"/>
  <c r="AS117" i="48"/>
  <c r="AM117" i="48"/>
  <c r="AG117" i="48"/>
  <c r="AA117" i="48"/>
  <c r="U117" i="48"/>
  <c r="O117" i="48"/>
  <c r="I117" i="48"/>
  <c r="C117" i="48"/>
  <c r="DM116" i="48"/>
  <c r="DG116" i="48"/>
  <c r="DA116" i="48"/>
  <c r="CU116" i="48"/>
  <c r="CO116" i="48"/>
  <c r="CI116" i="48"/>
  <c r="CC116" i="48"/>
  <c r="BW116" i="48"/>
  <c r="BQ116" i="48"/>
  <c r="BK116" i="48"/>
  <c r="BE116" i="48"/>
  <c r="AY116" i="48"/>
  <c r="AS116" i="48"/>
  <c r="AM116" i="48"/>
  <c r="AG116" i="48"/>
  <c r="AA116" i="48"/>
  <c r="U116" i="48"/>
  <c r="O116" i="48"/>
  <c r="I116" i="48"/>
  <c r="C116" i="48"/>
  <c r="DM115" i="48"/>
  <c r="DG115" i="48"/>
  <c r="DA115" i="48"/>
  <c r="CU115" i="48"/>
  <c r="CO115" i="48"/>
  <c r="CI115" i="48"/>
  <c r="CC115" i="48"/>
  <c r="BW115" i="48"/>
  <c r="BQ115" i="48"/>
  <c r="BK115" i="48"/>
  <c r="BE115" i="48"/>
  <c r="AY115" i="48"/>
  <c r="AS115" i="48"/>
  <c r="AM115" i="48"/>
  <c r="AG115" i="48"/>
  <c r="AA115" i="48"/>
  <c r="U115" i="48"/>
  <c r="O115" i="48"/>
  <c r="I115" i="48"/>
  <c r="C115" i="48"/>
  <c r="DM114" i="48"/>
  <c r="DG114" i="48"/>
  <c r="DA114" i="48"/>
  <c r="CU114" i="48"/>
  <c r="CO114" i="48"/>
  <c r="CI114" i="48"/>
  <c r="CC114" i="48"/>
  <c r="BW114" i="48"/>
  <c r="BQ114" i="48"/>
  <c r="BK114" i="48"/>
  <c r="BE114" i="48"/>
  <c r="AY114" i="48"/>
  <c r="AS114" i="48"/>
  <c r="AM114" i="48"/>
  <c r="AG114" i="48"/>
  <c r="AA114" i="48"/>
  <c r="U114" i="48"/>
  <c r="O114" i="48"/>
  <c r="I114" i="48"/>
  <c r="C114" i="48"/>
  <c r="DM113" i="48"/>
  <c r="DG113" i="48"/>
  <c r="DA113" i="48"/>
  <c r="CU113" i="48"/>
  <c r="CO113" i="48"/>
  <c r="CI113" i="48"/>
  <c r="CC113" i="48"/>
  <c r="BW113" i="48"/>
  <c r="BQ113" i="48"/>
  <c r="BK113" i="48"/>
  <c r="BE113" i="48"/>
  <c r="AY113" i="48"/>
  <c r="AS113" i="48"/>
  <c r="AM113" i="48"/>
  <c r="AG113" i="48"/>
  <c r="AA113" i="48"/>
  <c r="U113" i="48"/>
  <c r="O113" i="48"/>
  <c r="I113" i="48"/>
  <c r="C113" i="48"/>
  <c r="DM112" i="48"/>
  <c r="DG112" i="48"/>
  <c r="DA112" i="48"/>
  <c r="CU112" i="48"/>
  <c r="CO112" i="48"/>
  <c r="CI112" i="48"/>
  <c r="CC112" i="48"/>
  <c r="BW112" i="48"/>
  <c r="BQ112" i="48"/>
  <c r="BK112" i="48"/>
  <c r="BE112" i="48"/>
  <c r="AY112" i="48"/>
  <c r="AS112" i="48"/>
  <c r="AM112" i="48"/>
  <c r="AG112" i="48"/>
  <c r="AA112" i="48"/>
  <c r="U112" i="48"/>
  <c r="O112" i="48"/>
  <c r="I112" i="48"/>
  <c r="C112" i="48"/>
  <c r="DM111" i="48"/>
  <c r="DG111" i="48"/>
  <c r="DA111" i="48"/>
  <c r="CU111" i="48"/>
  <c r="CO111" i="48"/>
  <c r="CI111" i="48"/>
  <c r="CC111" i="48"/>
  <c r="BW111" i="48"/>
  <c r="BQ111" i="48"/>
  <c r="BK111" i="48"/>
  <c r="BE111" i="48"/>
  <c r="AY111" i="48"/>
  <c r="AS111" i="48"/>
  <c r="AM111" i="48"/>
  <c r="AG111" i="48"/>
  <c r="AA111" i="48"/>
  <c r="U111" i="48"/>
  <c r="O111" i="48"/>
  <c r="I111" i="48"/>
  <c r="C111" i="48"/>
  <c r="DM110" i="48"/>
  <c r="DG110" i="48"/>
  <c r="DA110" i="48"/>
  <c r="CU110" i="48"/>
  <c r="CO110" i="48"/>
  <c r="CI110" i="48"/>
  <c r="CC110" i="48"/>
  <c r="BW110" i="48"/>
  <c r="BQ110" i="48"/>
  <c r="BK110" i="48"/>
  <c r="BE110" i="48"/>
  <c r="AY110" i="48"/>
  <c r="AS110" i="48"/>
  <c r="AM110" i="48"/>
  <c r="AG110" i="48"/>
  <c r="AA110" i="48"/>
  <c r="U110" i="48"/>
  <c r="O110" i="48"/>
  <c r="I110" i="48"/>
  <c r="C110" i="48"/>
  <c r="DM109" i="48"/>
  <c r="DG109" i="48"/>
  <c r="DA109" i="48"/>
  <c r="CU109" i="48"/>
  <c r="CO109" i="48"/>
  <c r="CI109" i="48"/>
  <c r="CC109" i="48"/>
  <c r="BW109" i="48"/>
  <c r="BQ109" i="48"/>
  <c r="BK109" i="48"/>
  <c r="BE109" i="48"/>
  <c r="AY109" i="48"/>
  <c r="AS109" i="48"/>
  <c r="AM109" i="48"/>
  <c r="AG109" i="48"/>
  <c r="AA109" i="48"/>
  <c r="U109" i="48"/>
  <c r="O109" i="48"/>
  <c r="I109" i="48"/>
  <c r="C109" i="48"/>
  <c r="DM108" i="48"/>
  <c r="DG108" i="48"/>
  <c r="DA108" i="48"/>
  <c r="CU108" i="48"/>
  <c r="CO108" i="48"/>
  <c r="CI108" i="48"/>
  <c r="CC108" i="48"/>
  <c r="BW108" i="48"/>
  <c r="BQ108" i="48"/>
  <c r="BK108" i="48"/>
  <c r="BE108" i="48"/>
  <c r="AY108" i="48"/>
  <c r="AS108" i="48"/>
  <c r="AM108" i="48"/>
  <c r="AG108" i="48"/>
  <c r="AA108" i="48"/>
  <c r="U108" i="48"/>
  <c r="O108" i="48"/>
  <c r="I108" i="48"/>
  <c r="C108" i="48"/>
  <c r="DM107" i="48"/>
  <c r="DG107" i="48"/>
  <c r="DA107" i="48"/>
  <c r="CU107" i="48"/>
  <c r="CO107" i="48"/>
  <c r="CI107" i="48"/>
  <c r="CC107" i="48"/>
  <c r="BW107" i="48"/>
  <c r="BQ107" i="48"/>
  <c r="BK107" i="48"/>
  <c r="BE107" i="48"/>
  <c r="AY107" i="48"/>
  <c r="AS107" i="48"/>
  <c r="AM107" i="48"/>
  <c r="AG107" i="48"/>
  <c r="AA107" i="48"/>
  <c r="U107" i="48"/>
  <c r="O107" i="48"/>
  <c r="I107" i="48"/>
  <c r="C107" i="48"/>
  <c r="DM106" i="48"/>
  <c r="DG106" i="48"/>
  <c r="DA106" i="48"/>
  <c r="CU106" i="48"/>
  <c r="CO106" i="48"/>
  <c r="CI106" i="48"/>
  <c r="CC106" i="48"/>
  <c r="BW106" i="48"/>
  <c r="BQ106" i="48"/>
  <c r="BK106" i="48"/>
  <c r="BE106" i="48"/>
  <c r="AY106" i="48"/>
  <c r="AS106" i="48"/>
  <c r="AM106" i="48"/>
  <c r="AG106" i="48"/>
  <c r="AA106" i="48"/>
  <c r="U106" i="48"/>
  <c r="O106" i="48"/>
  <c r="I106" i="48"/>
  <c r="C106" i="48"/>
  <c r="DM105" i="48"/>
  <c r="DG105" i="48"/>
  <c r="DA105" i="48"/>
  <c r="CU105" i="48"/>
  <c r="CO105" i="48"/>
  <c r="CI105" i="48"/>
  <c r="CC105" i="48"/>
  <c r="BW105" i="48"/>
  <c r="BQ105" i="48"/>
  <c r="BK105" i="48"/>
  <c r="BE105" i="48"/>
  <c r="AY105" i="48"/>
  <c r="AS105" i="48"/>
  <c r="AM105" i="48"/>
  <c r="AG105" i="48"/>
  <c r="AA105" i="48"/>
  <c r="U105" i="48"/>
  <c r="O105" i="48"/>
  <c r="I105" i="48"/>
  <c r="C105" i="48"/>
  <c r="DM104" i="48"/>
  <c r="DG104" i="48"/>
  <c r="DA104" i="48"/>
  <c r="CU104" i="48"/>
  <c r="CO104" i="48"/>
  <c r="CI104" i="48"/>
  <c r="CC104" i="48"/>
  <c r="BW104" i="48"/>
  <c r="BQ104" i="48"/>
  <c r="BK104" i="48"/>
  <c r="BE104" i="48"/>
  <c r="AY104" i="48"/>
  <c r="AS104" i="48"/>
  <c r="AM104" i="48"/>
  <c r="AG104" i="48"/>
  <c r="AA104" i="48"/>
  <c r="U104" i="48"/>
  <c r="O104" i="48"/>
  <c r="I104" i="48"/>
  <c r="C104" i="48"/>
  <c r="DM103" i="48"/>
  <c r="DG103" i="48"/>
  <c r="DA103" i="48"/>
  <c r="CU103" i="48"/>
  <c r="CO103" i="48"/>
  <c r="CI103" i="48"/>
  <c r="CC103" i="48"/>
  <c r="BW103" i="48"/>
  <c r="BQ103" i="48"/>
  <c r="BK103" i="48"/>
  <c r="BE103" i="48"/>
  <c r="AY103" i="48"/>
  <c r="AS103" i="48"/>
  <c r="AM103" i="48"/>
  <c r="AG103" i="48"/>
  <c r="AA103" i="48"/>
  <c r="U103" i="48"/>
  <c r="O103" i="48"/>
  <c r="I103" i="48"/>
  <c r="C103" i="48"/>
  <c r="DM102" i="48"/>
  <c r="DG102" i="48"/>
  <c r="DA102" i="48"/>
  <c r="CU102" i="48"/>
  <c r="CO102" i="48"/>
  <c r="CI102" i="48"/>
  <c r="CC102" i="48"/>
  <c r="BW102" i="48"/>
  <c r="BQ102" i="48"/>
  <c r="BK102" i="48"/>
  <c r="BE102" i="48"/>
  <c r="AY102" i="48"/>
  <c r="AS102" i="48"/>
  <c r="AM102" i="48"/>
  <c r="AG102" i="48"/>
  <c r="AA102" i="48"/>
  <c r="U102" i="48"/>
  <c r="O102" i="48"/>
  <c r="I102" i="48"/>
  <c r="C102" i="48"/>
  <c r="DM101" i="48"/>
  <c r="DG101" i="48"/>
  <c r="DA101" i="48"/>
  <c r="CU101" i="48"/>
  <c r="CO101" i="48"/>
  <c r="CI101" i="48"/>
  <c r="CC101" i="48"/>
  <c r="BW101" i="48"/>
  <c r="BQ101" i="48"/>
  <c r="BK101" i="48"/>
  <c r="BE101" i="48"/>
  <c r="AY101" i="48"/>
  <c r="AS101" i="48"/>
  <c r="AM101" i="48"/>
  <c r="AG101" i="48"/>
  <c r="AA101" i="48"/>
  <c r="U101" i="48"/>
  <c r="O101" i="48"/>
  <c r="I101" i="48"/>
  <c r="C101" i="48"/>
  <c r="DM100" i="48"/>
  <c r="DG100" i="48"/>
  <c r="DA100" i="48"/>
  <c r="CU100" i="48"/>
  <c r="CO100" i="48"/>
  <c r="CI100" i="48"/>
  <c r="CC100" i="48"/>
  <c r="BW100" i="48"/>
  <c r="BQ100" i="48"/>
  <c r="BK100" i="48"/>
  <c r="BE100" i="48"/>
  <c r="AY100" i="48"/>
  <c r="AS100" i="48"/>
  <c r="AM100" i="48"/>
  <c r="AG100" i="48"/>
  <c r="AA100" i="48"/>
  <c r="U100" i="48"/>
  <c r="O100" i="48"/>
  <c r="I100" i="48"/>
  <c r="C100" i="48"/>
  <c r="DM99" i="48"/>
  <c r="DG99" i="48"/>
  <c r="DA99" i="48"/>
  <c r="CU99" i="48"/>
  <c r="CO99" i="48"/>
  <c r="CI99" i="48"/>
  <c r="CC99" i="48"/>
  <c r="BW99" i="48"/>
  <c r="BQ99" i="48"/>
  <c r="BK99" i="48"/>
  <c r="BE99" i="48"/>
  <c r="AY99" i="48"/>
  <c r="AS99" i="48"/>
  <c r="AM99" i="48"/>
  <c r="AG99" i="48"/>
  <c r="AA99" i="48"/>
  <c r="U99" i="48"/>
  <c r="O99" i="48"/>
  <c r="I99" i="48"/>
  <c r="C99" i="48"/>
  <c r="DM98" i="48"/>
  <c r="DG98" i="48"/>
  <c r="DA98" i="48"/>
  <c r="CU98" i="48"/>
  <c r="CO98" i="48"/>
  <c r="CI98" i="48"/>
  <c r="CC98" i="48"/>
  <c r="BW98" i="48"/>
  <c r="BQ98" i="48"/>
  <c r="BK98" i="48"/>
  <c r="BE98" i="48"/>
  <c r="AY98" i="48"/>
  <c r="AS98" i="48"/>
  <c r="AM98" i="48"/>
  <c r="AG98" i="48"/>
  <c r="AA98" i="48"/>
  <c r="U98" i="48"/>
  <c r="O98" i="48"/>
  <c r="I98" i="48"/>
  <c r="C98" i="48"/>
  <c r="DM97" i="48"/>
  <c r="DG97" i="48"/>
  <c r="DA97" i="48"/>
  <c r="CU97" i="48"/>
  <c r="CO97" i="48"/>
  <c r="CI97" i="48"/>
  <c r="CC97" i="48"/>
  <c r="BW97" i="48"/>
  <c r="BQ97" i="48"/>
  <c r="BK97" i="48"/>
  <c r="BE97" i="48"/>
  <c r="AY97" i="48"/>
  <c r="AS97" i="48"/>
  <c r="AM97" i="48"/>
  <c r="AG97" i="48"/>
  <c r="AA97" i="48"/>
  <c r="U97" i="48"/>
  <c r="O97" i="48"/>
  <c r="I97" i="48"/>
  <c r="C97" i="48"/>
  <c r="DM96" i="48"/>
  <c r="DG96" i="48"/>
  <c r="DA96" i="48"/>
  <c r="CU96" i="48"/>
  <c r="CO96" i="48"/>
  <c r="CI96" i="48"/>
  <c r="CC96" i="48"/>
  <c r="BW96" i="48"/>
  <c r="BQ96" i="48"/>
  <c r="BK96" i="48"/>
  <c r="BE96" i="48"/>
  <c r="AY96" i="48"/>
  <c r="AS96" i="48"/>
  <c r="AM96" i="48"/>
  <c r="AG96" i="48"/>
  <c r="AA96" i="48"/>
  <c r="U96" i="48"/>
  <c r="O96" i="48"/>
  <c r="I96" i="48"/>
  <c r="C96" i="48"/>
  <c r="DM95" i="48"/>
  <c r="DG95" i="48"/>
  <c r="DA95" i="48"/>
  <c r="CU95" i="48"/>
  <c r="CO95" i="48"/>
  <c r="CI95" i="48"/>
  <c r="CC95" i="48"/>
  <c r="BW95" i="48"/>
  <c r="BQ95" i="48"/>
  <c r="BK95" i="48"/>
  <c r="BE95" i="48"/>
  <c r="AY95" i="48"/>
  <c r="AS95" i="48"/>
  <c r="AM95" i="48"/>
  <c r="AG95" i="48"/>
  <c r="AA95" i="48"/>
  <c r="U95" i="48"/>
  <c r="O95" i="48"/>
  <c r="I95" i="48"/>
  <c r="C95" i="48"/>
  <c r="DM94" i="48"/>
  <c r="DG94" i="48"/>
  <c r="DA94" i="48"/>
  <c r="CU94" i="48"/>
  <c r="CO94" i="48"/>
  <c r="CI94" i="48"/>
  <c r="CC94" i="48"/>
  <c r="BW94" i="48"/>
  <c r="BQ94" i="48"/>
  <c r="BK94" i="48"/>
  <c r="BE94" i="48"/>
  <c r="AY94" i="48"/>
  <c r="AS94" i="48"/>
  <c r="AM94" i="48"/>
  <c r="AG94" i="48"/>
  <c r="AA94" i="48"/>
  <c r="U94" i="48"/>
  <c r="O94" i="48"/>
  <c r="I94" i="48"/>
  <c r="C94" i="48"/>
  <c r="DM93" i="48"/>
  <c r="DG93" i="48"/>
  <c r="DA93" i="48"/>
  <c r="CU93" i="48"/>
  <c r="CO93" i="48"/>
  <c r="CI93" i="48"/>
  <c r="CC93" i="48"/>
  <c r="BW93" i="48"/>
  <c r="BQ93" i="48"/>
  <c r="BK93" i="48"/>
  <c r="BE93" i="48"/>
  <c r="AY93" i="48"/>
  <c r="AS93" i="48"/>
  <c r="AM93" i="48"/>
  <c r="AG93" i="48"/>
  <c r="AA93" i="48"/>
  <c r="U93" i="48"/>
  <c r="O93" i="48"/>
  <c r="I93" i="48"/>
  <c r="C93" i="48"/>
  <c r="DM92" i="48"/>
  <c r="DG92" i="48"/>
  <c r="DA92" i="48"/>
  <c r="CU92" i="48"/>
  <c r="CO92" i="48"/>
  <c r="CI92" i="48"/>
  <c r="CC92" i="48"/>
  <c r="BW92" i="48"/>
  <c r="BQ92" i="48"/>
  <c r="BK92" i="48"/>
  <c r="BE92" i="48"/>
  <c r="AY92" i="48"/>
  <c r="AS92" i="48"/>
  <c r="AM92" i="48"/>
  <c r="AG92" i="48"/>
  <c r="AA92" i="48"/>
  <c r="U92" i="48"/>
  <c r="O92" i="48"/>
  <c r="I92" i="48"/>
  <c r="C92" i="48"/>
  <c r="DM91" i="48"/>
  <c r="DG91" i="48"/>
  <c r="DA91" i="48"/>
  <c r="CU91" i="48"/>
  <c r="CO91" i="48"/>
  <c r="CI91" i="48"/>
  <c r="CC91" i="48"/>
  <c r="BW91" i="48"/>
  <c r="BQ91" i="48"/>
  <c r="BK91" i="48"/>
  <c r="BE91" i="48"/>
  <c r="AY91" i="48"/>
  <c r="AS91" i="48"/>
  <c r="AM91" i="48"/>
  <c r="AG91" i="48"/>
  <c r="AA91" i="48"/>
  <c r="U91" i="48"/>
  <c r="O91" i="48"/>
  <c r="I91" i="48"/>
  <c r="C91" i="48"/>
  <c r="DM90" i="48"/>
  <c r="DG90" i="48"/>
  <c r="DA90" i="48"/>
  <c r="CU90" i="48"/>
  <c r="CO90" i="48"/>
  <c r="CI90" i="48"/>
  <c r="CC90" i="48"/>
  <c r="BW90" i="48"/>
  <c r="BQ90" i="48"/>
  <c r="BK90" i="48"/>
  <c r="BE90" i="48"/>
  <c r="AY90" i="48"/>
  <c r="AS90" i="48"/>
  <c r="AM90" i="48"/>
  <c r="AG90" i="48"/>
  <c r="AA90" i="48"/>
  <c r="U90" i="48"/>
  <c r="O90" i="48"/>
  <c r="I90" i="48"/>
  <c r="C90" i="48"/>
  <c r="DM89" i="48"/>
  <c r="DG89" i="48"/>
  <c r="DA89" i="48"/>
  <c r="CU89" i="48"/>
  <c r="CO89" i="48"/>
  <c r="CI89" i="48"/>
  <c r="CC89" i="48"/>
  <c r="BW89" i="48"/>
  <c r="BQ89" i="48"/>
  <c r="BK89" i="48"/>
  <c r="BE89" i="48"/>
  <c r="AY89" i="48"/>
  <c r="AS89" i="48"/>
  <c r="AM89" i="48"/>
  <c r="AG89" i="48"/>
  <c r="AA89" i="48"/>
  <c r="U89" i="48"/>
  <c r="O89" i="48"/>
  <c r="I89" i="48"/>
  <c r="C89" i="48"/>
  <c r="DM88" i="48"/>
  <c r="DG88" i="48"/>
  <c r="DA88" i="48"/>
  <c r="CU88" i="48"/>
  <c r="CO88" i="48"/>
  <c r="CI88" i="48"/>
  <c r="CC88" i="48"/>
  <c r="BW88" i="48"/>
  <c r="BQ88" i="48"/>
  <c r="BK88" i="48"/>
  <c r="BE88" i="48"/>
  <c r="AY88" i="48"/>
  <c r="AS88" i="48"/>
  <c r="AM88" i="48"/>
  <c r="AG88" i="48"/>
  <c r="AA88" i="48"/>
  <c r="U88" i="48"/>
  <c r="O88" i="48"/>
  <c r="I88" i="48"/>
  <c r="C88" i="48"/>
  <c r="DM87" i="48"/>
  <c r="DG87" i="48"/>
  <c r="DA87" i="48"/>
  <c r="CU87" i="48"/>
  <c r="CO87" i="48"/>
  <c r="CI87" i="48"/>
  <c r="CC87" i="48"/>
  <c r="BW87" i="48"/>
  <c r="BQ87" i="48"/>
  <c r="BK87" i="48"/>
  <c r="BE87" i="48"/>
  <c r="AY87" i="48"/>
  <c r="AS87" i="48"/>
  <c r="AM87" i="48"/>
  <c r="AG87" i="48"/>
  <c r="AA87" i="48"/>
  <c r="U87" i="48"/>
  <c r="O87" i="48"/>
  <c r="I87" i="48"/>
  <c r="C87" i="48"/>
  <c r="DM86" i="48"/>
  <c r="DG86" i="48"/>
  <c r="DA86" i="48"/>
  <c r="CU86" i="48"/>
  <c r="CO86" i="48"/>
  <c r="CI86" i="48"/>
  <c r="CC86" i="48"/>
  <c r="BW86" i="48"/>
  <c r="BQ86" i="48"/>
  <c r="BK86" i="48"/>
  <c r="BE86" i="48"/>
  <c r="AY86" i="48"/>
  <c r="AS86" i="48"/>
  <c r="AM86" i="48"/>
  <c r="AG86" i="48"/>
  <c r="AA86" i="48"/>
  <c r="U86" i="48"/>
  <c r="O86" i="48"/>
  <c r="I86" i="48"/>
  <c r="C86" i="48"/>
  <c r="DM85" i="48"/>
  <c r="DG85" i="48"/>
  <c r="DA85" i="48"/>
  <c r="CU85" i="48"/>
  <c r="CO85" i="48"/>
  <c r="CI85" i="48"/>
  <c r="CC85" i="48"/>
  <c r="BW85" i="48"/>
  <c r="BQ85" i="48"/>
  <c r="BK85" i="48"/>
  <c r="BE85" i="48"/>
  <c r="AY85" i="48"/>
  <c r="AS85" i="48"/>
  <c r="AM85" i="48"/>
  <c r="AG85" i="48"/>
  <c r="AA85" i="48"/>
  <c r="U85" i="48"/>
  <c r="O85" i="48"/>
  <c r="I85" i="48"/>
  <c r="C85" i="48"/>
  <c r="DM84" i="48"/>
  <c r="DG84" i="48"/>
  <c r="DA84" i="48"/>
  <c r="CU84" i="48"/>
  <c r="CO84" i="48"/>
  <c r="CI84" i="48"/>
  <c r="CC84" i="48"/>
  <c r="BW84" i="48"/>
  <c r="BQ84" i="48"/>
  <c r="BK84" i="48"/>
  <c r="BE84" i="48"/>
  <c r="AY84" i="48"/>
  <c r="AS84" i="48"/>
  <c r="AM84" i="48"/>
  <c r="AG84" i="48"/>
  <c r="AA84" i="48"/>
  <c r="U84" i="48"/>
  <c r="O84" i="48"/>
  <c r="I84" i="48"/>
  <c r="C84" i="48"/>
  <c r="DM83" i="48"/>
  <c r="DG83" i="48"/>
  <c r="DA83" i="48"/>
  <c r="CU83" i="48"/>
  <c r="CO83" i="48"/>
  <c r="CI83" i="48"/>
  <c r="CC83" i="48"/>
  <c r="BW83" i="48"/>
  <c r="BQ83" i="48"/>
  <c r="BK83" i="48"/>
  <c r="BE83" i="48"/>
  <c r="AY83" i="48"/>
  <c r="AS83" i="48"/>
  <c r="AM83" i="48"/>
  <c r="AG83" i="48"/>
  <c r="AA83" i="48"/>
  <c r="U83" i="48"/>
  <c r="O83" i="48"/>
  <c r="I83" i="48"/>
  <c r="C83" i="48"/>
  <c r="DM82" i="48"/>
  <c r="DG82" i="48"/>
  <c r="DA82" i="48"/>
  <c r="CU82" i="48"/>
  <c r="CO82" i="48"/>
  <c r="CI82" i="48"/>
  <c r="CC82" i="48"/>
  <c r="BW82" i="48"/>
  <c r="BQ82" i="48"/>
  <c r="BK82" i="48"/>
  <c r="BE82" i="48"/>
  <c r="AY82" i="48"/>
  <c r="AS82" i="48"/>
  <c r="AM82" i="48"/>
  <c r="AG82" i="48"/>
  <c r="AA82" i="48"/>
  <c r="U82" i="48"/>
  <c r="O82" i="48"/>
  <c r="I82" i="48"/>
  <c r="C82" i="48"/>
  <c r="DM81" i="48"/>
  <c r="DG81" i="48"/>
  <c r="DA81" i="48"/>
  <c r="CU81" i="48"/>
  <c r="CO81" i="48"/>
  <c r="CI81" i="48"/>
  <c r="CC81" i="48"/>
  <c r="BW81" i="48"/>
  <c r="BQ81" i="48"/>
  <c r="BK81" i="48"/>
  <c r="BE81" i="48"/>
  <c r="AY81" i="48"/>
  <c r="AS81" i="48"/>
  <c r="AM81" i="48"/>
  <c r="AG81" i="48"/>
  <c r="AA81" i="48"/>
  <c r="U81" i="48"/>
  <c r="O81" i="48"/>
  <c r="I81" i="48"/>
  <c r="C81" i="48"/>
  <c r="DM80" i="48"/>
  <c r="DG80" i="48"/>
  <c r="DA80" i="48"/>
  <c r="CU80" i="48"/>
  <c r="CO80" i="48"/>
  <c r="CI80" i="48"/>
  <c r="CC80" i="48"/>
  <c r="BW80" i="48"/>
  <c r="BQ80" i="48"/>
  <c r="BK80" i="48"/>
  <c r="BE80" i="48"/>
  <c r="AY80" i="48"/>
  <c r="AS80" i="48"/>
  <c r="AM80" i="48"/>
  <c r="AG80" i="48"/>
  <c r="AA80" i="48"/>
  <c r="U80" i="48"/>
  <c r="O80" i="48"/>
  <c r="I80" i="48"/>
  <c r="C80" i="48"/>
  <c r="DM79" i="48"/>
  <c r="DG79" i="48"/>
  <c r="DA79" i="48"/>
  <c r="CU79" i="48"/>
  <c r="CO79" i="48"/>
  <c r="CI79" i="48"/>
  <c r="CC79" i="48"/>
  <c r="BW79" i="48"/>
  <c r="BQ79" i="48"/>
  <c r="BK79" i="48"/>
  <c r="BE79" i="48"/>
  <c r="AY79" i="48"/>
  <c r="AS79" i="48"/>
  <c r="AM79" i="48"/>
  <c r="AG79" i="48"/>
  <c r="AA79" i="48"/>
  <c r="U79" i="48"/>
  <c r="O79" i="48"/>
  <c r="I79" i="48"/>
  <c r="C79" i="48"/>
  <c r="DM78" i="48"/>
  <c r="DG78" i="48"/>
  <c r="DA78" i="48"/>
  <c r="CU78" i="48"/>
  <c r="CO78" i="48"/>
  <c r="CI78" i="48"/>
  <c r="CC78" i="48"/>
  <c r="BW78" i="48"/>
  <c r="BQ78" i="48"/>
  <c r="BK78" i="48"/>
  <c r="BE78" i="48"/>
  <c r="AY78" i="48"/>
  <c r="AS78" i="48"/>
  <c r="AM78" i="48"/>
  <c r="AG78" i="48"/>
  <c r="AA78" i="48"/>
  <c r="U78" i="48"/>
  <c r="O78" i="48"/>
  <c r="I78" i="48"/>
  <c r="C78" i="48"/>
  <c r="DM77" i="48"/>
  <c r="DG77" i="48"/>
  <c r="DA77" i="48"/>
  <c r="CU77" i="48"/>
  <c r="CO77" i="48"/>
  <c r="CI77" i="48"/>
  <c r="CC77" i="48"/>
  <c r="BW77" i="48"/>
  <c r="BQ77" i="48"/>
  <c r="BK77" i="48"/>
  <c r="BE77" i="48"/>
  <c r="AY77" i="48"/>
  <c r="AS77" i="48"/>
  <c r="AM77" i="48"/>
  <c r="AG77" i="48"/>
  <c r="AA77" i="48"/>
  <c r="U77" i="48"/>
  <c r="O77" i="48"/>
  <c r="I77" i="48"/>
  <c r="C77" i="48"/>
  <c r="DM76" i="48"/>
  <c r="DG76" i="48"/>
  <c r="DA76" i="48"/>
  <c r="CU76" i="48"/>
  <c r="CO76" i="48"/>
  <c r="CI76" i="48"/>
  <c r="CC76" i="48"/>
  <c r="BW76" i="48"/>
  <c r="BQ76" i="48"/>
  <c r="BK76" i="48"/>
  <c r="BE76" i="48"/>
  <c r="AY76" i="48"/>
  <c r="AS76" i="48"/>
  <c r="AM76" i="48"/>
  <c r="AG76" i="48"/>
  <c r="AA76" i="48"/>
  <c r="U76" i="48"/>
  <c r="O76" i="48"/>
  <c r="I76" i="48"/>
  <c r="C76" i="48"/>
  <c r="DM75" i="48"/>
  <c r="DG75" i="48"/>
  <c r="DA75" i="48"/>
  <c r="CU75" i="48"/>
  <c r="CO75" i="48"/>
  <c r="CI75" i="48"/>
  <c r="CC75" i="48"/>
  <c r="BW75" i="48"/>
  <c r="BQ75" i="48"/>
  <c r="BK75" i="48"/>
  <c r="BE75" i="48"/>
  <c r="AY75" i="48"/>
  <c r="AS75" i="48"/>
  <c r="AM75" i="48"/>
  <c r="AG75" i="48"/>
  <c r="AA75" i="48"/>
  <c r="U75" i="48"/>
  <c r="O75" i="48"/>
  <c r="I75" i="48"/>
  <c r="C75" i="48"/>
  <c r="DM74" i="48"/>
  <c r="DG74" i="48"/>
  <c r="DA74" i="48"/>
  <c r="CU74" i="48"/>
  <c r="CO74" i="48"/>
  <c r="CI74" i="48"/>
  <c r="CC74" i="48"/>
  <c r="BW74" i="48"/>
  <c r="BQ74" i="48"/>
  <c r="BK74" i="48"/>
  <c r="BE74" i="48"/>
  <c r="AY74" i="48"/>
  <c r="AS74" i="48"/>
  <c r="AM74" i="48"/>
  <c r="AG74" i="48"/>
  <c r="AA74" i="48"/>
  <c r="U74" i="48"/>
  <c r="O74" i="48"/>
  <c r="I74" i="48"/>
  <c r="C74" i="48"/>
  <c r="DM73" i="48"/>
  <c r="DG73" i="48"/>
  <c r="DA73" i="48"/>
  <c r="CU73" i="48"/>
  <c r="CO73" i="48"/>
  <c r="CI73" i="48"/>
  <c r="CC73" i="48"/>
  <c r="BW73" i="48"/>
  <c r="BQ73" i="48"/>
  <c r="BK73" i="48"/>
  <c r="BE73" i="48"/>
  <c r="AY73" i="48"/>
  <c r="AS73" i="48"/>
  <c r="AM73" i="48"/>
  <c r="AG73" i="48"/>
  <c r="AA73" i="48"/>
  <c r="U73" i="48"/>
  <c r="O73" i="48"/>
  <c r="I73" i="48"/>
  <c r="C73" i="48"/>
  <c r="DM72" i="48"/>
  <c r="DG72" i="48"/>
  <c r="DA72" i="48"/>
  <c r="CU72" i="48"/>
  <c r="CO72" i="48"/>
  <c r="CI72" i="48"/>
  <c r="CC72" i="48"/>
  <c r="BW72" i="48"/>
  <c r="BQ72" i="48"/>
  <c r="BK72" i="48"/>
  <c r="BE72" i="48"/>
  <c r="AY72" i="48"/>
  <c r="AS72" i="48"/>
  <c r="AM72" i="48"/>
  <c r="AG72" i="48"/>
  <c r="AA72" i="48"/>
  <c r="U72" i="48"/>
  <c r="O72" i="48"/>
  <c r="I72" i="48"/>
  <c r="C72" i="48"/>
  <c r="DM71" i="48"/>
  <c r="DG71" i="48"/>
  <c r="DA71" i="48"/>
  <c r="CU71" i="48"/>
  <c r="CO71" i="48"/>
  <c r="CI71" i="48"/>
  <c r="CC71" i="48"/>
  <c r="BW71" i="48"/>
  <c r="BQ71" i="48"/>
  <c r="BK71" i="48"/>
  <c r="BE71" i="48"/>
  <c r="AY71" i="48"/>
  <c r="AS71" i="48"/>
  <c r="AM71" i="48"/>
  <c r="AG71" i="48"/>
  <c r="AA71" i="48"/>
  <c r="U71" i="48"/>
  <c r="O71" i="48"/>
  <c r="I71" i="48"/>
  <c r="C71" i="48"/>
  <c r="DM70" i="48"/>
  <c r="DG70" i="48"/>
  <c r="DA70" i="48"/>
  <c r="CU70" i="48"/>
  <c r="CO70" i="48"/>
  <c r="CI70" i="48"/>
  <c r="CC70" i="48"/>
  <c r="BW70" i="48"/>
  <c r="BQ70" i="48"/>
  <c r="BK70" i="48"/>
  <c r="BE70" i="48"/>
  <c r="AY70" i="48"/>
  <c r="AS70" i="48"/>
  <c r="AM70" i="48"/>
  <c r="AG70" i="48"/>
  <c r="AA70" i="48"/>
  <c r="U70" i="48"/>
  <c r="O70" i="48"/>
  <c r="I70" i="48"/>
  <c r="C70" i="48"/>
  <c r="DM69" i="48"/>
  <c r="DG69" i="48"/>
  <c r="DA69" i="48"/>
  <c r="CU69" i="48"/>
  <c r="CO69" i="48"/>
  <c r="CI69" i="48"/>
  <c r="CC69" i="48"/>
  <c r="BW69" i="48"/>
  <c r="BQ69" i="48"/>
  <c r="BK69" i="48"/>
  <c r="BE69" i="48"/>
  <c r="AY69" i="48"/>
  <c r="AS69" i="48"/>
  <c r="AM69" i="48"/>
  <c r="AG69" i="48"/>
  <c r="AA69" i="48"/>
  <c r="U69" i="48"/>
  <c r="O69" i="48"/>
  <c r="I69" i="48"/>
  <c r="C69" i="48"/>
  <c r="DM68" i="48"/>
  <c r="DG68" i="48"/>
  <c r="DA68" i="48"/>
  <c r="CU68" i="48"/>
  <c r="CO68" i="48"/>
  <c r="CI68" i="48"/>
  <c r="CC68" i="48"/>
  <c r="BW68" i="48"/>
  <c r="BQ68" i="48"/>
  <c r="BK68" i="48"/>
  <c r="BE68" i="48"/>
  <c r="AY68" i="48"/>
  <c r="AS68" i="48"/>
  <c r="AM68" i="48"/>
  <c r="AG68" i="48"/>
  <c r="AA68" i="48"/>
  <c r="U68" i="48"/>
  <c r="O68" i="48"/>
  <c r="I68" i="48"/>
  <c r="C68" i="48"/>
  <c r="DM67" i="48"/>
  <c r="DG67" i="48"/>
  <c r="DA67" i="48"/>
  <c r="CU67" i="48"/>
  <c r="CO67" i="48"/>
  <c r="CI67" i="48"/>
  <c r="CC67" i="48"/>
  <c r="BW67" i="48"/>
  <c r="BQ67" i="48"/>
  <c r="BK67" i="48"/>
  <c r="BE67" i="48"/>
  <c r="AY67" i="48"/>
  <c r="AS67" i="48"/>
  <c r="AM67" i="48"/>
  <c r="AG67" i="48"/>
  <c r="AA67" i="48"/>
  <c r="U67" i="48"/>
  <c r="O67" i="48"/>
  <c r="I67" i="48"/>
  <c r="C67" i="48"/>
  <c r="DM66" i="48"/>
  <c r="DG66" i="48"/>
  <c r="DA66" i="48"/>
  <c r="CU66" i="48"/>
  <c r="CO66" i="48"/>
  <c r="CI66" i="48"/>
  <c r="CC66" i="48"/>
  <c r="BW66" i="48"/>
  <c r="BQ66" i="48"/>
  <c r="BK66" i="48"/>
  <c r="BE66" i="48"/>
  <c r="AY66" i="48"/>
  <c r="AS66" i="48"/>
  <c r="AM66" i="48"/>
  <c r="AG66" i="48"/>
  <c r="AA66" i="48"/>
  <c r="U66" i="48"/>
  <c r="O66" i="48"/>
  <c r="I66" i="48"/>
  <c r="C66" i="48"/>
  <c r="DM65" i="48"/>
  <c r="DG65" i="48"/>
  <c r="DA65" i="48"/>
  <c r="CU65" i="48"/>
  <c r="CO65" i="48"/>
  <c r="CI65" i="48"/>
  <c r="CC65" i="48"/>
  <c r="BW65" i="48"/>
  <c r="BQ65" i="48"/>
  <c r="BK65" i="48"/>
  <c r="BE65" i="48"/>
  <c r="AY65" i="48"/>
  <c r="AS65" i="48"/>
  <c r="AM65" i="48"/>
  <c r="AG65" i="48"/>
  <c r="AA65" i="48"/>
  <c r="U65" i="48"/>
  <c r="O65" i="48"/>
  <c r="I65" i="48"/>
  <c r="C65" i="48"/>
  <c r="DM64" i="48"/>
  <c r="DG64" i="48"/>
  <c r="DA64" i="48"/>
  <c r="CU64" i="48"/>
  <c r="CO64" i="48"/>
  <c r="CI64" i="48"/>
  <c r="CC64" i="48"/>
  <c r="BW64" i="48"/>
  <c r="BQ64" i="48"/>
  <c r="BK64" i="48"/>
  <c r="BE64" i="48"/>
  <c r="AY64" i="48"/>
  <c r="AS64" i="48"/>
  <c r="AM64" i="48"/>
  <c r="AG64" i="48"/>
  <c r="AA64" i="48"/>
  <c r="U64" i="48"/>
  <c r="O64" i="48"/>
  <c r="I64" i="48"/>
  <c r="C64" i="48"/>
  <c r="DM63" i="48"/>
  <c r="DG63" i="48"/>
  <c r="DA63" i="48"/>
  <c r="CU63" i="48"/>
  <c r="CO63" i="48"/>
  <c r="CI63" i="48"/>
  <c r="CC63" i="48"/>
  <c r="BW63" i="48"/>
  <c r="BQ63" i="48"/>
  <c r="BK63" i="48"/>
  <c r="BE63" i="48"/>
  <c r="AY63" i="48"/>
  <c r="AS63" i="48"/>
  <c r="AM63" i="48"/>
  <c r="AG63" i="48"/>
  <c r="AA63" i="48"/>
  <c r="U63" i="48"/>
  <c r="O63" i="48"/>
  <c r="I63" i="48"/>
  <c r="C63" i="48"/>
  <c r="DM62" i="48"/>
  <c r="DG62" i="48"/>
  <c r="DA62" i="48"/>
  <c r="CU62" i="48"/>
  <c r="CO62" i="48"/>
  <c r="CI62" i="48"/>
  <c r="CC62" i="48"/>
  <c r="BW62" i="48"/>
  <c r="BQ62" i="48"/>
  <c r="BK62" i="48"/>
  <c r="BE62" i="48"/>
  <c r="AY62" i="48"/>
  <c r="AS62" i="48"/>
  <c r="AM62" i="48"/>
  <c r="AG62" i="48"/>
  <c r="AA62" i="48"/>
  <c r="U62" i="48"/>
  <c r="O62" i="48"/>
  <c r="I62" i="48"/>
  <c r="C62" i="48"/>
  <c r="DM61" i="48"/>
  <c r="DG61" i="48"/>
  <c r="DA61" i="48"/>
  <c r="CU61" i="48"/>
  <c r="CO61" i="48"/>
  <c r="CI61" i="48"/>
  <c r="CC61" i="48"/>
  <c r="BW61" i="48"/>
  <c r="BQ61" i="48"/>
  <c r="BK61" i="48"/>
  <c r="BE61" i="48"/>
  <c r="AY61" i="48"/>
  <c r="AS61" i="48"/>
  <c r="AM61" i="48"/>
  <c r="AG61" i="48"/>
  <c r="AA61" i="48"/>
  <c r="U61" i="48"/>
  <c r="O61" i="48"/>
  <c r="I61" i="48"/>
  <c r="C61" i="48"/>
  <c r="DM60" i="48"/>
  <c r="DG60" i="48"/>
  <c r="DA60" i="48"/>
  <c r="CU60" i="48"/>
  <c r="CO60" i="48"/>
  <c r="CI60" i="48"/>
  <c r="CC60" i="48"/>
  <c r="BW60" i="48"/>
  <c r="BQ60" i="48"/>
  <c r="BK60" i="48"/>
  <c r="BE60" i="48"/>
  <c r="AY60" i="48"/>
  <c r="AS60" i="48"/>
  <c r="AM60" i="48"/>
  <c r="AG60" i="48"/>
  <c r="AA60" i="48"/>
  <c r="U60" i="48"/>
  <c r="O60" i="48"/>
  <c r="I60" i="48"/>
  <c r="C60" i="48"/>
  <c r="DM59" i="48"/>
  <c r="DG59" i="48"/>
  <c r="DA59" i="48"/>
  <c r="CU59" i="48"/>
  <c r="CO59" i="48"/>
  <c r="CI59" i="48"/>
  <c r="CC59" i="48"/>
  <c r="BW59" i="48"/>
  <c r="BQ59" i="48"/>
  <c r="BK59" i="48"/>
  <c r="BE59" i="48"/>
  <c r="AY59" i="48"/>
  <c r="AS59" i="48"/>
  <c r="AM59" i="48"/>
  <c r="AG59" i="48"/>
  <c r="AA59" i="48"/>
  <c r="U59" i="48"/>
  <c r="O59" i="48"/>
  <c r="I59" i="48"/>
  <c r="C59" i="48"/>
  <c r="DM58" i="48"/>
  <c r="DG58" i="48"/>
  <c r="DA58" i="48"/>
  <c r="CU58" i="48"/>
  <c r="CO58" i="48"/>
  <c r="CI58" i="48"/>
  <c r="CC58" i="48"/>
  <c r="BW58" i="48"/>
  <c r="BQ58" i="48"/>
  <c r="BK58" i="48"/>
  <c r="BE58" i="48"/>
  <c r="AY58" i="48"/>
  <c r="AS58" i="48"/>
  <c r="AM58" i="48"/>
  <c r="AG58" i="48"/>
  <c r="AA58" i="48"/>
  <c r="U58" i="48"/>
  <c r="O58" i="48"/>
  <c r="I58" i="48"/>
  <c r="C58" i="48"/>
  <c r="DM57" i="48"/>
  <c r="DG57" i="48"/>
  <c r="DA57" i="48"/>
  <c r="CU57" i="48"/>
  <c r="CO57" i="48"/>
  <c r="CI57" i="48"/>
  <c r="CC57" i="48"/>
  <c r="BW57" i="48"/>
  <c r="BQ57" i="48"/>
  <c r="BK57" i="48"/>
  <c r="BE57" i="48"/>
  <c r="AY57" i="48"/>
  <c r="AS57" i="48"/>
  <c r="AM57" i="48"/>
  <c r="AG57" i="48"/>
  <c r="AA57" i="48"/>
  <c r="U57" i="48"/>
  <c r="O57" i="48"/>
  <c r="I57" i="48"/>
  <c r="C57" i="48"/>
  <c r="DM56" i="48"/>
  <c r="DG56" i="48"/>
  <c r="DA56" i="48"/>
  <c r="CU56" i="48"/>
  <c r="CO56" i="48"/>
  <c r="CI56" i="48"/>
  <c r="CC56" i="48"/>
  <c r="BW56" i="48"/>
  <c r="BQ56" i="48"/>
  <c r="BK56" i="48"/>
  <c r="BE56" i="48"/>
  <c r="AY56" i="48"/>
  <c r="AS56" i="48"/>
  <c r="AM56" i="48"/>
  <c r="AG56" i="48"/>
  <c r="AA56" i="48"/>
  <c r="U56" i="48"/>
  <c r="O56" i="48"/>
  <c r="I56" i="48"/>
  <c r="C56" i="48"/>
  <c r="DM55" i="48"/>
  <c r="DG55" i="48"/>
  <c r="DA55" i="48"/>
  <c r="CU55" i="48"/>
  <c r="CO55" i="48"/>
  <c r="CI55" i="48"/>
  <c r="CC55" i="48"/>
  <c r="BW55" i="48"/>
  <c r="BQ55" i="48"/>
  <c r="BK55" i="48"/>
  <c r="BE55" i="48"/>
  <c r="AY55" i="48"/>
  <c r="AS55" i="48"/>
  <c r="AM55" i="48"/>
  <c r="AG55" i="48"/>
  <c r="AA55" i="48"/>
  <c r="U55" i="48"/>
  <c r="O55" i="48"/>
  <c r="I55" i="48"/>
  <c r="C55" i="48"/>
  <c r="DM54" i="48"/>
  <c r="DG54" i="48"/>
  <c r="DA54" i="48"/>
  <c r="CU54" i="48"/>
  <c r="CO54" i="48"/>
  <c r="CI54" i="48"/>
  <c r="CC54" i="48"/>
  <c r="BW54" i="48"/>
  <c r="BQ54" i="48"/>
  <c r="BK54" i="48"/>
  <c r="BE54" i="48"/>
  <c r="AY54" i="48"/>
  <c r="AS54" i="48"/>
  <c r="AM54" i="48"/>
  <c r="AG54" i="48"/>
  <c r="AA54" i="48"/>
  <c r="U54" i="48"/>
  <c r="O54" i="48"/>
  <c r="I54" i="48"/>
  <c r="C54" i="48"/>
  <c r="DM53" i="48"/>
  <c r="DG53" i="48"/>
  <c r="DA53" i="48"/>
  <c r="CU53" i="48"/>
  <c r="CO53" i="48"/>
  <c r="CI53" i="48"/>
  <c r="CC53" i="48"/>
  <c r="BW53" i="48"/>
  <c r="BQ53" i="48"/>
  <c r="BK53" i="48"/>
  <c r="BE53" i="48"/>
  <c r="AY53" i="48"/>
  <c r="AS53" i="48"/>
  <c r="AM53" i="48"/>
  <c r="AG53" i="48"/>
  <c r="AA53" i="48"/>
  <c r="U53" i="48"/>
  <c r="O53" i="48"/>
  <c r="I53" i="48"/>
  <c r="C53" i="48"/>
  <c r="DM52" i="48"/>
  <c r="DG52" i="48"/>
  <c r="DA52" i="48"/>
  <c r="CU52" i="48"/>
  <c r="CO52" i="48"/>
  <c r="CI52" i="48"/>
  <c r="CC52" i="48"/>
  <c r="BW52" i="48"/>
  <c r="BQ52" i="48"/>
  <c r="BK52" i="48"/>
  <c r="BE52" i="48"/>
  <c r="AY52" i="48"/>
  <c r="AS52" i="48"/>
  <c r="AM52" i="48"/>
  <c r="AG52" i="48"/>
  <c r="AA52" i="48"/>
  <c r="U52" i="48"/>
  <c r="O52" i="48"/>
  <c r="I52" i="48"/>
  <c r="C52" i="48"/>
  <c r="DM51" i="48"/>
  <c r="DG51" i="48"/>
  <c r="DA51" i="48"/>
  <c r="CU51" i="48"/>
  <c r="CO51" i="48"/>
  <c r="CI51" i="48"/>
  <c r="CC51" i="48"/>
  <c r="BW51" i="48"/>
  <c r="BQ51" i="48"/>
  <c r="BK51" i="48"/>
  <c r="BE51" i="48"/>
  <c r="AY51" i="48"/>
  <c r="AS51" i="48"/>
  <c r="AM51" i="48"/>
  <c r="AG51" i="48"/>
  <c r="AA51" i="48"/>
  <c r="U51" i="48"/>
  <c r="O51" i="48"/>
  <c r="I51" i="48"/>
  <c r="C51" i="48"/>
  <c r="DM50" i="48"/>
  <c r="DG50" i="48"/>
  <c r="DA50" i="48"/>
  <c r="CU50" i="48"/>
  <c r="CO50" i="48"/>
  <c r="CI50" i="48"/>
  <c r="CC50" i="48"/>
  <c r="BW50" i="48"/>
  <c r="BQ50" i="48"/>
  <c r="BK50" i="48"/>
  <c r="BE50" i="48"/>
  <c r="AY50" i="48"/>
  <c r="AS50" i="48"/>
  <c r="AM50" i="48"/>
  <c r="AG50" i="48"/>
  <c r="AA50" i="48"/>
  <c r="U50" i="48"/>
  <c r="O50" i="48"/>
  <c r="I50" i="48"/>
  <c r="C50" i="48"/>
  <c r="DM49" i="48"/>
  <c r="DG49" i="48"/>
  <c r="DA49" i="48"/>
  <c r="CU49" i="48"/>
  <c r="CO49" i="48"/>
  <c r="CI49" i="48"/>
  <c r="CC49" i="48"/>
  <c r="BW49" i="48"/>
  <c r="BQ49" i="48"/>
  <c r="BK49" i="48"/>
  <c r="BE49" i="48"/>
  <c r="AY49" i="48"/>
  <c r="AS49" i="48"/>
  <c r="AM49" i="48"/>
  <c r="AG49" i="48"/>
  <c r="AA49" i="48"/>
  <c r="U49" i="48"/>
  <c r="O49" i="48"/>
  <c r="I49" i="48"/>
  <c r="C49" i="48"/>
  <c r="DM48" i="48"/>
  <c r="DG48" i="48"/>
  <c r="DA48" i="48"/>
  <c r="CU48" i="48"/>
  <c r="CO48" i="48"/>
  <c r="CI48" i="48"/>
  <c r="CC48" i="48"/>
  <c r="BW48" i="48"/>
  <c r="BQ48" i="48"/>
  <c r="BK48" i="48"/>
  <c r="BE48" i="48"/>
  <c r="AY48" i="48"/>
  <c r="AS48" i="48"/>
  <c r="AM48" i="48"/>
  <c r="AG48" i="48"/>
  <c r="AA48" i="48"/>
  <c r="U48" i="48"/>
  <c r="O48" i="48"/>
  <c r="I48" i="48"/>
  <c r="C48" i="48"/>
  <c r="DM47" i="48"/>
  <c r="DG47" i="48"/>
  <c r="DA47" i="48"/>
  <c r="CU47" i="48"/>
  <c r="CO47" i="48"/>
  <c r="CI47" i="48"/>
  <c r="CC47" i="48"/>
  <c r="BW47" i="48"/>
  <c r="BQ47" i="48"/>
  <c r="BK47" i="48"/>
  <c r="BE47" i="48"/>
  <c r="AY47" i="48"/>
  <c r="AS47" i="48"/>
  <c r="AM47" i="48"/>
  <c r="AG47" i="48"/>
  <c r="AA47" i="48"/>
  <c r="U47" i="48"/>
  <c r="O47" i="48"/>
  <c r="I47" i="48"/>
  <c r="C47" i="48"/>
  <c r="DM46" i="48"/>
  <c r="DG46" i="48"/>
  <c r="DA46" i="48"/>
  <c r="CU46" i="48"/>
  <c r="CO46" i="48"/>
  <c r="CI46" i="48"/>
  <c r="CC46" i="48"/>
  <c r="BW46" i="48"/>
  <c r="BQ46" i="48"/>
  <c r="BK46" i="48"/>
  <c r="BE46" i="48"/>
  <c r="AY46" i="48"/>
  <c r="AS46" i="48"/>
  <c r="AM46" i="48"/>
  <c r="AG46" i="48"/>
  <c r="AA46" i="48"/>
  <c r="U46" i="48"/>
  <c r="O46" i="48"/>
  <c r="I46" i="48"/>
  <c r="C46" i="48"/>
  <c r="DM45" i="48"/>
  <c r="DG45" i="48"/>
  <c r="DA45" i="48"/>
  <c r="CU45" i="48"/>
  <c r="CO45" i="48"/>
  <c r="CI45" i="48"/>
  <c r="CC45" i="48"/>
  <c r="BW45" i="48"/>
  <c r="BQ45" i="48"/>
  <c r="BK45" i="48"/>
  <c r="BE45" i="48"/>
  <c r="AY45" i="48"/>
  <c r="AS45" i="48"/>
  <c r="AM45" i="48"/>
  <c r="AG45" i="48"/>
  <c r="AA45" i="48"/>
  <c r="U45" i="48"/>
  <c r="O45" i="48"/>
  <c r="I45" i="48"/>
  <c r="C45" i="48"/>
  <c r="DM44" i="48"/>
  <c r="DG44" i="48"/>
  <c r="DA44" i="48"/>
  <c r="CU44" i="48"/>
  <c r="CO44" i="48"/>
  <c r="CI44" i="48"/>
  <c r="CC44" i="48"/>
  <c r="BW44" i="48"/>
  <c r="BQ44" i="48"/>
  <c r="BK44" i="48"/>
  <c r="BE44" i="48"/>
  <c r="AY44" i="48"/>
  <c r="AS44" i="48"/>
  <c r="AM44" i="48"/>
  <c r="AG44" i="48"/>
  <c r="AA44" i="48"/>
  <c r="U44" i="48"/>
  <c r="O44" i="48"/>
  <c r="I44" i="48"/>
  <c r="C44" i="48"/>
  <c r="DM43" i="48"/>
  <c r="DG43" i="48"/>
  <c r="DA43" i="48"/>
  <c r="CU43" i="48"/>
  <c r="CO43" i="48"/>
  <c r="CI43" i="48"/>
  <c r="CC43" i="48"/>
  <c r="BW43" i="48"/>
  <c r="BQ43" i="48"/>
  <c r="BK43" i="48"/>
  <c r="BE43" i="48"/>
  <c r="AY43" i="48"/>
  <c r="AS43" i="48"/>
  <c r="AM43" i="48"/>
  <c r="AG43" i="48"/>
  <c r="AA43" i="48"/>
  <c r="U43" i="48"/>
  <c r="O43" i="48"/>
  <c r="I43" i="48"/>
  <c r="C43" i="48"/>
  <c r="DM42" i="48"/>
  <c r="DG42" i="48"/>
  <c r="DA42" i="48"/>
  <c r="CU42" i="48"/>
  <c r="CO42" i="48"/>
  <c r="CI42" i="48"/>
  <c r="CC42" i="48"/>
  <c r="BW42" i="48"/>
  <c r="BQ42" i="48"/>
  <c r="BK42" i="48"/>
  <c r="BE42" i="48"/>
  <c r="AY42" i="48"/>
  <c r="AS42" i="48"/>
  <c r="AM42" i="48"/>
  <c r="AG42" i="48"/>
  <c r="AA42" i="48"/>
  <c r="U42" i="48"/>
  <c r="O42" i="48"/>
  <c r="I42" i="48"/>
  <c r="C42" i="48"/>
  <c r="DM41" i="48"/>
  <c r="DG41" i="48"/>
  <c r="DA41" i="48"/>
  <c r="CU41" i="48"/>
  <c r="CO41" i="48"/>
  <c r="CI41" i="48"/>
  <c r="CC41" i="48"/>
  <c r="BW41" i="48"/>
  <c r="BQ41" i="48"/>
  <c r="BK41" i="48"/>
  <c r="BE41" i="48"/>
  <c r="AY41" i="48"/>
  <c r="AS41" i="48"/>
  <c r="AM41" i="48"/>
  <c r="AG41" i="48"/>
  <c r="AA41" i="48"/>
  <c r="U41" i="48"/>
  <c r="O41" i="48"/>
  <c r="I41" i="48"/>
  <c r="C41" i="48"/>
  <c r="DM40" i="48"/>
  <c r="DG40" i="48"/>
  <c r="DA40" i="48"/>
  <c r="CU40" i="48"/>
  <c r="CO40" i="48"/>
  <c r="CI40" i="48"/>
  <c r="CC40" i="48"/>
  <c r="BW40" i="48"/>
  <c r="BQ40" i="48"/>
  <c r="BK40" i="48"/>
  <c r="BE40" i="48"/>
  <c r="AY40" i="48"/>
  <c r="AS40" i="48"/>
  <c r="AM40" i="48"/>
  <c r="AG40" i="48"/>
  <c r="AA40" i="48"/>
  <c r="U40" i="48"/>
  <c r="O40" i="48"/>
  <c r="I40" i="48"/>
  <c r="C40" i="48"/>
  <c r="DM39" i="48"/>
  <c r="DG39" i="48"/>
  <c r="DA39" i="48"/>
  <c r="CU39" i="48"/>
  <c r="CO39" i="48"/>
  <c r="CI39" i="48"/>
  <c r="CC39" i="48"/>
  <c r="BW39" i="48"/>
  <c r="BQ39" i="48"/>
  <c r="BK39" i="48"/>
  <c r="BE39" i="48"/>
  <c r="AY39" i="48"/>
  <c r="AS39" i="48"/>
  <c r="AM39" i="48"/>
  <c r="AG39" i="48"/>
  <c r="AA39" i="48"/>
  <c r="U39" i="48"/>
  <c r="O39" i="48"/>
  <c r="I39" i="48"/>
  <c r="C39" i="48"/>
  <c r="DM38" i="48"/>
  <c r="DG38" i="48"/>
  <c r="DA38" i="48"/>
  <c r="CU38" i="48"/>
  <c r="CO38" i="48"/>
  <c r="CI38" i="48"/>
  <c r="CC38" i="48"/>
  <c r="BW38" i="48"/>
  <c r="BQ38" i="48"/>
  <c r="BK38" i="48"/>
  <c r="BE38" i="48"/>
  <c r="AY38" i="48"/>
  <c r="AS38" i="48"/>
  <c r="AM38" i="48"/>
  <c r="AG38" i="48"/>
  <c r="AA38" i="48"/>
  <c r="U38" i="48"/>
  <c r="O38" i="48"/>
  <c r="I38" i="48"/>
  <c r="C38" i="48"/>
  <c r="DM37" i="48"/>
  <c r="DG37" i="48"/>
  <c r="DA37" i="48"/>
  <c r="CU37" i="48"/>
  <c r="CO37" i="48"/>
  <c r="CI37" i="48"/>
  <c r="CC37" i="48"/>
  <c r="BW37" i="48"/>
  <c r="BQ37" i="48"/>
  <c r="BK37" i="48"/>
  <c r="BE37" i="48"/>
  <c r="AY37" i="48"/>
  <c r="AS37" i="48"/>
  <c r="AM37" i="48"/>
  <c r="AG37" i="48"/>
  <c r="AA37" i="48"/>
  <c r="U37" i="48"/>
  <c r="O37" i="48"/>
  <c r="I37" i="48"/>
  <c r="C37" i="48"/>
  <c r="DM36" i="48"/>
  <c r="DG36" i="48"/>
  <c r="DA36" i="48"/>
  <c r="CU36" i="48"/>
  <c r="CO36" i="48"/>
  <c r="CI36" i="48"/>
  <c r="CC36" i="48"/>
  <c r="BW36" i="48"/>
  <c r="BQ36" i="48"/>
  <c r="BK36" i="48"/>
  <c r="BE36" i="48"/>
  <c r="AY36" i="48"/>
  <c r="AS36" i="48"/>
  <c r="AM36" i="48"/>
  <c r="AG36" i="48"/>
  <c r="AA36" i="48"/>
  <c r="U36" i="48"/>
  <c r="O36" i="48"/>
  <c r="I36" i="48"/>
  <c r="C36" i="48"/>
  <c r="DM35" i="48"/>
  <c r="DG35" i="48"/>
  <c r="DA35" i="48"/>
  <c r="CU35" i="48"/>
  <c r="CO35" i="48"/>
  <c r="CI35" i="48"/>
  <c r="CC35" i="48"/>
  <c r="BW35" i="48"/>
  <c r="BQ35" i="48"/>
  <c r="BK35" i="48"/>
  <c r="BE35" i="48"/>
  <c r="AY35" i="48"/>
  <c r="AS35" i="48"/>
  <c r="AM35" i="48"/>
  <c r="AG35" i="48"/>
  <c r="AA35" i="48"/>
  <c r="U35" i="48"/>
  <c r="O35" i="48"/>
  <c r="I35" i="48"/>
  <c r="C35" i="48"/>
  <c r="DM34" i="48"/>
  <c r="DG34" i="48"/>
  <c r="DA34" i="48"/>
  <c r="CU34" i="48"/>
  <c r="CO34" i="48"/>
  <c r="CI34" i="48"/>
  <c r="CC34" i="48"/>
  <c r="BW34" i="48"/>
  <c r="BQ34" i="48"/>
  <c r="BK34" i="48"/>
  <c r="BE34" i="48"/>
  <c r="AY34" i="48"/>
  <c r="AS34" i="48"/>
  <c r="AM34" i="48"/>
  <c r="AG34" i="48"/>
  <c r="AA34" i="48"/>
  <c r="U34" i="48"/>
  <c r="O34" i="48"/>
  <c r="I34" i="48"/>
  <c r="C34" i="48"/>
  <c r="DM33" i="48"/>
  <c r="DG33" i="48"/>
  <c r="DA33" i="48"/>
  <c r="CU33" i="48"/>
  <c r="CO33" i="48"/>
  <c r="CI33" i="48"/>
  <c r="CC33" i="48"/>
  <c r="BW33" i="48"/>
  <c r="BQ33" i="48"/>
  <c r="BK33" i="48"/>
  <c r="BE33" i="48"/>
  <c r="AY33" i="48"/>
  <c r="AS33" i="48"/>
  <c r="AM33" i="48"/>
  <c r="AG33" i="48"/>
  <c r="AA33" i="48"/>
  <c r="U33" i="48"/>
  <c r="O33" i="48"/>
  <c r="I33" i="48"/>
  <c r="C33" i="48"/>
  <c r="DM32" i="48"/>
  <c r="DG32" i="48"/>
  <c r="DA32" i="48"/>
  <c r="CU32" i="48"/>
  <c r="CO32" i="48"/>
  <c r="CI32" i="48"/>
  <c r="CC32" i="48"/>
  <c r="BW32" i="48"/>
  <c r="BQ32" i="48"/>
  <c r="BK32" i="48"/>
  <c r="BE32" i="48"/>
  <c r="AY32" i="48"/>
  <c r="AS32" i="48"/>
  <c r="AM32" i="48"/>
  <c r="AG32" i="48"/>
  <c r="AA32" i="48"/>
  <c r="U32" i="48"/>
  <c r="O32" i="48"/>
  <c r="I32" i="48"/>
  <c r="C32" i="48"/>
  <c r="DM31" i="48"/>
  <c r="DG31" i="48"/>
  <c r="DA31" i="48"/>
  <c r="CU31" i="48"/>
  <c r="CO31" i="48"/>
  <c r="CI31" i="48"/>
  <c r="CC31" i="48"/>
  <c r="BW31" i="48"/>
  <c r="BQ31" i="48"/>
  <c r="BK31" i="48"/>
  <c r="BE31" i="48"/>
  <c r="AY31" i="48"/>
  <c r="AS31" i="48"/>
  <c r="AM31" i="48"/>
  <c r="AG31" i="48"/>
  <c r="AA31" i="48"/>
  <c r="U31" i="48"/>
  <c r="O31" i="48"/>
  <c r="I31" i="48"/>
  <c r="C31" i="48"/>
  <c r="DM30" i="48"/>
  <c r="DG30" i="48"/>
  <c r="DA30" i="48"/>
  <c r="CU30" i="48"/>
  <c r="CO30" i="48"/>
  <c r="CI30" i="48"/>
  <c r="CC30" i="48"/>
  <c r="BW30" i="48"/>
  <c r="BQ30" i="48"/>
  <c r="BK30" i="48"/>
  <c r="BE30" i="48"/>
  <c r="AY30" i="48"/>
  <c r="AS30" i="48"/>
  <c r="AM30" i="48"/>
  <c r="AG30" i="48"/>
  <c r="AA30" i="48"/>
  <c r="U30" i="48"/>
  <c r="O30" i="48"/>
  <c r="I30" i="48"/>
  <c r="C30" i="48"/>
  <c r="DM29" i="48"/>
  <c r="DG29" i="48"/>
  <c r="DA29" i="48"/>
  <c r="CU29" i="48"/>
  <c r="CO29" i="48"/>
  <c r="CI29" i="48"/>
  <c r="CC29" i="48"/>
  <c r="BW29" i="48"/>
  <c r="BQ29" i="48"/>
  <c r="BK29" i="48"/>
  <c r="BE29" i="48"/>
  <c r="AY29" i="48"/>
  <c r="AS29" i="48"/>
  <c r="AM29" i="48"/>
  <c r="AG29" i="48"/>
  <c r="AA29" i="48"/>
  <c r="U29" i="48"/>
  <c r="O29" i="48"/>
  <c r="I29" i="48"/>
  <c r="C29" i="48"/>
  <c r="DM28" i="48"/>
  <c r="DG28" i="48"/>
  <c r="DA28" i="48"/>
  <c r="CU28" i="48"/>
  <c r="CO28" i="48"/>
  <c r="CI28" i="48"/>
  <c r="CC28" i="48"/>
  <c r="BW28" i="48"/>
  <c r="BQ28" i="48"/>
  <c r="BK28" i="48"/>
  <c r="BE28" i="48"/>
  <c r="AY28" i="48"/>
  <c r="AS28" i="48"/>
  <c r="AM28" i="48"/>
  <c r="AG28" i="48"/>
  <c r="AA28" i="48"/>
  <c r="U28" i="48"/>
  <c r="O28" i="48"/>
  <c r="I28" i="48"/>
  <c r="C28" i="48"/>
  <c r="DM27" i="48"/>
  <c r="DG27" i="48"/>
  <c r="DA27" i="48"/>
  <c r="CU27" i="48"/>
  <c r="CO27" i="48"/>
  <c r="CI27" i="48"/>
  <c r="CC27" i="48"/>
  <c r="BW27" i="48"/>
  <c r="BQ27" i="48"/>
  <c r="BK27" i="48"/>
  <c r="BE27" i="48"/>
  <c r="AY27" i="48"/>
  <c r="AS27" i="48"/>
  <c r="AM27" i="48"/>
  <c r="AG27" i="48"/>
  <c r="AA27" i="48"/>
  <c r="U27" i="48"/>
  <c r="O27" i="48"/>
  <c r="I27" i="48"/>
  <c r="C27" i="48"/>
  <c r="DM26" i="48"/>
  <c r="DG26" i="48"/>
  <c r="DA26" i="48"/>
  <c r="CU26" i="48"/>
  <c r="CO26" i="48"/>
  <c r="CI26" i="48"/>
  <c r="CC26" i="48"/>
  <c r="BW26" i="48"/>
  <c r="BQ26" i="48"/>
  <c r="BK26" i="48"/>
  <c r="BE26" i="48"/>
  <c r="AY26" i="48"/>
  <c r="AS26" i="48"/>
  <c r="AM26" i="48"/>
  <c r="AG26" i="48"/>
  <c r="AA26" i="48"/>
  <c r="U26" i="48"/>
  <c r="O26" i="48"/>
  <c r="I26" i="48"/>
  <c r="C26" i="48"/>
  <c r="DM25" i="48"/>
  <c r="DG25" i="48"/>
  <c r="DA25" i="48"/>
  <c r="CU25" i="48"/>
  <c r="CO25" i="48"/>
  <c r="CI25" i="48"/>
  <c r="CC25" i="48"/>
  <c r="BW25" i="48"/>
  <c r="BQ25" i="48"/>
  <c r="BK25" i="48"/>
  <c r="BE25" i="48"/>
  <c r="AY25" i="48"/>
  <c r="AS25" i="48"/>
  <c r="AM25" i="48"/>
  <c r="AG25" i="48"/>
  <c r="AA25" i="48"/>
  <c r="U25" i="48"/>
  <c r="O25" i="48"/>
  <c r="I25" i="48"/>
  <c r="C25" i="48"/>
  <c r="DM24" i="48"/>
  <c r="DG24" i="48"/>
  <c r="DA24" i="48"/>
  <c r="CU24" i="48"/>
  <c r="CO24" i="48"/>
  <c r="CI24" i="48"/>
  <c r="CC24" i="48"/>
  <c r="BW24" i="48"/>
  <c r="BQ24" i="48"/>
  <c r="BK24" i="48"/>
  <c r="BE24" i="48"/>
  <c r="AY24" i="48"/>
  <c r="AS24" i="48"/>
  <c r="AM24" i="48"/>
  <c r="AG24" i="48"/>
  <c r="AA24" i="48"/>
  <c r="U24" i="48"/>
  <c r="O24" i="48"/>
  <c r="I24" i="48"/>
  <c r="C24" i="48"/>
  <c r="DM23" i="48"/>
  <c r="DG23" i="48"/>
  <c r="DA23" i="48"/>
  <c r="CU23" i="48"/>
  <c r="CO23" i="48"/>
  <c r="CI23" i="48"/>
  <c r="CC23" i="48"/>
  <c r="BW23" i="48"/>
  <c r="BQ23" i="48"/>
  <c r="BK23" i="48"/>
  <c r="BE23" i="48"/>
  <c r="AY23" i="48"/>
  <c r="AS23" i="48"/>
  <c r="AM23" i="48"/>
  <c r="AG23" i="48"/>
  <c r="AA23" i="48"/>
  <c r="U23" i="48"/>
  <c r="O23" i="48"/>
  <c r="I23" i="48"/>
  <c r="C23" i="48"/>
  <c r="DM22" i="48"/>
  <c r="DG22" i="48"/>
  <c r="DA22" i="48"/>
  <c r="CU22" i="48"/>
  <c r="CO22" i="48"/>
  <c r="CI22" i="48"/>
  <c r="CC22" i="48"/>
  <c r="BW22" i="48"/>
  <c r="BQ22" i="48"/>
  <c r="BK22" i="48"/>
  <c r="BE22" i="48"/>
  <c r="AY22" i="48"/>
  <c r="AS22" i="48"/>
  <c r="AM22" i="48"/>
  <c r="AG22" i="48"/>
  <c r="AA22" i="48"/>
  <c r="U22" i="48"/>
  <c r="O22" i="48"/>
  <c r="I22" i="48"/>
  <c r="C22" i="48"/>
  <c r="DM21" i="48"/>
  <c r="DG21" i="48"/>
  <c r="DA21" i="48"/>
  <c r="CU21" i="48"/>
  <c r="CO21" i="48"/>
  <c r="CI21" i="48"/>
  <c r="CC21" i="48"/>
  <c r="BW21" i="48"/>
  <c r="BQ21" i="48"/>
  <c r="BK21" i="48"/>
  <c r="BE21" i="48"/>
  <c r="AY21" i="48"/>
  <c r="AS21" i="48"/>
  <c r="AM21" i="48"/>
  <c r="AG21" i="48"/>
  <c r="AA21" i="48"/>
  <c r="U21" i="48"/>
  <c r="O21" i="48"/>
  <c r="I21" i="48"/>
  <c r="C21" i="48"/>
  <c r="DM20" i="48"/>
  <c r="DG20" i="48"/>
  <c r="DA20" i="48"/>
  <c r="CU20" i="48"/>
  <c r="CO20" i="48"/>
  <c r="CI20" i="48"/>
  <c r="CC20" i="48"/>
  <c r="BW20" i="48"/>
  <c r="BQ20" i="48"/>
  <c r="BK20" i="48"/>
  <c r="BE20" i="48"/>
  <c r="AY20" i="48"/>
  <c r="AS20" i="48"/>
  <c r="AM20" i="48"/>
  <c r="AG20" i="48"/>
  <c r="AA20" i="48"/>
  <c r="U20" i="48"/>
  <c r="O20" i="48"/>
  <c r="I20" i="48"/>
  <c r="C20" i="48"/>
  <c r="DM19" i="48"/>
  <c r="DG19" i="48"/>
  <c r="DA19" i="48"/>
  <c r="CU19" i="48"/>
  <c r="CO19" i="48"/>
  <c r="CI19" i="48"/>
  <c r="CC19" i="48"/>
  <c r="BW19" i="48"/>
  <c r="BQ19" i="48"/>
  <c r="BK19" i="48"/>
  <c r="BE19" i="48"/>
  <c r="AY19" i="48"/>
  <c r="AS19" i="48"/>
  <c r="AM19" i="48"/>
  <c r="AG19" i="48"/>
  <c r="AA19" i="48"/>
  <c r="U19" i="48"/>
  <c r="O19" i="48"/>
  <c r="I19" i="48"/>
  <c r="C19" i="48"/>
  <c r="DM18" i="48"/>
  <c r="DG18" i="48"/>
  <c r="DA18" i="48"/>
  <c r="CU18" i="48"/>
  <c r="CO18" i="48"/>
  <c r="CI18" i="48"/>
  <c r="CC18" i="48"/>
  <c r="BW18" i="48"/>
  <c r="BQ18" i="48"/>
  <c r="BK18" i="48"/>
  <c r="BE18" i="48"/>
  <c r="AY18" i="48"/>
  <c r="AS18" i="48"/>
  <c r="AM18" i="48"/>
  <c r="AG18" i="48"/>
  <c r="AA18" i="48"/>
  <c r="U18" i="48"/>
  <c r="O18" i="48"/>
  <c r="I18" i="48"/>
  <c r="C18" i="48"/>
  <c r="DM17" i="48"/>
  <c r="DG17" i="48"/>
  <c r="DA17" i="48"/>
  <c r="CU17" i="48"/>
  <c r="CO17" i="48"/>
  <c r="CI17" i="48"/>
  <c r="CC17" i="48"/>
  <c r="BW17" i="48"/>
  <c r="BQ17" i="48"/>
  <c r="BK17" i="48"/>
  <c r="BE17" i="48"/>
  <c r="AY17" i="48"/>
  <c r="AS17" i="48"/>
  <c r="AM17" i="48"/>
  <c r="AG17" i="48"/>
  <c r="AA17" i="48"/>
  <c r="U17" i="48"/>
  <c r="O17" i="48"/>
  <c r="I17" i="48"/>
  <c r="C17" i="48"/>
  <c r="DM16" i="48"/>
  <c r="DG16" i="48"/>
  <c r="DA16" i="48"/>
  <c r="CU16" i="48"/>
  <c r="CO16" i="48"/>
  <c r="CI16" i="48"/>
  <c r="CC16" i="48"/>
  <c r="BW16" i="48"/>
  <c r="BQ16" i="48"/>
  <c r="BK16" i="48"/>
  <c r="BE16" i="48"/>
  <c r="AY16" i="48"/>
  <c r="AS16" i="48"/>
  <c r="AM16" i="48"/>
  <c r="AG16" i="48"/>
  <c r="AA16" i="48"/>
  <c r="U16" i="48"/>
  <c r="O16" i="48"/>
  <c r="I16" i="48"/>
  <c r="C16" i="48"/>
  <c r="DM15" i="48"/>
  <c r="DG15" i="48"/>
  <c r="DA15" i="48"/>
  <c r="CU15" i="48"/>
  <c r="CO15" i="48"/>
  <c r="CI15" i="48"/>
  <c r="CC15" i="48"/>
  <c r="BW15" i="48"/>
  <c r="BQ15" i="48"/>
  <c r="BK15" i="48"/>
  <c r="BE15" i="48"/>
  <c r="AY15" i="48"/>
  <c r="AS15" i="48"/>
  <c r="AM15" i="48"/>
  <c r="AG15" i="48"/>
  <c r="AA15" i="48"/>
  <c r="U15" i="48"/>
  <c r="O15" i="48"/>
  <c r="I15" i="48"/>
  <c r="C15" i="48"/>
  <c r="DM14" i="48"/>
  <c r="DG14" i="48"/>
  <c r="DA14" i="48"/>
  <c r="CU14" i="48"/>
  <c r="CO14" i="48"/>
  <c r="CI14" i="48"/>
  <c r="CC14" i="48"/>
  <c r="BW14" i="48"/>
  <c r="BQ14" i="48"/>
  <c r="BK14" i="48"/>
  <c r="BE14" i="48"/>
  <c r="AY14" i="48"/>
  <c r="AS14" i="48"/>
  <c r="AM14" i="48"/>
  <c r="AG14" i="48"/>
  <c r="AA14" i="48"/>
  <c r="U14" i="48"/>
  <c r="O14" i="48"/>
  <c r="I14" i="48"/>
  <c r="C14" i="48"/>
  <c r="DM13" i="48"/>
  <c r="DG13" i="48"/>
  <c r="DA13" i="48"/>
  <c r="CU13" i="48"/>
  <c r="CO13" i="48"/>
  <c r="CI13" i="48"/>
  <c r="CC13" i="48"/>
  <c r="BW13" i="48"/>
  <c r="BQ13" i="48"/>
  <c r="BK13" i="48"/>
  <c r="BE13" i="48"/>
  <c r="AY13" i="48"/>
  <c r="AS13" i="48"/>
  <c r="AM13" i="48"/>
  <c r="AG13" i="48"/>
  <c r="AA13" i="48"/>
  <c r="U13" i="48"/>
  <c r="O13" i="48"/>
  <c r="I13" i="48"/>
  <c r="C13" i="48"/>
  <c r="DM12" i="48"/>
  <c r="DG12" i="48"/>
  <c r="DA12" i="48"/>
  <c r="CU12" i="48"/>
  <c r="CO12" i="48"/>
  <c r="CI12" i="48"/>
  <c r="CC12" i="48"/>
  <c r="BW12" i="48"/>
  <c r="BQ12" i="48"/>
  <c r="BK12" i="48"/>
  <c r="BE12" i="48"/>
  <c r="AY12" i="48"/>
  <c r="AS12" i="48"/>
  <c r="AM12" i="48"/>
  <c r="AG12" i="48"/>
  <c r="AA12" i="48"/>
  <c r="U12" i="48"/>
  <c r="O12" i="48"/>
  <c r="I12" i="48"/>
  <c r="C12" i="48"/>
  <c r="DM11" i="48"/>
  <c r="DG11" i="48"/>
  <c r="DA11" i="48"/>
  <c r="CU11" i="48"/>
  <c r="CO11" i="48"/>
  <c r="CI11" i="48"/>
  <c r="CC11" i="48"/>
  <c r="BW11" i="48"/>
  <c r="BQ11" i="48"/>
  <c r="BK11" i="48"/>
  <c r="BE11" i="48"/>
  <c r="AY11" i="48"/>
  <c r="AS11" i="48"/>
  <c r="AM11" i="48"/>
  <c r="AG11" i="48"/>
  <c r="AA11" i="48"/>
  <c r="U11" i="48"/>
  <c r="O11" i="48"/>
  <c r="I11" i="48"/>
  <c r="C11" i="48"/>
  <c r="DM10" i="48"/>
  <c r="DG10" i="48"/>
  <c r="DA10" i="48"/>
  <c r="CU10" i="48"/>
  <c r="CO10" i="48"/>
  <c r="CI10" i="48"/>
  <c r="CC10" i="48"/>
  <c r="BW10" i="48"/>
  <c r="BQ10" i="48"/>
  <c r="BK10" i="48"/>
  <c r="BE10" i="48"/>
  <c r="AY10" i="48"/>
  <c r="AS10" i="48"/>
  <c r="AM10" i="48"/>
  <c r="AG10" i="48"/>
  <c r="AA10" i="48"/>
  <c r="U10" i="48"/>
  <c r="O10" i="48"/>
  <c r="I10" i="48"/>
  <c r="C10" i="48"/>
  <c r="DM9" i="48"/>
  <c r="DG9" i="48"/>
  <c r="DA9" i="48"/>
  <c r="CU9" i="48"/>
  <c r="CO9" i="48"/>
  <c r="CI9" i="48"/>
  <c r="CC9" i="48"/>
  <c r="BW9" i="48"/>
  <c r="BQ9" i="48"/>
  <c r="BK9" i="48"/>
  <c r="BE9" i="48"/>
  <c r="AY9" i="48"/>
  <c r="AS9" i="48"/>
  <c r="AM9" i="48"/>
  <c r="AG9" i="48"/>
  <c r="AA9" i="48"/>
  <c r="U9" i="48"/>
  <c r="O9" i="48"/>
  <c r="I9" i="48"/>
  <c r="C9" i="48"/>
  <c r="DM8" i="48"/>
  <c r="DG8" i="48"/>
  <c r="DA8" i="48"/>
  <c r="CU8" i="48"/>
  <c r="CO8" i="48"/>
  <c r="CI8" i="48"/>
  <c r="CC8" i="48"/>
  <c r="BW8" i="48"/>
  <c r="BQ8" i="48"/>
  <c r="BK8" i="48"/>
  <c r="BE8" i="48"/>
  <c r="AY8" i="48"/>
  <c r="AS8" i="48"/>
  <c r="AM8" i="48"/>
  <c r="AG8" i="48"/>
  <c r="AA8" i="48"/>
  <c r="U8" i="48"/>
  <c r="O8" i="48"/>
  <c r="I8" i="48"/>
  <c r="C8" i="48"/>
  <c r="DM7" i="48"/>
  <c r="DG7" i="48"/>
  <c r="DA7" i="48"/>
  <c r="CU7" i="48"/>
  <c r="CO7" i="48"/>
  <c r="CI7" i="48"/>
  <c r="CC7" i="48"/>
  <c r="BW7" i="48"/>
  <c r="BQ7" i="48"/>
  <c r="BK7" i="48"/>
  <c r="BE7" i="48"/>
  <c r="AY7" i="48"/>
  <c r="AS7" i="48"/>
  <c r="AM7" i="48"/>
  <c r="AG7" i="48"/>
  <c r="AA7" i="48"/>
  <c r="U7" i="48"/>
  <c r="O7" i="48"/>
  <c r="I7" i="48"/>
  <c r="C7" i="48"/>
  <c r="DM6" i="48"/>
  <c r="DG6" i="48"/>
  <c r="DA6" i="48"/>
  <c r="CU6" i="48"/>
  <c r="CO6" i="48"/>
  <c r="CI6" i="48"/>
  <c r="CC6" i="48"/>
  <c r="BW6" i="48"/>
  <c r="BQ6" i="48"/>
  <c r="BK6" i="48"/>
  <c r="BE6" i="48"/>
  <c r="AY6" i="48"/>
  <c r="AS6" i="48"/>
  <c r="AM6" i="48"/>
  <c r="AG6" i="48"/>
  <c r="AA6" i="48"/>
  <c r="U6" i="48"/>
  <c r="O6" i="48"/>
  <c r="I6" i="48"/>
  <c r="C6" i="48"/>
  <c r="DM5" i="48"/>
  <c r="DG5" i="48"/>
  <c r="DA5" i="48"/>
  <c r="R43" i="18" s="1" a="1"/>
  <c r="R43" i="18" s="1"/>
  <c r="CU5" i="48"/>
  <c r="R42" i="18" s="1" a="1"/>
  <c r="R42" i="18" s="1"/>
  <c r="CO5" i="48"/>
  <c r="R41" i="18" s="1" a="1"/>
  <c r="R41" i="18" s="1"/>
  <c r="CI5" i="48"/>
  <c r="R40" i="18" s="1" a="1"/>
  <c r="R40" i="18" s="1"/>
  <c r="CC5" i="48"/>
  <c r="R39" i="18" s="1" a="1"/>
  <c r="R39" i="18" s="1"/>
  <c r="BW5" i="48"/>
  <c r="R38" i="18" s="1" a="1"/>
  <c r="R38" i="18" s="1"/>
  <c r="BQ5" i="48"/>
  <c r="R37" i="18" s="1" a="1"/>
  <c r="R37" i="18" s="1"/>
  <c r="BK5" i="48"/>
  <c r="R36" i="18" s="1" a="1"/>
  <c r="R36" i="18" s="1"/>
  <c r="BE5" i="48"/>
  <c r="R35" i="18" s="1" a="1"/>
  <c r="R35" i="18" s="1"/>
  <c r="AY5" i="48"/>
  <c r="R34" i="18" s="1" a="1"/>
  <c r="R34" i="18" s="1"/>
  <c r="AS5" i="48"/>
  <c r="AM5" i="48"/>
  <c r="R32" i="18" s="1" a="1"/>
  <c r="R32" i="18" s="1"/>
  <c r="AG5" i="48"/>
  <c r="R31" i="18" s="1" a="1"/>
  <c r="R31" i="18" s="1"/>
  <c r="AA5" i="48"/>
  <c r="R30" i="18" s="1" a="1"/>
  <c r="R30" i="18" s="1"/>
  <c r="U5" i="48"/>
  <c r="R29" i="18" s="1" a="1"/>
  <c r="R29" i="18" s="1"/>
  <c r="O5" i="48"/>
  <c r="R28" i="18" s="1" a="1"/>
  <c r="R28" i="18" s="1"/>
  <c r="I5" i="48"/>
  <c r="R27" i="18" s="1" a="1"/>
  <c r="R27" i="18" s="1"/>
  <c r="C5" i="48"/>
  <c r="R26" i="18" s="1" a="1"/>
  <c r="R26" i="18" s="1"/>
  <c r="C74" i="20"/>
  <c r="C70" i="20"/>
  <c r="C66" i="20"/>
  <c r="C62" i="20"/>
  <c r="C58" i="20"/>
  <c r="C54" i="20"/>
  <c r="C50" i="20"/>
  <c r="C46" i="20"/>
  <c r="C42" i="20"/>
  <c r="C38" i="20"/>
  <c r="C34" i="20"/>
  <c r="C30" i="20"/>
  <c r="C26" i="20"/>
  <c r="C22" i="20"/>
  <c r="C18" i="20"/>
  <c r="C14" i="20"/>
  <c r="C10" i="20"/>
  <c r="C517" i="16"/>
  <c r="C487" i="16"/>
  <c r="C457" i="16"/>
  <c r="C427" i="16"/>
  <c r="C397" i="16"/>
  <c r="C367" i="16"/>
  <c r="C337" i="16"/>
  <c r="C307" i="16"/>
  <c r="C277" i="16"/>
  <c r="C247" i="16"/>
  <c r="C217" i="16"/>
  <c r="C187" i="16"/>
  <c r="C157" i="16"/>
  <c r="C127" i="16"/>
  <c r="C97" i="16"/>
  <c r="C67" i="16"/>
  <c r="C37" i="16"/>
  <c r="R33" i="18" l="1" a="1"/>
  <c r="R33" i="18" s="1"/>
  <c r="K26" i="18"/>
  <c r="L26" i="18"/>
  <c r="T29" i="18"/>
  <c r="C82" i="20" l="1"/>
  <c r="C78" i="20"/>
  <c r="D42" i="18"/>
  <c r="J32" i="18"/>
  <c r="L32" i="18"/>
  <c r="V30" i="18"/>
  <c r="U29" i="18"/>
  <c r="H26" i="18"/>
  <c r="C91" i="20"/>
  <c r="C86" i="20"/>
  <c r="V26" i="18" l="1"/>
  <c r="H43" i="18"/>
  <c r="J26" i="18"/>
  <c r="T27" i="18" l="1"/>
  <c r="T28" i="18"/>
  <c r="T30" i="18"/>
  <c r="T31" i="18"/>
  <c r="T32" i="18"/>
  <c r="T33" i="18"/>
  <c r="T34" i="18"/>
  <c r="T35" i="18"/>
  <c r="T36" i="18"/>
  <c r="T37" i="18"/>
  <c r="T38" i="18"/>
  <c r="T39" i="18"/>
  <c r="T40" i="18"/>
  <c r="T41" i="18"/>
  <c r="T42" i="18"/>
  <c r="T43" i="18"/>
  <c r="U26" i="18"/>
  <c r="T26" i="18"/>
  <c r="V28" i="18"/>
  <c r="V27" i="18"/>
  <c r="V29" i="18"/>
  <c r="V31" i="18"/>
  <c r="V32" i="18"/>
  <c r="V33" i="18"/>
  <c r="V34" i="18"/>
  <c r="V35" i="18"/>
  <c r="V36" i="18"/>
  <c r="V37" i="18"/>
  <c r="V38" i="18"/>
  <c r="V39" i="18"/>
  <c r="V40" i="18"/>
  <c r="V41" i="18"/>
  <c r="V42" i="18"/>
  <c r="V43" i="18"/>
  <c r="L29" i="18"/>
  <c r="L33" i="18"/>
  <c r="L38" i="18"/>
  <c r="L30" i="18"/>
  <c r="L28" i="18"/>
  <c r="L31" i="18"/>
  <c r="L34" i="18"/>
  <c r="L35" i="18"/>
  <c r="L36" i="18"/>
  <c r="L37" i="18"/>
  <c r="L39" i="18"/>
  <c r="L40" i="18"/>
  <c r="L41" i="18"/>
  <c r="L42" i="18"/>
  <c r="L43" i="18"/>
  <c r="L27" i="18"/>
  <c r="C577" i="16"/>
  <c r="C547" i="16"/>
  <c r="U27" i="18"/>
  <c r="U28" i="18"/>
  <c r="U30" i="18"/>
  <c r="U31" i="18"/>
  <c r="U32" i="18"/>
  <c r="U33" i="18"/>
  <c r="U34" i="18"/>
  <c r="U35" i="18"/>
  <c r="U36" i="18"/>
  <c r="U37" i="18"/>
  <c r="U38" i="18"/>
  <c r="U39" i="18"/>
  <c r="U40" i="18"/>
  <c r="U41" i="18"/>
  <c r="U42" i="18"/>
  <c r="U43" i="18"/>
  <c r="H27" i="18" l="1"/>
  <c r="J43" i="18"/>
  <c r="O34" i="18"/>
  <c r="K27" i="18"/>
  <c r="K31" i="18"/>
  <c r="J29" i="18"/>
  <c r="B41" i="18"/>
  <c r="C41" i="18"/>
  <c r="D41" i="18"/>
  <c r="E41" i="18"/>
  <c r="F41" i="18"/>
  <c r="G41" i="18"/>
  <c r="H41" i="18"/>
  <c r="I41" i="18"/>
  <c r="J41" i="18"/>
  <c r="K41" i="18"/>
  <c r="M41" i="18"/>
  <c r="N41" i="18"/>
  <c r="O41" i="18"/>
  <c r="S41" i="18"/>
  <c r="M32" i="18"/>
  <c r="K36" i="18"/>
  <c r="J34" i="18"/>
  <c r="Q41" i="18" l="1" a="1"/>
  <c r="Q41" i="18" s="1"/>
  <c r="P41" i="18"/>
  <c r="H29" i="18"/>
  <c r="K32" i="18" l="1"/>
  <c r="J35" i="18"/>
  <c r="K29" i="18" l="1"/>
  <c r="K28" i="18"/>
  <c r="J40" i="18" l="1"/>
  <c r="C12" i="18" l="1"/>
  <c r="C11" i="18"/>
  <c r="C10" i="18"/>
  <c r="C9" i="18"/>
  <c r="C8" i="18"/>
  <c r="C7" i="18"/>
  <c r="C6" i="18"/>
  <c r="C5" i="18"/>
  <c r="S27" i="18"/>
  <c r="S28" i="18"/>
  <c r="S29" i="18"/>
  <c r="S30" i="18"/>
  <c r="S31" i="18"/>
  <c r="S32" i="18"/>
  <c r="S33" i="18"/>
  <c r="S34" i="18"/>
  <c r="S35" i="18"/>
  <c r="S36" i="18"/>
  <c r="S37" i="18"/>
  <c r="S38" i="18"/>
  <c r="S39" i="18"/>
  <c r="S40" i="18"/>
  <c r="S42" i="18"/>
  <c r="S43" i="18"/>
  <c r="S26" i="18"/>
  <c r="D27" i="18"/>
  <c r="E27" i="18"/>
  <c r="F27" i="18"/>
  <c r="G27" i="18"/>
  <c r="I27" i="18"/>
  <c r="D28" i="18"/>
  <c r="E28" i="18"/>
  <c r="F28" i="18"/>
  <c r="G28" i="18"/>
  <c r="H28" i="18"/>
  <c r="I28" i="18"/>
  <c r="D29" i="18"/>
  <c r="E29" i="18"/>
  <c r="F29" i="18"/>
  <c r="G29" i="18"/>
  <c r="I29" i="18"/>
  <c r="D30" i="18"/>
  <c r="E30" i="18"/>
  <c r="F30" i="18"/>
  <c r="G30" i="18"/>
  <c r="H30" i="18"/>
  <c r="I30" i="18"/>
  <c r="D31" i="18"/>
  <c r="E31" i="18"/>
  <c r="F31" i="18"/>
  <c r="G31" i="18"/>
  <c r="H31" i="18"/>
  <c r="I31" i="18"/>
  <c r="D32" i="18"/>
  <c r="E32" i="18"/>
  <c r="F32" i="18"/>
  <c r="G32" i="18"/>
  <c r="H32" i="18"/>
  <c r="I32" i="18"/>
  <c r="D33" i="18"/>
  <c r="E33" i="18"/>
  <c r="F33" i="18"/>
  <c r="G33" i="18"/>
  <c r="H33" i="18"/>
  <c r="I33" i="18"/>
  <c r="D34" i="18"/>
  <c r="E34" i="18"/>
  <c r="F34" i="18"/>
  <c r="G34" i="18"/>
  <c r="H34" i="18"/>
  <c r="I34" i="18"/>
  <c r="D35" i="18"/>
  <c r="E35" i="18"/>
  <c r="F35" i="18"/>
  <c r="G35" i="18"/>
  <c r="H35" i="18"/>
  <c r="I35" i="18"/>
  <c r="D36" i="18"/>
  <c r="E36" i="18"/>
  <c r="F36" i="18"/>
  <c r="G36" i="18"/>
  <c r="H36" i="18"/>
  <c r="I36" i="18"/>
  <c r="D37" i="18"/>
  <c r="E37" i="18"/>
  <c r="F37" i="18"/>
  <c r="G37" i="18"/>
  <c r="H37" i="18"/>
  <c r="I37" i="18"/>
  <c r="D38" i="18"/>
  <c r="E38" i="18"/>
  <c r="F38" i="18"/>
  <c r="G38" i="18"/>
  <c r="H38" i="18"/>
  <c r="I38" i="18"/>
  <c r="D39" i="18"/>
  <c r="E39" i="18"/>
  <c r="F39" i="18"/>
  <c r="G39" i="18"/>
  <c r="H39" i="18"/>
  <c r="I39" i="18"/>
  <c r="D40" i="18"/>
  <c r="E40" i="18"/>
  <c r="F40" i="18"/>
  <c r="G40" i="18"/>
  <c r="H40" i="18"/>
  <c r="I40" i="18"/>
  <c r="E42" i="18"/>
  <c r="F42" i="18"/>
  <c r="G42" i="18"/>
  <c r="H42" i="18"/>
  <c r="I42" i="18"/>
  <c r="D43" i="18"/>
  <c r="E43" i="18"/>
  <c r="F43" i="18"/>
  <c r="G43" i="18"/>
  <c r="I43" i="18"/>
  <c r="J27" i="18"/>
  <c r="J28" i="18"/>
  <c r="J30" i="18"/>
  <c r="J31" i="18"/>
  <c r="J33" i="18"/>
  <c r="J36" i="18"/>
  <c r="J37" i="18"/>
  <c r="J38" i="18"/>
  <c r="J39" i="18"/>
  <c r="J42" i="18"/>
  <c r="M27" i="18"/>
  <c r="M28" i="18"/>
  <c r="M29" i="18"/>
  <c r="M30" i="18"/>
  <c r="M31" i="18"/>
  <c r="M33" i="18"/>
  <c r="M34" i="18"/>
  <c r="M35" i="18"/>
  <c r="M36" i="18"/>
  <c r="M37" i="18"/>
  <c r="M38" i="18"/>
  <c r="M39" i="18"/>
  <c r="M40" i="18"/>
  <c r="M42" i="18"/>
  <c r="M43" i="18"/>
  <c r="N27" i="18"/>
  <c r="N28" i="18"/>
  <c r="N29" i="18"/>
  <c r="N30" i="18"/>
  <c r="N31" i="18"/>
  <c r="N32" i="18"/>
  <c r="N33" i="18"/>
  <c r="N34" i="18"/>
  <c r="N35" i="18"/>
  <c r="N36" i="18"/>
  <c r="N37" i="18"/>
  <c r="N38" i="18"/>
  <c r="N39" i="18"/>
  <c r="N40" i="18"/>
  <c r="N42" i="18"/>
  <c r="N43" i="18"/>
  <c r="O27" i="18"/>
  <c r="O28" i="18"/>
  <c r="O29" i="18"/>
  <c r="O30" i="18"/>
  <c r="O31" i="18"/>
  <c r="O32" i="18"/>
  <c r="O33" i="18"/>
  <c r="O35" i="18"/>
  <c r="O36" i="18"/>
  <c r="O37" i="18"/>
  <c r="O38" i="18"/>
  <c r="O39" i="18"/>
  <c r="O40" i="18"/>
  <c r="O42" i="18"/>
  <c r="O43" i="18"/>
  <c r="O26" i="18"/>
  <c r="K30" i="18"/>
  <c r="K37" i="18"/>
  <c r="K38" i="18"/>
  <c r="K39" i="18"/>
  <c r="K40" i="18"/>
  <c r="K42" i="18"/>
  <c r="K43" i="18"/>
  <c r="N26" i="18"/>
  <c r="M26" i="18"/>
  <c r="I26" i="18"/>
  <c r="G26" i="18"/>
  <c r="F26" i="18"/>
  <c r="E26" i="18"/>
  <c r="D26" i="18"/>
  <c r="C27" i="18"/>
  <c r="C28" i="18"/>
  <c r="C29" i="18"/>
  <c r="C30" i="18"/>
  <c r="C31" i="18"/>
  <c r="C32" i="18"/>
  <c r="C33" i="18"/>
  <c r="C34" i="18"/>
  <c r="C35" i="18"/>
  <c r="C36" i="18"/>
  <c r="C37" i="18"/>
  <c r="C38" i="18"/>
  <c r="C39" i="18"/>
  <c r="C40" i="18"/>
  <c r="C42" i="18"/>
  <c r="C43" i="18"/>
  <c r="C26" i="18"/>
  <c r="C7" i="16"/>
  <c r="B28" i="18"/>
  <c r="B29" i="18"/>
  <c r="B30" i="18"/>
  <c r="B31" i="18"/>
  <c r="B32" i="18"/>
  <c r="B33" i="18"/>
  <c r="B34" i="18"/>
  <c r="B35" i="18"/>
  <c r="B36" i="18"/>
  <c r="B37" i="18"/>
  <c r="B38" i="18"/>
  <c r="B39" i="18"/>
  <c r="B40" i="18"/>
  <c r="B42" i="18"/>
  <c r="B43" i="18"/>
  <c r="B27" i="18"/>
  <c r="B26" i="18"/>
  <c r="Q27" i="18" l="1" a="1"/>
  <c r="Q27" i="18" s="1"/>
  <c r="Q38" i="18" a="1"/>
  <c r="Q38" i="18" s="1"/>
  <c r="Q36" i="18" a="1"/>
  <c r="Q36" i="18" s="1"/>
  <c r="Q34" i="18" a="1"/>
  <c r="Q34" i="18" s="1"/>
  <c r="Q32" i="18" a="1"/>
  <c r="Q32" i="18" s="1"/>
  <c r="Q30" i="18" a="1"/>
  <c r="Q30" i="18" s="1"/>
  <c r="Q43" i="18" a="1"/>
  <c r="Q43" i="18" s="1"/>
  <c r="Q29" i="18" a="1"/>
  <c r="Q29" i="18" s="1"/>
  <c r="Q42" i="18" a="1"/>
  <c r="Q42" i="18" s="1"/>
  <c r="Q39" i="18" a="1"/>
  <c r="Q39" i="18" s="1"/>
  <c r="Q37" i="18" a="1"/>
  <c r="Q37" i="18" s="1"/>
  <c r="Q35" i="18" a="1"/>
  <c r="Q35" i="18" s="1"/>
  <c r="Q33" i="18" a="1"/>
  <c r="Q33" i="18" s="1"/>
  <c r="Q31" i="18" a="1"/>
  <c r="Q31" i="18" s="1"/>
  <c r="Q40" i="18" a="1"/>
  <c r="Q40" i="18" s="1"/>
  <c r="Q28" i="18" a="1"/>
  <c r="Q28" i="18" s="1"/>
  <c r="Q26" i="18" a="1"/>
  <c r="Q26" i="18" s="1"/>
  <c r="P39" i="18"/>
  <c r="P43" i="18"/>
  <c r="P31" i="18"/>
  <c r="P42" i="18"/>
  <c r="P38" i="18"/>
  <c r="P34" i="18"/>
  <c r="P30" i="18"/>
  <c r="P35" i="18"/>
  <c r="P27" i="18"/>
  <c r="P37" i="18"/>
  <c r="P33" i="18"/>
  <c r="P29" i="18"/>
  <c r="P40" i="18"/>
  <c r="P36" i="18"/>
  <c r="P32" i="18"/>
  <c r="P28" i="18"/>
  <c r="P26" i="18"/>
  <c r="C6" i="20"/>
  <c r="D25" i="15" l="1"/>
  <c r="D26" i="15"/>
  <c r="D20" i="15" l="1"/>
  <c r="D21" i="15"/>
  <c r="D22" i="15"/>
  <c r="D23" i="15"/>
  <c r="D24" i="15"/>
  <c r="D19" i="15" l="1"/>
  <c r="D18" i="15"/>
  <c r="D17" i="15"/>
  <c r="D16" i="15"/>
  <c r="D15" i="15"/>
  <c r="D14" i="15"/>
  <c r="D13" i="15"/>
  <c r="D12" i="15"/>
  <c r="D11" i="15"/>
  <c r="D10" i="15"/>
  <c r="D9" i="15"/>
</calcChain>
</file>

<file path=xl/sharedStrings.xml><?xml version="1.0" encoding="utf-8"?>
<sst xmlns="http://schemas.openxmlformats.org/spreadsheetml/2006/main" count="12650" uniqueCount="1488">
  <si>
    <t>Output</t>
  </si>
  <si>
    <t>Sheet</t>
  </si>
  <si>
    <t>Cell</t>
  </si>
  <si>
    <t>Simulation</t>
  </si>
  <si>
    <t>Object</t>
  </si>
  <si>
    <t>Name</t>
  </si>
  <si>
    <t>Period</t>
  </si>
  <si>
    <t>Command</t>
  </si>
  <si>
    <t>Label</t>
  </si>
  <si>
    <t>Additional</t>
  </si>
  <si>
    <t xml:space="preserve">// Case </t>
  </si>
  <si>
    <t>LoadData</t>
  </si>
  <si>
    <t>Script.txt</t>
  </si>
  <si>
    <t>SaveData</t>
  </si>
  <si>
    <t>Script Table</t>
  </si>
  <si>
    <t>Data</t>
  </si>
  <si>
    <t>Variable</t>
  </si>
  <si>
    <t>Duplicate - Script file name</t>
  </si>
  <si>
    <t>Duplicate - Sheet base name</t>
  </si>
  <si>
    <t>SpecifiedPeriodFrom</t>
  </si>
  <si>
    <t>SpecifiedPeriodTo</t>
  </si>
  <si>
    <t>Duplicate - Xoffset</t>
  </si>
  <si>
    <t>Duplicate - Yoffset</t>
  </si>
  <si>
    <t>Duplicate - Different sheets</t>
  </si>
  <si>
    <t>Duplicate - Specified Files</t>
  </si>
  <si>
    <t>Duplicate - Number of Files</t>
  </si>
  <si>
    <t>Duplicate - First File</t>
  </si>
  <si>
    <t>Results</t>
  </si>
  <si>
    <t>A1</t>
  </si>
  <si>
    <t>ArcLength</t>
  </si>
  <si>
    <t>Section</t>
  </si>
  <si>
    <t>Version</t>
  </si>
  <si>
    <t>OverwriteLabels</t>
  </si>
  <si>
    <t>ClearanceLineindex</t>
  </si>
  <si>
    <t>FileName</t>
  </si>
  <si>
    <t>GetDataIndex</t>
  </si>
  <si>
    <t>InsertMethod</t>
  </si>
  <si>
    <t>LabelCell</t>
  </si>
  <si>
    <t>LinePosition</t>
  </si>
  <si>
    <t>NodeNumber</t>
  </si>
  <si>
    <t>ObjectIndex</t>
  </si>
  <si>
    <t>OutputCell</t>
  </si>
  <si>
    <t>Radius</t>
  </si>
  <si>
    <t>ArcLengthRange</t>
  </si>
  <si>
    <t>SubObject</t>
  </si>
  <si>
    <t>ResultsSheetName</t>
  </si>
  <si>
    <t>Theta</t>
  </si>
  <si>
    <t>FromArcLength</t>
  </si>
  <si>
    <t>ToArcLength</t>
  </si>
  <si>
    <t>UseDefaultLabel</t>
  </si>
  <si>
    <t>SelectedVarIDs</t>
  </si>
  <si>
    <t>WinchConnectionPoint</t>
  </si>
  <si>
    <t>WingIndex</t>
  </si>
  <si>
    <t>ClearSheetName</t>
  </si>
  <si>
    <t>SourceSheetName</t>
  </si>
  <si>
    <t>DestinationSheetName</t>
  </si>
  <si>
    <t>RangeMin</t>
  </si>
  <si>
    <t>RangeMax</t>
  </si>
  <si>
    <t>RangeMean</t>
  </si>
  <si>
    <t>RangeStdDev</t>
  </si>
  <si>
    <t>RangeArcLength</t>
  </si>
  <si>
    <t>RangeUpper</t>
  </si>
  <si>
    <t>RangeLower</t>
  </si>
  <si>
    <t>ClearSheetMethod</t>
  </si>
  <si>
    <t>ClearSheetRange</t>
  </si>
  <si>
    <t>Position.X</t>
  </si>
  <si>
    <t>Position.Y</t>
  </si>
  <si>
    <t>A1:E10</t>
  </si>
  <si>
    <t>Position.Z (Global)</t>
  </si>
  <si>
    <t>Position.Z (Local)</t>
  </si>
  <si>
    <t>Requires</t>
  </si>
  <si>
    <t>BatchName</t>
  </si>
  <si>
    <t>9.3c1</t>
  </si>
  <si>
    <t>IgnoreErrors</t>
  </si>
  <si>
    <t>ContainsDependencies</t>
  </si>
  <si>
    <t>InstructionsSheetIndex</t>
  </si>
  <si>
    <t>Duplicate - Duplicate Labels</t>
  </si>
  <si>
    <t>RayleighExtremesStormDuration</t>
  </si>
  <si>
    <t>RayleighExtremesRiskFactor</t>
  </si>
  <si>
    <t>RayleighExtremesToAnalyse</t>
  </si>
  <si>
    <t>Duplicate - Sheet name method</t>
  </si>
  <si>
    <t>ExcludeHeaderText</t>
  </si>
  <si>
    <t>~</t>
  </si>
  <si>
    <t>9.9a5</t>
  </si>
  <si>
    <t>"basecase.dat"</t>
  </si>
  <si>
    <t>Select "Pipe"</t>
  </si>
  <si>
    <t>EndBX =</t>
  </si>
  <si>
    <t>Clear</t>
  </si>
  <si>
    <t>Pipe</t>
  </si>
  <si>
    <t>Effective Tension</t>
  </si>
  <si>
    <t>B1</t>
  </si>
  <si>
    <t>B2</t>
  </si>
  <si>
    <t>End A</t>
  </si>
  <si>
    <t>Case020.sim</t>
  </si>
  <si>
    <t>C2</t>
  </si>
  <si>
    <t>End B</t>
  </si>
  <si>
    <t>X</t>
  </si>
  <si>
    <t>D1</t>
  </si>
  <si>
    <t>D2</t>
  </si>
  <si>
    <t>E2</t>
  </si>
  <si>
    <t>Max von Mises Stress</t>
  </si>
  <si>
    <t>F1</t>
  </si>
  <si>
    <t>F2</t>
  </si>
  <si>
    <t>Touchdown</t>
  </si>
  <si>
    <t>G2</t>
  </si>
  <si>
    <t>H1</t>
  </si>
  <si>
    <t>H2</t>
  </si>
  <si>
    <t>I2</t>
  </si>
  <si>
    <t>J2</t>
  </si>
  <si>
    <t>Vessel1</t>
  </si>
  <si>
    <t>SupportIndex=1</t>
  </si>
  <si>
    <t>Support Reaction Force</t>
  </si>
  <si>
    <t>K2</t>
  </si>
  <si>
    <t>SupportIndex=2</t>
  </si>
  <si>
    <t>L2</t>
  </si>
  <si>
    <t>SupportIndex=3</t>
  </si>
  <si>
    <t>M2</t>
  </si>
  <si>
    <t>SupportIndex=4</t>
  </si>
  <si>
    <t>N2</t>
  </si>
  <si>
    <t>SupportIndex=5</t>
  </si>
  <si>
    <t>O2</t>
  </si>
  <si>
    <t>SupportedLineName=Pipe</t>
  </si>
  <si>
    <t>Max Support Lift Out</t>
  </si>
  <si>
    <t>P2</t>
  </si>
  <si>
    <t>J1</t>
  </si>
  <si>
    <t>Bend Moment</t>
  </si>
  <si>
    <t>Q2</t>
  </si>
  <si>
    <t>L1</t>
  </si>
  <si>
    <t>Arc Length</t>
  </si>
  <si>
    <t>R2</t>
  </si>
  <si>
    <t>N1</t>
  </si>
  <si>
    <t>P1</t>
  </si>
  <si>
    <t>Declination</t>
  </si>
  <si>
    <t>R1</t>
  </si>
  <si>
    <t>SupportIndex=1; SupportedLineName=Pipe</t>
  </si>
  <si>
    <t>Support Contact Clearance</t>
  </si>
  <si>
    <t>S2</t>
  </si>
  <si>
    <t>SupportIndex=2; SupportedLineName=Pipe</t>
  </si>
  <si>
    <t>T1</t>
  </si>
  <si>
    <t>T2</t>
  </si>
  <si>
    <t>SupportIndex=3; SupportedLineName=Pipe</t>
  </si>
  <si>
    <t>U2</t>
  </si>
  <si>
    <t>SupportIndex=4; SupportedLineName=Pipe</t>
  </si>
  <si>
    <t>V1</t>
  </si>
  <si>
    <t>V2</t>
  </si>
  <si>
    <t>SupportIndex=5; SupportedLineName=Pipe</t>
  </si>
  <si>
    <t>W2</t>
  </si>
  <si>
    <t>Pipe Bottom End Position</t>
  </si>
  <si>
    <t>Support 1 Reaction Force</t>
  </si>
  <si>
    <t>Support 2 Reaction Force</t>
  </si>
  <si>
    <t>Support 3 Reaction Force</t>
  </si>
  <si>
    <t>Support 4 Reaction Force</t>
  </si>
  <si>
    <t>Support 5 Reaction Force</t>
  </si>
  <si>
    <t>Top Tension</t>
  </si>
  <si>
    <t>Top Bend Moment</t>
  </si>
  <si>
    <t>Suspended Length</t>
  </si>
  <si>
    <t>Touchdown Position</t>
  </si>
  <si>
    <t>Top End Position</t>
  </si>
  <si>
    <t>Top End Declination</t>
  </si>
  <si>
    <t>Support 1 Contact Clearance</t>
  </si>
  <si>
    <t>Support 2 Contact Clearance</t>
  </si>
  <si>
    <t>Support 3 Contact Clearance</t>
  </si>
  <si>
    <t>Support 4 Contact Clearance</t>
  </si>
  <si>
    <t>Support 5 Contact Clearance</t>
  </si>
  <si>
    <t>Get Data</t>
  </si>
  <si>
    <t>X1</t>
  </si>
  <si>
    <t>X2</t>
  </si>
  <si>
    <t>Vessel:</t>
  </si>
  <si>
    <t>Vessel1 Name</t>
  </si>
  <si>
    <t>8" x 14mm Type Name</t>
  </si>
  <si>
    <t>Y2</t>
  </si>
  <si>
    <t>8" x 14mm Type</t>
  </si>
  <si>
    <t>Z1</t>
  </si>
  <si>
    <t>Environment WaterDepth</t>
  </si>
  <si>
    <t>Z2</t>
  </si>
  <si>
    <t>Environment</t>
  </si>
  <si>
    <t>WaterDepth</t>
  </si>
  <si>
    <t>Environment SeabedSlope</t>
  </si>
  <si>
    <t>AA2</t>
  </si>
  <si>
    <t>SeabedSlope</t>
  </si>
  <si>
    <t>AB1</t>
  </si>
  <si>
    <t>Environment RefCurrentSpeed</t>
  </si>
  <si>
    <t>AB2</t>
  </si>
  <si>
    <t>RefCurrentSpeed</t>
  </si>
  <si>
    <t>Environment RefCurrentDirection</t>
  </si>
  <si>
    <t>AC2</t>
  </si>
  <si>
    <t>RefCurrentDirection</t>
  </si>
  <si>
    <t>AD1</t>
  </si>
  <si>
    <t>8" x 14mm Type AllowableTension</t>
  </si>
  <si>
    <t>AD2</t>
  </si>
  <si>
    <t>AllowableTension</t>
  </si>
  <si>
    <t>AE2</t>
  </si>
  <si>
    <t>Ramp Angle (deg):</t>
  </si>
  <si>
    <t>Seabed Slope:</t>
  </si>
  <si>
    <t>Current Speed (surface):</t>
  </si>
  <si>
    <t>Current Speed (seabed):</t>
  </si>
  <si>
    <t>Environment CurrentFactor[1]</t>
  </si>
  <si>
    <t>CurrentFactor[1]</t>
  </si>
  <si>
    <t>Environment CurrentFactor[2]</t>
  </si>
  <si>
    <t>CurrentFactor[2]</t>
  </si>
  <si>
    <t>AG2</t>
  </si>
  <si>
    <t>Basecase Data</t>
  </si>
  <si>
    <t>Acceptance Criteria</t>
  </si>
  <si>
    <t>Tension</t>
  </si>
  <si>
    <t>Top</t>
  </si>
  <si>
    <t>Bottom</t>
  </si>
  <si>
    <t>Maximum Stress</t>
  </si>
  <si>
    <t>Departure Angle</t>
  </si>
  <si>
    <t>m</t>
  </si>
  <si>
    <t>kN</t>
  </si>
  <si>
    <t>kN.m</t>
  </si>
  <si>
    <t>kPa</t>
  </si>
  <si>
    <t>deg</t>
  </si>
  <si>
    <t>Water Depth (m):</t>
  </si>
  <si>
    <t>Current Direction (deg):</t>
  </si>
  <si>
    <t>Load Case</t>
  </si>
  <si>
    <t>Overbend</t>
  </si>
  <si>
    <t>Sagbend</t>
  </si>
  <si>
    <t>Range Graph</t>
  </si>
  <si>
    <t>Anchor X Position</t>
  </si>
  <si>
    <t>Static Result</t>
  </si>
  <si>
    <t>Max Von Mises Stress</t>
  </si>
  <si>
    <t>AI2</t>
  </si>
  <si>
    <t>AJ1</t>
  </si>
  <si>
    <t>AK2</t>
  </si>
  <si>
    <t>AL1</t>
  </si>
  <si>
    <t>AL2</t>
  </si>
  <si>
    <t>AM2</t>
  </si>
  <si>
    <t>AN1</t>
  </si>
  <si>
    <t>AN2</t>
  </si>
  <si>
    <t>End of Duplicated Instructions</t>
  </si>
  <si>
    <t>01</t>
  </si>
  <si>
    <t>02</t>
  </si>
  <si>
    <t>03</t>
  </si>
  <si>
    <t>04</t>
  </si>
  <si>
    <t>05</t>
  </si>
  <si>
    <t>06</t>
  </si>
  <si>
    <t>07</t>
  </si>
  <si>
    <t>08</t>
  </si>
  <si>
    <t>09</t>
  </si>
  <si>
    <t>10</t>
  </si>
  <si>
    <t>11</t>
  </si>
  <si>
    <t>12</t>
  </si>
  <si>
    <t>13</t>
  </si>
  <si>
    <t>14</t>
  </si>
  <si>
    <t>15</t>
  </si>
  <si>
    <t>16</t>
  </si>
  <si>
    <t>17</t>
  </si>
  <si>
    <t>18</t>
  </si>
  <si>
    <t xml:space="preserve">// Modifies the X position of line end B </t>
  </si>
  <si>
    <t xml:space="preserve">// </t>
  </si>
  <si>
    <t>Load Case001.sim</t>
  </si>
  <si>
    <t>Load Case002.sim</t>
  </si>
  <si>
    <t>Load Case003.sim</t>
  </si>
  <si>
    <t>Load Case004.sim</t>
  </si>
  <si>
    <t>Load Case005.sim</t>
  </si>
  <si>
    <t>Load Case006.sim</t>
  </si>
  <si>
    <t>Load Case007.sim</t>
  </si>
  <si>
    <t>Load Case008.sim</t>
  </si>
  <si>
    <t>Load Case009.sim</t>
  </si>
  <si>
    <t>Load Case010.sim</t>
  </si>
  <si>
    <t>Load Case011.sim</t>
  </si>
  <si>
    <t>Load Case012.sim</t>
  </si>
  <si>
    <t>Load Case013.sim</t>
  </si>
  <si>
    <t>Load Case014.sim</t>
  </si>
  <si>
    <t>Load Case015.sim</t>
  </si>
  <si>
    <t>Load Case016.sim</t>
  </si>
  <si>
    <t>Load Case017.sim</t>
  </si>
  <si>
    <t>Load Case018.sim</t>
  </si>
  <si>
    <t>Load Case020.sim</t>
  </si>
  <si>
    <t>A2</t>
  </si>
  <si>
    <t>Range Graph Results</t>
  </si>
  <si>
    <t>Case001.sim</t>
  </si>
  <si>
    <t>Case002.sim</t>
  </si>
  <si>
    <t>Case003.sim</t>
  </si>
  <si>
    <t>Case004.sim</t>
  </si>
  <si>
    <t>Case005.sim</t>
  </si>
  <si>
    <t>Case006.sim</t>
  </si>
  <si>
    <t>Case007.sim</t>
  </si>
  <si>
    <t>Case008.sim</t>
  </si>
  <si>
    <t>Case009.sim</t>
  </si>
  <si>
    <t>Case010.sim</t>
  </si>
  <si>
    <t>Case011.sim</t>
  </si>
  <si>
    <t>Case012.sim</t>
  </si>
  <si>
    <t>Case013.sim</t>
  </si>
  <si>
    <t>Case014.sim</t>
  </si>
  <si>
    <t>Case015.sim</t>
  </si>
  <si>
    <t>Case016.sim</t>
  </si>
  <si>
    <t>Case017.sim</t>
  </si>
  <si>
    <t>Case018.sim</t>
  </si>
  <si>
    <t>Case019.sim</t>
  </si>
  <si>
    <t>AJ2</t>
  </si>
  <si>
    <t>A3</t>
  </si>
  <si>
    <t>C3</t>
  </si>
  <si>
    <t>F3</t>
  </si>
  <si>
    <t>H3</t>
  </si>
  <si>
    <t>K3</t>
  </si>
  <si>
    <t>M3</t>
  </si>
  <si>
    <t>P3</t>
  </si>
  <si>
    <t>R3</t>
  </si>
  <si>
    <t>U3</t>
  </si>
  <si>
    <t>W3</t>
  </si>
  <si>
    <t>Z3</t>
  </si>
  <si>
    <t>AB3</t>
  </si>
  <si>
    <t>AE3</t>
  </si>
  <si>
    <t>AG3</t>
  </si>
  <si>
    <t>AJ3</t>
  </si>
  <si>
    <t>AL3</t>
  </si>
  <si>
    <t>G3</t>
  </si>
  <si>
    <t>I3</t>
  </si>
  <si>
    <t>O3</t>
  </si>
  <si>
    <t>S3</t>
  </si>
  <si>
    <t>Y3</t>
  </si>
  <si>
    <t>AA3</t>
  </si>
  <si>
    <t>AK3</t>
  </si>
  <si>
    <t>AM3</t>
  </si>
  <si>
    <t>General Results</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</si>
  <si>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</si>
  <si>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</si>
  <si>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</si>
  <si>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</si>
  <si>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</si>
  <si>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</si>
  <si>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</si>
  <si>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</si>
  <si>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</si>
  <si>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</si>
  <si>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</si>
  <si>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</si>
  <si>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</si>
  <si>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</si>
  <si>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</si>
  <si>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</si>
  <si>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</si>
  <si>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</si>
  <si>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</si>
  <si>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</si>
  <si>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</si>
  <si>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</si>
  <si>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</si>
  <si>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</si>
  <si>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</si>
  <si>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</si>
  <si>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</si>
  <si>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</si>
  <si>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</si>
  <si>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</si>
  <si>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</si>
  <si>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</si>
  <si>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</si>
  <si>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</si>
  <si>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</si>
  <si>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</si>
  <si>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</si>
  <si>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</si>
  <si>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</si>
  <si>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</si>
  <si>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</si>
  <si>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</si>
  <si>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</si>
  <si>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</si>
  <si>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</si>
  <si>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</si>
  <si>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</si>
  <si>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</si>
  <si>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</si>
  <si>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</si>
  <si>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</si>
  <si>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</si>
  <si>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</si>
  <si>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</si>
  <si>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</si>
  <si>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</si>
  <si>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</si>
  <si>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</si>
  <si>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</si>
  <si>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</si>
  <si>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</si>
  <si>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</si>
  <si>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</si>
  <si>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</si>
  <si>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</si>
  <si>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</si>
  <si>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</si>
  <si>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</si>
  <si>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</si>
  <si>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</si>
  <si>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</si>
  <si>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</si>
  <si>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</si>
  <si>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Pipe Declination (End A)</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</si>
  <si>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</si>
  <si>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</si>
  <si>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</si>
  <si>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</si>
  <si>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</si>
  <si>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</si>
  <si>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</si>
  <si>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</si>
  <si>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</si>
  <si>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</si>
  <si>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</si>
  <si>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</si>
  <si>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</si>
  <si>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</si>
  <si>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</si>
  <si>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</si>
  <si>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</si>
  <si>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</si>
  <si>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</si>
  <si>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</si>
  <si>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</si>
  <si>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</si>
  <si>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</si>
  <si>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</si>
  <si>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</si>
  <si>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E3</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</si>
  <si>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</si>
  <si>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</si>
  <si>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</si>
  <si>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</si>
  <si>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</si>
  <si>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</si>
  <si>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</si>
  <si>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</si>
  <si>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</si>
  <si>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</si>
  <si>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</si>
  <si>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</si>
  <si>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</si>
  <si>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</si>
  <si>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</si>
  <si>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</si>
  <si>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</si>
  <si>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</si>
  <si>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</si>
  <si>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</si>
  <si>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</si>
  <si>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</si>
  <si>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</si>
  <si>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</si>
  <si>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</si>
  <si>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</si>
  <si>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</si>
  <si>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</si>
  <si>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</si>
  <si>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</si>
  <si>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</si>
  <si>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</si>
  <si>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</si>
  <si>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</si>
  <si>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</si>
  <si>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</si>
  <si>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</si>
  <si>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</si>
  <si>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</si>
  <si>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</si>
  <si>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</si>
  <si>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</si>
  <si>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</si>
  <si>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</si>
  <si>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</si>
  <si>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</si>
  <si>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</si>
  <si>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</si>
  <si>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G4</t>
  </si>
  <si>
    <t>G5</t>
  </si>
  <si>
    <t>G6</t>
  </si>
  <si>
    <t>G7</t>
  </si>
  <si>
    <t>G8</t>
  </si>
  <si>
    <t>G9</t>
  </si>
  <si>
    <t>G10</t>
  </si>
  <si>
    <t>G11</t>
  </si>
  <si>
    <t>G12</t>
  </si>
  <si>
    <t>G13</t>
  </si>
  <si>
    <t>G14</t>
  </si>
  <si>
    <t>G15</t>
  </si>
  <si>
    <t>G16</t>
  </si>
  <si>
    <t>G17</t>
  </si>
  <si>
    <t>G18</t>
  </si>
  <si>
    <t>G19</t>
  </si>
  <si>
    <t>G20</t>
  </si>
  <si>
    <t>G21</t>
  </si>
  <si>
    <t>G22</t>
  </si>
  <si>
    <t>G23</t>
  </si>
  <si>
    <t>G24</t>
  </si>
  <si>
    <t>G25</t>
  </si>
  <si>
    <t>G26</t>
  </si>
  <si>
    <t>G27</t>
  </si>
  <si>
    <t>H4</t>
  </si>
  <si>
    <t>H5</t>
  </si>
  <si>
    <t>H6</t>
  </si>
  <si>
    <t>H7</t>
  </si>
  <si>
    <t>H8</t>
  </si>
  <si>
    <t>H9</t>
  </si>
  <si>
    <t>H10</t>
  </si>
  <si>
    <t>H11</t>
  </si>
  <si>
    <t>H12</t>
  </si>
  <si>
    <t>H13</t>
  </si>
  <si>
    <t>H14</t>
  </si>
  <si>
    <t>H15</t>
  </si>
  <si>
    <t>H16</t>
  </si>
  <si>
    <t>H17</t>
  </si>
  <si>
    <t>H18</t>
  </si>
  <si>
    <t>H19</t>
  </si>
  <si>
    <t>H20</t>
  </si>
  <si>
    <t>H21</t>
  </si>
  <si>
    <t>H22</t>
  </si>
  <si>
    <t>H23</t>
  </si>
  <si>
    <t>H24</t>
  </si>
  <si>
    <t>H25</t>
  </si>
  <si>
    <t>H26</t>
  </si>
  <si>
    <t>H27</t>
  </si>
  <si>
    <t>I4</t>
  </si>
  <si>
    <t>I5</t>
  </si>
  <si>
    <t>I6</t>
  </si>
  <si>
    <t>I7</t>
  </si>
  <si>
    <t>I8</t>
  </si>
  <si>
    <t>I9</t>
  </si>
  <si>
    <t>I10</t>
  </si>
  <si>
    <t>I11</t>
  </si>
  <si>
    <t>I12</t>
  </si>
  <si>
    <t>I13</t>
  </si>
  <si>
    <t>I14</t>
  </si>
  <si>
    <t>I15</t>
  </si>
  <si>
    <t>I16</t>
  </si>
  <si>
    <t>I17</t>
  </si>
  <si>
    <t>I18</t>
  </si>
  <si>
    <t>I19</t>
  </si>
  <si>
    <t>I20</t>
  </si>
  <si>
    <t>I21</t>
  </si>
  <si>
    <t>I22</t>
  </si>
  <si>
    <t>I23</t>
  </si>
  <si>
    <t>I24</t>
  </si>
  <si>
    <t>I25</t>
  </si>
  <si>
    <t>I26</t>
  </si>
  <si>
    <t>I27</t>
  </si>
  <si>
    <t>J3</t>
  </si>
  <si>
    <t>J4</t>
  </si>
  <si>
    <t>J5</t>
  </si>
  <si>
    <t>J6</t>
  </si>
  <si>
    <t>J7</t>
  </si>
  <si>
    <t>J8</t>
  </si>
  <si>
    <t>J9</t>
  </si>
  <si>
    <t>J10</t>
  </si>
  <si>
    <t>J11</t>
  </si>
  <si>
    <t>J12</t>
  </si>
  <si>
    <t>J13</t>
  </si>
  <si>
    <t>J14</t>
  </si>
  <si>
    <t>J15</t>
  </si>
  <si>
    <t>J16</t>
  </si>
  <si>
    <t>J17</t>
  </si>
  <si>
    <t>J18</t>
  </si>
  <si>
    <t>J19</t>
  </si>
  <si>
    <t>J20</t>
  </si>
  <si>
    <t>J21</t>
  </si>
  <si>
    <t>J22</t>
  </si>
  <si>
    <t>J23</t>
  </si>
  <si>
    <t>J24</t>
  </si>
  <si>
    <t>J25</t>
  </si>
  <si>
    <t>J26</t>
  </si>
  <si>
    <t>J27</t>
  </si>
  <si>
    <t>K4</t>
  </si>
  <si>
    <t>K5</t>
  </si>
  <si>
    <t>K6</t>
  </si>
  <si>
    <t>K7</t>
  </si>
  <si>
    <t>K8</t>
  </si>
  <si>
    <t>K9</t>
  </si>
  <si>
    <t>K10</t>
  </si>
  <si>
    <t>K11</t>
  </si>
  <si>
    <t>K12</t>
  </si>
  <si>
    <t>K13</t>
  </si>
  <si>
    <t>K14</t>
  </si>
  <si>
    <t>K15</t>
  </si>
  <si>
    <t>K16</t>
  </si>
  <si>
    <t>K17</t>
  </si>
  <si>
    <t>K18</t>
  </si>
  <si>
    <t>K19</t>
  </si>
  <si>
    <t>K20</t>
  </si>
  <si>
    <t>K21</t>
  </si>
  <si>
    <t>K22</t>
  </si>
  <si>
    <t>K23</t>
  </si>
  <si>
    <t>K24</t>
  </si>
  <si>
    <t>K25</t>
  </si>
  <si>
    <t>K26</t>
  </si>
  <si>
    <t>K27</t>
  </si>
  <si>
    <t>L3</t>
  </si>
  <si>
    <t>L4</t>
  </si>
  <si>
    <t>L5</t>
  </si>
  <si>
    <t>L6</t>
  </si>
  <si>
    <t>L7</t>
  </si>
  <si>
    <t>L8</t>
  </si>
  <si>
    <t>L9</t>
  </si>
  <si>
    <t>L10</t>
  </si>
  <si>
    <t>L11</t>
  </si>
  <si>
    <t>L12</t>
  </si>
  <si>
    <t>L13</t>
  </si>
  <si>
    <t>L14</t>
  </si>
  <si>
    <t>L15</t>
  </si>
  <si>
    <t>L16</t>
  </si>
  <si>
    <t>L17</t>
  </si>
  <si>
    <t>L18</t>
  </si>
  <si>
    <t>L19</t>
  </si>
  <si>
    <t>L20</t>
  </si>
  <si>
    <t>L21</t>
  </si>
  <si>
    <t>L22</t>
  </si>
  <si>
    <t>L23</t>
  </si>
  <si>
    <t>L24</t>
  </si>
  <si>
    <t>L25</t>
  </si>
  <si>
    <t>L26</t>
  </si>
  <si>
    <t>L27</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</si>
  <si>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</si>
  <si>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</si>
  <si>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</si>
  <si>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</si>
  <si>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</si>
  <si>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</si>
  <si>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</si>
  <si>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</si>
  <si>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</si>
  <si>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</si>
  <si>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</si>
  <si>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</si>
  <si>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</si>
  <si>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</si>
  <si>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</si>
  <si>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</si>
  <si>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</si>
  <si>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</si>
  <si>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</si>
  <si>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</si>
  <si>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</si>
  <si>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</si>
  <si>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</si>
  <si>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</si>
  <si>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N3</t>
  </si>
  <si>
    <t>N4</t>
  </si>
  <si>
    <t>N5</t>
  </si>
  <si>
    <t>N6</t>
  </si>
  <si>
    <t>N7</t>
  </si>
  <si>
    <t>N8</t>
  </si>
  <si>
    <t>N9</t>
  </si>
  <si>
    <t>N10</t>
  </si>
  <si>
    <t>N11</t>
  </si>
  <si>
    <t>N12</t>
  </si>
  <si>
    <t>N13</t>
  </si>
  <si>
    <t>N14</t>
  </si>
  <si>
    <t>N15</t>
  </si>
  <si>
    <t>N16</t>
  </si>
  <si>
    <t>N17</t>
  </si>
  <si>
    <t>N18</t>
  </si>
  <si>
    <t>N19</t>
  </si>
  <si>
    <t>N20</t>
  </si>
  <si>
    <t>N21</t>
  </si>
  <si>
    <t>N22</t>
  </si>
  <si>
    <t>N23</t>
  </si>
  <si>
    <t>N24</t>
  </si>
  <si>
    <t>N25</t>
  </si>
  <si>
    <t>N26</t>
  </si>
  <si>
    <t>N27</t>
  </si>
  <si>
    <t>O4</t>
  </si>
  <si>
    <t>O5</t>
  </si>
  <si>
    <t>O6</t>
  </si>
  <si>
    <t>O7</t>
  </si>
  <si>
    <t>O8</t>
  </si>
  <si>
    <t>O9</t>
  </si>
  <si>
    <t>O10</t>
  </si>
  <si>
    <t>O11</t>
  </si>
  <si>
    <t>O12</t>
  </si>
  <si>
    <t>O13</t>
  </si>
  <si>
    <t>O14</t>
  </si>
  <si>
    <t>O15</t>
  </si>
  <si>
    <t>O16</t>
  </si>
  <si>
    <t>O17</t>
  </si>
  <si>
    <t>O18</t>
  </si>
  <si>
    <t>O19</t>
  </si>
  <si>
    <t>O20</t>
  </si>
  <si>
    <t>O21</t>
  </si>
  <si>
    <t>O22</t>
  </si>
  <si>
    <t>O23</t>
  </si>
  <si>
    <t>O24</t>
  </si>
  <si>
    <t>O25</t>
  </si>
  <si>
    <t>O26</t>
  </si>
  <si>
    <t>O27</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</si>
  <si>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</si>
  <si>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</si>
  <si>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</si>
  <si>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</si>
  <si>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</si>
  <si>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</si>
  <si>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</si>
  <si>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</si>
  <si>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</si>
  <si>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</si>
  <si>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</si>
  <si>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</si>
  <si>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</si>
  <si>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</si>
  <si>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</si>
  <si>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</si>
  <si>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</si>
  <si>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</si>
  <si>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</si>
  <si>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</si>
  <si>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</si>
  <si>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</si>
  <si>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</si>
  <si>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</si>
  <si>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</si>
  <si>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</si>
  <si>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</si>
  <si>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</si>
  <si>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</si>
  <si>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</si>
  <si>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</si>
  <si>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</si>
  <si>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</si>
  <si>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</si>
  <si>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</si>
  <si>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</si>
  <si>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</si>
  <si>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</si>
  <si>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</si>
  <si>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</si>
  <si>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</si>
  <si>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</si>
  <si>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</si>
  <si>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</si>
  <si>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</si>
  <si>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</si>
  <si>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</si>
  <si>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</si>
  <si>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</si>
  <si>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</si>
  <si>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</si>
  <si>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</si>
  <si>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</si>
  <si>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</si>
  <si>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</si>
  <si>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</si>
  <si>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</si>
  <si>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</si>
  <si>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</si>
  <si>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</si>
  <si>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</si>
  <si>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</si>
  <si>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</si>
  <si>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</si>
  <si>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</si>
  <si>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</si>
  <si>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</si>
  <si>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</si>
  <si>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</si>
  <si>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</si>
  <si>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</si>
  <si>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</si>
  <si>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</si>
  <si>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</si>
  <si>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</si>
  <si>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</si>
  <si>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</si>
  <si>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</si>
  <si>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</si>
  <si>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</si>
  <si>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</si>
  <si>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</si>
  <si>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</si>
  <si>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</si>
  <si>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</si>
  <si>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</si>
  <si>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</si>
  <si>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</si>
  <si>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</si>
  <si>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</si>
  <si>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</si>
  <si>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</si>
  <si>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</si>
  <si>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</si>
  <si>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</si>
  <si>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</si>
  <si>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</si>
  <si>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</si>
  <si>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</si>
  <si>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</si>
  <si>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</si>
  <si>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</si>
  <si>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</si>
  <si>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</si>
  <si>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</si>
  <si>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</si>
  <si>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</si>
  <si>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</si>
  <si>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</si>
  <si>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</si>
  <si>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</si>
  <si>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</si>
  <si>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</si>
  <si>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</si>
  <si>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</si>
  <si>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</si>
  <si>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</si>
  <si>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</si>
  <si>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</si>
  <si>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</si>
  <si>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</si>
  <si>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</si>
  <si>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U4</t>
  </si>
  <si>
    <t>U5</t>
  </si>
  <si>
    <t>U6</t>
  </si>
  <si>
    <t>U7</t>
  </si>
  <si>
    <t>U8</t>
  </si>
  <si>
    <t>U9</t>
  </si>
  <si>
    <t>U10</t>
  </si>
  <si>
    <t>U11</t>
  </si>
  <si>
    <t>U12</t>
  </si>
  <si>
    <t>U13</t>
  </si>
  <si>
    <t>U14</t>
  </si>
  <si>
    <t>U15</t>
  </si>
  <si>
    <t>U16</t>
  </si>
  <si>
    <t>U17</t>
  </si>
  <si>
    <t>U18</t>
  </si>
  <si>
    <t>U19</t>
  </si>
  <si>
    <t>U20</t>
  </si>
  <si>
    <t>U21</t>
  </si>
  <si>
    <t>U22</t>
  </si>
  <si>
    <t>U23</t>
  </si>
  <si>
    <t>U24</t>
  </si>
  <si>
    <t>U25</t>
  </si>
  <si>
    <t>U26</t>
  </si>
  <si>
    <t>U27</t>
  </si>
  <si>
    <t>V3</t>
  </si>
  <si>
    <t>V4</t>
  </si>
  <si>
    <t>V5</t>
  </si>
  <si>
    <t>V6</t>
  </si>
  <si>
    <t>V7</t>
  </si>
  <si>
    <t>V8</t>
  </si>
  <si>
    <t>V9</t>
  </si>
  <si>
    <t>V10</t>
  </si>
  <si>
    <t>V11</t>
  </si>
  <si>
    <t>V12</t>
  </si>
  <si>
    <t>V13</t>
  </si>
  <si>
    <t>V14</t>
  </si>
  <si>
    <t>V15</t>
  </si>
  <si>
    <t>V16</t>
  </si>
  <si>
    <t>V17</t>
  </si>
  <si>
    <t>V18</t>
  </si>
  <si>
    <t>V19</t>
  </si>
  <si>
    <t>V20</t>
  </si>
  <si>
    <t>V21</t>
  </si>
  <si>
    <t>V22</t>
  </si>
  <si>
    <t>V23</t>
  </si>
  <si>
    <t>V24</t>
  </si>
  <si>
    <t>V25</t>
  </si>
  <si>
    <t>V26</t>
  </si>
  <si>
    <t>V27</t>
  </si>
  <si>
    <t>X3</t>
  </si>
  <si>
    <t>W4</t>
  </si>
  <si>
    <t>X4</t>
  </si>
  <si>
    <t>W5</t>
  </si>
  <si>
    <t>X5</t>
  </si>
  <si>
    <t>W6</t>
  </si>
  <si>
    <t>X6</t>
  </si>
  <si>
    <t>W7</t>
  </si>
  <si>
    <t>X7</t>
  </si>
  <si>
    <t>W8</t>
  </si>
  <si>
    <t>X8</t>
  </si>
  <si>
    <t>W9</t>
  </si>
  <si>
    <t>X9</t>
  </si>
  <si>
    <t>W10</t>
  </si>
  <si>
    <t>X10</t>
  </si>
  <si>
    <t>W11</t>
  </si>
  <si>
    <t>X11</t>
  </si>
  <si>
    <t>W12</t>
  </si>
  <si>
    <t>X12</t>
  </si>
  <si>
    <t>W13</t>
  </si>
  <si>
    <t>X13</t>
  </si>
  <si>
    <t>W14</t>
  </si>
  <si>
    <t>X14</t>
  </si>
  <si>
    <t>W15</t>
  </si>
  <si>
    <t>X15</t>
  </si>
  <si>
    <t>W16</t>
  </si>
  <si>
    <t>X16</t>
  </si>
  <si>
    <t>W17</t>
  </si>
  <si>
    <t>X17</t>
  </si>
  <si>
    <t>W18</t>
  </si>
  <si>
    <t>X18</t>
  </si>
  <si>
    <t>W19</t>
  </si>
  <si>
    <t>X19</t>
  </si>
  <si>
    <t>W20</t>
  </si>
  <si>
    <t>X20</t>
  </si>
  <si>
    <t>W21</t>
  </si>
  <si>
    <t>X21</t>
  </si>
  <si>
    <t>W22</t>
  </si>
  <si>
    <t>X22</t>
  </si>
  <si>
    <t>W23</t>
  </si>
  <si>
    <t>X23</t>
  </si>
  <si>
    <t>W24</t>
  </si>
  <si>
    <t>X24</t>
  </si>
  <si>
    <t>W25</t>
  </si>
  <si>
    <t>X25</t>
  </si>
  <si>
    <t>W26</t>
  </si>
  <si>
    <t>X26</t>
  </si>
  <si>
    <t>W27</t>
  </si>
  <si>
    <t>X27</t>
  </si>
  <si>
    <t>Y4</t>
  </si>
  <si>
    <t>Z4</t>
  </si>
  <si>
    <t>Y5</t>
  </si>
  <si>
    <t>Z5</t>
  </si>
  <si>
    <t>Y6</t>
  </si>
  <si>
    <t>Z6</t>
  </si>
  <si>
    <t>Y7</t>
  </si>
  <si>
    <t>Z7</t>
  </si>
  <si>
    <t>Y8</t>
  </si>
  <si>
    <t>Z8</t>
  </si>
  <si>
    <t>Y9</t>
  </si>
  <si>
    <t>Z9</t>
  </si>
  <si>
    <t>Y10</t>
  </si>
  <si>
    <t>Z10</t>
  </si>
  <si>
    <t>Y11</t>
  </si>
  <si>
    <t>Z11</t>
  </si>
  <si>
    <t>Y12</t>
  </si>
  <si>
    <t>Z12</t>
  </si>
  <si>
    <t>Y13</t>
  </si>
  <si>
    <t>Z13</t>
  </si>
  <si>
    <t>Y14</t>
  </si>
  <si>
    <t>Z14</t>
  </si>
  <si>
    <t>Y15</t>
  </si>
  <si>
    <t>Z15</t>
  </si>
  <si>
    <t>Y16</t>
  </si>
  <si>
    <t>Z16</t>
  </si>
  <si>
    <t>Y17</t>
  </si>
  <si>
    <t>Z17</t>
  </si>
  <si>
    <t>Y18</t>
  </si>
  <si>
    <t>Z18</t>
  </si>
  <si>
    <t>Y19</t>
  </si>
  <si>
    <t>Z19</t>
  </si>
  <si>
    <t>Y20</t>
  </si>
  <si>
    <t>Z20</t>
  </si>
  <si>
    <t>Y21</t>
  </si>
  <si>
    <t>Z21</t>
  </si>
  <si>
    <t>Y22</t>
  </si>
  <si>
    <t>Z22</t>
  </si>
  <si>
    <t>Y23</t>
  </si>
  <si>
    <t>Z23</t>
  </si>
  <si>
    <t>Y24</t>
  </si>
  <si>
    <t>Z24</t>
  </si>
  <si>
    <t>Y25</t>
  </si>
  <si>
    <t>Z25</t>
  </si>
  <si>
    <t>Y26</t>
  </si>
  <si>
    <t>Z26</t>
  </si>
  <si>
    <t>Y27</t>
  </si>
  <si>
    <t>Z27</t>
  </si>
  <si>
    <t>AA4</t>
  </si>
  <si>
    <t>AB4</t>
  </si>
  <si>
    <t>AA5</t>
  </si>
  <si>
    <t>AB5</t>
  </si>
  <si>
    <t>AA6</t>
  </si>
  <si>
    <t>AB6</t>
  </si>
  <si>
    <t>AA7</t>
  </si>
  <si>
    <t>AB7</t>
  </si>
  <si>
    <t>AA8</t>
  </si>
  <si>
    <t>AB8</t>
  </si>
  <si>
    <t>AA9</t>
  </si>
  <si>
    <t>AB9</t>
  </si>
  <si>
    <t>AA10</t>
  </si>
  <si>
    <t>AB10</t>
  </si>
  <si>
    <t>AA11</t>
  </si>
  <si>
    <t>AB11</t>
  </si>
  <si>
    <t>AA12</t>
  </si>
  <si>
    <t>AB12</t>
  </si>
  <si>
    <t>AA13</t>
  </si>
  <si>
    <t>AB13</t>
  </si>
  <si>
    <t>AA14</t>
  </si>
  <si>
    <t>AB14</t>
  </si>
  <si>
    <t>AA15</t>
  </si>
  <si>
    <t>AB15</t>
  </si>
  <si>
    <t>AA16</t>
  </si>
  <si>
    <t>AB16</t>
  </si>
  <si>
    <t>AA17</t>
  </si>
  <si>
    <t>AB17</t>
  </si>
  <si>
    <t>AA18</t>
  </si>
  <si>
    <t>AB18</t>
  </si>
  <si>
    <t>AA19</t>
  </si>
  <si>
    <t>AB19</t>
  </si>
  <si>
    <t>AA20</t>
  </si>
  <si>
    <t>AB20</t>
  </si>
  <si>
    <t>AA21</t>
  </si>
  <si>
    <t>AB21</t>
  </si>
  <si>
    <t>AA22</t>
  </si>
  <si>
    <t>AB22</t>
  </si>
  <si>
    <t>AA23</t>
  </si>
  <si>
    <t>AB23</t>
  </si>
  <si>
    <t>AA24</t>
  </si>
  <si>
    <t>AB24</t>
  </si>
  <si>
    <t>AA25</t>
  </si>
  <si>
    <t>AB25</t>
  </si>
  <si>
    <t>AA26</t>
  </si>
  <si>
    <t>AB26</t>
  </si>
  <si>
    <t>AA27</t>
  </si>
  <si>
    <t>AB27</t>
  </si>
  <si>
    <t>AC3</t>
  </si>
  <si>
    <t>AD3</t>
  </si>
  <si>
    <t>AC4</t>
  </si>
  <si>
    <t>AD4</t>
  </si>
  <si>
    <t>AC5</t>
  </si>
  <si>
    <t>AD5</t>
  </si>
  <si>
    <t>AC6</t>
  </si>
  <si>
    <t>AD6</t>
  </si>
  <si>
    <t>AC7</t>
  </si>
  <si>
    <t>AD7</t>
  </si>
  <si>
    <t>AC8</t>
  </si>
  <si>
    <t>AD8</t>
  </si>
  <si>
    <t>AC9</t>
  </si>
  <si>
    <t>AD9</t>
  </si>
  <si>
    <t>AC10</t>
  </si>
  <si>
    <t>AD10</t>
  </si>
  <si>
    <t>AC11</t>
  </si>
  <si>
    <t>AD11</t>
  </si>
  <si>
    <t>AC12</t>
  </si>
  <si>
    <t>AD12</t>
  </si>
  <si>
    <t>AC13</t>
  </si>
  <si>
    <t>AD13</t>
  </si>
  <si>
    <t>AC14</t>
  </si>
  <si>
    <t>AD14</t>
  </si>
  <si>
    <t>AC15</t>
  </si>
  <si>
    <t>AD15</t>
  </si>
  <si>
    <t>AC16</t>
  </si>
  <si>
    <t>AD16</t>
  </si>
  <si>
    <t>AC17</t>
  </si>
  <si>
    <t>AD17</t>
  </si>
  <si>
    <t>AC18</t>
  </si>
  <si>
    <t>AD18</t>
  </si>
  <si>
    <t>AC19</t>
  </si>
  <si>
    <t>AD19</t>
  </si>
  <si>
    <t>AC20</t>
  </si>
  <si>
    <t>AD20</t>
  </si>
  <si>
    <t>AC21</t>
  </si>
  <si>
    <t>AD21</t>
  </si>
  <si>
    <t>AC22</t>
  </si>
  <si>
    <t>AD22</t>
  </si>
  <si>
    <t>AC23</t>
  </si>
  <si>
    <t>AD23</t>
  </si>
  <si>
    <t>AC24</t>
  </si>
  <si>
    <t>AD24</t>
  </si>
  <si>
    <t>AC25</t>
  </si>
  <si>
    <t>AD25</t>
  </si>
  <si>
    <t>AC26</t>
  </si>
  <si>
    <t>AD26</t>
  </si>
  <si>
    <t>AC27</t>
  </si>
  <si>
    <t>AD27</t>
  </si>
  <si>
    <t>AF1</t>
  </si>
  <si>
    <t>AF2</t>
  </si>
  <si>
    <t>AF3</t>
  </si>
  <si>
    <t>AE4</t>
  </si>
  <si>
    <t>AF4</t>
  </si>
  <si>
    <t>AE5</t>
  </si>
  <si>
    <t>AF5</t>
  </si>
  <si>
    <t>AE6</t>
  </si>
  <si>
    <t>AF6</t>
  </si>
  <si>
    <t>AE7</t>
  </si>
  <si>
    <t>AF7</t>
  </si>
  <si>
    <t>AE8</t>
  </si>
  <si>
    <t>AF8</t>
  </si>
  <si>
    <t>AE9</t>
  </si>
  <si>
    <t>AF9</t>
  </si>
  <si>
    <t>AE10</t>
  </si>
  <si>
    <t>AF10</t>
  </si>
  <si>
    <t>AE11</t>
  </si>
  <si>
    <t>AF11</t>
  </si>
  <si>
    <t>AE12</t>
  </si>
  <si>
    <t>AF12</t>
  </si>
  <si>
    <t>AE13</t>
  </si>
  <si>
    <t>AF13</t>
  </si>
  <si>
    <t>AE14</t>
  </si>
  <si>
    <t>AF14</t>
  </si>
  <si>
    <t>AE15</t>
  </si>
  <si>
    <t>AF15</t>
  </si>
  <si>
    <t>AE16</t>
  </si>
  <si>
    <t>AF16</t>
  </si>
  <si>
    <t>AE17</t>
  </si>
  <si>
    <t>AF17</t>
  </si>
  <si>
    <t>AE18</t>
  </si>
  <si>
    <t>AF18</t>
  </si>
  <si>
    <t>AE19</t>
  </si>
  <si>
    <t>AF19</t>
  </si>
  <si>
    <t>AE20</t>
  </si>
  <si>
    <t>AF20</t>
  </si>
  <si>
    <t>AE21</t>
  </si>
  <si>
    <t>AF21</t>
  </si>
  <si>
    <t>AE22</t>
  </si>
  <si>
    <t>AF22</t>
  </si>
  <si>
    <t>AE23</t>
  </si>
  <si>
    <t>AF23</t>
  </si>
  <si>
    <t>AE24</t>
  </si>
  <si>
    <t>AF24</t>
  </si>
  <si>
    <t>AE25</t>
  </si>
  <si>
    <t>AF25</t>
  </si>
  <si>
    <t>AE26</t>
  </si>
  <si>
    <t>AF26</t>
  </si>
  <si>
    <t>AE27</t>
  </si>
  <si>
    <t>AF27</t>
  </si>
  <si>
    <t>AH1</t>
  </si>
  <si>
    <t>AH2</t>
  </si>
  <si>
    <t>AH3</t>
  </si>
  <si>
    <t>AG4</t>
  </si>
  <si>
    <t>AH4</t>
  </si>
  <si>
    <t>AG5</t>
  </si>
  <si>
    <t>AH5</t>
  </si>
  <si>
    <t>AG6</t>
  </si>
  <si>
    <t>AH6</t>
  </si>
  <si>
    <t>AG7</t>
  </si>
  <si>
    <t>AH7</t>
  </si>
  <si>
    <t>AG8</t>
  </si>
  <si>
    <t>AH8</t>
  </si>
  <si>
    <t>AG9</t>
  </si>
  <si>
    <t>AH9</t>
  </si>
  <si>
    <t>AG10</t>
  </si>
  <si>
    <t>AH10</t>
  </si>
  <si>
    <t>AG11</t>
  </si>
  <si>
    <t>AH11</t>
  </si>
  <si>
    <t>AG12</t>
  </si>
  <si>
    <t>AH12</t>
  </si>
  <si>
    <t>AG13</t>
  </si>
  <si>
    <t>AH13</t>
  </si>
  <si>
    <t>AG14</t>
  </si>
  <si>
    <t>AH14</t>
  </si>
  <si>
    <t>AG15</t>
  </si>
  <si>
    <t>AH15</t>
  </si>
  <si>
    <t>AG16</t>
  </si>
  <si>
    <t>AH16</t>
  </si>
  <si>
    <t>AG17</t>
  </si>
  <si>
    <t>AH17</t>
  </si>
  <si>
    <t>AG18</t>
  </si>
  <si>
    <t>AH18</t>
  </si>
  <si>
    <t>AG19</t>
  </si>
  <si>
    <t>AH19</t>
  </si>
  <si>
    <t>AG20</t>
  </si>
  <si>
    <t>AH20</t>
  </si>
  <si>
    <t>AG21</t>
  </si>
  <si>
    <t>AH21</t>
  </si>
  <si>
    <t>AG22</t>
  </si>
  <si>
    <t>AH22</t>
  </si>
  <si>
    <t>AG23</t>
  </si>
  <si>
    <t>AH23</t>
  </si>
  <si>
    <t>AG24</t>
  </si>
  <si>
    <t>AH24</t>
  </si>
  <si>
    <t>AG25</t>
  </si>
  <si>
    <t>AH25</t>
  </si>
  <si>
    <t>AG26</t>
  </si>
  <si>
    <t>AH26</t>
  </si>
  <si>
    <t>AG27</t>
  </si>
  <si>
    <t>AH27</t>
  </si>
  <si>
    <t>AI3</t>
  </si>
  <si>
    <t>AI4</t>
  </si>
  <si>
    <t>AJ4</t>
  </si>
  <si>
    <t>AI5</t>
  </si>
  <si>
    <t>AJ5</t>
  </si>
  <si>
    <t>AI6</t>
  </si>
  <si>
    <t>AJ6</t>
  </si>
  <si>
    <t>AI7</t>
  </si>
  <si>
    <t>AJ7</t>
  </si>
  <si>
    <t>AI8</t>
  </si>
  <si>
    <t>AJ8</t>
  </si>
  <si>
    <t>AI9</t>
  </si>
  <si>
    <t>AJ9</t>
  </si>
  <si>
    <t>AI10</t>
  </si>
  <si>
    <t>AJ10</t>
  </si>
  <si>
    <t>AI11</t>
  </si>
  <si>
    <t>AJ11</t>
  </si>
  <si>
    <t>AI12</t>
  </si>
  <si>
    <t>AJ12</t>
  </si>
  <si>
    <t>AI13</t>
  </si>
  <si>
    <t>AJ13</t>
  </si>
  <si>
    <t>AI14</t>
  </si>
  <si>
    <t>AJ14</t>
  </si>
  <si>
    <t>AI15</t>
  </si>
  <si>
    <t>AJ15</t>
  </si>
  <si>
    <t>AI16</t>
  </si>
  <si>
    <t>AJ16</t>
  </si>
  <si>
    <t>AI17</t>
  </si>
  <si>
    <t>AJ17</t>
  </si>
  <si>
    <t>AI18</t>
  </si>
  <si>
    <t>AJ18</t>
  </si>
  <si>
    <t>AI19</t>
  </si>
  <si>
    <t>AJ19</t>
  </si>
  <si>
    <t>AI20</t>
  </si>
  <si>
    <t>AJ20</t>
  </si>
  <si>
    <t>AI21</t>
  </si>
  <si>
    <t>AJ21</t>
  </si>
  <si>
    <t>AI22</t>
  </si>
  <si>
    <t>AJ22</t>
  </si>
  <si>
    <t>AI23</t>
  </si>
  <si>
    <t>AJ23</t>
  </si>
  <si>
    <t>AI24</t>
  </si>
  <si>
    <t>AJ24</t>
  </si>
  <si>
    <t>AI25</t>
  </si>
  <si>
    <t>AJ25</t>
  </si>
  <si>
    <t>AI26</t>
  </si>
  <si>
    <t>AJ26</t>
  </si>
  <si>
    <t>AI27</t>
  </si>
  <si>
    <t>AJ27</t>
  </si>
  <si>
    <t>AK4</t>
  </si>
  <si>
    <t>AL4</t>
  </si>
  <si>
    <t>AK5</t>
  </si>
  <si>
    <t>AL5</t>
  </si>
  <si>
    <t>AK6</t>
  </si>
  <si>
    <t>AL6</t>
  </si>
  <si>
    <t>AK7</t>
  </si>
  <si>
    <t>AL7</t>
  </si>
  <si>
    <t>AK8</t>
  </si>
  <si>
    <t>AL8</t>
  </si>
  <si>
    <t>AK9</t>
  </si>
  <si>
    <t>AL9</t>
  </si>
  <si>
    <t>AK10</t>
  </si>
  <si>
    <t>AL10</t>
  </si>
  <si>
    <t>AK11</t>
  </si>
  <si>
    <t>AL11</t>
  </si>
  <si>
    <t>AK12</t>
  </si>
  <si>
    <t>AL12</t>
  </si>
  <si>
    <t>AK13</t>
  </si>
  <si>
    <t>AL13</t>
  </si>
  <si>
    <t>AK14</t>
  </si>
  <si>
    <t>AL14</t>
  </si>
  <si>
    <t>AK15</t>
  </si>
  <si>
    <t>AL15</t>
  </si>
  <si>
    <t>AK16</t>
  </si>
  <si>
    <t>AL16</t>
  </si>
  <si>
    <t>AK17</t>
  </si>
  <si>
    <t>AL17</t>
  </si>
  <si>
    <t>AK18</t>
  </si>
  <si>
    <t>AL18</t>
  </si>
  <si>
    <t>AK19</t>
  </si>
  <si>
    <t>AL19</t>
  </si>
  <si>
    <t>AK20</t>
  </si>
  <si>
    <t>AL20</t>
  </si>
  <si>
    <t>AK21</t>
  </si>
  <si>
    <t>AL21</t>
  </si>
  <si>
    <t>AK22</t>
  </si>
  <si>
    <t>AL22</t>
  </si>
  <si>
    <t>AK23</t>
  </si>
  <si>
    <t>AL23</t>
  </si>
  <si>
    <t>AK24</t>
  </si>
  <si>
    <t>AL24</t>
  </si>
  <si>
    <t>AK25</t>
  </si>
  <si>
    <t>AL25</t>
  </si>
  <si>
    <t>AK26</t>
  </si>
  <si>
    <t>AL26</t>
  </si>
  <si>
    <t>AK27</t>
  </si>
  <si>
    <t>AL27</t>
  </si>
  <si>
    <t>AK28</t>
  </si>
  <si>
    <t>AL28</t>
  </si>
  <si>
    <t>AK29</t>
  </si>
  <si>
    <t>AL29</t>
  </si>
  <si>
    <t>AN3</t>
  </si>
  <si>
    <t>AM4</t>
  </si>
  <si>
    <t>AN4</t>
  </si>
  <si>
    <t>AM5</t>
  </si>
  <si>
    <t>AN5</t>
  </si>
  <si>
    <t>AM6</t>
  </si>
  <si>
    <t>AN6</t>
  </si>
  <si>
    <t>AM7</t>
  </si>
  <si>
    <t>AN7</t>
  </si>
  <si>
    <t>AM8</t>
  </si>
  <si>
    <t>AN8</t>
  </si>
  <si>
    <t>AM9</t>
  </si>
  <si>
    <t>AN9</t>
  </si>
  <si>
    <t>AM10</t>
  </si>
  <si>
    <t>AN10</t>
  </si>
  <si>
    <t>AM11</t>
  </si>
  <si>
    <t>AN11</t>
  </si>
  <si>
    <t>AM12</t>
  </si>
  <si>
    <t>AN12</t>
  </si>
  <si>
    <t>AM13</t>
  </si>
  <si>
    <t>AN13</t>
  </si>
  <si>
    <t>AM14</t>
  </si>
  <si>
    <t>AN14</t>
  </si>
  <si>
    <t>AM15</t>
  </si>
  <si>
    <t>AN15</t>
  </si>
  <si>
    <t>AM16</t>
  </si>
  <si>
    <t>AN16</t>
  </si>
  <si>
    <t>AM17</t>
  </si>
  <si>
    <t>AN17</t>
  </si>
  <si>
    <t>AM18</t>
  </si>
  <si>
    <t>AN18</t>
  </si>
  <si>
    <t>AM19</t>
  </si>
  <si>
    <t>AN19</t>
  </si>
  <si>
    <t>AM20</t>
  </si>
  <si>
    <t>AN20</t>
  </si>
  <si>
    <t>AM21</t>
  </si>
  <si>
    <t>AN21</t>
  </si>
  <si>
    <t>AM22</t>
  </si>
  <si>
    <t>AN22</t>
  </si>
  <si>
    <t>AM23</t>
  </si>
  <si>
    <t>AN23</t>
  </si>
  <si>
    <t>AM24</t>
  </si>
  <si>
    <t>AN24</t>
  </si>
  <si>
    <t>AM25</t>
  </si>
  <si>
    <t>AN25</t>
  </si>
  <si>
    <t>AM26</t>
  </si>
  <si>
    <t>AN26</t>
  </si>
  <si>
    <t>AM27</t>
  </si>
  <si>
    <t>AN27</t>
  </si>
  <si>
    <t>AM28</t>
  </si>
  <si>
    <t>AN28</t>
  </si>
  <si>
    <t>AM29</t>
  </si>
  <si>
    <t>AN29</t>
  </si>
  <si>
    <t>AM30</t>
  </si>
  <si>
    <t>AN30</t>
  </si>
  <si>
    <t>Pipe Effective Tension (Touchdown)</t>
  </si>
  <si>
    <t>Projection Growth</t>
  </si>
  <si>
    <t>Horizontal Projection</t>
  </si>
  <si>
    <t>Constraint Clearance</t>
  </si>
  <si>
    <t>Node 109</t>
  </si>
  <si>
    <t>Support 6 Contact Clearance</t>
  </si>
  <si>
    <t>SupportIndex=6; SupportedLineName=Pipe</t>
  </si>
  <si>
    <t>Pipe End Lx-Force (End A)</t>
  </si>
  <si>
    <t>End Lx-Force</t>
  </si>
  <si>
    <t>Pipe API RP 1111 Max Combined</t>
  </si>
  <si>
    <t>API RP 1111 Max Combined</t>
  </si>
  <si>
    <t>API CODE CHECK SMYS</t>
  </si>
  <si>
    <t>APIRP1111S</t>
  </si>
  <si>
    <t>Pipe:</t>
  </si>
  <si>
    <t>Code Check:</t>
  </si>
  <si>
    <t>API RP 1111</t>
  </si>
  <si>
    <t>Code Check</t>
  </si>
  <si>
    <t>Bollard Pull</t>
  </si>
  <si>
    <t>Min Tension (kN):</t>
  </si>
  <si>
    <t>Max Tension (kN):</t>
  </si>
  <si>
    <t>Uncontrolled Stress Limit 
(kPa, 72% of yield)</t>
  </si>
  <si>
    <t>Controlled Stress Limit 
(kPa, 96% of yield)</t>
  </si>
  <si>
    <t>Pipe Declination</t>
  </si>
  <si>
    <t>A28</t>
  </si>
  <si>
    <t>B28</t>
  </si>
  <si>
    <t>Range Graph Max</t>
  </si>
  <si>
    <t>C28</t>
  </si>
  <si>
    <t>D28</t>
  </si>
  <si>
    <t>E28</t>
  </si>
  <si>
    <t>F28</t>
  </si>
  <si>
    <t>G28</t>
  </si>
  <si>
    <t>H28</t>
  </si>
  <si>
    <t>I28</t>
  </si>
  <si>
    <t>J28</t>
  </si>
  <si>
    <t>K28</t>
  </si>
  <si>
    <t>L28</t>
  </si>
  <si>
    <t>M28</t>
  </si>
  <si>
    <t>N28</t>
  </si>
  <si>
    <t>O28</t>
  </si>
  <si>
    <t>P28</t>
  </si>
  <si>
    <t>Q28</t>
  </si>
  <si>
    <t>R28</t>
  </si>
  <si>
    <t>S28</t>
  </si>
  <si>
    <t>T28</t>
  </si>
  <si>
    <t>U28</t>
  </si>
  <si>
    <t>V28</t>
  </si>
  <si>
    <t>W28</t>
  </si>
  <si>
    <t>X28</t>
  </si>
  <si>
    <t>Y28</t>
  </si>
  <si>
    <t>Z28</t>
  </si>
  <si>
    <t>AA28</t>
  </si>
  <si>
    <t>AB28</t>
  </si>
  <si>
    <t>AC28</t>
  </si>
  <si>
    <t>AD28</t>
  </si>
  <si>
    <t>AE28</t>
  </si>
  <si>
    <t>AF28</t>
  </si>
  <si>
    <t>AG28</t>
  </si>
  <si>
    <t>AH28</t>
  </si>
  <si>
    <t>AI28</t>
  </si>
  <si>
    <t>AJ28</t>
  </si>
  <si>
    <t>Allowable Stress</t>
  </si>
  <si>
    <t>Minimum Tension</t>
  </si>
  <si>
    <t>A29</t>
  </si>
  <si>
    <t>Pipe Minimum Tension</t>
  </si>
  <si>
    <t>B29</t>
  </si>
  <si>
    <t>Range Graph Min</t>
  </si>
  <si>
    <t>C29</t>
  </si>
  <si>
    <t>nnnnnnnnnnynnnnnnnnnnnnnnnnnnnnnnnnnnnnnnnnnnnnnnnnnnnnnnnnnnnnnnnnnnnnnnnnnnnnnnnnnnnnnnnnnnnnnnnnnnnnnnnnnnnnnnnnnnnnnnnnnnnnnnnnnnnnnnnnnnnnnnnnnnnnnnnnnnnnnnnnnnnnnnnnnnnnnnnnnnnnnnnnnnnnnnnnnnnnnnnnnnnnnnnnnnnnnnnnnnnnnnnnnnnnnnnnnnnnnnnnnnnnnnnnnnnnn</t>
  </si>
  <si>
    <t>D29</t>
  </si>
  <si>
    <t>E29</t>
  </si>
  <si>
    <t>F29</t>
  </si>
  <si>
    <t>G29</t>
  </si>
  <si>
    <t>H29</t>
  </si>
  <si>
    <t>I29</t>
  </si>
  <si>
    <t>J29</t>
  </si>
  <si>
    <t>K29</t>
  </si>
  <si>
    <t>L29</t>
  </si>
  <si>
    <t>M29</t>
  </si>
  <si>
    <t>N29</t>
  </si>
  <si>
    <t>O29</t>
  </si>
  <si>
    <t>P29</t>
  </si>
  <si>
    <t>Q29</t>
  </si>
  <si>
    <t>R29</t>
  </si>
  <si>
    <t>S29</t>
  </si>
  <si>
    <t>T29</t>
  </si>
  <si>
    <t>U29</t>
  </si>
  <si>
    <t>V29</t>
  </si>
  <si>
    <t>W29</t>
  </si>
  <si>
    <t>X29</t>
  </si>
  <si>
    <t>Y29</t>
  </si>
  <si>
    <t>Z29</t>
  </si>
  <si>
    <t>AA29</t>
  </si>
  <si>
    <t>AB29</t>
  </si>
  <si>
    <t>AC29</t>
  </si>
  <si>
    <t>AD29</t>
  </si>
  <si>
    <t>AE29</t>
  </si>
  <si>
    <t>AF29</t>
  </si>
  <si>
    <t>AG29</t>
  </si>
  <si>
    <t>AH29</t>
  </si>
  <si>
    <t>AI29</t>
  </si>
  <si>
    <t>AJ29</t>
  </si>
  <si>
    <t>Max Bollard Pull (kN):</t>
  </si>
  <si>
    <t>RG Template Sheet</t>
  </si>
  <si>
    <t>Range Graph Results NEW</t>
  </si>
  <si>
    <t>Duplicate Sheet</t>
  </si>
  <si>
    <t>Declination Direction</t>
  </si>
  <si>
    <t>G1</t>
  </si>
  <si>
    <t>M1</t>
  </si>
  <si>
    <t>S1</t>
  </si>
  <si>
    <t>Y1</t>
  </si>
  <si>
    <t>AE1</t>
  </si>
  <si>
    <t>AK1</t>
  </si>
  <si>
    <t>AQ1</t>
  </si>
  <si>
    <t>AQ2</t>
  </si>
  <si>
    <t>AQ3</t>
  </si>
  <si>
    <t>AT2</t>
  </si>
  <si>
    <t>AT3</t>
  </si>
  <si>
    <t>AW1</t>
  </si>
  <si>
    <t>AW2</t>
  </si>
  <si>
    <t>AW3</t>
  </si>
  <si>
    <t>AZ2</t>
  </si>
  <si>
    <t>AZ3</t>
  </si>
  <si>
    <t>BC1</t>
  </si>
  <si>
    <t>BC2</t>
  </si>
  <si>
    <t>BC3</t>
  </si>
  <si>
    <t>BF2</t>
  </si>
  <si>
    <t>BF3</t>
  </si>
  <si>
    <t>BI1</t>
  </si>
  <si>
    <t>BI2</t>
  </si>
  <si>
    <t>BI3</t>
  </si>
  <si>
    <t>BL2</t>
  </si>
  <si>
    <t>BL3</t>
  </si>
  <si>
    <t>BO1</t>
  </si>
  <si>
    <t>BO2</t>
  </si>
  <si>
    <t>BO3</t>
  </si>
  <si>
    <t>BR2</t>
  </si>
  <si>
    <t>BR3</t>
  </si>
  <si>
    <t>BU1</t>
  </si>
  <si>
    <t>BU2</t>
  </si>
  <si>
    <t>BU3</t>
  </si>
  <si>
    <t>BX2</t>
  </si>
  <si>
    <t>BX3</t>
  </si>
  <si>
    <t>CA1</t>
  </si>
  <si>
    <t>CA2</t>
  </si>
  <si>
    <t>CA3</t>
  </si>
  <si>
    <t>CD2</t>
  </si>
  <si>
    <t>CD3</t>
  </si>
  <si>
    <t>CG1</t>
  </si>
  <si>
    <t>CG2</t>
  </si>
  <si>
    <t>CG3</t>
  </si>
  <si>
    <t>CJ2</t>
  </si>
  <si>
    <t>CJ3</t>
  </si>
  <si>
    <t>CM1</t>
  </si>
  <si>
    <t>CM2</t>
  </si>
  <si>
    <t>CM3</t>
  </si>
  <si>
    <t>CP2</t>
  </si>
  <si>
    <t>CP3</t>
  </si>
  <si>
    <t>CS1</t>
  </si>
  <si>
    <t>CS2</t>
  </si>
  <si>
    <t>CS3</t>
  </si>
  <si>
    <t>CV2</t>
  </si>
  <si>
    <t>CV3</t>
  </si>
  <si>
    <t>CY1</t>
  </si>
  <si>
    <t>CY2</t>
  </si>
  <si>
    <t>CY3</t>
  </si>
  <si>
    <t>DB2</t>
  </si>
  <si>
    <t>DB3</t>
  </si>
  <si>
    <t>DE1</t>
  </si>
  <si>
    <t>DE2</t>
  </si>
  <si>
    <t>DE3</t>
  </si>
  <si>
    <t>DH2</t>
  </si>
  <si>
    <t>DH3</t>
  </si>
  <si>
    <t>DK1</t>
  </si>
  <si>
    <t>DK2</t>
  </si>
  <si>
    <t>DK3</t>
  </si>
  <si>
    <t>DN2</t>
  </si>
  <si>
    <t>DN3</t>
  </si>
  <si>
    <r>
      <t xml:space="preserve">Comments:
</t>
    </r>
    <r>
      <rPr>
        <sz val="12"/>
        <rFont val="Arial"/>
        <family val="2"/>
      </rPr>
      <t>This results sheet is intended to replicate a typical OrcaLay results sheet as a way of demonstrating that OrcaFlex can be used as a viable alternative.</t>
    </r>
    <r>
      <rPr>
        <b/>
        <sz val="12"/>
        <rFont val="Arial"/>
        <family val="2"/>
      </rPr>
      <t xml:space="preserve">
</t>
    </r>
    <r>
      <rPr>
        <sz val="12"/>
        <rFont val="Arial"/>
        <family val="2"/>
      </rPr>
      <t>It is an example of the type of data that can be automatically presented through the OrcaFlex spreadsheet.
Basecase data is retrieved automatically from the OrcaFlex results, with only minimal input required on this sheet (</t>
    </r>
    <r>
      <rPr>
        <b/>
        <sz val="12"/>
        <rFont val="Arial"/>
        <family val="2"/>
      </rPr>
      <t>user input required in the yellow cells only</t>
    </r>
    <r>
      <rPr>
        <sz val="12"/>
        <rFont val="Arial"/>
        <family val="2"/>
      </rPr>
      <t>).
Cells and rows are highlighted automatically to identify pass/fail. 
Cells highlighted in red are those that do not meet the necessary acceptance criteria. 
Rows highlighted in green represent the 'acceptable' cases that remain within all acceptance criteria.
If the reaction force for all supports in a load case is zero, this infers that the line is completely in sagbend, and this will consequently place "N/A" in the corresponding overbend cell.
User needs will of course vary, and this sheet is only intended as an example.</t>
    </r>
  </si>
  <si>
    <t>OrcaFlex Pipelay Table (OrcaFlex Spreadsheet)</t>
  </si>
  <si>
    <t>Constraint Buoy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</si>
</sst>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0000000"/>
    <numFmt numFmtId="165" formatCode="0.000"/>
    <numFmt numFmtId="166" formatCode="0.0"/>
    <numFmt numFmtId="167" formatCode="0.000000000"/>
    <numFmt numFmtId="168" formatCode="0.0000000000"/>
    <numFmt numFmtId="169" formatCode="0.0###"/>
    <numFmt numFmtId="170" formatCode="0.0000"/>
    <numFmt numFmtId="171" formatCode="0.00000"/>
  </numFmts>
  <fonts count="13" x14ac:knownFonts="1">
    <font>
      <sz val="10"/>
      <name val="Arial"/>
    </font>
    <font>
      <sz val="9"/>
      <name val="Arial"/>
      <family val="2"/>
    </font>
    <font>
      <b/>
      <sz val="9"/>
      <name val="Arial"/>
      <family val="2"/>
    </font>
    <font>
      <b/>
      <sz val="10"/>
      <name val="Arial"/>
      <family val="2"/>
    </font>
    <font>
      <sz val="10"/>
      <name val="Arial"/>
      <family val="2"/>
    </font>
    <font>
      <sz val="10"/>
      <color theme="0" tint="-0.249977111117893"/>
      <name val="Arial"/>
      <family val="2"/>
    </font>
    <font>
      <b/>
      <sz val="10"/>
      <color theme="0" tint="-0.249977111117893"/>
      <name val="Arial"/>
      <family val="2"/>
    </font>
    <font>
      <sz val="10"/>
      <name val="Arial"/>
      <family val="2"/>
    </font>
    <font>
      <b/>
      <sz val="9"/>
      <color rgb="FFFF0000"/>
      <name val="Arial"/>
      <family val="2"/>
    </font>
    <font>
      <sz val="10"/>
      <color rgb="FFFF0000"/>
      <name val="Arial"/>
      <family val="2"/>
    </font>
    <font>
      <b/>
      <sz val="12"/>
      <name val="Arial"/>
      <family val="2"/>
    </font>
    <font>
      <b/>
      <sz val="18"/>
      <name val="Arial"/>
      <family val="2"/>
    </font>
    <font>
      <sz val="12"/>
      <name val="Arial"/>
      <family val="2"/>
    </font>
  </fonts>
  <fills count="11">
    <fill>
      <patternFill patternType="none"/>
    </fill>
    <fill>
      <patternFill patternType="gray125"/>
    </fill>
    <fill>
      <patternFill patternType="solid">
        <fgColor indexed="26"/>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indexed="22"/>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s>
  <borders count="26">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3">
    <xf numFmtId="0" fontId="0" fillId="0" borderId="0"/>
    <xf numFmtId="43" fontId="7" fillId="0" borderId="0" applyFont="0" applyFill="0" applyBorder="0" applyAlignment="0" applyProtection="0"/>
    <xf numFmtId="0" fontId="4" fillId="0" borderId="0"/>
  </cellStyleXfs>
  <cellXfs count="99">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xf numFmtId="2" fontId="0" fillId="0" borderId="0" xfId="0" applyNumberFormat="1" applyAlignment="1">
      <alignment horizontal="right"/>
    </xf>
    <xf numFmtId="2" fontId="0" fillId="0" borderId="0" xfId="0" applyNumberFormat="1"/>
    <xf numFmtId="0" fontId="0" fillId="0" borderId="0" xfId="0" applyAlignment="1">
      <alignment horizontal="right"/>
    </xf>
    <xf numFmtId="164" fontId="0" fillId="0" borderId="0" xfId="0" applyNumberFormat="1" applyAlignment="1">
      <alignment horizontal="right"/>
    </xf>
    <xf numFmtId="0" fontId="0" fillId="3" borderId="5" xfId="0" applyFill="1" applyBorder="1"/>
    <xf numFmtId="0" fontId="0" fillId="3" borderId="6" xfId="0" applyFill="1" applyBorder="1"/>
    <xf numFmtId="0" fontId="4" fillId="3" borderId="6" xfId="0" applyFont="1" applyFill="1" applyBorder="1" applyAlignment="1">
      <alignment horizontal="right"/>
    </xf>
    <xf numFmtId="2" fontId="4" fillId="3" borderId="6" xfId="0" applyNumberFormat="1" applyFont="1" applyFill="1" applyBorder="1" applyAlignment="1">
      <alignment horizontal="right"/>
    </xf>
    <xf numFmtId="0" fontId="0" fillId="3" borderId="7" xfId="0" applyFill="1" applyBorder="1"/>
    <xf numFmtId="0" fontId="4" fillId="3" borderId="8" xfId="0" applyFont="1" applyFill="1" applyBorder="1" applyAlignment="1">
      <alignment horizontal="right"/>
    </xf>
    <xf numFmtId="0" fontId="4" fillId="3" borderId="9" xfId="0" applyFont="1" applyFill="1" applyBorder="1" applyAlignment="1">
      <alignment horizontal="right"/>
    </xf>
    <xf numFmtId="2" fontId="4" fillId="3" borderId="9" xfId="0" applyNumberFormat="1" applyFont="1" applyFill="1" applyBorder="1" applyAlignment="1">
      <alignment horizontal="right"/>
    </xf>
    <xf numFmtId="0" fontId="4" fillId="3" borderId="10" xfId="0" applyFont="1" applyFill="1" applyBorder="1" applyAlignment="1">
      <alignment horizontal="right"/>
    </xf>
    <xf numFmtId="0" fontId="0" fillId="0" borderId="12"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4" borderId="14" xfId="0" applyFill="1" applyBorder="1" applyAlignment="1">
      <alignment horizontal="left"/>
    </xf>
    <xf numFmtId="0" fontId="0" fillId="4" borderId="2" xfId="0" applyFill="1" applyBorder="1" applyAlignment="1">
      <alignment horizontal="left"/>
    </xf>
    <xf numFmtId="2" fontId="4" fillId="4" borderId="15" xfId="0" applyNumberFormat="1" applyFont="1" applyFill="1" applyBorder="1" applyAlignment="1">
      <alignment horizontal="left"/>
    </xf>
    <xf numFmtId="0" fontId="0" fillId="4" borderId="16" xfId="0" applyFill="1" applyBorder="1" applyAlignment="1">
      <alignment horizontal="left"/>
    </xf>
    <xf numFmtId="0" fontId="0" fillId="4" borderId="4" xfId="0" applyFill="1" applyBorder="1" applyAlignment="1">
      <alignment horizontal="left"/>
    </xf>
    <xf numFmtId="2" fontId="4" fillId="3" borderId="5" xfId="0" applyNumberFormat="1" applyFont="1" applyFill="1" applyBorder="1" applyAlignment="1">
      <alignment horizontal="right"/>
    </xf>
    <xf numFmtId="0" fontId="3" fillId="3" borderId="6" xfId="0" applyFont="1" applyFill="1" applyBorder="1" applyAlignment="1">
      <alignment horizontal="right"/>
    </xf>
    <xf numFmtId="0" fontId="4" fillId="3" borderId="7" xfId="0" applyFont="1" applyFill="1" applyBorder="1" applyAlignment="1">
      <alignment horizontal="right"/>
    </xf>
    <xf numFmtId="2" fontId="4" fillId="4" borderId="13" xfId="0" applyNumberFormat="1" applyFont="1" applyFill="1" applyBorder="1" applyAlignment="1">
      <alignment horizontal="left"/>
    </xf>
    <xf numFmtId="0" fontId="3" fillId="5" borderId="18" xfId="0" applyFont="1" applyFill="1" applyBorder="1" applyAlignment="1">
      <alignment horizontal="left"/>
    </xf>
    <xf numFmtId="0" fontId="0" fillId="0" borderId="11" xfId="0" quotePrefix="1" applyBorder="1" applyAlignment="1">
      <alignment horizontal="right"/>
    </xf>
    <xf numFmtId="2" fontId="4" fillId="0" borderId="2" xfId="0" applyNumberFormat="1" applyFont="1" applyBorder="1" applyAlignment="1">
      <alignment horizontal="left"/>
    </xf>
    <xf numFmtId="0" fontId="0" fillId="4" borderId="0" xfId="0" applyFill="1" applyAlignment="1">
      <alignment horizontal="left"/>
    </xf>
    <xf numFmtId="0" fontId="0" fillId="4" borderId="19" xfId="0" applyFill="1" applyBorder="1" applyAlignment="1">
      <alignment horizontal="left"/>
    </xf>
    <xf numFmtId="0" fontId="0" fillId="0" borderId="0" xfId="0" applyAlignment="1">
      <alignment horizontal="left"/>
    </xf>
    <xf numFmtId="0" fontId="4" fillId="0" borderId="0" xfId="0" applyFont="1"/>
    <xf numFmtId="0" fontId="4" fillId="0" borderId="0" xfId="0" applyFont="1" applyAlignment="1">
      <alignment horizontal="left"/>
    </xf>
    <xf numFmtId="0" fontId="0" fillId="0" borderId="6" xfId="0" quotePrefix="1" applyBorder="1" applyAlignment="1">
      <alignment horizontal="right"/>
    </xf>
    <xf numFmtId="0" fontId="1" fillId="6" borderId="0" xfId="0" applyFont="1" applyFill="1" applyAlignment="1">
      <alignment horizontal="left"/>
    </xf>
    <xf numFmtId="0" fontId="2" fillId="6" borderId="0" xfId="0" applyFont="1" applyFill="1" applyAlignment="1">
      <alignment horizontal="left"/>
    </xf>
    <xf numFmtId="0" fontId="3" fillId="0" borderId="0" xfId="0" applyFont="1"/>
    <xf numFmtId="2" fontId="3" fillId="0" borderId="0" xfId="0" applyNumberFormat="1" applyFont="1"/>
    <xf numFmtId="0" fontId="2" fillId="0" borderId="0" xfId="0" applyFont="1" applyAlignment="1">
      <alignment horizontal="left"/>
    </xf>
    <xf numFmtId="0" fontId="0" fillId="0" borderId="0" xfId="0"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5" fillId="0" borderId="0" xfId="0" applyFont="1"/>
    <xf numFmtId="0" fontId="6" fillId="0" borderId="0" xfId="0" applyFont="1" applyAlignment="1">
      <alignment horizontal="center" vertical="center" wrapText="1"/>
    </xf>
    <xf numFmtId="0" fontId="6" fillId="0" borderId="0" xfId="0" applyFont="1" applyAlignment="1">
      <alignment horizontal="center" vertical="center"/>
    </xf>
    <xf numFmtId="0" fontId="5" fillId="0" borderId="0" xfId="0" applyFont="1" applyAlignment="1">
      <alignment horizontal="center" vertical="center"/>
    </xf>
    <xf numFmtId="0" fontId="3" fillId="7" borderId="20" xfId="0" applyFont="1" applyFill="1" applyBorder="1" applyAlignment="1">
      <alignment horizontal="center" vertical="center" wrapText="1"/>
    </xf>
    <xf numFmtId="0" fontId="3" fillId="7" borderId="20" xfId="0" applyFont="1" applyFill="1" applyBorder="1" applyAlignment="1">
      <alignment horizontal="center" vertical="center"/>
    </xf>
    <xf numFmtId="0" fontId="0" fillId="9" borderId="20" xfId="0" applyFill="1" applyBorder="1" applyAlignment="1">
      <alignment horizontal="center" vertical="center"/>
    </xf>
    <xf numFmtId="166" fontId="0" fillId="9" borderId="20" xfId="0" applyNumberFormat="1" applyFill="1" applyBorder="1" applyAlignment="1">
      <alignment horizontal="center" vertical="center"/>
    </xf>
    <xf numFmtId="165" fontId="0" fillId="9" borderId="20" xfId="0" applyNumberFormat="1" applyFill="1" applyBorder="1" applyAlignment="1">
      <alignment horizontal="center" vertical="center"/>
    </xf>
    <xf numFmtId="2" fontId="0" fillId="9" borderId="20" xfId="0" applyNumberFormat="1" applyFill="1" applyBorder="1" applyAlignment="1">
      <alignment horizontal="center" vertical="center"/>
    </xf>
    <xf numFmtId="1" fontId="0" fillId="0" borderId="11" xfId="0" applyNumberFormat="1" applyBorder="1" applyAlignment="1">
      <alignment vertical="top"/>
    </xf>
    <xf numFmtId="0" fontId="1" fillId="8" borderId="0" xfId="0" applyFont="1" applyFill="1" applyAlignment="1">
      <alignment horizontal="left"/>
    </xf>
    <xf numFmtId="0" fontId="0" fillId="9" borderId="0" xfId="0" applyFill="1"/>
    <xf numFmtId="167" fontId="0" fillId="0" borderId="0" xfId="0" applyNumberFormat="1"/>
    <xf numFmtId="168" fontId="0" fillId="0" borderId="0" xfId="0" applyNumberFormat="1"/>
    <xf numFmtId="0" fontId="8" fillId="0" borderId="0" xfId="0" applyFont="1"/>
    <xf numFmtId="0" fontId="9" fillId="0" borderId="0" xfId="0" applyFont="1"/>
    <xf numFmtId="169" fontId="0" fillId="0" borderId="0" xfId="0" applyNumberFormat="1"/>
    <xf numFmtId="49" fontId="0" fillId="0" borderId="9" xfId="0" applyNumberFormat="1" applyBorder="1" applyAlignment="1">
      <alignment horizontal="right"/>
    </xf>
    <xf numFmtId="49" fontId="0" fillId="0" borderId="6" xfId="0" quotePrefix="1" applyNumberFormat="1" applyBorder="1" applyAlignment="1">
      <alignment horizontal="right"/>
    </xf>
    <xf numFmtId="49" fontId="0" fillId="0" borderId="17" xfId="0" applyNumberFormat="1" applyBorder="1" applyAlignment="1">
      <alignment horizontal="right"/>
    </xf>
    <xf numFmtId="1" fontId="3" fillId="0" borderId="0" xfId="0" applyNumberFormat="1" applyFont="1"/>
    <xf numFmtId="171" fontId="4" fillId="0" borderId="0" xfId="0" applyNumberFormat="1" applyFont="1"/>
    <xf numFmtId="170" fontId="4" fillId="0" borderId="0" xfId="0" applyNumberFormat="1" applyFont="1"/>
    <xf numFmtId="2" fontId="4" fillId="9" borderId="20" xfId="0" quotePrefix="1" applyNumberFormat="1" applyFont="1" applyFill="1" applyBorder="1" applyAlignment="1">
      <alignment horizontal="center" vertical="center"/>
    </xf>
    <xf numFmtId="0" fontId="0" fillId="0" borderId="25" xfId="0" applyBorder="1"/>
    <xf numFmtId="0" fontId="4" fillId="0" borderId="20" xfId="0" applyFont="1" applyBorder="1" applyAlignment="1">
      <alignment vertical="center" wrapText="1"/>
    </xf>
    <xf numFmtId="0" fontId="4" fillId="0" borderId="20" xfId="0" applyFont="1" applyBorder="1" applyAlignment="1">
      <alignment vertical="center"/>
    </xf>
    <xf numFmtId="0" fontId="0" fillId="0" borderId="20" xfId="0" applyBorder="1" applyAlignment="1">
      <alignment horizontal="left" vertical="center"/>
    </xf>
    <xf numFmtId="0" fontId="0" fillId="0" borderId="0" xfId="0" applyAlignment="1">
      <alignment horizontal="left" vertical="center"/>
    </xf>
    <xf numFmtId="0" fontId="0" fillId="0" borderId="0" xfId="0" applyAlignment="1">
      <alignment vertical="center"/>
    </xf>
    <xf numFmtId="2" fontId="0" fillId="9" borderId="20" xfId="1" applyNumberFormat="1" applyFont="1" applyFill="1" applyBorder="1" applyAlignment="1">
      <alignment horizontal="center" vertical="center"/>
    </xf>
    <xf numFmtId="0" fontId="0" fillId="10" borderId="0" xfId="0" applyFill="1"/>
    <xf numFmtId="0" fontId="3" fillId="10" borderId="0" xfId="0" applyFont="1" applyFill="1"/>
    <xf numFmtId="0" fontId="3" fillId="10" borderId="0" xfId="0" quotePrefix="1" applyFont="1" applyFill="1"/>
    <xf numFmtId="0" fontId="0" fillId="10" borderId="20" xfId="0" applyFill="1" applyBorder="1" applyAlignment="1">
      <alignment horizontal="left" vertical="center"/>
    </xf>
    <xf numFmtId="0" fontId="4" fillId="10" borderId="20" xfId="0" applyFont="1" applyFill="1" applyBorder="1" applyAlignment="1">
      <alignment horizontal="left" vertical="center"/>
    </xf>
    <xf numFmtId="1" fontId="0" fillId="9" borderId="20" xfId="0" applyNumberFormat="1" applyFill="1" applyBorder="1" applyAlignment="1">
      <alignment horizontal="center" vertical="center"/>
    </xf>
    <xf numFmtId="2" fontId="0" fillId="0" borderId="20" xfId="0" applyNumberFormat="1" applyBorder="1" applyAlignment="1">
      <alignment horizontal="left" vertical="center"/>
    </xf>
    <xf numFmtId="0" fontId="3" fillId="7" borderId="20" xfId="0" applyFont="1" applyFill="1" applyBorder="1" applyAlignment="1">
      <alignment horizontal="center" vertical="center" wrapText="1"/>
    </xf>
    <xf numFmtId="0" fontId="3" fillId="7" borderId="21" xfId="0" applyFont="1" applyFill="1" applyBorder="1" applyAlignment="1">
      <alignment horizontal="center" vertical="center" wrapText="1"/>
    </xf>
    <xf numFmtId="0" fontId="3" fillId="7" borderId="22" xfId="0" applyFont="1" applyFill="1" applyBorder="1" applyAlignment="1">
      <alignment horizontal="center" vertical="center" wrapText="1"/>
    </xf>
    <xf numFmtId="0" fontId="3" fillId="7" borderId="23" xfId="0" applyFont="1" applyFill="1" applyBorder="1" applyAlignment="1">
      <alignment horizontal="center" vertical="center" wrapText="1"/>
    </xf>
    <xf numFmtId="0" fontId="3" fillId="7" borderId="24" xfId="0" applyFont="1" applyFill="1" applyBorder="1" applyAlignment="1">
      <alignment horizontal="center" vertical="center" wrapText="1"/>
    </xf>
    <xf numFmtId="0" fontId="10" fillId="7" borderId="20" xfId="0" applyFont="1" applyFill="1" applyBorder="1" applyAlignment="1">
      <alignment horizontal="left" vertical="top" wrapText="1"/>
    </xf>
    <xf numFmtId="0" fontId="11" fillId="7" borderId="20" xfId="0" applyFont="1" applyFill="1" applyBorder="1" applyAlignment="1">
      <alignment horizontal="center" vertical="center"/>
    </xf>
    <xf numFmtId="0" fontId="3" fillId="7" borderId="6" xfId="0" applyFont="1" applyFill="1" applyBorder="1" applyAlignment="1">
      <alignment horizontal="center" vertical="center" wrapText="1"/>
    </xf>
    <xf numFmtId="0" fontId="3" fillId="7" borderId="21" xfId="0" applyFont="1" applyFill="1" applyBorder="1" applyAlignment="1">
      <alignment horizontal="center" vertical="center"/>
    </xf>
    <xf numFmtId="0" fontId="3" fillId="7" borderId="22" xfId="0" applyFont="1" applyFill="1" applyBorder="1" applyAlignment="1">
      <alignment horizontal="center" vertical="center"/>
    </xf>
  </cellXfs>
  <cellStyles count="3">
    <cellStyle name="Comma" xfId="1" builtinId="3"/>
    <cellStyle name="Normal" xfId="0" builtinId="0"/>
    <cellStyle name="Normal 2" xfId="2" xr:uid="{00000000-0005-0000-0000-000002000000}"/>
  </cellStyles>
  <dxfs count="18">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41"/>
  <sheetViews>
    <sheetView workbookViewId="0">
      <selection activeCell="A2" sqref="A2"/>
    </sheetView>
  </sheetViews>
  <sheetFormatPr defaultColWidth="17.5703125" defaultRowHeight="12.75" x14ac:dyDescent="0.2"/>
  <cols>
    <col min="1" max="1" width="12.28515625" customWidth="1"/>
    <col min="2" max="2" width="13.7109375" style="10" customWidth="1"/>
    <col min="3" max="3" width="12.85546875" style="11" customWidth="1"/>
    <col min="4" max="4" width="12" style="11" bestFit="1" customWidth="1"/>
    <col min="5" max="5" width="13.5703125" style="11" customWidth="1"/>
    <col min="6" max="6" width="13.140625" style="11" customWidth="1"/>
    <col min="7" max="7" width="10.42578125" style="11" customWidth="1"/>
    <col min="8" max="8" width="21.140625" style="11" bestFit="1" customWidth="1"/>
    <col min="9" max="9" width="12.7109375" style="11" customWidth="1"/>
    <col min="10" max="10" width="12" style="8" customWidth="1"/>
    <col min="11" max="11" width="10.42578125" bestFit="1" customWidth="1"/>
    <col min="12" max="12" width="10.42578125" style="9" bestFit="1" customWidth="1"/>
    <col min="13" max="16" width="10.42578125" bestFit="1" customWidth="1"/>
    <col min="17" max="18" width="17.5703125" customWidth="1"/>
  </cols>
  <sheetData>
    <row r="1" spans="1:12" ht="13.5" thickBot="1" x14ac:dyDescent="0.25"/>
    <row r="2" spans="1:12" ht="13.5" thickBot="1" x14ac:dyDescent="0.25">
      <c r="A2" s="33" t="s">
        <v>14</v>
      </c>
      <c r="B2" s="35" t="s">
        <v>12</v>
      </c>
      <c r="C2"/>
      <c r="D2"/>
      <c r="E2"/>
      <c r="F2"/>
      <c r="G2"/>
      <c r="H2"/>
      <c r="I2"/>
      <c r="J2"/>
    </row>
    <row r="3" spans="1:12" x14ac:dyDescent="0.2">
      <c r="A3" s="32" t="s">
        <v>249</v>
      </c>
      <c r="B3" s="24"/>
      <c r="C3" s="24"/>
      <c r="D3" s="25"/>
      <c r="E3"/>
      <c r="F3"/>
      <c r="G3"/>
      <c r="H3"/>
      <c r="I3"/>
      <c r="J3"/>
    </row>
    <row r="4" spans="1:12" x14ac:dyDescent="0.2">
      <c r="A4" s="32" t="s">
        <v>250</v>
      </c>
      <c r="B4" s="36"/>
      <c r="C4" s="36"/>
      <c r="D4" s="37"/>
      <c r="E4"/>
      <c r="F4"/>
      <c r="G4"/>
      <c r="H4"/>
      <c r="I4"/>
      <c r="J4"/>
      <c r="L4"/>
    </row>
    <row r="5" spans="1:12" ht="13.5" thickBot="1" x14ac:dyDescent="0.25">
      <c r="A5" s="26" t="s">
        <v>250</v>
      </c>
      <c r="B5" s="27"/>
      <c r="C5" s="27"/>
      <c r="D5" s="28"/>
      <c r="E5"/>
      <c r="F5"/>
      <c r="G5"/>
      <c r="H5"/>
      <c r="I5"/>
      <c r="J5"/>
      <c r="L5"/>
    </row>
    <row r="6" spans="1:12" x14ac:dyDescent="0.2">
      <c r="A6" s="29"/>
      <c r="B6" s="14"/>
      <c r="C6" s="30"/>
      <c r="D6" s="31"/>
      <c r="E6" s="9"/>
      <c r="F6"/>
      <c r="G6"/>
      <c r="H6"/>
      <c r="I6"/>
      <c r="J6"/>
      <c r="L6"/>
    </row>
    <row r="7" spans="1:12" x14ac:dyDescent="0.2">
      <c r="A7" s="12"/>
      <c r="B7" s="13"/>
      <c r="C7" s="15" t="s">
        <v>85</v>
      </c>
      <c r="D7" s="16"/>
      <c r="E7" s="9"/>
      <c r="F7"/>
      <c r="G7"/>
      <c r="H7"/>
      <c r="I7"/>
      <c r="J7"/>
      <c r="L7"/>
    </row>
    <row r="8" spans="1:12" ht="13.5" thickBot="1" x14ac:dyDescent="0.25">
      <c r="A8" s="17" t="s">
        <v>10</v>
      </c>
      <c r="B8" s="18" t="s">
        <v>11</v>
      </c>
      <c r="C8" s="19" t="s">
        <v>86</v>
      </c>
      <c r="D8" s="20" t="s">
        <v>13</v>
      </c>
      <c r="E8" s="9"/>
      <c r="F8"/>
      <c r="G8"/>
      <c r="H8"/>
      <c r="I8"/>
      <c r="J8"/>
      <c r="L8"/>
    </row>
    <row r="9" spans="1:12" x14ac:dyDescent="0.2">
      <c r="A9" s="70" t="s">
        <v>231</v>
      </c>
      <c r="B9" s="34" t="s">
        <v>84</v>
      </c>
      <c r="C9" s="60">
        <v>-363</v>
      </c>
      <c r="D9" s="21" t="str">
        <f>"Case0"&amp;A9&amp;".dat"</f>
        <v>Case001.dat</v>
      </c>
      <c r="E9" s="9"/>
      <c r="F9"/>
      <c r="G9"/>
      <c r="H9"/>
      <c r="I9"/>
      <c r="J9"/>
      <c r="L9"/>
    </row>
    <row r="10" spans="1:12" x14ac:dyDescent="0.2">
      <c r="A10" s="69" t="s">
        <v>232</v>
      </c>
      <c r="B10" s="41"/>
      <c r="C10" s="41">
        <v>-364</v>
      </c>
      <c r="D10" s="22" t="str">
        <f t="shared" ref="D10:D26" si="0">"Case0"&amp;A10&amp;".dat"</f>
        <v>Case002.dat</v>
      </c>
      <c r="E10" s="9"/>
      <c r="F10"/>
      <c r="G10"/>
      <c r="H10"/>
      <c r="I10"/>
      <c r="J10"/>
      <c r="L10"/>
    </row>
    <row r="11" spans="1:12" x14ac:dyDescent="0.2">
      <c r="A11" s="69" t="s">
        <v>233</v>
      </c>
      <c r="B11" s="41"/>
      <c r="C11" s="41">
        <v>-365</v>
      </c>
      <c r="D11" s="22" t="str">
        <f t="shared" si="0"/>
        <v>Case003.dat</v>
      </c>
      <c r="E11" s="9"/>
      <c r="F11"/>
      <c r="G11"/>
      <c r="H11"/>
      <c r="I11"/>
      <c r="J11"/>
      <c r="L11"/>
    </row>
    <row r="12" spans="1:12" x14ac:dyDescent="0.2">
      <c r="A12" s="69" t="s">
        <v>234</v>
      </c>
      <c r="B12" s="41"/>
      <c r="C12" s="41">
        <v>-366</v>
      </c>
      <c r="D12" s="22" t="str">
        <f t="shared" si="0"/>
        <v>Case004.dat</v>
      </c>
      <c r="E12" s="9"/>
      <c r="F12"/>
      <c r="G12"/>
      <c r="H12"/>
      <c r="I12"/>
      <c r="J12"/>
      <c r="L12"/>
    </row>
    <row r="13" spans="1:12" x14ac:dyDescent="0.2">
      <c r="A13" s="69" t="s">
        <v>235</v>
      </c>
      <c r="B13" s="41"/>
      <c r="C13" s="41">
        <v>-367</v>
      </c>
      <c r="D13" s="22" t="str">
        <f t="shared" si="0"/>
        <v>Case005.dat</v>
      </c>
      <c r="E13" s="9"/>
      <c r="F13"/>
      <c r="G13"/>
      <c r="H13"/>
      <c r="I13"/>
      <c r="J13"/>
      <c r="L13"/>
    </row>
    <row r="14" spans="1:12" x14ac:dyDescent="0.2">
      <c r="A14" s="69" t="s">
        <v>236</v>
      </c>
      <c r="B14" s="41"/>
      <c r="C14" s="41">
        <v>-368</v>
      </c>
      <c r="D14" s="22" t="str">
        <f t="shared" si="0"/>
        <v>Case006.dat</v>
      </c>
      <c r="E14" s="9"/>
      <c r="F14"/>
      <c r="G14"/>
      <c r="H14"/>
      <c r="I14"/>
      <c r="J14"/>
      <c r="L14"/>
    </row>
    <row r="15" spans="1:12" x14ac:dyDescent="0.2">
      <c r="A15" s="69" t="s">
        <v>237</v>
      </c>
      <c r="B15" s="41"/>
      <c r="C15" s="41">
        <v>-369</v>
      </c>
      <c r="D15" s="22" t="str">
        <f t="shared" si="0"/>
        <v>Case007.dat</v>
      </c>
      <c r="E15" s="9"/>
      <c r="F15"/>
      <c r="G15"/>
      <c r="H15"/>
      <c r="I15"/>
      <c r="J15"/>
      <c r="L15"/>
    </row>
    <row r="16" spans="1:12" x14ac:dyDescent="0.2">
      <c r="A16" s="69" t="s">
        <v>238</v>
      </c>
      <c r="B16" s="41"/>
      <c r="C16" s="41">
        <v>-370</v>
      </c>
      <c r="D16" s="22" t="str">
        <f t="shared" si="0"/>
        <v>Case008.dat</v>
      </c>
      <c r="E16" s="9"/>
      <c r="F16"/>
      <c r="G16"/>
      <c r="H16"/>
      <c r="I16"/>
      <c r="J16"/>
      <c r="L16"/>
    </row>
    <row r="17" spans="1:12" x14ac:dyDescent="0.2">
      <c r="A17" s="69" t="s">
        <v>239</v>
      </c>
      <c r="B17" s="41"/>
      <c r="C17" s="41">
        <v>-371</v>
      </c>
      <c r="D17" s="22" t="str">
        <f t="shared" si="0"/>
        <v>Case009.dat</v>
      </c>
      <c r="E17" s="9"/>
      <c r="F17"/>
      <c r="G17"/>
      <c r="H17"/>
      <c r="I17"/>
      <c r="J17"/>
      <c r="L17"/>
    </row>
    <row r="18" spans="1:12" x14ac:dyDescent="0.2">
      <c r="A18" s="69" t="s">
        <v>240</v>
      </c>
      <c r="B18" s="41"/>
      <c r="C18" s="41">
        <v>-372</v>
      </c>
      <c r="D18" s="22" t="str">
        <f t="shared" si="0"/>
        <v>Case010.dat</v>
      </c>
      <c r="E18" s="9"/>
      <c r="F18"/>
      <c r="G18"/>
      <c r="H18"/>
      <c r="I18"/>
      <c r="J18"/>
      <c r="L18"/>
    </row>
    <row r="19" spans="1:12" x14ac:dyDescent="0.2">
      <c r="A19" s="69" t="s">
        <v>241</v>
      </c>
      <c r="B19" s="41"/>
      <c r="C19" s="41">
        <v>-373</v>
      </c>
      <c r="D19" s="22" t="str">
        <f t="shared" si="0"/>
        <v>Case011.dat</v>
      </c>
      <c r="E19" s="9"/>
      <c r="F19"/>
      <c r="G19"/>
      <c r="H19"/>
      <c r="I19"/>
      <c r="J19"/>
      <c r="L19"/>
    </row>
    <row r="20" spans="1:12" x14ac:dyDescent="0.2">
      <c r="A20" s="69" t="s">
        <v>242</v>
      </c>
      <c r="B20" s="41"/>
      <c r="C20" s="41">
        <v>-374</v>
      </c>
      <c r="D20" s="22" t="str">
        <f t="shared" si="0"/>
        <v>Case012.dat</v>
      </c>
      <c r="E20" s="9"/>
      <c r="F20"/>
      <c r="G20"/>
      <c r="H20"/>
      <c r="I20"/>
      <c r="J20"/>
      <c r="L20"/>
    </row>
    <row r="21" spans="1:12" x14ac:dyDescent="0.2">
      <c r="A21" s="69" t="s">
        <v>243</v>
      </c>
      <c r="B21" s="41"/>
      <c r="C21" s="41">
        <v>-375</v>
      </c>
      <c r="D21" s="22" t="str">
        <f t="shared" si="0"/>
        <v>Case013.dat</v>
      </c>
      <c r="E21" s="9"/>
      <c r="F21"/>
      <c r="G21"/>
      <c r="H21"/>
      <c r="I21"/>
      <c r="J21"/>
      <c r="L21"/>
    </row>
    <row r="22" spans="1:12" x14ac:dyDescent="0.2">
      <c r="A22" s="69" t="s">
        <v>244</v>
      </c>
      <c r="B22" s="41"/>
      <c r="C22" s="41">
        <v>-376</v>
      </c>
      <c r="D22" s="22" t="str">
        <f t="shared" si="0"/>
        <v>Case014.dat</v>
      </c>
      <c r="L22"/>
    </row>
    <row r="23" spans="1:12" x14ac:dyDescent="0.2">
      <c r="A23" s="69" t="s">
        <v>245</v>
      </c>
      <c r="B23" s="41"/>
      <c r="C23" s="41">
        <v>-377</v>
      </c>
      <c r="D23" s="22" t="str">
        <f t="shared" si="0"/>
        <v>Case015.dat</v>
      </c>
    </row>
    <row r="24" spans="1:12" x14ac:dyDescent="0.2">
      <c r="A24" s="69" t="s">
        <v>246</v>
      </c>
      <c r="B24" s="41"/>
      <c r="C24" s="41">
        <v>-378</v>
      </c>
      <c r="D24" s="22" t="str">
        <f t="shared" si="0"/>
        <v>Case016.dat</v>
      </c>
    </row>
    <row r="25" spans="1:12" x14ac:dyDescent="0.2">
      <c r="A25" s="69" t="s">
        <v>247</v>
      </c>
      <c r="B25" s="41"/>
      <c r="C25" s="41">
        <v>-379</v>
      </c>
      <c r="D25" s="22" t="str">
        <f t="shared" si="0"/>
        <v>Case017.dat</v>
      </c>
      <c r="L25"/>
    </row>
    <row r="26" spans="1:12" ht="13.5" thickBot="1" x14ac:dyDescent="0.25">
      <c r="A26" s="68" t="s">
        <v>248</v>
      </c>
      <c r="B26" s="23"/>
      <c r="C26" s="23">
        <v>-380</v>
      </c>
      <c r="D26" s="23" t="str">
        <f t="shared" si="0"/>
        <v>Case018.dat</v>
      </c>
      <c r="L26"/>
    </row>
    <row r="27" spans="1:12" x14ac:dyDescent="0.2">
      <c r="L27"/>
    </row>
    <row r="28" spans="1:12" x14ac:dyDescent="0.2">
      <c r="L28"/>
    </row>
    <row r="29" spans="1:12" x14ac:dyDescent="0.2">
      <c r="L29"/>
    </row>
    <row r="30" spans="1:12" x14ac:dyDescent="0.2">
      <c r="L30"/>
    </row>
    <row r="31" spans="1:12" x14ac:dyDescent="0.2">
      <c r="L31"/>
    </row>
    <row r="32" spans="1:12" x14ac:dyDescent="0.2">
      <c r="L32"/>
    </row>
    <row r="33" spans="12:12" x14ac:dyDescent="0.2">
      <c r="L33"/>
    </row>
    <row r="34" spans="12:12" x14ac:dyDescent="0.2">
      <c r="L34"/>
    </row>
    <row r="35" spans="12:12" x14ac:dyDescent="0.2">
      <c r="L35"/>
    </row>
    <row r="36" spans="12:12" x14ac:dyDescent="0.2">
      <c r="L36"/>
    </row>
    <row r="37" spans="12:12" x14ac:dyDescent="0.2">
      <c r="L37"/>
    </row>
    <row r="38" spans="12:12" x14ac:dyDescent="0.2">
      <c r="L38"/>
    </row>
    <row r="39" spans="12:12" x14ac:dyDescent="0.2">
      <c r="L39"/>
    </row>
    <row r="40" spans="12:12" x14ac:dyDescent="0.2">
      <c r="L40"/>
    </row>
    <row r="41" spans="12:12" x14ac:dyDescent="0.2">
      <c r="L41"/>
    </row>
  </sheetData>
  <dataConsolidate/>
  <phoneticPr fontId="0"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I625"/>
  <sheetViews>
    <sheetView workbookViewId="0">
      <selection activeCell="G22" sqref="G22"/>
    </sheetView>
  </sheetViews>
  <sheetFormatPr defaultRowHeight="12" x14ac:dyDescent="0.2"/>
  <cols>
    <col min="1" max="1" width="14" style="2" bestFit="1" customWidth="1"/>
    <col min="2" max="2" width="5.5703125" style="2" customWidth="1"/>
    <col min="3" max="3" width="39.42578125" style="2" customWidth="1"/>
    <col min="4" max="4" width="6.28515625" style="2" customWidth="1"/>
    <col min="5" max="5" width="23.140625" style="2" customWidth="1"/>
    <col min="6" max="6" width="11.140625" style="2" customWidth="1"/>
    <col min="7" max="7" width="23.42578125" style="2" customWidth="1"/>
    <col min="8" max="8" width="14.7109375" style="2" customWidth="1"/>
    <col min="9" max="9" width="28.28515625" style="1" customWidth="1"/>
    <col min="10" max="16384" width="9.140625" style="1"/>
  </cols>
  <sheetData>
    <row r="2" spans="1:9" ht="12.75" thickBot="1" x14ac:dyDescent="0.25">
      <c r="A2" s="1"/>
      <c r="B2" s="1"/>
      <c r="C2" s="1"/>
      <c r="D2" s="1"/>
      <c r="E2" s="1"/>
      <c r="F2" s="1"/>
      <c r="G2" s="1"/>
      <c r="H2" s="1"/>
    </row>
    <row r="3" spans="1:9" x14ac:dyDescent="0.2">
      <c r="A3" s="3" t="s">
        <v>1</v>
      </c>
      <c r="B3" s="4" t="s">
        <v>8</v>
      </c>
      <c r="C3" s="3"/>
      <c r="D3" s="4" t="s">
        <v>0</v>
      </c>
      <c r="E3" s="7"/>
      <c r="F3" s="3" t="s">
        <v>4</v>
      </c>
      <c r="G3" s="3" t="s">
        <v>9</v>
      </c>
      <c r="H3" s="3" t="s">
        <v>3</v>
      </c>
      <c r="I3" s="4"/>
    </row>
    <row r="4" spans="1:9" ht="12.75" thickBot="1" x14ac:dyDescent="0.25">
      <c r="A4" s="5" t="s">
        <v>5</v>
      </c>
      <c r="B4" s="6" t="s">
        <v>2</v>
      </c>
      <c r="C4" s="5" t="s">
        <v>8</v>
      </c>
      <c r="D4" s="6" t="s">
        <v>2</v>
      </c>
      <c r="E4" s="5" t="s">
        <v>7</v>
      </c>
      <c r="F4" s="5" t="s">
        <v>5</v>
      </c>
      <c r="G4" s="5" t="s">
        <v>15</v>
      </c>
      <c r="H4" s="5" t="s">
        <v>6</v>
      </c>
      <c r="I4" s="6" t="s">
        <v>16</v>
      </c>
    </row>
    <row r="5" spans="1:9" x14ac:dyDescent="0.2">
      <c r="A5" s="2" t="s">
        <v>316</v>
      </c>
      <c r="E5" s="2" t="s">
        <v>87</v>
      </c>
      <c r="I5" s="2"/>
    </row>
    <row r="6" spans="1:9" x14ac:dyDescent="0.2">
      <c r="A6" s="42"/>
      <c r="B6" s="42"/>
      <c r="C6" s="42"/>
      <c r="D6" s="42"/>
      <c r="E6" s="43" t="s">
        <v>251</v>
      </c>
      <c r="F6" s="42"/>
      <c r="G6" s="42"/>
      <c r="H6" s="42"/>
      <c r="I6" s="42"/>
    </row>
    <row r="7" spans="1:9" x14ac:dyDescent="0.2">
      <c r="A7" s="2" t="s">
        <v>316</v>
      </c>
      <c r="B7" s="2" t="s">
        <v>90</v>
      </c>
      <c r="C7" s="2" t="str">
        <f>RIGHT(E6,LEN(E6)-5)</f>
        <v>Case001.sim</v>
      </c>
      <c r="E7" s="46"/>
      <c r="I7" s="2"/>
    </row>
    <row r="8" spans="1:9" x14ac:dyDescent="0.2">
      <c r="A8" s="2" t="s">
        <v>316</v>
      </c>
      <c r="B8" s="2" t="s">
        <v>270</v>
      </c>
      <c r="C8" s="2" t="s">
        <v>147</v>
      </c>
      <c r="D8" s="2" t="s">
        <v>91</v>
      </c>
      <c r="E8" s="2" t="s">
        <v>220</v>
      </c>
      <c r="F8" s="2" t="s">
        <v>88</v>
      </c>
      <c r="G8" s="2" t="s">
        <v>95</v>
      </c>
      <c r="I8" s="2" t="s">
        <v>96</v>
      </c>
    </row>
    <row r="9" spans="1:9" x14ac:dyDescent="0.2">
      <c r="A9" s="2" t="s">
        <v>316</v>
      </c>
      <c r="B9" s="2" t="s">
        <v>292</v>
      </c>
      <c r="C9" s="2" t="s">
        <v>148</v>
      </c>
      <c r="D9" s="2" t="s">
        <v>317</v>
      </c>
      <c r="E9" s="2" t="s">
        <v>220</v>
      </c>
      <c r="F9" s="2" t="s">
        <v>109</v>
      </c>
      <c r="G9" s="2" t="s">
        <v>110</v>
      </c>
      <c r="I9" s="2" t="s">
        <v>111</v>
      </c>
    </row>
    <row r="10" spans="1:9" x14ac:dyDescent="0.2">
      <c r="A10" s="2" t="s">
        <v>316</v>
      </c>
      <c r="B10" s="2" t="s">
        <v>366</v>
      </c>
      <c r="C10" s="2" t="s">
        <v>149</v>
      </c>
      <c r="D10" s="2" t="s">
        <v>318</v>
      </c>
      <c r="E10" s="2" t="s">
        <v>220</v>
      </c>
      <c r="F10" s="2" t="s">
        <v>109</v>
      </c>
      <c r="G10" s="2" t="s">
        <v>113</v>
      </c>
      <c r="I10" s="2" t="s">
        <v>111</v>
      </c>
    </row>
    <row r="11" spans="1:9" x14ac:dyDescent="0.2">
      <c r="A11" s="2" t="s">
        <v>316</v>
      </c>
      <c r="B11" s="2" t="s">
        <v>367</v>
      </c>
      <c r="C11" s="2" t="s">
        <v>150</v>
      </c>
      <c r="D11" s="2" t="s">
        <v>319</v>
      </c>
      <c r="E11" s="2" t="s">
        <v>220</v>
      </c>
      <c r="F11" s="2" t="s">
        <v>109</v>
      </c>
      <c r="G11" s="2" t="s">
        <v>115</v>
      </c>
      <c r="I11" s="2" t="s">
        <v>111</v>
      </c>
    </row>
    <row r="12" spans="1:9" x14ac:dyDescent="0.2">
      <c r="A12" s="2" t="s">
        <v>316</v>
      </c>
      <c r="B12" s="2" t="s">
        <v>368</v>
      </c>
      <c r="C12" s="2" t="s">
        <v>151</v>
      </c>
      <c r="D12" s="2" t="s">
        <v>320</v>
      </c>
      <c r="E12" s="2" t="s">
        <v>220</v>
      </c>
      <c r="F12" s="2" t="s">
        <v>109</v>
      </c>
      <c r="G12" s="2" t="s">
        <v>117</v>
      </c>
      <c r="I12" s="2" t="s">
        <v>111</v>
      </c>
    </row>
    <row r="13" spans="1:9" x14ac:dyDescent="0.2">
      <c r="A13" s="2" t="s">
        <v>316</v>
      </c>
      <c r="B13" s="2" t="s">
        <v>369</v>
      </c>
      <c r="C13" s="2" t="s">
        <v>152</v>
      </c>
      <c r="D13" s="2" t="s">
        <v>321</v>
      </c>
      <c r="E13" s="2" t="s">
        <v>220</v>
      </c>
      <c r="F13" s="2" t="s">
        <v>109</v>
      </c>
      <c r="G13" s="2" t="s">
        <v>119</v>
      </c>
      <c r="I13" s="2" t="s">
        <v>111</v>
      </c>
    </row>
    <row r="14" spans="1:9" x14ac:dyDescent="0.2">
      <c r="A14" s="2" t="s">
        <v>316</v>
      </c>
      <c r="B14" s="2" t="s">
        <v>370</v>
      </c>
      <c r="C14" s="2" t="s">
        <v>122</v>
      </c>
      <c r="D14" s="2" t="s">
        <v>322</v>
      </c>
      <c r="E14" s="2" t="s">
        <v>220</v>
      </c>
      <c r="F14" s="2" t="s">
        <v>109</v>
      </c>
      <c r="G14" s="2" t="s">
        <v>121</v>
      </c>
      <c r="I14" s="2" t="s">
        <v>122</v>
      </c>
    </row>
    <row r="15" spans="1:9" x14ac:dyDescent="0.2">
      <c r="A15" s="2" t="s">
        <v>316</v>
      </c>
      <c r="B15" s="2" t="s">
        <v>371</v>
      </c>
      <c r="C15" s="2" t="s">
        <v>153</v>
      </c>
      <c r="D15" s="2" t="s">
        <v>323</v>
      </c>
      <c r="E15" s="2" t="s">
        <v>220</v>
      </c>
      <c r="F15" s="2" t="s">
        <v>88</v>
      </c>
      <c r="G15" s="2" t="s">
        <v>92</v>
      </c>
      <c r="I15" s="2" t="s">
        <v>89</v>
      </c>
    </row>
    <row r="16" spans="1:9" x14ac:dyDescent="0.2">
      <c r="A16" s="2" t="s">
        <v>316</v>
      </c>
      <c r="B16" s="2" t="s">
        <v>372</v>
      </c>
      <c r="C16" s="2" t="s">
        <v>1308</v>
      </c>
      <c r="D16" s="2" t="s">
        <v>324</v>
      </c>
      <c r="E16" s="2" t="s">
        <v>220</v>
      </c>
      <c r="F16" s="2" t="s">
        <v>88</v>
      </c>
      <c r="G16" s="2" t="s">
        <v>103</v>
      </c>
      <c r="I16" s="2" t="s">
        <v>89</v>
      </c>
    </row>
    <row r="17" spans="1:9" x14ac:dyDescent="0.2">
      <c r="A17" s="2" t="s">
        <v>316</v>
      </c>
      <c r="B17" s="2" t="s">
        <v>373</v>
      </c>
      <c r="C17" s="2" t="s">
        <v>154</v>
      </c>
      <c r="D17" s="2" t="s">
        <v>325</v>
      </c>
      <c r="E17" s="2" t="s">
        <v>220</v>
      </c>
      <c r="F17" s="2" t="s">
        <v>88</v>
      </c>
      <c r="G17" s="2" t="s">
        <v>92</v>
      </c>
      <c r="I17" s="2" t="s">
        <v>125</v>
      </c>
    </row>
    <row r="18" spans="1:9" x14ac:dyDescent="0.2">
      <c r="A18" s="2" t="s">
        <v>316</v>
      </c>
      <c r="B18" s="2" t="s">
        <v>374</v>
      </c>
      <c r="C18" s="2" t="s">
        <v>155</v>
      </c>
      <c r="D18" s="2" t="s">
        <v>326</v>
      </c>
      <c r="E18" s="2" t="s">
        <v>220</v>
      </c>
      <c r="F18" s="2" t="s">
        <v>88</v>
      </c>
      <c r="G18" s="2" t="s">
        <v>103</v>
      </c>
      <c r="I18" s="2" t="s">
        <v>128</v>
      </c>
    </row>
    <row r="19" spans="1:9" x14ac:dyDescent="0.2">
      <c r="A19" s="2" t="s">
        <v>316</v>
      </c>
      <c r="B19" s="2" t="s">
        <v>375</v>
      </c>
      <c r="C19" s="2" t="s">
        <v>156</v>
      </c>
      <c r="D19" s="2" t="s">
        <v>327</v>
      </c>
      <c r="E19" s="2" t="s">
        <v>220</v>
      </c>
      <c r="F19" s="2" t="s">
        <v>88</v>
      </c>
      <c r="G19" s="2" t="s">
        <v>103</v>
      </c>
      <c r="I19" s="2" t="s">
        <v>96</v>
      </c>
    </row>
    <row r="20" spans="1:9" x14ac:dyDescent="0.2">
      <c r="A20" s="2" t="s">
        <v>316</v>
      </c>
      <c r="B20" s="2" t="s">
        <v>376</v>
      </c>
      <c r="C20" s="2" t="s">
        <v>157</v>
      </c>
      <c r="D20" s="2" t="s">
        <v>328</v>
      </c>
      <c r="E20" s="2" t="s">
        <v>220</v>
      </c>
      <c r="F20" s="2" t="s">
        <v>88</v>
      </c>
      <c r="G20" s="2" t="s">
        <v>92</v>
      </c>
      <c r="I20" s="2" t="s">
        <v>96</v>
      </c>
    </row>
    <row r="21" spans="1:9" x14ac:dyDescent="0.2">
      <c r="A21" s="2" t="s">
        <v>316</v>
      </c>
      <c r="B21" s="2" t="s">
        <v>377</v>
      </c>
      <c r="C21" s="2" t="s">
        <v>158</v>
      </c>
      <c r="D21" s="2" t="s">
        <v>329</v>
      </c>
      <c r="E21" s="2" t="s">
        <v>220</v>
      </c>
      <c r="F21" s="2" t="s">
        <v>88</v>
      </c>
      <c r="G21" s="2" t="s">
        <v>1312</v>
      </c>
      <c r="I21" s="2" t="s">
        <v>132</v>
      </c>
    </row>
    <row r="22" spans="1:9" x14ac:dyDescent="0.2">
      <c r="A22" s="2" t="s">
        <v>316</v>
      </c>
      <c r="B22" s="2" t="s">
        <v>378</v>
      </c>
      <c r="C22" s="2" t="s">
        <v>1313</v>
      </c>
      <c r="D22" s="2" t="s">
        <v>330</v>
      </c>
      <c r="E22" s="2" t="s">
        <v>220</v>
      </c>
      <c r="F22" s="2" t="s">
        <v>1487</v>
      </c>
      <c r="G22" s="2" t="s">
        <v>134</v>
      </c>
      <c r="I22" s="2" t="s">
        <v>135</v>
      </c>
    </row>
    <row r="23" spans="1:9" x14ac:dyDescent="0.2">
      <c r="A23" s="2" t="s">
        <v>316</v>
      </c>
      <c r="B23" s="2" t="s">
        <v>379</v>
      </c>
      <c r="C23" s="2" t="s">
        <v>1315</v>
      </c>
      <c r="D23" s="2" t="s">
        <v>331</v>
      </c>
      <c r="E23" s="2" t="s">
        <v>220</v>
      </c>
      <c r="F23" s="2" t="s">
        <v>88</v>
      </c>
      <c r="G23" s="2" t="s">
        <v>92</v>
      </c>
      <c r="I23" s="2" t="s">
        <v>1316</v>
      </c>
    </row>
    <row r="24" spans="1:9" x14ac:dyDescent="0.2">
      <c r="A24" s="2" t="s">
        <v>316</v>
      </c>
      <c r="B24" s="2" t="s">
        <v>380</v>
      </c>
      <c r="C24" s="2" t="s">
        <v>168</v>
      </c>
      <c r="D24" s="2" t="s">
        <v>332</v>
      </c>
      <c r="E24" s="2" t="s">
        <v>164</v>
      </c>
      <c r="F24" s="2" t="s">
        <v>109</v>
      </c>
      <c r="I24" s="2" t="s">
        <v>5</v>
      </c>
    </row>
    <row r="25" spans="1:9" x14ac:dyDescent="0.2">
      <c r="A25" s="2" t="s">
        <v>316</v>
      </c>
      <c r="B25" s="2" t="s">
        <v>381</v>
      </c>
      <c r="C25" s="2" t="s">
        <v>169</v>
      </c>
      <c r="D25" s="2" t="s">
        <v>333</v>
      </c>
      <c r="E25" s="2" t="s">
        <v>164</v>
      </c>
      <c r="F25" s="2" t="s">
        <v>171</v>
      </c>
      <c r="I25" s="2" t="s">
        <v>5</v>
      </c>
    </row>
    <row r="26" spans="1:9" x14ac:dyDescent="0.2">
      <c r="A26" s="2" t="s">
        <v>316</v>
      </c>
      <c r="B26" s="2" t="s">
        <v>382</v>
      </c>
      <c r="C26" s="2" t="s">
        <v>158</v>
      </c>
      <c r="D26" s="2" t="s">
        <v>334</v>
      </c>
      <c r="E26" s="2" t="s">
        <v>220</v>
      </c>
      <c r="F26" s="2" t="s">
        <v>88</v>
      </c>
      <c r="G26" s="2" t="s">
        <v>92</v>
      </c>
      <c r="I26" s="2" t="s">
        <v>132</v>
      </c>
    </row>
    <row r="27" spans="1:9" x14ac:dyDescent="0.2">
      <c r="A27" s="2" t="s">
        <v>316</v>
      </c>
      <c r="B27" s="2" t="s">
        <v>383</v>
      </c>
      <c r="C27" s="2" t="s">
        <v>173</v>
      </c>
      <c r="D27" s="2" t="s">
        <v>335</v>
      </c>
      <c r="E27" s="2" t="s">
        <v>164</v>
      </c>
      <c r="F27" s="2" t="s">
        <v>175</v>
      </c>
      <c r="I27" s="2" t="s">
        <v>176</v>
      </c>
    </row>
    <row r="28" spans="1:9" x14ac:dyDescent="0.2">
      <c r="A28" s="2" t="s">
        <v>316</v>
      </c>
      <c r="B28" s="2" t="s">
        <v>384</v>
      </c>
      <c r="C28" s="2" t="s">
        <v>177</v>
      </c>
      <c r="D28" s="2" t="s">
        <v>336</v>
      </c>
      <c r="E28" s="2" t="s">
        <v>164</v>
      </c>
      <c r="F28" s="2" t="s">
        <v>175</v>
      </c>
      <c r="I28" s="2" t="s">
        <v>179</v>
      </c>
    </row>
    <row r="29" spans="1:9" x14ac:dyDescent="0.2">
      <c r="A29" s="2" t="s">
        <v>316</v>
      </c>
      <c r="B29" s="2" t="s">
        <v>385</v>
      </c>
      <c r="C29" s="2" t="s">
        <v>181</v>
      </c>
      <c r="D29" s="2" t="s">
        <v>337</v>
      </c>
      <c r="E29" s="2" t="s">
        <v>164</v>
      </c>
      <c r="F29" s="2" t="s">
        <v>175</v>
      </c>
      <c r="I29" s="2" t="s">
        <v>183</v>
      </c>
    </row>
    <row r="30" spans="1:9" x14ac:dyDescent="0.2">
      <c r="A30" s="2" t="s">
        <v>316</v>
      </c>
      <c r="B30" s="2" t="s">
        <v>386</v>
      </c>
      <c r="C30" s="2" t="s">
        <v>196</v>
      </c>
      <c r="D30" s="2" t="s">
        <v>338</v>
      </c>
      <c r="E30" s="2" t="s">
        <v>164</v>
      </c>
      <c r="F30" s="2" t="s">
        <v>175</v>
      </c>
      <c r="I30" s="2" t="s">
        <v>197</v>
      </c>
    </row>
    <row r="31" spans="1:9" x14ac:dyDescent="0.2">
      <c r="A31" s="2" t="s">
        <v>316</v>
      </c>
      <c r="B31" s="2" t="s">
        <v>387</v>
      </c>
      <c r="C31" s="2" t="s">
        <v>198</v>
      </c>
      <c r="D31" s="2" t="s">
        <v>339</v>
      </c>
      <c r="E31" s="2" t="s">
        <v>164</v>
      </c>
      <c r="F31" s="2" t="s">
        <v>175</v>
      </c>
      <c r="I31" s="2" t="s">
        <v>199</v>
      </c>
    </row>
    <row r="32" spans="1:9" x14ac:dyDescent="0.2">
      <c r="A32" s="2" t="s">
        <v>316</v>
      </c>
      <c r="B32" s="2" t="s">
        <v>388</v>
      </c>
      <c r="C32" s="2" t="s">
        <v>184</v>
      </c>
      <c r="D32" s="2" t="s">
        <v>340</v>
      </c>
      <c r="E32" s="2" t="s">
        <v>164</v>
      </c>
      <c r="F32" s="2" t="s">
        <v>175</v>
      </c>
      <c r="I32" s="2" t="s">
        <v>186</v>
      </c>
    </row>
    <row r="33" spans="1:9" x14ac:dyDescent="0.2">
      <c r="A33" s="2" t="s">
        <v>316</v>
      </c>
      <c r="B33" s="2" t="s">
        <v>389</v>
      </c>
      <c r="C33" s="2" t="s">
        <v>1319</v>
      </c>
      <c r="D33" s="2" t="s">
        <v>341</v>
      </c>
      <c r="E33" s="2" t="s">
        <v>164</v>
      </c>
      <c r="F33" s="2" t="s">
        <v>171</v>
      </c>
      <c r="I33" s="2" t="s">
        <v>1320</v>
      </c>
    </row>
    <row r="34" spans="1:9" x14ac:dyDescent="0.2">
      <c r="A34" s="2" t="s">
        <v>316</v>
      </c>
      <c r="B34" s="2" t="s">
        <v>1331</v>
      </c>
      <c r="C34" s="2" t="s">
        <v>1317</v>
      </c>
      <c r="D34" s="2" t="s">
        <v>1332</v>
      </c>
      <c r="E34" s="2" t="s">
        <v>1333</v>
      </c>
      <c r="F34" s="2" t="s">
        <v>88</v>
      </c>
      <c r="I34" s="2" t="s">
        <v>1318</v>
      </c>
    </row>
    <row r="35" spans="1:9" x14ac:dyDescent="0.2">
      <c r="A35" s="2" t="s">
        <v>316</v>
      </c>
      <c r="B35" s="2" t="s">
        <v>1370</v>
      </c>
      <c r="C35" s="2" t="s">
        <v>1371</v>
      </c>
      <c r="D35" s="2" t="s">
        <v>1372</v>
      </c>
      <c r="E35" s="2" t="s">
        <v>1373</v>
      </c>
      <c r="F35" s="2" t="s">
        <v>88</v>
      </c>
      <c r="I35" s="2" t="s">
        <v>89</v>
      </c>
    </row>
    <row r="36" spans="1:9" x14ac:dyDescent="0.2">
      <c r="A36" s="42"/>
      <c r="B36" s="42"/>
      <c r="C36" s="42"/>
      <c r="D36" s="42"/>
      <c r="E36" s="43" t="s">
        <v>252</v>
      </c>
      <c r="F36" s="42"/>
      <c r="G36" s="42"/>
      <c r="H36" s="42"/>
      <c r="I36" s="42"/>
    </row>
    <row r="37" spans="1:9" x14ac:dyDescent="0.2">
      <c r="A37" s="2" t="s">
        <v>316</v>
      </c>
      <c r="B37" s="2" t="s">
        <v>97</v>
      </c>
      <c r="C37" s="2" t="str">
        <f>RIGHT(E36,LEN(E36)-5)</f>
        <v>Case002.sim</v>
      </c>
      <c r="E37" s="46"/>
      <c r="I37" s="2"/>
    </row>
    <row r="38" spans="1:9" x14ac:dyDescent="0.2">
      <c r="A38" s="2" t="s">
        <v>316</v>
      </c>
      <c r="B38" s="2" t="s">
        <v>94</v>
      </c>
      <c r="C38" s="2" t="s">
        <v>147</v>
      </c>
      <c r="D38" s="2" t="s">
        <v>98</v>
      </c>
      <c r="E38" s="2" t="s">
        <v>220</v>
      </c>
      <c r="F38" s="2" t="s">
        <v>88</v>
      </c>
      <c r="G38" s="2" t="s">
        <v>95</v>
      </c>
      <c r="I38" s="2" t="s">
        <v>96</v>
      </c>
    </row>
    <row r="39" spans="1:9" x14ac:dyDescent="0.2">
      <c r="A39" s="2" t="s">
        <v>316</v>
      </c>
      <c r="B39" s="2" t="s">
        <v>293</v>
      </c>
      <c r="C39" s="2" t="s">
        <v>148</v>
      </c>
      <c r="D39" s="2" t="s">
        <v>391</v>
      </c>
      <c r="E39" s="2" t="s">
        <v>220</v>
      </c>
      <c r="F39" s="2" t="s">
        <v>109</v>
      </c>
      <c r="G39" s="2" t="s">
        <v>110</v>
      </c>
      <c r="I39" s="2" t="s">
        <v>111</v>
      </c>
    </row>
    <row r="40" spans="1:9" x14ac:dyDescent="0.2">
      <c r="A40" s="2" t="s">
        <v>316</v>
      </c>
      <c r="B40" s="2" t="s">
        <v>342</v>
      </c>
      <c r="C40" s="2" t="s">
        <v>149</v>
      </c>
      <c r="D40" s="2" t="s">
        <v>392</v>
      </c>
      <c r="E40" s="2" t="s">
        <v>220</v>
      </c>
      <c r="F40" s="2" t="s">
        <v>109</v>
      </c>
      <c r="G40" s="2" t="s">
        <v>113</v>
      </c>
      <c r="I40" s="2" t="s">
        <v>111</v>
      </c>
    </row>
    <row r="41" spans="1:9" x14ac:dyDescent="0.2">
      <c r="A41" s="2" t="s">
        <v>316</v>
      </c>
      <c r="B41" s="2" t="s">
        <v>343</v>
      </c>
      <c r="C41" s="2" t="s">
        <v>150</v>
      </c>
      <c r="D41" s="2" t="s">
        <v>393</v>
      </c>
      <c r="E41" s="2" t="s">
        <v>220</v>
      </c>
      <c r="F41" s="2" t="s">
        <v>109</v>
      </c>
      <c r="G41" s="2" t="s">
        <v>115</v>
      </c>
      <c r="I41" s="2" t="s">
        <v>111</v>
      </c>
    </row>
    <row r="42" spans="1:9" x14ac:dyDescent="0.2">
      <c r="A42" s="2" t="s">
        <v>316</v>
      </c>
      <c r="B42" s="2" t="s">
        <v>344</v>
      </c>
      <c r="C42" s="2" t="s">
        <v>151</v>
      </c>
      <c r="D42" s="2" t="s">
        <v>394</v>
      </c>
      <c r="E42" s="2" t="s">
        <v>220</v>
      </c>
      <c r="F42" s="2" t="s">
        <v>109</v>
      </c>
      <c r="G42" s="2" t="s">
        <v>117</v>
      </c>
      <c r="I42" s="2" t="s">
        <v>111</v>
      </c>
    </row>
    <row r="43" spans="1:9" x14ac:dyDescent="0.2">
      <c r="A43" s="2" t="s">
        <v>316</v>
      </c>
      <c r="B43" s="2" t="s">
        <v>345</v>
      </c>
      <c r="C43" s="2" t="s">
        <v>152</v>
      </c>
      <c r="D43" s="2" t="s">
        <v>395</v>
      </c>
      <c r="E43" s="2" t="s">
        <v>220</v>
      </c>
      <c r="F43" s="2" t="s">
        <v>109</v>
      </c>
      <c r="G43" s="2" t="s">
        <v>119</v>
      </c>
      <c r="I43" s="2" t="s">
        <v>111</v>
      </c>
    </row>
    <row r="44" spans="1:9" x14ac:dyDescent="0.2">
      <c r="A44" s="2" t="s">
        <v>316</v>
      </c>
      <c r="B44" s="2" t="s">
        <v>346</v>
      </c>
      <c r="C44" s="2" t="s">
        <v>122</v>
      </c>
      <c r="D44" s="2" t="s">
        <v>396</v>
      </c>
      <c r="E44" s="2" t="s">
        <v>220</v>
      </c>
      <c r="F44" s="2" t="s">
        <v>109</v>
      </c>
      <c r="G44" s="2" t="s">
        <v>121</v>
      </c>
      <c r="I44" s="2" t="s">
        <v>122</v>
      </c>
    </row>
    <row r="45" spans="1:9" x14ac:dyDescent="0.2">
      <c r="A45" s="2" t="s">
        <v>316</v>
      </c>
      <c r="B45" s="2" t="s">
        <v>347</v>
      </c>
      <c r="C45" s="2" t="s">
        <v>153</v>
      </c>
      <c r="D45" s="2" t="s">
        <v>397</v>
      </c>
      <c r="E45" s="2" t="s">
        <v>220</v>
      </c>
      <c r="F45" s="2" t="s">
        <v>88</v>
      </c>
      <c r="G45" s="2" t="s">
        <v>92</v>
      </c>
      <c r="I45" s="2" t="s">
        <v>89</v>
      </c>
    </row>
    <row r="46" spans="1:9" x14ac:dyDescent="0.2">
      <c r="A46" s="2" t="s">
        <v>316</v>
      </c>
      <c r="B46" s="2" t="s">
        <v>348</v>
      </c>
      <c r="C46" s="2" t="s">
        <v>1308</v>
      </c>
      <c r="D46" s="2" t="s">
        <v>398</v>
      </c>
      <c r="E46" s="2" t="s">
        <v>220</v>
      </c>
      <c r="F46" s="2" t="s">
        <v>88</v>
      </c>
      <c r="G46" s="2" t="s">
        <v>103</v>
      </c>
      <c r="I46" s="2" t="s">
        <v>89</v>
      </c>
    </row>
    <row r="47" spans="1:9" x14ac:dyDescent="0.2">
      <c r="A47" s="2" t="s">
        <v>316</v>
      </c>
      <c r="B47" s="2" t="s">
        <v>349</v>
      </c>
      <c r="C47" s="2" t="s">
        <v>154</v>
      </c>
      <c r="D47" s="2" t="s">
        <v>399</v>
      </c>
      <c r="E47" s="2" t="s">
        <v>220</v>
      </c>
      <c r="F47" s="2" t="s">
        <v>88</v>
      </c>
      <c r="G47" s="2" t="s">
        <v>92</v>
      </c>
      <c r="I47" s="2" t="s">
        <v>125</v>
      </c>
    </row>
    <row r="48" spans="1:9" x14ac:dyDescent="0.2">
      <c r="A48" s="2" t="s">
        <v>316</v>
      </c>
      <c r="B48" s="2" t="s">
        <v>350</v>
      </c>
      <c r="C48" s="2" t="s">
        <v>155</v>
      </c>
      <c r="D48" s="2" t="s">
        <v>400</v>
      </c>
      <c r="E48" s="2" t="s">
        <v>220</v>
      </c>
      <c r="F48" s="2" t="s">
        <v>88</v>
      </c>
      <c r="G48" s="2" t="s">
        <v>103</v>
      </c>
      <c r="I48" s="2" t="s">
        <v>128</v>
      </c>
    </row>
    <row r="49" spans="1:9" x14ac:dyDescent="0.2">
      <c r="A49" s="2" t="s">
        <v>316</v>
      </c>
      <c r="B49" s="2" t="s">
        <v>351</v>
      </c>
      <c r="C49" s="2" t="s">
        <v>156</v>
      </c>
      <c r="D49" s="2" t="s">
        <v>401</v>
      </c>
      <c r="E49" s="2" t="s">
        <v>220</v>
      </c>
      <c r="F49" s="2" t="s">
        <v>88</v>
      </c>
      <c r="G49" s="2" t="s">
        <v>103</v>
      </c>
      <c r="I49" s="2" t="s">
        <v>96</v>
      </c>
    </row>
    <row r="50" spans="1:9" x14ac:dyDescent="0.2">
      <c r="A50" s="2" t="s">
        <v>316</v>
      </c>
      <c r="B50" s="2" t="s">
        <v>352</v>
      </c>
      <c r="C50" s="2" t="s">
        <v>157</v>
      </c>
      <c r="D50" s="2" t="s">
        <v>402</v>
      </c>
      <c r="E50" s="2" t="s">
        <v>220</v>
      </c>
      <c r="F50" s="2" t="s">
        <v>88</v>
      </c>
      <c r="G50" s="2" t="s">
        <v>92</v>
      </c>
      <c r="I50" s="2" t="s">
        <v>96</v>
      </c>
    </row>
    <row r="51" spans="1:9" x14ac:dyDescent="0.2">
      <c r="A51" s="2" t="s">
        <v>316</v>
      </c>
      <c r="B51" s="2" t="s">
        <v>353</v>
      </c>
      <c r="C51" s="2" t="s">
        <v>158</v>
      </c>
      <c r="D51" s="2" t="s">
        <v>403</v>
      </c>
      <c r="E51" s="2" t="s">
        <v>220</v>
      </c>
      <c r="F51" s="2" t="s">
        <v>88</v>
      </c>
      <c r="G51" s="2" t="s">
        <v>1312</v>
      </c>
      <c r="I51" s="2" t="s">
        <v>132</v>
      </c>
    </row>
    <row r="52" spans="1:9" x14ac:dyDescent="0.2">
      <c r="A52" s="2" t="s">
        <v>316</v>
      </c>
      <c r="B52" s="2" t="s">
        <v>354</v>
      </c>
      <c r="C52" s="2" t="s">
        <v>1313</v>
      </c>
      <c r="D52" s="2" t="s">
        <v>404</v>
      </c>
      <c r="E52" s="2" t="s">
        <v>220</v>
      </c>
      <c r="F52" s="2" t="s">
        <v>1487</v>
      </c>
      <c r="G52" s="2" t="s">
        <v>134</v>
      </c>
      <c r="I52" s="2" t="s">
        <v>135</v>
      </c>
    </row>
    <row r="53" spans="1:9" x14ac:dyDescent="0.2">
      <c r="A53" s="2" t="s">
        <v>316</v>
      </c>
      <c r="B53" s="2" t="s">
        <v>355</v>
      </c>
      <c r="C53" s="2" t="s">
        <v>1315</v>
      </c>
      <c r="D53" s="2" t="s">
        <v>405</v>
      </c>
      <c r="E53" s="2" t="s">
        <v>220</v>
      </c>
      <c r="F53" s="2" t="s">
        <v>88</v>
      </c>
      <c r="G53" s="2" t="s">
        <v>92</v>
      </c>
      <c r="I53" s="2" t="s">
        <v>1316</v>
      </c>
    </row>
    <row r="54" spans="1:9" x14ac:dyDescent="0.2">
      <c r="A54" s="2" t="s">
        <v>316</v>
      </c>
      <c r="B54" s="2" t="s">
        <v>356</v>
      </c>
      <c r="C54" s="2" t="s">
        <v>168</v>
      </c>
      <c r="D54" s="2" t="s">
        <v>406</v>
      </c>
      <c r="E54" s="2" t="s">
        <v>164</v>
      </c>
      <c r="F54" s="2" t="s">
        <v>109</v>
      </c>
      <c r="I54" s="2" t="s">
        <v>5</v>
      </c>
    </row>
    <row r="55" spans="1:9" x14ac:dyDescent="0.2">
      <c r="A55" s="2" t="s">
        <v>316</v>
      </c>
      <c r="B55" s="2" t="s">
        <v>357</v>
      </c>
      <c r="C55" s="2" t="s">
        <v>169</v>
      </c>
      <c r="D55" s="2" t="s">
        <v>407</v>
      </c>
      <c r="E55" s="2" t="s">
        <v>164</v>
      </c>
      <c r="F55" s="2" t="s">
        <v>171</v>
      </c>
      <c r="I55" s="2" t="s">
        <v>5</v>
      </c>
    </row>
    <row r="56" spans="1:9" x14ac:dyDescent="0.2">
      <c r="A56" s="2" t="s">
        <v>316</v>
      </c>
      <c r="B56" s="2" t="s">
        <v>358</v>
      </c>
      <c r="C56" s="2" t="s">
        <v>158</v>
      </c>
      <c r="D56" s="2" t="s">
        <v>408</v>
      </c>
      <c r="E56" s="2" t="s">
        <v>220</v>
      </c>
      <c r="F56" s="2" t="s">
        <v>88</v>
      </c>
      <c r="G56" s="2" t="s">
        <v>92</v>
      </c>
      <c r="I56" s="2" t="s">
        <v>132</v>
      </c>
    </row>
    <row r="57" spans="1:9" x14ac:dyDescent="0.2">
      <c r="A57" s="2" t="s">
        <v>316</v>
      </c>
      <c r="B57" s="2" t="s">
        <v>359</v>
      </c>
      <c r="C57" s="2" t="s">
        <v>173</v>
      </c>
      <c r="D57" s="2" t="s">
        <v>409</v>
      </c>
      <c r="E57" s="2" t="s">
        <v>164</v>
      </c>
      <c r="F57" s="2" t="s">
        <v>175</v>
      </c>
      <c r="I57" s="2" t="s">
        <v>176</v>
      </c>
    </row>
    <row r="58" spans="1:9" x14ac:dyDescent="0.2">
      <c r="A58" s="2" t="s">
        <v>316</v>
      </c>
      <c r="B58" s="2" t="s">
        <v>360</v>
      </c>
      <c r="C58" s="2" t="s">
        <v>177</v>
      </c>
      <c r="D58" s="2" t="s">
        <v>410</v>
      </c>
      <c r="E58" s="2" t="s">
        <v>164</v>
      </c>
      <c r="F58" s="2" t="s">
        <v>175</v>
      </c>
      <c r="I58" s="2" t="s">
        <v>179</v>
      </c>
    </row>
    <row r="59" spans="1:9" x14ac:dyDescent="0.2">
      <c r="A59" s="2" t="s">
        <v>316</v>
      </c>
      <c r="B59" s="2" t="s">
        <v>361</v>
      </c>
      <c r="C59" s="2" t="s">
        <v>181</v>
      </c>
      <c r="D59" s="2" t="s">
        <v>411</v>
      </c>
      <c r="E59" s="2" t="s">
        <v>164</v>
      </c>
      <c r="F59" s="2" t="s">
        <v>175</v>
      </c>
      <c r="I59" s="2" t="s">
        <v>183</v>
      </c>
    </row>
    <row r="60" spans="1:9" x14ac:dyDescent="0.2">
      <c r="A60" s="2" t="s">
        <v>316</v>
      </c>
      <c r="B60" s="2" t="s">
        <v>362</v>
      </c>
      <c r="C60" s="2" t="s">
        <v>196</v>
      </c>
      <c r="D60" s="2" t="s">
        <v>412</v>
      </c>
      <c r="E60" s="2" t="s">
        <v>164</v>
      </c>
      <c r="F60" s="2" t="s">
        <v>175</v>
      </c>
      <c r="I60" s="2" t="s">
        <v>197</v>
      </c>
    </row>
    <row r="61" spans="1:9" x14ac:dyDescent="0.2">
      <c r="A61" s="2" t="s">
        <v>316</v>
      </c>
      <c r="B61" s="2" t="s">
        <v>363</v>
      </c>
      <c r="C61" s="2" t="s">
        <v>198</v>
      </c>
      <c r="D61" s="2" t="s">
        <v>413</v>
      </c>
      <c r="E61" s="2" t="s">
        <v>164</v>
      </c>
      <c r="F61" s="2" t="s">
        <v>175</v>
      </c>
      <c r="I61" s="2" t="s">
        <v>199</v>
      </c>
    </row>
    <row r="62" spans="1:9" x14ac:dyDescent="0.2">
      <c r="A62" s="2" t="s">
        <v>316</v>
      </c>
      <c r="B62" s="2" t="s">
        <v>364</v>
      </c>
      <c r="C62" s="2" t="s">
        <v>184</v>
      </c>
      <c r="D62" s="2" t="s">
        <v>414</v>
      </c>
      <c r="E62" s="2" t="s">
        <v>164</v>
      </c>
      <c r="F62" s="2" t="s">
        <v>175</v>
      </c>
      <c r="I62" s="2" t="s">
        <v>186</v>
      </c>
    </row>
    <row r="63" spans="1:9" x14ac:dyDescent="0.2">
      <c r="A63" s="2" t="s">
        <v>316</v>
      </c>
      <c r="B63" s="2" t="s">
        <v>365</v>
      </c>
      <c r="C63" s="2" t="s">
        <v>1319</v>
      </c>
      <c r="D63" s="2" t="s">
        <v>415</v>
      </c>
      <c r="E63" s="2" t="s">
        <v>164</v>
      </c>
      <c r="F63" s="2" t="s">
        <v>171</v>
      </c>
      <c r="I63" s="2" t="s">
        <v>1320</v>
      </c>
    </row>
    <row r="64" spans="1:9" x14ac:dyDescent="0.2">
      <c r="A64" s="2" t="s">
        <v>316</v>
      </c>
      <c r="B64" s="2" t="s">
        <v>1334</v>
      </c>
      <c r="C64" s="2" t="s">
        <v>1317</v>
      </c>
      <c r="D64" s="2" t="s">
        <v>1335</v>
      </c>
      <c r="E64" s="2" t="s">
        <v>1333</v>
      </c>
      <c r="F64" s="2" t="s">
        <v>88</v>
      </c>
      <c r="I64" s="2" t="s">
        <v>1318</v>
      </c>
    </row>
    <row r="65" spans="1:9" x14ac:dyDescent="0.2">
      <c r="A65" s="2" t="s">
        <v>316</v>
      </c>
      <c r="B65" s="2" t="s">
        <v>1374</v>
      </c>
      <c r="C65" s="2" t="s">
        <v>1371</v>
      </c>
      <c r="D65" s="2" t="s">
        <v>1376</v>
      </c>
      <c r="E65" s="2" t="s">
        <v>1373</v>
      </c>
      <c r="F65" s="2" t="s">
        <v>88</v>
      </c>
      <c r="I65" s="2" t="s">
        <v>89</v>
      </c>
    </row>
    <row r="66" spans="1:9" x14ac:dyDescent="0.2">
      <c r="A66" s="42"/>
      <c r="B66" s="42"/>
      <c r="C66" s="42"/>
      <c r="D66" s="42"/>
      <c r="E66" s="43" t="s">
        <v>253</v>
      </c>
      <c r="F66" s="42"/>
      <c r="G66" s="42"/>
      <c r="H66" s="42"/>
      <c r="I66" s="42"/>
    </row>
    <row r="67" spans="1:9" x14ac:dyDescent="0.2">
      <c r="A67" s="2" t="s">
        <v>316</v>
      </c>
      <c r="B67" s="2" t="s">
        <v>101</v>
      </c>
      <c r="C67" s="2" t="str">
        <f>RIGHT(E66,LEN(E66)-5)</f>
        <v>Case003.sim</v>
      </c>
      <c r="E67" s="46"/>
      <c r="I67" s="2"/>
    </row>
    <row r="68" spans="1:9" x14ac:dyDescent="0.2">
      <c r="A68" s="2" t="s">
        <v>316</v>
      </c>
      <c r="B68" s="2" t="s">
        <v>99</v>
      </c>
      <c r="C68" s="2" t="s">
        <v>147</v>
      </c>
      <c r="D68" s="2" t="s">
        <v>102</v>
      </c>
      <c r="E68" s="2" t="s">
        <v>220</v>
      </c>
      <c r="F68" s="2" t="s">
        <v>88</v>
      </c>
      <c r="G68" s="2" t="s">
        <v>95</v>
      </c>
      <c r="I68" s="2" t="s">
        <v>96</v>
      </c>
    </row>
    <row r="69" spans="1:9" x14ac:dyDescent="0.2">
      <c r="A69" s="2" t="s">
        <v>316</v>
      </c>
      <c r="B69" s="2" t="s">
        <v>416</v>
      </c>
      <c r="C69" s="2" t="s">
        <v>148</v>
      </c>
      <c r="D69" s="2" t="s">
        <v>294</v>
      </c>
      <c r="E69" s="2" t="s">
        <v>220</v>
      </c>
      <c r="F69" s="2" t="s">
        <v>109</v>
      </c>
      <c r="G69" s="2" t="s">
        <v>110</v>
      </c>
      <c r="I69" s="2" t="s">
        <v>111</v>
      </c>
    </row>
    <row r="70" spans="1:9" x14ac:dyDescent="0.2">
      <c r="A70" s="2" t="s">
        <v>316</v>
      </c>
      <c r="B70" s="2" t="s">
        <v>417</v>
      </c>
      <c r="C70" s="2" t="s">
        <v>149</v>
      </c>
      <c r="D70" s="2" t="s">
        <v>441</v>
      </c>
      <c r="E70" s="2" t="s">
        <v>220</v>
      </c>
      <c r="F70" s="2" t="s">
        <v>109</v>
      </c>
      <c r="G70" s="2" t="s">
        <v>113</v>
      </c>
      <c r="I70" s="2" t="s">
        <v>111</v>
      </c>
    </row>
    <row r="71" spans="1:9" x14ac:dyDescent="0.2">
      <c r="A71" s="2" t="s">
        <v>316</v>
      </c>
      <c r="B71" s="2" t="s">
        <v>418</v>
      </c>
      <c r="C71" s="2" t="s">
        <v>150</v>
      </c>
      <c r="D71" s="2" t="s">
        <v>442</v>
      </c>
      <c r="E71" s="2" t="s">
        <v>220</v>
      </c>
      <c r="F71" s="2" t="s">
        <v>109</v>
      </c>
      <c r="G71" s="2" t="s">
        <v>115</v>
      </c>
      <c r="I71" s="2" t="s">
        <v>111</v>
      </c>
    </row>
    <row r="72" spans="1:9" x14ac:dyDescent="0.2">
      <c r="A72" s="2" t="s">
        <v>316</v>
      </c>
      <c r="B72" s="2" t="s">
        <v>419</v>
      </c>
      <c r="C72" s="2" t="s">
        <v>151</v>
      </c>
      <c r="D72" s="2" t="s">
        <v>443</v>
      </c>
      <c r="E72" s="2" t="s">
        <v>220</v>
      </c>
      <c r="F72" s="2" t="s">
        <v>109</v>
      </c>
      <c r="G72" s="2" t="s">
        <v>117</v>
      </c>
      <c r="I72" s="2" t="s">
        <v>111</v>
      </c>
    </row>
    <row r="73" spans="1:9" x14ac:dyDescent="0.2">
      <c r="A73" s="2" t="s">
        <v>316</v>
      </c>
      <c r="B73" s="2" t="s">
        <v>420</v>
      </c>
      <c r="C73" s="2" t="s">
        <v>152</v>
      </c>
      <c r="D73" s="2" t="s">
        <v>444</v>
      </c>
      <c r="E73" s="2" t="s">
        <v>220</v>
      </c>
      <c r="F73" s="2" t="s">
        <v>109</v>
      </c>
      <c r="G73" s="2" t="s">
        <v>119</v>
      </c>
      <c r="I73" s="2" t="s">
        <v>111</v>
      </c>
    </row>
    <row r="74" spans="1:9" x14ac:dyDescent="0.2">
      <c r="A74" s="2" t="s">
        <v>316</v>
      </c>
      <c r="B74" s="2" t="s">
        <v>421</v>
      </c>
      <c r="C74" s="2" t="s">
        <v>122</v>
      </c>
      <c r="D74" s="2" t="s">
        <v>445</v>
      </c>
      <c r="E74" s="2" t="s">
        <v>220</v>
      </c>
      <c r="F74" s="2" t="s">
        <v>109</v>
      </c>
      <c r="G74" s="2" t="s">
        <v>121</v>
      </c>
      <c r="I74" s="2" t="s">
        <v>122</v>
      </c>
    </row>
    <row r="75" spans="1:9" x14ac:dyDescent="0.2">
      <c r="A75" s="2" t="s">
        <v>316</v>
      </c>
      <c r="B75" s="2" t="s">
        <v>422</v>
      </c>
      <c r="C75" s="2" t="s">
        <v>153</v>
      </c>
      <c r="D75" s="2" t="s">
        <v>446</v>
      </c>
      <c r="E75" s="2" t="s">
        <v>220</v>
      </c>
      <c r="F75" s="2" t="s">
        <v>88</v>
      </c>
      <c r="G75" s="2" t="s">
        <v>92</v>
      </c>
      <c r="I75" s="2" t="s">
        <v>89</v>
      </c>
    </row>
    <row r="76" spans="1:9" x14ac:dyDescent="0.2">
      <c r="A76" s="2" t="s">
        <v>316</v>
      </c>
      <c r="B76" s="2" t="s">
        <v>423</v>
      </c>
      <c r="C76" s="2" t="s">
        <v>1308</v>
      </c>
      <c r="D76" s="2" t="s">
        <v>447</v>
      </c>
      <c r="E76" s="2" t="s">
        <v>220</v>
      </c>
      <c r="F76" s="2" t="s">
        <v>88</v>
      </c>
      <c r="G76" s="2" t="s">
        <v>103</v>
      </c>
      <c r="I76" s="2" t="s">
        <v>89</v>
      </c>
    </row>
    <row r="77" spans="1:9" x14ac:dyDescent="0.2">
      <c r="A77" s="2" t="s">
        <v>316</v>
      </c>
      <c r="B77" s="2" t="s">
        <v>424</v>
      </c>
      <c r="C77" s="2" t="s">
        <v>154</v>
      </c>
      <c r="D77" s="2" t="s">
        <v>448</v>
      </c>
      <c r="E77" s="2" t="s">
        <v>220</v>
      </c>
      <c r="F77" s="2" t="s">
        <v>88</v>
      </c>
      <c r="G77" s="2" t="s">
        <v>92</v>
      </c>
      <c r="I77" s="2" t="s">
        <v>125</v>
      </c>
    </row>
    <row r="78" spans="1:9" x14ac:dyDescent="0.2">
      <c r="A78" s="2" t="s">
        <v>316</v>
      </c>
      <c r="B78" s="2" t="s">
        <v>425</v>
      </c>
      <c r="C78" s="2" t="s">
        <v>155</v>
      </c>
      <c r="D78" s="2" t="s">
        <v>449</v>
      </c>
      <c r="E78" s="2" t="s">
        <v>220</v>
      </c>
      <c r="F78" s="2" t="s">
        <v>88</v>
      </c>
      <c r="G78" s="2" t="s">
        <v>103</v>
      </c>
      <c r="I78" s="2" t="s">
        <v>128</v>
      </c>
    </row>
    <row r="79" spans="1:9" x14ac:dyDescent="0.2">
      <c r="A79" s="2" t="s">
        <v>316</v>
      </c>
      <c r="B79" s="2" t="s">
        <v>426</v>
      </c>
      <c r="C79" s="2" t="s">
        <v>156</v>
      </c>
      <c r="D79" s="2" t="s">
        <v>450</v>
      </c>
      <c r="E79" s="2" t="s">
        <v>220</v>
      </c>
      <c r="F79" s="2" t="s">
        <v>88</v>
      </c>
      <c r="G79" s="2" t="s">
        <v>103</v>
      </c>
      <c r="I79" s="2" t="s">
        <v>96</v>
      </c>
    </row>
    <row r="80" spans="1:9" x14ac:dyDescent="0.2">
      <c r="A80" s="2" t="s">
        <v>316</v>
      </c>
      <c r="B80" s="2" t="s">
        <v>427</v>
      </c>
      <c r="C80" s="2" t="s">
        <v>157</v>
      </c>
      <c r="D80" s="2" t="s">
        <v>451</v>
      </c>
      <c r="E80" s="2" t="s">
        <v>220</v>
      </c>
      <c r="F80" s="2" t="s">
        <v>88</v>
      </c>
      <c r="G80" s="2" t="s">
        <v>92</v>
      </c>
      <c r="I80" s="2" t="s">
        <v>96</v>
      </c>
    </row>
    <row r="81" spans="1:9" x14ac:dyDescent="0.2">
      <c r="A81" s="2" t="s">
        <v>316</v>
      </c>
      <c r="B81" s="2" t="s">
        <v>428</v>
      </c>
      <c r="C81" s="2" t="s">
        <v>158</v>
      </c>
      <c r="D81" s="2" t="s">
        <v>452</v>
      </c>
      <c r="E81" s="2" t="s">
        <v>220</v>
      </c>
      <c r="F81" s="2" t="s">
        <v>88</v>
      </c>
      <c r="G81" s="2" t="s">
        <v>1312</v>
      </c>
      <c r="I81" s="2" t="s">
        <v>132</v>
      </c>
    </row>
    <row r="82" spans="1:9" x14ac:dyDescent="0.2">
      <c r="A82" s="2" t="s">
        <v>316</v>
      </c>
      <c r="B82" s="2" t="s">
        <v>429</v>
      </c>
      <c r="C82" s="2" t="s">
        <v>1313</v>
      </c>
      <c r="D82" s="2" t="s">
        <v>453</v>
      </c>
      <c r="E82" s="2" t="s">
        <v>220</v>
      </c>
      <c r="F82" s="2" t="s">
        <v>1487</v>
      </c>
      <c r="G82" s="2" t="s">
        <v>134</v>
      </c>
      <c r="I82" s="2" t="s">
        <v>135</v>
      </c>
    </row>
    <row r="83" spans="1:9" x14ac:dyDescent="0.2">
      <c r="A83" s="2" t="s">
        <v>316</v>
      </c>
      <c r="B83" s="2" t="s">
        <v>430</v>
      </c>
      <c r="C83" s="2" t="s">
        <v>1315</v>
      </c>
      <c r="D83" s="2" t="s">
        <v>454</v>
      </c>
      <c r="E83" s="2" t="s">
        <v>220</v>
      </c>
      <c r="F83" s="2" t="s">
        <v>88</v>
      </c>
      <c r="G83" s="2" t="s">
        <v>92</v>
      </c>
      <c r="I83" s="2" t="s">
        <v>1316</v>
      </c>
    </row>
    <row r="84" spans="1:9" x14ac:dyDescent="0.2">
      <c r="A84" s="2" t="s">
        <v>316</v>
      </c>
      <c r="B84" s="2" t="s">
        <v>431</v>
      </c>
      <c r="C84" s="2" t="s">
        <v>168</v>
      </c>
      <c r="D84" s="2" t="s">
        <v>455</v>
      </c>
      <c r="E84" s="2" t="s">
        <v>164</v>
      </c>
      <c r="F84" s="2" t="s">
        <v>109</v>
      </c>
      <c r="I84" s="2" t="s">
        <v>5</v>
      </c>
    </row>
    <row r="85" spans="1:9" x14ac:dyDescent="0.2">
      <c r="A85" s="2" t="s">
        <v>316</v>
      </c>
      <c r="B85" s="2" t="s">
        <v>432</v>
      </c>
      <c r="C85" s="2" t="s">
        <v>169</v>
      </c>
      <c r="D85" s="2" t="s">
        <v>456</v>
      </c>
      <c r="E85" s="2" t="s">
        <v>164</v>
      </c>
      <c r="F85" s="2" t="s">
        <v>171</v>
      </c>
      <c r="I85" s="2" t="s">
        <v>5</v>
      </c>
    </row>
    <row r="86" spans="1:9" x14ac:dyDescent="0.2">
      <c r="A86" s="2" t="s">
        <v>316</v>
      </c>
      <c r="B86" s="2" t="s">
        <v>433</v>
      </c>
      <c r="C86" s="2" t="s">
        <v>158</v>
      </c>
      <c r="D86" s="2" t="s">
        <v>457</v>
      </c>
      <c r="E86" s="2" t="s">
        <v>220</v>
      </c>
      <c r="F86" s="2" t="s">
        <v>88</v>
      </c>
      <c r="G86" s="2" t="s">
        <v>92</v>
      </c>
      <c r="I86" s="2" t="s">
        <v>132</v>
      </c>
    </row>
    <row r="87" spans="1:9" x14ac:dyDescent="0.2">
      <c r="A87" s="2" t="s">
        <v>316</v>
      </c>
      <c r="B87" s="2" t="s">
        <v>434</v>
      </c>
      <c r="C87" s="2" t="s">
        <v>173</v>
      </c>
      <c r="D87" s="2" t="s">
        <v>458</v>
      </c>
      <c r="E87" s="2" t="s">
        <v>164</v>
      </c>
      <c r="F87" s="2" t="s">
        <v>175</v>
      </c>
      <c r="I87" s="2" t="s">
        <v>176</v>
      </c>
    </row>
    <row r="88" spans="1:9" x14ac:dyDescent="0.2">
      <c r="A88" s="2" t="s">
        <v>316</v>
      </c>
      <c r="B88" s="2" t="s">
        <v>435</v>
      </c>
      <c r="C88" s="2" t="s">
        <v>177</v>
      </c>
      <c r="D88" s="2" t="s">
        <v>459</v>
      </c>
      <c r="E88" s="2" t="s">
        <v>164</v>
      </c>
      <c r="F88" s="2" t="s">
        <v>175</v>
      </c>
      <c r="I88" s="2" t="s">
        <v>179</v>
      </c>
    </row>
    <row r="89" spans="1:9" x14ac:dyDescent="0.2">
      <c r="A89" s="2" t="s">
        <v>316</v>
      </c>
      <c r="B89" s="2" t="s">
        <v>436</v>
      </c>
      <c r="C89" s="2" t="s">
        <v>181</v>
      </c>
      <c r="D89" s="2" t="s">
        <v>460</v>
      </c>
      <c r="E89" s="2" t="s">
        <v>164</v>
      </c>
      <c r="F89" s="2" t="s">
        <v>175</v>
      </c>
      <c r="I89" s="2" t="s">
        <v>183</v>
      </c>
    </row>
    <row r="90" spans="1:9" x14ac:dyDescent="0.2">
      <c r="A90" s="2" t="s">
        <v>316</v>
      </c>
      <c r="B90" s="2" t="s">
        <v>437</v>
      </c>
      <c r="C90" s="2" t="s">
        <v>196</v>
      </c>
      <c r="D90" s="2" t="s">
        <v>461</v>
      </c>
      <c r="E90" s="2" t="s">
        <v>164</v>
      </c>
      <c r="F90" s="2" t="s">
        <v>175</v>
      </c>
      <c r="I90" s="2" t="s">
        <v>197</v>
      </c>
    </row>
    <row r="91" spans="1:9" x14ac:dyDescent="0.2">
      <c r="A91" s="2" t="s">
        <v>316</v>
      </c>
      <c r="B91" s="2" t="s">
        <v>438</v>
      </c>
      <c r="C91" s="2" t="s">
        <v>198</v>
      </c>
      <c r="D91" s="2" t="s">
        <v>462</v>
      </c>
      <c r="E91" s="2" t="s">
        <v>164</v>
      </c>
      <c r="F91" s="2" t="s">
        <v>175</v>
      </c>
      <c r="I91" s="2" t="s">
        <v>199</v>
      </c>
    </row>
    <row r="92" spans="1:9" x14ac:dyDescent="0.2">
      <c r="A92" s="2" t="s">
        <v>316</v>
      </c>
      <c r="B92" s="2" t="s">
        <v>439</v>
      </c>
      <c r="C92" s="2" t="s">
        <v>184</v>
      </c>
      <c r="D92" s="2" t="s">
        <v>463</v>
      </c>
      <c r="E92" s="2" t="s">
        <v>164</v>
      </c>
      <c r="F92" s="2" t="s">
        <v>175</v>
      </c>
      <c r="I92" s="2" t="s">
        <v>186</v>
      </c>
    </row>
    <row r="93" spans="1:9" x14ac:dyDescent="0.2">
      <c r="A93" s="2" t="s">
        <v>316</v>
      </c>
      <c r="B93" s="2" t="s">
        <v>440</v>
      </c>
      <c r="C93" s="2" t="s">
        <v>1319</v>
      </c>
      <c r="D93" s="2" t="s">
        <v>464</v>
      </c>
      <c r="E93" s="2" t="s">
        <v>164</v>
      </c>
      <c r="F93" s="2" t="s">
        <v>171</v>
      </c>
      <c r="I93" s="2" t="s">
        <v>1320</v>
      </c>
    </row>
    <row r="94" spans="1:9" x14ac:dyDescent="0.2">
      <c r="A94" s="2" t="s">
        <v>316</v>
      </c>
      <c r="B94" s="2" t="s">
        <v>1336</v>
      </c>
      <c r="C94" s="2" t="s">
        <v>1317</v>
      </c>
      <c r="D94" s="2" t="s">
        <v>1337</v>
      </c>
      <c r="E94" s="2" t="s">
        <v>1333</v>
      </c>
      <c r="F94" s="2" t="s">
        <v>88</v>
      </c>
      <c r="I94" s="2" t="s">
        <v>1318</v>
      </c>
    </row>
    <row r="95" spans="1:9" x14ac:dyDescent="0.2">
      <c r="A95" s="2" t="s">
        <v>316</v>
      </c>
      <c r="B95" s="2" t="s">
        <v>1377</v>
      </c>
      <c r="C95" s="2" t="s">
        <v>1371</v>
      </c>
      <c r="D95" s="2" t="s">
        <v>1378</v>
      </c>
      <c r="E95" s="2" t="s">
        <v>1373</v>
      </c>
      <c r="F95" s="2" t="s">
        <v>88</v>
      </c>
      <c r="I95" s="2" t="s">
        <v>89</v>
      </c>
    </row>
    <row r="96" spans="1:9" x14ac:dyDescent="0.2">
      <c r="A96" s="42"/>
      <c r="B96" s="42"/>
      <c r="C96" s="42"/>
      <c r="D96" s="42"/>
      <c r="E96" s="43" t="s">
        <v>254</v>
      </c>
      <c r="F96" s="42"/>
      <c r="G96" s="42"/>
      <c r="H96" s="42"/>
      <c r="I96" s="42"/>
    </row>
    <row r="97" spans="1:9" x14ac:dyDescent="0.2">
      <c r="A97" s="2" t="s">
        <v>316</v>
      </c>
      <c r="B97" s="2" t="s">
        <v>105</v>
      </c>
      <c r="C97" s="2" t="str">
        <f>RIGHT(E96,LEN(E96)-5)</f>
        <v>Case004.sim</v>
      </c>
      <c r="E97" s="46"/>
      <c r="I97" s="2"/>
    </row>
    <row r="98" spans="1:9" x14ac:dyDescent="0.2">
      <c r="A98" s="2" t="s">
        <v>316</v>
      </c>
      <c r="B98" s="2" t="s">
        <v>104</v>
      </c>
      <c r="C98" s="2" t="s">
        <v>147</v>
      </c>
      <c r="D98" s="2" t="s">
        <v>106</v>
      </c>
      <c r="E98" s="2" t="s">
        <v>220</v>
      </c>
      <c r="F98" s="2" t="s">
        <v>88</v>
      </c>
      <c r="G98" s="2" t="s">
        <v>95</v>
      </c>
      <c r="I98" s="2" t="s">
        <v>96</v>
      </c>
    </row>
    <row r="99" spans="1:9" x14ac:dyDescent="0.2">
      <c r="A99" s="2" t="s">
        <v>316</v>
      </c>
      <c r="B99" s="2" t="s">
        <v>308</v>
      </c>
      <c r="C99" s="2" t="s">
        <v>148</v>
      </c>
      <c r="D99" s="2" t="s">
        <v>295</v>
      </c>
      <c r="E99" s="2" t="s">
        <v>220</v>
      </c>
      <c r="F99" s="2" t="s">
        <v>109</v>
      </c>
      <c r="G99" s="2" t="s">
        <v>110</v>
      </c>
      <c r="I99" s="2" t="s">
        <v>111</v>
      </c>
    </row>
    <row r="100" spans="1:9" x14ac:dyDescent="0.2">
      <c r="A100" s="2" t="s">
        <v>316</v>
      </c>
      <c r="B100" s="2" t="s">
        <v>465</v>
      </c>
      <c r="C100" s="2" t="s">
        <v>149</v>
      </c>
      <c r="D100" s="2" t="s">
        <v>489</v>
      </c>
      <c r="E100" s="2" t="s">
        <v>220</v>
      </c>
      <c r="F100" s="2" t="s">
        <v>109</v>
      </c>
      <c r="G100" s="2" t="s">
        <v>113</v>
      </c>
      <c r="I100" s="2" t="s">
        <v>111</v>
      </c>
    </row>
    <row r="101" spans="1:9" x14ac:dyDescent="0.2">
      <c r="A101" s="2" t="s">
        <v>316</v>
      </c>
      <c r="B101" s="2" t="s">
        <v>466</v>
      </c>
      <c r="C101" s="2" t="s">
        <v>150</v>
      </c>
      <c r="D101" s="2" t="s">
        <v>490</v>
      </c>
      <c r="E101" s="2" t="s">
        <v>220</v>
      </c>
      <c r="F101" s="2" t="s">
        <v>109</v>
      </c>
      <c r="G101" s="2" t="s">
        <v>115</v>
      </c>
      <c r="I101" s="2" t="s">
        <v>111</v>
      </c>
    </row>
    <row r="102" spans="1:9" x14ac:dyDescent="0.2">
      <c r="A102" s="2" t="s">
        <v>316</v>
      </c>
      <c r="B102" s="2" t="s">
        <v>467</v>
      </c>
      <c r="C102" s="2" t="s">
        <v>151</v>
      </c>
      <c r="D102" s="2" t="s">
        <v>491</v>
      </c>
      <c r="E102" s="2" t="s">
        <v>220</v>
      </c>
      <c r="F102" s="2" t="s">
        <v>109</v>
      </c>
      <c r="G102" s="2" t="s">
        <v>117</v>
      </c>
      <c r="I102" s="2" t="s">
        <v>111</v>
      </c>
    </row>
    <row r="103" spans="1:9" x14ac:dyDescent="0.2">
      <c r="A103" s="2" t="s">
        <v>316</v>
      </c>
      <c r="B103" s="2" t="s">
        <v>468</v>
      </c>
      <c r="C103" s="2" t="s">
        <v>152</v>
      </c>
      <c r="D103" s="2" t="s">
        <v>492</v>
      </c>
      <c r="E103" s="2" t="s">
        <v>220</v>
      </c>
      <c r="F103" s="2" t="s">
        <v>109</v>
      </c>
      <c r="G103" s="2" t="s">
        <v>119</v>
      </c>
      <c r="I103" s="2" t="s">
        <v>111</v>
      </c>
    </row>
    <row r="104" spans="1:9" x14ac:dyDescent="0.2">
      <c r="A104" s="2" t="s">
        <v>316</v>
      </c>
      <c r="B104" s="2" t="s">
        <v>469</v>
      </c>
      <c r="C104" s="2" t="s">
        <v>122</v>
      </c>
      <c r="D104" s="2" t="s">
        <v>493</v>
      </c>
      <c r="E104" s="2" t="s">
        <v>220</v>
      </c>
      <c r="F104" s="2" t="s">
        <v>109</v>
      </c>
      <c r="G104" s="2" t="s">
        <v>121</v>
      </c>
      <c r="I104" s="2" t="s">
        <v>122</v>
      </c>
    </row>
    <row r="105" spans="1:9" x14ac:dyDescent="0.2">
      <c r="A105" s="2" t="s">
        <v>316</v>
      </c>
      <c r="B105" s="2" t="s">
        <v>470</v>
      </c>
      <c r="C105" s="2" t="s">
        <v>153</v>
      </c>
      <c r="D105" s="2" t="s">
        <v>494</v>
      </c>
      <c r="E105" s="2" t="s">
        <v>220</v>
      </c>
      <c r="F105" s="2" t="s">
        <v>88</v>
      </c>
      <c r="G105" s="2" t="s">
        <v>92</v>
      </c>
      <c r="I105" s="2" t="s">
        <v>89</v>
      </c>
    </row>
    <row r="106" spans="1:9" x14ac:dyDescent="0.2">
      <c r="A106" s="2" t="s">
        <v>316</v>
      </c>
      <c r="B106" s="2" t="s">
        <v>471</v>
      </c>
      <c r="C106" s="2" t="s">
        <v>1308</v>
      </c>
      <c r="D106" s="2" t="s">
        <v>495</v>
      </c>
      <c r="E106" s="2" t="s">
        <v>220</v>
      </c>
      <c r="F106" s="2" t="s">
        <v>88</v>
      </c>
      <c r="G106" s="2" t="s">
        <v>103</v>
      </c>
      <c r="I106" s="2" t="s">
        <v>89</v>
      </c>
    </row>
    <row r="107" spans="1:9" x14ac:dyDescent="0.2">
      <c r="A107" s="2" t="s">
        <v>316</v>
      </c>
      <c r="B107" s="2" t="s">
        <v>472</v>
      </c>
      <c r="C107" s="2" t="s">
        <v>154</v>
      </c>
      <c r="D107" s="2" t="s">
        <v>496</v>
      </c>
      <c r="E107" s="2" t="s">
        <v>220</v>
      </c>
      <c r="F107" s="2" t="s">
        <v>88</v>
      </c>
      <c r="G107" s="2" t="s">
        <v>92</v>
      </c>
      <c r="I107" s="2" t="s">
        <v>125</v>
      </c>
    </row>
    <row r="108" spans="1:9" x14ac:dyDescent="0.2">
      <c r="A108" s="2" t="s">
        <v>316</v>
      </c>
      <c r="B108" s="2" t="s">
        <v>473</v>
      </c>
      <c r="C108" s="2" t="s">
        <v>155</v>
      </c>
      <c r="D108" s="2" t="s">
        <v>497</v>
      </c>
      <c r="E108" s="2" t="s">
        <v>220</v>
      </c>
      <c r="F108" s="2" t="s">
        <v>88</v>
      </c>
      <c r="G108" s="2" t="s">
        <v>103</v>
      </c>
      <c r="I108" s="2" t="s">
        <v>128</v>
      </c>
    </row>
    <row r="109" spans="1:9" x14ac:dyDescent="0.2">
      <c r="A109" s="2" t="s">
        <v>316</v>
      </c>
      <c r="B109" s="2" t="s">
        <v>474</v>
      </c>
      <c r="C109" s="2" t="s">
        <v>156</v>
      </c>
      <c r="D109" s="2" t="s">
        <v>498</v>
      </c>
      <c r="E109" s="2" t="s">
        <v>220</v>
      </c>
      <c r="F109" s="2" t="s">
        <v>88</v>
      </c>
      <c r="G109" s="2" t="s">
        <v>103</v>
      </c>
      <c r="I109" s="2" t="s">
        <v>96</v>
      </c>
    </row>
    <row r="110" spans="1:9" x14ac:dyDescent="0.2">
      <c r="A110" s="2" t="s">
        <v>316</v>
      </c>
      <c r="B110" s="2" t="s">
        <v>475</v>
      </c>
      <c r="C110" s="2" t="s">
        <v>157</v>
      </c>
      <c r="D110" s="2" t="s">
        <v>499</v>
      </c>
      <c r="E110" s="2" t="s">
        <v>220</v>
      </c>
      <c r="F110" s="2" t="s">
        <v>88</v>
      </c>
      <c r="G110" s="2" t="s">
        <v>92</v>
      </c>
      <c r="I110" s="2" t="s">
        <v>96</v>
      </c>
    </row>
    <row r="111" spans="1:9" x14ac:dyDescent="0.2">
      <c r="A111" s="2" t="s">
        <v>316</v>
      </c>
      <c r="B111" s="2" t="s">
        <v>476</v>
      </c>
      <c r="C111" s="2" t="s">
        <v>158</v>
      </c>
      <c r="D111" s="2" t="s">
        <v>500</v>
      </c>
      <c r="E111" s="2" t="s">
        <v>220</v>
      </c>
      <c r="F111" s="2" t="s">
        <v>88</v>
      </c>
      <c r="G111" s="2" t="s">
        <v>1312</v>
      </c>
      <c r="I111" s="2" t="s">
        <v>132</v>
      </c>
    </row>
    <row r="112" spans="1:9" x14ac:dyDescent="0.2">
      <c r="A112" s="2" t="s">
        <v>316</v>
      </c>
      <c r="B112" s="2" t="s">
        <v>477</v>
      </c>
      <c r="C112" s="2" t="s">
        <v>1313</v>
      </c>
      <c r="D112" s="2" t="s">
        <v>501</v>
      </c>
      <c r="E112" s="2" t="s">
        <v>220</v>
      </c>
      <c r="F112" s="2" t="s">
        <v>1487</v>
      </c>
      <c r="G112" s="2" t="s">
        <v>134</v>
      </c>
      <c r="I112" s="2" t="s">
        <v>135</v>
      </c>
    </row>
    <row r="113" spans="1:9" x14ac:dyDescent="0.2">
      <c r="A113" s="2" t="s">
        <v>316</v>
      </c>
      <c r="B113" s="2" t="s">
        <v>478</v>
      </c>
      <c r="C113" s="2" t="s">
        <v>1315</v>
      </c>
      <c r="D113" s="2" t="s">
        <v>502</v>
      </c>
      <c r="E113" s="2" t="s">
        <v>220</v>
      </c>
      <c r="F113" s="2" t="s">
        <v>88</v>
      </c>
      <c r="G113" s="2" t="s">
        <v>92</v>
      </c>
      <c r="I113" s="2" t="s">
        <v>1316</v>
      </c>
    </row>
    <row r="114" spans="1:9" x14ac:dyDescent="0.2">
      <c r="A114" s="2" t="s">
        <v>316</v>
      </c>
      <c r="B114" s="2" t="s">
        <v>479</v>
      </c>
      <c r="C114" s="2" t="s">
        <v>168</v>
      </c>
      <c r="D114" s="2" t="s">
        <v>503</v>
      </c>
      <c r="E114" s="2" t="s">
        <v>164</v>
      </c>
      <c r="F114" s="2" t="s">
        <v>109</v>
      </c>
      <c r="I114" s="2" t="s">
        <v>5</v>
      </c>
    </row>
    <row r="115" spans="1:9" x14ac:dyDescent="0.2">
      <c r="A115" s="2" t="s">
        <v>316</v>
      </c>
      <c r="B115" s="2" t="s">
        <v>480</v>
      </c>
      <c r="C115" s="2" t="s">
        <v>169</v>
      </c>
      <c r="D115" s="2" t="s">
        <v>504</v>
      </c>
      <c r="E115" s="2" t="s">
        <v>164</v>
      </c>
      <c r="F115" s="2" t="s">
        <v>171</v>
      </c>
      <c r="I115" s="2" t="s">
        <v>5</v>
      </c>
    </row>
    <row r="116" spans="1:9" x14ac:dyDescent="0.2">
      <c r="A116" s="2" t="s">
        <v>316</v>
      </c>
      <c r="B116" s="2" t="s">
        <v>481</v>
      </c>
      <c r="C116" s="2" t="s">
        <v>158</v>
      </c>
      <c r="D116" s="2" t="s">
        <v>505</v>
      </c>
      <c r="E116" s="2" t="s">
        <v>220</v>
      </c>
      <c r="F116" s="2" t="s">
        <v>88</v>
      </c>
      <c r="G116" s="2" t="s">
        <v>92</v>
      </c>
      <c r="I116" s="2" t="s">
        <v>132</v>
      </c>
    </row>
    <row r="117" spans="1:9" x14ac:dyDescent="0.2">
      <c r="A117" s="2" t="s">
        <v>316</v>
      </c>
      <c r="B117" s="2" t="s">
        <v>482</v>
      </c>
      <c r="C117" s="2" t="s">
        <v>173</v>
      </c>
      <c r="D117" s="2" t="s">
        <v>506</v>
      </c>
      <c r="E117" s="2" t="s">
        <v>164</v>
      </c>
      <c r="F117" s="2" t="s">
        <v>175</v>
      </c>
      <c r="I117" s="2" t="s">
        <v>176</v>
      </c>
    </row>
    <row r="118" spans="1:9" x14ac:dyDescent="0.2">
      <c r="A118" s="2" t="s">
        <v>316</v>
      </c>
      <c r="B118" s="2" t="s">
        <v>483</v>
      </c>
      <c r="C118" s="2" t="s">
        <v>177</v>
      </c>
      <c r="D118" s="2" t="s">
        <v>507</v>
      </c>
      <c r="E118" s="2" t="s">
        <v>164</v>
      </c>
      <c r="F118" s="2" t="s">
        <v>175</v>
      </c>
      <c r="I118" s="2" t="s">
        <v>179</v>
      </c>
    </row>
    <row r="119" spans="1:9" x14ac:dyDescent="0.2">
      <c r="A119" s="2" t="s">
        <v>316</v>
      </c>
      <c r="B119" s="2" t="s">
        <v>484</v>
      </c>
      <c r="C119" s="2" t="s">
        <v>181</v>
      </c>
      <c r="D119" s="2" t="s">
        <v>508</v>
      </c>
      <c r="E119" s="2" t="s">
        <v>164</v>
      </c>
      <c r="F119" s="2" t="s">
        <v>175</v>
      </c>
      <c r="I119" s="2" t="s">
        <v>183</v>
      </c>
    </row>
    <row r="120" spans="1:9" x14ac:dyDescent="0.2">
      <c r="A120" s="2" t="s">
        <v>316</v>
      </c>
      <c r="B120" s="2" t="s">
        <v>485</v>
      </c>
      <c r="C120" s="2" t="s">
        <v>196</v>
      </c>
      <c r="D120" s="2" t="s">
        <v>509</v>
      </c>
      <c r="E120" s="2" t="s">
        <v>164</v>
      </c>
      <c r="F120" s="2" t="s">
        <v>175</v>
      </c>
      <c r="I120" s="2" t="s">
        <v>197</v>
      </c>
    </row>
    <row r="121" spans="1:9" x14ac:dyDescent="0.2">
      <c r="A121" s="2" t="s">
        <v>316</v>
      </c>
      <c r="B121" s="2" t="s">
        <v>486</v>
      </c>
      <c r="C121" s="2" t="s">
        <v>198</v>
      </c>
      <c r="D121" s="2" t="s">
        <v>510</v>
      </c>
      <c r="E121" s="2" t="s">
        <v>164</v>
      </c>
      <c r="F121" s="2" t="s">
        <v>175</v>
      </c>
      <c r="I121" s="2" t="s">
        <v>199</v>
      </c>
    </row>
    <row r="122" spans="1:9" x14ac:dyDescent="0.2">
      <c r="A122" s="2" t="s">
        <v>316</v>
      </c>
      <c r="B122" s="2" t="s">
        <v>487</v>
      </c>
      <c r="C122" s="2" t="s">
        <v>184</v>
      </c>
      <c r="D122" s="2" t="s">
        <v>511</v>
      </c>
      <c r="E122" s="2" t="s">
        <v>164</v>
      </c>
      <c r="F122" s="2" t="s">
        <v>175</v>
      </c>
      <c r="I122" s="2" t="s">
        <v>186</v>
      </c>
    </row>
    <row r="123" spans="1:9" x14ac:dyDescent="0.2">
      <c r="A123" s="2" t="s">
        <v>316</v>
      </c>
      <c r="B123" s="2" t="s">
        <v>488</v>
      </c>
      <c r="C123" s="2" t="s">
        <v>1319</v>
      </c>
      <c r="D123" s="2" t="s">
        <v>512</v>
      </c>
      <c r="E123" s="2" t="s">
        <v>164</v>
      </c>
      <c r="F123" s="2" t="s">
        <v>171</v>
      </c>
      <c r="I123" s="2" t="s">
        <v>1320</v>
      </c>
    </row>
    <row r="124" spans="1:9" x14ac:dyDescent="0.2">
      <c r="A124" s="2" t="s">
        <v>316</v>
      </c>
      <c r="B124" s="2" t="s">
        <v>1338</v>
      </c>
      <c r="C124" s="2" t="s">
        <v>1317</v>
      </c>
      <c r="D124" s="2" t="s">
        <v>1339</v>
      </c>
      <c r="E124" s="2" t="s">
        <v>1333</v>
      </c>
      <c r="F124" s="2" t="s">
        <v>88</v>
      </c>
      <c r="I124" s="2" t="s">
        <v>1318</v>
      </c>
    </row>
    <row r="125" spans="1:9" x14ac:dyDescent="0.2">
      <c r="A125" s="2" t="s">
        <v>316</v>
      </c>
      <c r="B125" s="2" t="s">
        <v>1379</v>
      </c>
      <c r="C125" s="2" t="s">
        <v>1371</v>
      </c>
      <c r="D125" s="2" t="s">
        <v>1380</v>
      </c>
      <c r="E125" s="2" t="s">
        <v>1373</v>
      </c>
      <c r="F125" s="2" t="s">
        <v>88</v>
      </c>
      <c r="I125" s="2" t="s">
        <v>89</v>
      </c>
    </row>
    <row r="126" spans="1:9" x14ac:dyDescent="0.2">
      <c r="A126" s="42"/>
      <c r="B126" s="42"/>
      <c r="C126" s="42"/>
      <c r="D126" s="42"/>
      <c r="E126" s="43" t="s">
        <v>255</v>
      </c>
      <c r="F126" s="42"/>
      <c r="G126" s="42"/>
      <c r="H126" s="42"/>
      <c r="I126" s="42"/>
    </row>
    <row r="127" spans="1:9" x14ac:dyDescent="0.2">
      <c r="A127" s="2" t="s">
        <v>316</v>
      </c>
      <c r="B127" s="2" t="s">
        <v>124</v>
      </c>
      <c r="C127" s="2" t="str">
        <f>RIGHT(E126,LEN(E126)-5)</f>
        <v>Case005.sim</v>
      </c>
      <c r="E127" s="46"/>
      <c r="I127" s="2"/>
    </row>
    <row r="128" spans="1:9" x14ac:dyDescent="0.2">
      <c r="A128" s="2" t="s">
        <v>316</v>
      </c>
      <c r="B128" s="2" t="s">
        <v>107</v>
      </c>
      <c r="C128" s="2" t="s">
        <v>147</v>
      </c>
      <c r="D128" s="2" t="s">
        <v>108</v>
      </c>
      <c r="E128" s="2" t="s">
        <v>220</v>
      </c>
      <c r="F128" s="2" t="s">
        <v>88</v>
      </c>
      <c r="G128" s="2" t="s">
        <v>95</v>
      </c>
      <c r="I128" s="2" t="s">
        <v>96</v>
      </c>
    </row>
    <row r="129" spans="1:9" x14ac:dyDescent="0.2">
      <c r="A129" s="2" t="s">
        <v>316</v>
      </c>
      <c r="B129" s="2" t="s">
        <v>309</v>
      </c>
      <c r="C129" s="2" t="s">
        <v>148</v>
      </c>
      <c r="D129" s="2" t="s">
        <v>537</v>
      </c>
      <c r="E129" s="2" t="s">
        <v>220</v>
      </c>
      <c r="F129" s="2" t="s">
        <v>109</v>
      </c>
      <c r="G129" s="2" t="s">
        <v>110</v>
      </c>
      <c r="I129" s="2" t="s">
        <v>111</v>
      </c>
    </row>
    <row r="130" spans="1:9" x14ac:dyDescent="0.2">
      <c r="A130" s="2" t="s">
        <v>316</v>
      </c>
      <c r="B130" s="2" t="s">
        <v>513</v>
      </c>
      <c r="C130" s="2" t="s">
        <v>149</v>
      </c>
      <c r="D130" s="2" t="s">
        <v>538</v>
      </c>
      <c r="E130" s="2" t="s">
        <v>220</v>
      </c>
      <c r="F130" s="2" t="s">
        <v>109</v>
      </c>
      <c r="G130" s="2" t="s">
        <v>113</v>
      </c>
      <c r="I130" s="2" t="s">
        <v>111</v>
      </c>
    </row>
    <row r="131" spans="1:9" x14ac:dyDescent="0.2">
      <c r="A131" s="2" t="s">
        <v>316</v>
      </c>
      <c r="B131" s="2" t="s">
        <v>514</v>
      </c>
      <c r="C131" s="2" t="s">
        <v>150</v>
      </c>
      <c r="D131" s="2" t="s">
        <v>539</v>
      </c>
      <c r="E131" s="2" t="s">
        <v>220</v>
      </c>
      <c r="F131" s="2" t="s">
        <v>109</v>
      </c>
      <c r="G131" s="2" t="s">
        <v>115</v>
      </c>
      <c r="I131" s="2" t="s">
        <v>111</v>
      </c>
    </row>
    <row r="132" spans="1:9" x14ac:dyDescent="0.2">
      <c r="A132" s="2" t="s">
        <v>316</v>
      </c>
      <c r="B132" s="2" t="s">
        <v>515</v>
      </c>
      <c r="C132" s="2" t="s">
        <v>151</v>
      </c>
      <c r="D132" s="2" t="s">
        <v>540</v>
      </c>
      <c r="E132" s="2" t="s">
        <v>220</v>
      </c>
      <c r="F132" s="2" t="s">
        <v>109</v>
      </c>
      <c r="G132" s="2" t="s">
        <v>117</v>
      </c>
      <c r="I132" s="2" t="s">
        <v>111</v>
      </c>
    </row>
    <row r="133" spans="1:9" x14ac:dyDescent="0.2">
      <c r="A133" s="2" t="s">
        <v>316</v>
      </c>
      <c r="B133" s="2" t="s">
        <v>516</v>
      </c>
      <c r="C133" s="2" t="s">
        <v>152</v>
      </c>
      <c r="D133" s="2" t="s">
        <v>541</v>
      </c>
      <c r="E133" s="2" t="s">
        <v>220</v>
      </c>
      <c r="F133" s="2" t="s">
        <v>109</v>
      </c>
      <c r="G133" s="2" t="s">
        <v>119</v>
      </c>
      <c r="I133" s="2" t="s">
        <v>111</v>
      </c>
    </row>
    <row r="134" spans="1:9" x14ac:dyDescent="0.2">
      <c r="A134" s="2" t="s">
        <v>316</v>
      </c>
      <c r="B134" s="2" t="s">
        <v>517</v>
      </c>
      <c r="C134" s="2" t="s">
        <v>122</v>
      </c>
      <c r="D134" s="2" t="s">
        <v>542</v>
      </c>
      <c r="E134" s="2" t="s">
        <v>220</v>
      </c>
      <c r="F134" s="2" t="s">
        <v>109</v>
      </c>
      <c r="G134" s="2" t="s">
        <v>121</v>
      </c>
      <c r="I134" s="2" t="s">
        <v>122</v>
      </c>
    </row>
    <row r="135" spans="1:9" x14ac:dyDescent="0.2">
      <c r="A135" s="2" t="s">
        <v>316</v>
      </c>
      <c r="B135" s="2" t="s">
        <v>518</v>
      </c>
      <c r="C135" s="2" t="s">
        <v>153</v>
      </c>
      <c r="D135" s="2" t="s">
        <v>543</v>
      </c>
      <c r="E135" s="2" t="s">
        <v>220</v>
      </c>
      <c r="F135" s="2" t="s">
        <v>88</v>
      </c>
      <c r="G135" s="2" t="s">
        <v>92</v>
      </c>
      <c r="I135" s="2" t="s">
        <v>89</v>
      </c>
    </row>
    <row r="136" spans="1:9" x14ac:dyDescent="0.2">
      <c r="A136" s="2" t="s">
        <v>316</v>
      </c>
      <c r="B136" s="2" t="s">
        <v>519</v>
      </c>
      <c r="C136" s="2" t="s">
        <v>1308</v>
      </c>
      <c r="D136" s="2" t="s">
        <v>544</v>
      </c>
      <c r="E136" s="2" t="s">
        <v>220</v>
      </c>
      <c r="F136" s="2" t="s">
        <v>88</v>
      </c>
      <c r="G136" s="2" t="s">
        <v>103</v>
      </c>
      <c r="I136" s="2" t="s">
        <v>89</v>
      </c>
    </row>
    <row r="137" spans="1:9" x14ac:dyDescent="0.2">
      <c r="A137" s="2" t="s">
        <v>316</v>
      </c>
      <c r="B137" s="2" t="s">
        <v>520</v>
      </c>
      <c r="C137" s="2" t="s">
        <v>154</v>
      </c>
      <c r="D137" s="2" t="s">
        <v>545</v>
      </c>
      <c r="E137" s="2" t="s">
        <v>220</v>
      </c>
      <c r="F137" s="2" t="s">
        <v>88</v>
      </c>
      <c r="G137" s="2" t="s">
        <v>92</v>
      </c>
      <c r="I137" s="2" t="s">
        <v>125</v>
      </c>
    </row>
    <row r="138" spans="1:9" x14ac:dyDescent="0.2">
      <c r="A138" s="2" t="s">
        <v>316</v>
      </c>
      <c r="B138" s="2" t="s">
        <v>521</v>
      </c>
      <c r="C138" s="2" t="s">
        <v>155</v>
      </c>
      <c r="D138" s="2" t="s">
        <v>546</v>
      </c>
      <c r="E138" s="2" t="s">
        <v>220</v>
      </c>
      <c r="F138" s="2" t="s">
        <v>88</v>
      </c>
      <c r="G138" s="2" t="s">
        <v>103</v>
      </c>
      <c r="I138" s="2" t="s">
        <v>128</v>
      </c>
    </row>
    <row r="139" spans="1:9" x14ac:dyDescent="0.2">
      <c r="A139" s="2" t="s">
        <v>316</v>
      </c>
      <c r="B139" s="2" t="s">
        <v>522</v>
      </c>
      <c r="C139" s="2" t="s">
        <v>156</v>
      </c>
      <c r="D139" s="2" t="s">
        <v>547</v>
      </c>
      <c r="E139" s="2" t="s">
        <v>220</v>
      </c>
      <c r="F139" s="2" t="s">
        <v>88</v>
      </c>
      <c r="G139" s="2" t="s">
        <v>103</v>
      </c>
      <c r="I139" s="2" t="s">
        <v>96</v>
      </c>
    </row>
    <row r="140" spans="1:9" x14ac:dyDescent="0.2">
      <c r="A140" s="2" t="s">
        <v>316</v>
      </c>
      <c r="B140" s="2" t="s">
        <v>523</v>
      </c>
      <c r="C140" s="2" t="s">
        <v>157</v>
      </c>
      <c r="D140" s="2" t="s">
        <v>548</v>
      </c>
      <c r="E140" s="2" t="s">
        <v>220</v>
      </c>
      <c r="F140" s="2" t="s">
        <v>88</v>
      </c>
      <c r="G140" s="2" t="s">
        <v>92</v>
      </c>
      <c r="I140" s="2" t="s">
        <v>96</v>
      </c>
    </row>
    <row r="141" spans="1:9" x14ac:dyDescent="0.2">
      <c r="A141" s="2" t="s">
        <v>316</v>
      </c>
      <c r="B141" s="2" t="s">
        <v>524</v>
      </c>
      <c r="C141" s="2" t="s">
        <v>158</v>
      </c>
      <c r="D141" s="2" t="s">
        <v>549</v>
      </c>
      <c r="E141" s="2" t="s">
        <v>220</v>
      </c>
      <c r="F141" s="2" t="s">
        <v>88</v>
      </c>
      <c r="G141" s="2" t="s">
        <v>1312</v>
      </c>
      <c r="I141" s="2" t="s">
        <v>132</v>
      </c>
    </row>
    <row r="142" spans="1:9" x14ac:dyDescent="0.2">
      <c r="A142" s="2" t="s">
        <v>316</v>
      </c>
      <c r="B142" s="2" t="s">
        <v>525</v>
      </c>
      <c r="C142" s="2" t="s">
        <v>1313</v>
      </c>
      <c r="D142" s="2" t="s">
        <v>550</v>
      </c>
      <c r="E142" s="2" t="s">
        <v>220</v>
      </c>
      <c r="F142" s="2" t="s">
        <v>1487</v>
      </c>
      <c r="G142" s="2" t="s">
        <v>134</v>
      </c>
      <c r="I142" s="2" t="s">
        <v>135</v>
      </c>
    </row>
    <row r="143" spans="1:9" x14ac:dyDescent="0.2">
      <c r="A143" s="2" t="s">
        <v>316</v>
      </c>
      <c r="B143" s="2" t="s">
        <v>526</v>
      </c>
      <c r="C143" s="2" t="s">
        <v>1315</v>
      </c>
      <c r="D143" s="2" t="s">
        <v>551</v>
      </c>
      <c r="E143" s="2" t="s">
        <v>220</v>
      </c>
      <c r="F143" s="2" t="s">
        <v>88</v>
      </c>
      <c r="G143" s="2" t="s">
        <v>92</v>
      </c>
      <c r="I143" s="2" t="s">
        <v>1316</v>
      </c>
    </row>
    <row r="144" spans="1:9" x14ac:dyDescent="0.2">
      <c r="A144" s="2" t="s">
        <v>316</v>
      </c>
      <c r="B144" s="2" t="s">
        <v>527</v>
      </c>
      <c r="C144" s="2" t="s">
        <v>168</v>
      </c>
      <c r="D144" s="2" t="s">
        <v>552</v>
      </c>
      <c r="E144" s="2" t="s">
        <v>164</v>
      </c>
      <c r="F144" s="2" t="s">
        <v>109</v>
      </c>
      <c r="I144" s="2" t="s">
        <v>5</v>
      </c>
    </row>
    <row r="145" spans="1:9" x14ac:dyDescent="0.2">
      <c r="A145" s="2" t="s">
        <v>316</v>
      </c>
      <c r="B145" s="2" t="s">
        <v>528</v>
      </c>
      <c r="C145" s="2" t="s">
        <v>169</v>
      </c>
      <c r="D145" s="2" t="s">
        <v>553</v>
      </c>
      <c r="E145" s="2" t="s">
        <v>164</v>
      </c>
      <c r="F145" s="2" t="s">
        <v>171</v>
      </c>
      <c r="I145" s="2" t="s">
        <v>5</v>
      </c>
    </row>
    <row r="146" spans="1:9" x14ac:dyDescent="0.2">
      <c r="A146" s="2" t="s">
        <v>316</v>
      </c>
      <c r="B146" s="2" t="s">
        <v>529</v>
      </c>
      <c r="C146" s="2" t="s">
        <v>158</v>
      </c>
      <c r="D146" s="2" t="s">
        <v>554</v>
      </c>
      <c r="E146" s="2" t="s">
        <v>220</v>
      </c>
      <c r="F146" s="2" t="s">
        <v>88</v>
      </c>
      <c r="G146" s="2" t="s">
        <v>92</v>
      </c>
      <c r="I146" s="2" t="s">
        <v>132</v>
      </c>
    </row>
    <row r="147" spans="1:9" x14ac:dyDescent="0.2">
      <c r="A147" s="2" t="s">
        <v>316</v>
      </c>
      <c r="B147" s="2" t="s">
        <v>530</v>
      </c>
      <c r="C147" s="2" t="s">
        <v>173</v>
      </c>
      <c r="D147" s="2" t="s">
        <v>555</v>
      </c>
      <c r="E147" s="2" t="s">
        <v>164</v>
      </c>
      <c r="F147" s="2" t="s">
        <v>175</v>
      </c>
      <c r="I147" s="2" t="s">
        <v>176</v>
      </c>
    </row>
    <row r="148" spans="1:9" x14ac:dyDescent="0.2">
      <c r="A148" s="2" t="s">
        <v>316</v>
      </c>
      <c r="B148" s="2" t="s">
        <v>531</v>
      </c>
      <c r="C148" s="2" t="s">
        <v>177</v>
      </c>
      <c r="D148" s="2" t="s">
        <v>556</v>
      </c>
      <c r="E148" s="2" t="s">
        <v>164</v>
      </c>
      <c r="F148" s="2" t="s">
        <v>175</v>
      </c>
      <c r="I148" s="2" t="s">
        <v>179</v>
      </c>
    </row>
    <row r="149" spans="1:9" x14ac:dyDescent="0.2">
      <c r="A149" s="2" t="s">
        <v>316</v>
      </c>
      <c r="B149" s="2" t="s">
        <v>532</v>
      </c>
      <c r="C149" s="2" t="s">
        <v>181</v>
      </c>
      <c r="D149" s="2" t="s">
        <v>557</v>
      </c>
      <c r="E149" s="2" t="s">
        <v>164</v>
      </c>
      <c r="F149" s="2" t="s">
        <v>175</v>
      </c>
      <c r="I149" s="2" t="s">
        <v>183</v>
      </c>
    </row>
    <row r="150" spans="1:9" x14ac:dyDescent="0.2">
      <c r="A150" s="2" t="s">
        <v>316</v>
      </c>
      <c r="B150" s="2" t="s">
        <v>533</v>
      </c>
      <c r="C150" s="2" t="s">
        <v>196</v>
      </c>
      <c r="D150" s="2" t="s">
        <v>558</v>
      </c>
      <c r="E150" s="2" t="s">
        <v>164</v>
      </c>
      <c r="F150" s="2" t="s">
        <v>175</v>
      </c>
      <c r="I150" s="2" t="s">
        <v>197</v>
      </c>
    </row>
    <row r="151" spans="1:9" x14ac:dyDescent="0.2">
      <c r="A151" s="2" t="s">
        <v>316</v>
      </c>
      <c r="B151" s="2" t="s">
        <v>534</v>
      </c>
      <c r="C151" s="2" t="s">
        <v>198</v>
      </c>
      <c r="D151" s="2" t="s">
        <v>559</v>
      </c>
      <c r="E151" s="2" t="s">
        <v>164</v>
      </c>
      <c r="F151" s="2" t="s">
        <v>175</v>
      </c>
      <c r="I151" s="2" t="s">
        <v>199</v>
      </c>
    </row>
    <row r="152" spans="1:9" x14ac:dyDescent="0.2">
      <c r="A152" s="2" t="s">
        <v>316</v>
      </c>
      <c r="B152" s="2" t="s">
        <v>535</v>
      </c>
      <c r="C152" s="2" t="s">
        <v>184</v>
      </c>
      <c r="D152" s="2" t="s">
        <v>560</v>
      </c>
      <c r="E152" s="2" t="s">
        <v>164</v>
      </c>
      <c r="F152" s="2" t="s">
        <v>175</v>
      </c>
      <c r="I152" s="2" t="s">
        <v>186</v>
      </c>
    </row>
    <row r="153" spans="1:9" x14ac:dyDescent="0.2">
      <c r="A153" s="2" t="s">
        <v>316</v>
      </c>
      <c r="B153" s="2" t="s">
        <v>536</v>
      </c>
      <c r="C153" s="2" t="s">
        <v>1319</v>
      </c>
      <c r="D153" s="2" t="s">
        <v>561</v>
      </c>
      <c r="E153" s="2" t="s">
        <v>164</v>
      </c>
      <c r="F153" s="2" t="s">
        <v>171</v>
      </c>
      <c r="I153" s="2" t="s">
        <v>1320</v>
      </c>
    </row>
    <row r="154" spans="1:9" x14ac:dyDescent="0.2">
      <c r="A154" s="2" t="s">
        <v>316</v>
      </c>
      <c r="B154" s="2" t="s">
        <v>1340</v>
      </c>
      <c r="C154" s="2" t="s">
        <v>1317</v>
      </c>
      <c r="D154" s="2" t="s">
        <v>1341</v>
      </c>
      <c r="E154" s="2" t="s">
        <v>1333</v>
      </c>
      <c r="F154" s="2" t="s">
        <v>88</v>
      </c>
      <c r="I154" s="2" t="s">
        <v>1318</v>
      </c>
    </row>
    <row r="155" spans="1:9" x14ac:dyDescent="0.2">
      <c r="A155" s="2" t="s">
        <v>316</v>
      </c>
      <c r="B155" s="2" t="s">
        <v>1381</v>
      </c>
      <c r="C155" s="2" t="s">
        <v>1371</v>
      </c>
      <c r="D155" s="2" t="s">
        <v>1382</v>
      </c>
      <c r="E155" s="2" t="s">
        <v>1373</v>
      </c>
      <c r="F155" s="2" t="s">
        <v>88</v>
      </c>
      <c r="I155" s="2" t="s">
        <v>89</v>
      </c>
    </row>
    <row r="156" spans="1:9" x14ac:dyDescent="0.2">
      <c r="A156" s="42"/>
      <c r="B156" s="42"/>
      <c r="C156" s="42"/>
      <c r="D156" s="42"/>
      <c r="E156" s="43" t="s">
        <v>256</v>
      </c>
      <c r="F156" s="42"/>
      <c r="G156" s="42"/>
      <c r="H156" s="42"/>
      <c r="I156" s="42"/>
    </row>
    <row r="157" spans="1:9" x14ac:dyDescent="0.2">
      <c r="A157" s="2" t="s">
        <v>316</v>
      </c>
      <c r="B157" s="2" t="s">
        <v>127</v>
      </c>
      <c r="C157" s="2" t="str">
        <f>RIGHT(E156,LEN(E156)-5)</f>
        <v>Case006.sim</v>
      </c>
      <c r="E157" s="46"/>
      <c r="I157" s="2"/>
    </row>
    <row r="158" spans="1:9" x14ac:dyDescent="0.2">
      <c r="A158" s="2" t="s">
        <v>316</v>
      </c>
      <c r="B158" s="2" t="s">
        <v>112</v>
      </c>
      <c r="C158" s="2" t="s">
        <v>147</v>
      </c>
      <c r="D158" s="2" t="s">
        <v>114</v>
      </c>
      <c r="E158" s="2" t="s">
        <v>220</v>
      </c>
      <c r="F158" s="2" t="s">
        <v>88</v>
      </c>
      <c r="G158" s="2" t="s">
        <v>95</v>
      </c>
      <c r="I158" s="2" t="s">
        <v>96</v>
      </c>
    </row>
    <row r="159" spans="1:9" x14ac:dyDescent="0.2">
      <c r="A159" s="2" t="s">
        <v>316</v>
      </c>
      <c r="B159" s="2" t="s">
        <v>296</v>
      </c>
      <c r="C159" s="2" t="s">
        <v>148</v>
      </c>
      <c r="D159" s="2" t="s">
        <v>586</v>
      </c>
      <c r="E159" s="2" t="s">
        <v>220</v>
      </c>
      <c r="F159" s="2" t="s">
        <v>109</v>
      </c>
      <c r="G159" s="2" t="s">
        <v>110</v>
      </c>
      <c r="I159" s="2" t="s">
        <v>111</v>
      </c>
    </row>
    <row r="160" spans="1:9" x14ac:dyDescent="0.2">
      <c r="A160" s="2" t="s">
        <v>316</v>
      </c>
      <c r="B160" s="2" t="s">
        <v>562</v>
      </c>
      <c r="C160" s="2" t="s">
        <v>149</v>
      </c>
      <c r="D160" s="2" t="s">
        <v>587</v>
      </c>
      <c r="E160" s="2" t="s">
        <v>220</v>
      </c>
      <c r="F160" s="2" t="s">
        <v>109</v>
      </c>
      <c r="G160" s="2" t="s">
        <v>113</v>
      </c>
      <c r="I160" s="2" t="s">
        <v>111</v>
      </c>
    </row>
    <row r="161" spans="1:9" x14ac:dyDescent="0.2">
      <c r="A161" s="2" t="s">
        <v>316</v>
      </c>
      <c r="B161" s="2" t="s">
        <v>563</v>
      </c>
      <c r="C161" s="2" t="s">
        <v>150</v>
      </c>
      <c r="D161" s="2" t="s">
        <v>588</v>
      </c>
      <c r="E161" s="2" t="s">
        <v>220</v>
      </c>
      <c r="F161" s="2" t="s">
        <v>109</v>
      </c>
      <c r="G161" s="2" t="s">
        <v>115</v>
      </c>
      <c r="I161" s="2" t="s">
        <v>111</v>
      </c>
    </row>
    <row r="162" spans="1:9" x14ac:dyDescent="0.2">
      <c r="A162" s="2" t="s">
        <v>316</v>
      </c>
      <c r="B162" s="2" t="s">
        <v>564</v>
      </c>
      <c r="C162" s="2" t="s">
        <v>151</v>
      </c>
      <c r="D162" s="2" t="s">
        <v>589</v>
      </c>
      <c r="E162" s="2" t="s">
        <v>220</v>
      </c>
      <c r="F162" s="2" t="s">
        <v>109</v>
      </c>
      <c r="G162" s="2" t="s">
        <v>117</v>
      </c>
      <c r="I162" s="2" t="s">
        <v>111</v>
      </c>
    </row>
    <row r="163" spans="1:9" x14ac:dyDescent="0.2">
      <c r="A163" s="2" t="s">
        <v>316</v>
      </c>
      <c r="B163" s="2" t="s">
        <v>565</v>
      </c>
      <c r="C163" s="2" t="s">
        <v>152</v>
      </c>
      <c r="D163" s="2" t="s">
        <v>590</v>
      </c>
      <c r="E163" s="2" t="s">
        <v>220</v>
      </c>
      <c r="F163" s="2" t="s">
        <v>109</v>
      </c>
      <c r="G163" s="2" t="s">
        <v>119</v>
      </c>
      <c r="I163" s="2" t="s">
        <v>111</v>
      </c>
    </row>
    <row r="164" spans="1:9" x14ac:dyDescent="0.2">
      <c r="A164" s="2" t="s">
        <v>316</v>
      </c>
      <c r="B164" s="2" t="s">
        <v>566</v>
      </c>
      <c r="C164" s="2" t="s">
        <v>122</v>
      </c>
      <c r="D164" s="2" t="s">
        <v>591</v>
      </c>
      <c r="E164" s="2" t="s">
        <v>220</v>
      </c>
      <c r="F164" s="2" t="s">
        <v>109</v>
      </c>
      <c r="G164" s="2" t="s">
        <v>121</v>
      </c>
      <c r="I164" s="2" t="s">
        <v>122</v>
      </c>
    </row>
    <row r="165" spans="1:9" x14ac:dyDescent="0.2">
      <c r="A165" s="2" t="s">
        <v>316</v>
      </c>
      <c r="B165" s="2" t="s">
        <v>567</v>
      </c>
      <c r="C165" s="2" t="s">
        <v>153</v>
      </c>
      <c r="D165" s="2" t="s">
        <v>592</v>
      </c>
      <c r="E165" s="2" t="s">
        <v>220</v>
      </c>
      <c r="F165" s="2" t="s">
        <v>88</v>
      </c>
      <c r="G165" s="2" t="s">
        <v>92</v>
      </c>
      <c r="I165" s="2" t="s">
        <v>89</v>
      </c>
    </row>
    <row r="166" spans="1:9" x14ac:dyDescent="0.2">
      <c r="A166" s="2" t="s">
        <v>316</v>
      </c>
      <c r="B166" s="2" t="s">
        <v>568</v>
      </c>
      <c r="C166" s="2" t="s">
        <v>1308</v>
      </c>
      <c r="D166" s="2" t="s">
        <v>593</v>
      </c>
      <c r="E166" s="2" t="s">
        <v>220</v>
      </c>
      <c r="F166" s="2" t="s">
        <v>88</v>
      </c>
      <c r="G166" s="2" t="s">
        <v>103</v>
      </c>
      <c r="I166" s="2" t="s">
        <v>89</v>
      </c>
    </row>
    <row r="167" spans="1:9" x14ac:dyDescent="0.2">
      <c r="A167" s="2" t="s">
        <v>316</v>
      </c>
      <c r="B167" s="2" t="s">
        <v>569</v>
      </c>
      <c r="C167" s="2" t="s">
        <v>154</v>
      </c>
      <c r="D167" s="2" t="s">
        <v>594</v>
      </c>
      <c r="E167" s="2" t="s">
        <v>220</v>
      </c>
      <c r="F167" s="2" t="s">
        <v>88</v>
      </c>
      <c r="G167" s="2" t="s">
        <v>92</v>
      </c>
      <c r="I167" s="2" t="s">
        <v>125</v>
      </c>
    </row>
    <row r="168" spans="1:9" x14ac:dyDescent="0.2">
      <c r="A168" s="2" t="s">
        <v>316</v>
      </c>
      <c r="B168" s="2" t="s">
        <v>570</v>
      </c>
      <c r="C168" s="2" t="s">
        <v>155</v>
      </c>
      <c r="D168" s="2" t="s">
        <v>595</v>
      </c>
      <c r="E168" s="2" t="s">
        <v>220</v>
      </c>
      <c r="F168" s="2" t="s">
        <v>88</v>
      </c>
      <c r="G168" s="2" t="s">
        <v>103</v>
      </c>
      <c r="I168" s="2" t="s">
        <v>128</v>
      </c>
    </row>
    <row r="169" spans="1:9" x14ac:dyDescent="0.2">
      <c r="A169" s="2" t="s">
        <v>316</v>
      </c>
      <c r="B169" s="2" t="s">
        <v>571</v>
      </c>
      <c r="C169" s="2" t="s">
        <v>156</v>
      </c>
      <c r="D169" s="2" t="s">
        <v>596</v>
      </c>
      <c r="E169" s="2" t="s">
        <v>220</v>
      </c>
      <c r="F169" s="2" t="s">
        <v>88</v>
      </c>
      <c r="G169" s="2" t="s">
        <v>103</v>
      </c>
      <c r="I169" s="2" t="s">
        <v>96</v>
      </c>
    </row>
    <row r="170" spans="1:9" x14ac:dyDescent="0.2">
      <c r="A170" s="2" t="s">
        <v>316</v>
      </c>
      <c r="B170" s="2" t="s">
        <v>572</v>
      </c>
      <c r="C170" s="2" t="s">
        <v>157</v>
      </c>
      <c r="D170" s="2" t="s">
        <v>597</v>
      </c>
      <c r="E170" s="2" t="s">
        <v>220</v>
      </c>
      <c r="F170" s="2" t="s">
        <v>88</v>
      </c>
      <c r="G170" s="2" t="s">
        <v>92</v>
      </c>
      <c r="I170" s="2" t="s">
        <v>96</v>
      </c>
    </row>
    <row r="171" spans="1:9" x14ac:dyDescent="0.2">
      <c r="A171" s="2" t="s">
        <v>316</v>
      </c>
      <c r="B171" s="2" t="s">
        <v>573</v>
      </c>
      <c r="C171" s="2" t="s">
        <v>158</v>
      </c>
      <c r="D171" s="2" t="s">
        <v>598</v>
      </c>
      <c r="E171" s="2" t="s">
        <v>220</v>
      </c>
      <c r="F171" s="2" t="s">
        <v>88</v>
      </c>
      <c r="G171" s="2" t="s">
        <v>1312</v>
      </c>
      <c r="I171" s="2" t="s">
        <v>132</v>
      </c>
    </row>
    <row r="172" spans="1:9" x14ac:dyDescent="0.2">
      <c r="A172" s="2" t="s">
        <v>316</v>
      </c>
      <c r="B172" s="2" t="s">
        <v>574</v>
      </c>
      <c r="C172" s="2" t="s">
        <v>1313</v>
      </c>
      <c r="D172" s="2" t="s">
        <v>599</v>
      </c>
      <c r="E172" s="2" t="s">
        <v>220</v>
      </c>
      <c r="F172" s="2" t="s">
        <v>1487</v>
      </c>
      <c r="G172" s="2" t="s">
        <v>134</v>
      </c>
      <c r="I172" s="2" t="s">
        <v>135</v>
      </c>
    </row>
    <row r="173" spans="1:9" x14ac:dyDescent="0.2">
      <c r="A173" s="2" t="s">
        <v>316</v>
      </c>
      <c r="B173" s="2" t="s">
        <v>575</v>
      </c>
      <c r="C173" s="2" t="s">
        <v>1315</v>
      </c>
      <c r="D173" s="2" t="s">
        <v>600</v>
      </c>
      <c r="E173" s="2" t="s">
        <v>220</v>
      </c>
      <c r="F173" s="2" t="s">
        <v>88</v>
      </c>
      <c r="G173" s="2" t="s">
        <v>92</v>
      </c>
      <c r="I173" s="2" t="s">
        <v>1316</v>
      </c>
    </row>
    <row r="174" spans="1:9" x14ac:dyDescent="0.2">
      <c r="A174" s="2" t="s">
        <v>316</v>
      </c>
      <c r="B174" s="2" t="s">
        <v>576</v>
      </c>
      <c r="C174" s="2" t="s">
        <v>168</v>
      </c>
      <c r="D174" s="2" t="s">
        <v>601</v>
      </c>
      <c r="E174" s="2" t="s">
        <v>164</v>
      </c>
      <c r="F174" s="2" t="s">
        <v>109</v>
      </c>
      <c r="I174" s="2" t="s">
        <v>5</v>
      </c>
    </row>
    <row r="175" spans="1:9" x14ac:dyDescent="0.2">
      <c r="A175" s="2" t="s">
        <v>316</v>
      </c>
      <c r="B175" s="2" t="s">
        <v>577</v>
      </c>
      <c r="C175" s="2" t="s">
        <v>169</v>
      </c>
      <c r="D175" s="2" t="s">
        <v>602</v>
      </c>
      <c r="E175" s="2" t="s">
        <v>164</v>
      </c>
      <c r="F175" s="2" t="s">
        <v>171</v>
      </c>
      <c r="I175" s="2" t="s">
        <v>5</v>
      </c>
    </row>
    <row r="176" spans="1:9" x14ac:dyDescent="0.2">
      <c r="A176" s="2" t="s">
        <v>316</v>
      </c>
      <c r="B176" s="2" t="s">
        <v>578</v>
      </c>
      <c r="C176" s="2" t="s">
        <v>158</v>
      </c>
      <c r="D176" s="2" t="s">
        <v>603</v>
      </c>
      <c r="E176" s="2" t="s">
        <v>220</v>
      </c>
      <c r="F176" s="2" t="s">
        <v>88</v>
      </c>
      <c r="G176" s="2" t="s">
        <v>92</v>
      </c>
      <c r="I176" s="2" t="s">
        <v>132</v>
      </c>
    </row>
    <row r="177" spans="1:9" x14ac:dyDescent="0.2">
      <c r="A177" s="2" t="s">
        <v>316</v>
      </c>
      <c r="B177" s="2" t="s">
        <v>579</v>
      </c>
      <c r="C177" s="2" t="s">
        <v>173</v>
      </c>
      <c r="D177" s="2" t="s">
        <v>604</v>
      </c>
      <c r="E177" s="2" t="s">
        <v>164</v>
      </c>
      <c r="F177" s="2" t="s">
        <v>175</v>
      </c>
      <c r="I177" s="2" t="s">
        <v>176</v>
      </c>
    </row>
    <row r="178" spans="1:9" x14ac:dyDescent="0.2">
      <c r="A178" s="2" t="s">
        <v>316</v>
      </c>
      <c r="B178" s="2" t="s">
        <v>580</v>
      </c>
      <c r="C178" s="2" t="s">
        <v>177</v>
      </c>
      <c r="D178" s="2" t="s">
        <v>605</v>
      </c>
      <c r="E178" s="2" t="s">
        <v>164</v>
      </c>
      <c r="F178" s="2" t="s">
        <v>175</v>
      </c>
      <c r="I178" s="2" t="s">
        <v>179</v>
      </c>
    </row>
    <row r="179" spans="1:9" x14ac:dyDescent="0.2">
      <c r="A179" s="2" t="s">
        <v>316</v>
      </c>
      <c r="B179" s="2" t="s">
        <v>581</v>
      </c>
      <c r="C179" s="2" t="s">
        <v>181</v>
      </c>
      <c r="D179" s="2" t="s">
        <v>606</v>
      </c>
      <c r="E179" s="2" t="s">
        <v>164</v>
      </c>
      <c r="F179" s="2" t="s">
        <v>175</v>
      </c>
      <c r="I179" s="2" t="s">
        <v>183</v>
      </c>
    </row>
    <row r="180" spans="1:9" x14ac:dyDescent="0.2">
      <c r="A180" s="2" t="s">
        <v>316</v>
      </c>
      <c r="B180" s="2" t="s">
        <v>582</v>
      </c>
      <c r="C180" s="2" t="s">
        <v>196</v>
      </c>
      <c r="D180" s="2" t="s">
        <v>607</v>
      </c>
      <c r="E180" s="2" t="s">
        <v>164</v>
      </c>
      <c r="F180" s="2" t="s">
        <v>175</v>
      </c>
      <c r="I180" s="2" t="s">
        <v>197</v>
      </c>
    </row>
    <row r="181" spans="1:9" x14ac:dyDescent="0.2">
      <c r="A181" s="2" t="s">
        <v>316</v>
      </c>
      <c r="B181" s="2" t="s">
        <v>583</v>
      </c>
      <c r="C181" s="2" t="s">
        <v>198</v>
      </c>
      <c r="D181" s="2" t="s">
        <v>608</v>
      </c>
      <c r="E181" s="2" t="s">
        <v>164</v>
      </c>
      <c r="F181" s="2" t="s">
        <v>175</v>
      </c>
      <c r="I181" s="2" t="s">
        <v>199</v>
      </c>
    </row>
    <row r="182" spans="1:9" x14ac:dyDescent="0.2">
      <c r="A182" s="2" t="s">
        <v>316</v>
      </c>
      <c r="B182" s="2" t="s">
        <v>584</v>
      </c>
      <c r="C182" s="2" t="s">
        <v>184</v>
      </c>
      <c r="D182" s="2" t="s">
        <v>609</v>
      </c>
      <c r="E182" s="2" t="s">
        <v>164</v>
      </c>
      <c r="F182" s="2" t="s">
        <v>175</v>
      </c>
      <c r="I182" s="2" t="s">
        <v>186</v>
      </c>
    </row>
    <row r="183" spans="1:9" x14ac:dyDescent="0.2">
      <c r="A183" s="2" t="s">
        <v>316</v>
      </c>
      <c r="B183" s="2" t="s">
        <v>585</v>
      </c>
      <c r="C183" s="2" t="s">
        <v>1319</v>
      </c>
      <c r="D183" s="2" t="s">
        <v>610</v>
      </c>
      <c r="E183" s="2" t="s">
        <v>164</v>
      </c>
      <c r="F183" s="2" t="s">
        <v>171</v>
      </c>
      <c r="I183" s="2" t="s">
        <v>1320</v>
      </c>
    </row>
    <row r="184" spans="1:9" x14ac:dyDescent="0.2">
      <c r="A184" s="2" t="s">
        <v>316</v>
      </c>
      <c r="B184" s="2" t="s">
        <v>1342</v>
      </c>
      <c r="C184" s="2" t="s">
        <v>1317</v>
      </c>
      <c r="D184" s="2" t="s">
        <v>1343</v>
      </c>
      <c r="E184" s="2" t="s">
        <v>1333</v>
      </c>
      <c r="F184" s="2" t="s">
        <v>88</v>
      </c>
      <c r="I184" s="2" t="s">
        <v>1318</v>
      </c>
    </row>
    <row r="185" spans="1:9" x14ac:dyDescent="0.2">
      <c r="A185" s="2" t="s">
        <v>316</v>
      </c>
      <c r="B185" s="2" t="s">
        <v>1383</v>
      </c>
      <c r="C185" s="2" t="s">
        <v>1371</v>
      </c>
      <c r="D185" s="2" t="s">
        <v>1384</v>
      </c>
      <c r="E185" s="2" t="s">
        <v>1373</v>
      </c>
      <c r="F185" s="2" t="s">
        <v>88</v>
      </c>
      <c r="I185" s="2" t="s">
        <v>89</v>
      </c>
    </row>
    <row r="186" spans="1:9" x14ac:dyDescent="0.2">
      <c r="A186" s="42"/>
      <c r="B186" s="42"/>
      <c r="C186" s="42"/>
      <c r="D186" s="42"/>
      <c r="E186" s="43" t="s">
        <v>257</v>
      </c>
      <c r="F186" s="42"/>
      <c r="G186" s="42"/>
      <c r="H186" s="42"/>
      <c r="I186" s="42"/>
    </row>
    <row r="187" spans="1:9" x14ac:dyDescent="0.2">
      <c r="A187" s="2" t="s">
        <v>316</v>
      </c>
      <c r="B187" s="2" t="s">
        <v>130</v>
      </c>
      <c r="C187" s="2" t="str">
        <f>RIGHT(E186,LEN(E186)-5)</f>
        <v>Case007.sim</v>
      </c>
      <c r="E187" s="46"/>
      <c r="I187" s="2"/>
    </row>
    <row r="188" spans="1:9" x14ac:dyDescent="0.2">
      <c r="A188" s="2" t="s">
        <v>316</v>
      </c>
      <c r="B188" s="2" t="s">
        <v>116</v>
      </c>
      <c r="C188" s="2" t="s">
        <v>147</v>
      </c>
      <c r="D188" s="2" t="s">
        <v>118</v>
      </c>
      <c r="E188" s="2" t="s">
        <v>220</v>
      </c>
      <c r="F188" s="2" t="s">
        <v>88</v>
      </c>
      <c r="G188" s="2" t="s">
        <v>95</v>
      </c>
      <c r="I188" s="2" t="s">
        <v>96</v>
      </c>
    </row>
    <row r="189" spans="1:9" x14ac:dyDescent="0.2">
      <c r="A189" s="2" t="s">
        <v>316</v>
      </c>
      <c r="B189" s="2" t="s">
        <v>297</v>
      </c>
      <c r="C189" s="2" t="s">
        <v>148</v>
      </c>
      <c r="D189" s="2" t="s">
        <v>635</v>
      </c>
      <c r="E189" s="2" t="s">
        <v>220</v>
      </c>
      <c r="F189" s="2" t="s">
        <v>109</v>
      </c>
      <c r="G189" s="2" t="s">
        <v>110</v>
      </c>
      <c r="I189" s="2" t="s">
        <v>111</v>
      </c>
    </row>
    <row r="190" spans="1:9" x14ac:dyDescent="0.2">
      <c r="A190" s="2" t="s">
        <v>316</v>
      </c>
      <c r="B190" s="2" t="s">
        <v>611</v>
      </c>
      <c r="C190" s="2" t="s">
        <v>149</v>
      </c>
      <c r="D190" s="2" t="s">
        <v>636</v>
      </c>
      <c r="E190" s="2" t="s">
        <v>220</v>
      </c>
      <c r="F190" s="2" t="s">
        <v>109</v>
      </c>
      <c r="G190" s="2" t="s">
        <v>113</v>
      </c>
      <c r="I190" s="2" t="s">
        <v>111</v>
      </c>
    </row>
    <row r="191" spans="1:9" x14ac:dyDescent="0.2">
      <c r="A191" s="2" t="s">
        <v>316</v>
      </c>
      <c r="B191" s="2" t="s">
        <v>612</v>
      </c>
      <c r="C191" s="2" t="s">
        <v>150</v>
      </c>
      <c r="D191" s="2" t="s">
        <v>637</v>
      </c>
      <c r="E191" s="2" t="s">
        <v>220</v>
      </c>
      <c r="F191" s="2" t="s">
        <v>109</v>
      </c>
      <c r="G191" s="2" t="s">
        <v>115</v>
      </c>
      <c r="I191" s="2" t="s">
        <v>111</v>
      </c>
    </row>
    <row r="192" spans="1:9" x14ac:dyDescent="0.2">
      <c r="A192" s="2" t="s">
        <v>316</v>
      </c>
      <c r="B192" s="2" t="s">
        <v>613</v>
      </c>
      <c r="C192" s="2" t="s">
        <v>151</v>
      </c>
      <c r="D192" s="2" t="s">
        <v>638</v>
      </c>
      <c r="E192" s="2" t="s">
        <v>220</v>
      </c>
      <c r="F192" s="2" t="s">
        <v>109</v>
      </c>
      <c r="G192" s="2" t="s">
        <v>117</v>
      </c>
      <c r="I192" s="2" t="s">
        <v>111</v>
      </c>
    </row>
    <row r="193" spans="1:9" x14ac:dyDescent="0.2">
      <c r="A193" s="2" t="s">
        <v>316</v>
      </c>
      <c r="B193" s="2" t="s">
        <v>614</v>
      </c>
      <c r="C193" s="2" t="s">
        <v>152</v>
      </c>
      <c r="D193" s="2" t="s">
        <v>639</v>
      </c>
      <c r="E193" s="2" t="s">
        <v>220</v>
      </c>
      <c r="F193" s="2" t="s">
        <v>109</v>
      </c>
      <c r="G193" s="2" t="s">
        <v>119</v>
      </c>
      <c r="I193" s="2" t="s">
        <v>111</v>
      </c>
    </row>
    <row r="194" spans="1:9" x14ac:dyDescent="0.2">
      <c r="A194" s="2" t="s">
        <v>316</v>
      </c>
      <c r="B194" s="2" t="s">
        <v>615</v>
      </c>
      <c r="C194" s="2" t="s">
        <v>122</v>
      </c>
      <c r="D194" s="2" t="s">
        <v>640</v>
      </c>
      <c r="E194" s="2" t="s">
        <v>220</v>
      </c>
      <c r="F194" s="2" t="s">
        <v>109</v>
      </c>
      <c r="G194" s="2" t="s">
        <v>121</v>
      </c>
      <c r="I194" s="2" t="s">
        <v>122</v>
      </c>
    </row>
    <row r="195" spans="1:9" x14ac:dyDescent="0.2">
      <c r="A195" s="2" t="s">
        <v>316</v>
      </c>
      <c r="B195" s="2" t="s">
        <v>616</v>
      </c>
      <c r="C195" s="2" t="s">
        <v>153</v>
      </c>
      <c r="D195" s="2" t="s">
        <v>641</v>
      </c>
      <c r="E195" s="2" t="s">
        <v>220</v>
      </c>
      <c r="F195" s="2" t="s">
        <v>88</v>
      </c>
      <c r="G195" s="2" t="s">
        <v>92</v>
      </c>
      <c r="I195" s="2" t="s">
        <v>89</v>
      </c>
    </row>
    <row r="196" spans="1:9" x14ac:dyDescent="0.2">
      <c r="A196" s="2" t="s">
        <v>316</v>
      </c>
      <c r="B196" s="2" t="s">
        <v>617</v>
      </c>
      <c r="C196" s="2" t="s">
        <v>1308</v>
      </c>
      <c r="D196" s="2" t="s">
        <v>642</v>
      </c>
      <c r="E196" s="2" t="s">
        <v>220</v>
      </c>
      <c r="F196" s="2" t="s">
        <v>88</v>
      </c>
      <c r="G196" s="2" t="s">
        <v>103</v>
      </c>
      <c r="I196" s="2" t="s">
        <v>89</v>
      </c>
    </row>
    <row r="197" spans="1:9" x14ac:dyDescent="0.2">
      <c r="A197" s="2" t="s">
        <v>316</v>
      </c>
      <c r="B197" s="2" t="s">
        <v>618</v>
      </c>
      <c r="C197" s="2" t="s">
        <v>154</v>
      </c>
      <c r="D197" s="2" t="s">
        <v>643</v>
      </c>
      <c r="E197" s="2" t="s">
        <v>220</v>
      </c>
      <c r="F197" s="2" t="s">
        <v>88</v>
      </c>
      <c r="G197" s="2" t="s">
        <v>92</v>
      </c>
      <c r="I197" s="2" t="s">
        <v>125</v>
      </c>
    </row>
    <row r="198" spans="1:9" x14ac:dyDescent="0.2">
      <c r="A198" s="2" t="s">
        <v>316</v>
      </c>
      <c r="B198" s="2" t="s">
        <v>619</v>
      </c>
      <c r="C198" s="2" t="s">
        <v>155</v>
      </c>
      <c r="D198" s="2" t="s">
        <v>644</v>
      </c>
      <c r="E198" s="2" t="s">
        <v>220</v>
      </c>
      <c r="F198" s="2" t="s">
        <v>88</v>
      </c>
      <c r="G198" s="2" t="s">
        <v>103</v>
      </c>
      <c r="I198" s="2" t="s">
        <v>128</v>
      </c>
    </row>
    <row r="199" spans="1:9" x14ac:dyDescent="0.2">
      <c r="A199" s="2" t="s">
        <v>316</v>
      </c>
      <c r="B199" s="2" t="s">
        <v>620</v>
      </c>
      <c r="C199" s="2" t="s">
        <v>156</v>
      </c>
      <c r="D199" s="2" t="s">
        <v>645</v>
      </c>
      <c r="E199" s="2" t="s">
        <v>220</v>
      </c>
      <c r="F199" s="2" t="s">
        <v>88</v>
      </c>
      <c r="G199" s="2" t="s">
        <v>103</v>
      </c>
      <c r="I199" s="2" t="s">
        <v>96</v>
      </c>
    </row>
    <row r="200" spans="1:9" x14ac:dyDescent="0.2">
      <c r="A200" s="2" t="s">
        <v>316</v>
      </c>
      <c r="B200" s="2" t="s">
        <v>621</v>
      </c>
      <c r="C200" s="2" t="s">
        <v>157</v>
      </c>
      <c r="D200" s="2" t="s">
        <v>646</v>
      </c>
      <c r="E200" s="2" t="s">
        <v>220</v>
      </c>
      <c r="F200" s="2" t="s">
        <v>88</v>
      </c>
      <c r="G200" s="2" t="s">
        <v>92</v>
      </c>
      <c r="I200" s="2" t="s">
        <v>96</v>
      </c>
    </row>
    <row r="201" spans="1:9" x14ac:dyDescent="0.2">
      <c r="A201" s="2" t="s">
        <v>316</v>
      </c>
      <c r="B201" s="2" t="s">
        <v>622</v>
      </c>
      <c r="C201" s="2" t="s">
        <v>158</v>
      </c>
      <c r="D201" s="2" t="s">
        <v>647</v>
      </c>
      <c r="E201" s="2" t="s">
        <v>220</v>
      </c>
      <c r="F201" s="2" t="s">
        <v>88</v>
      </c>
      <c r="G201" s="2" t="s">
        <v>1312</v>
      </c>
      <c r="I201" s="2" t="s">
        <v>132</v>
      </c>
    </row>
    <row r="202" spans="1:9" x14ac:dyDescent="0.2">
      <c r="A202" s="2" t="s">
        <v>316</v>
      </c>
      <c r="B202" s="2" t="s">
        <v>623</v>
      </c>
      <c r="C202" s="2" t="s">
        <v>1313</v>
      </c>
      <c r="D202" s="2" t="s">
        <v>648</v>
      </c>
      <c r="E202" s="2" t="s">
        <v>220</v>
      </c>
      <c r="F202" s="2" t="s">
        <v>1487</v>
      </c>
      <c r="G202" s="2" t="s">
        <v>134</v>
      </c>
      <c r="I202" s="2" t="s">
        <v>135</v>
      </c>
    </row>
    <row r="203" spans="1:9" x14ac:dyDescent="0.2">
      <c r="A203" s="2" t="s">
        <v>316</v>
      </c>
      <c r="B203" s="2" t="s">
        <v>624</v>
      </c>
      <c r="C203" s="2" t="s">
        <v>1315</v>
      </c>
      <c r="D203" s="2" t="s">
        <v>649</v>
      </c>
      <c r="E203" s="2" t="s">
        <v>220</v>
      </c>
      <c r="F203" s="2" t="s">
        <v>88</v>
      </c>
      <c r="G203" s="2" t="s">
        <v>92</v>
      </c>
      <c r="I203" s="2" t="s">
        <v>1316</v>
      </c>
    </row>
    <row r="204" spans="1:9" x14ac:dyDescent="0.2">
      <c r="A204" s="2" t="s">
        <v>316</v>
      </c>
      <c r="B204" s="2" t="s">
        <v>625</v>
      </c>
      <c r="C204" s="2" t="s">
        <v>168</v>
      </c>
      <c r="D204" s="2" t="s">
        <v>650</v>
      </c>
      <c r="E204" s="2" t="s">
        <v>164</v>
      </c>
      <c r="F204" s="2" t="s">
        <v>109</v>
      </c>
      <c r="I204" s="2" t="s">
        <v>5</v>
      </c>
    </row>
    <row r="205" spans="1:9" x14ac:dyDescent="0.2">
      <c r="A205" s="2" t="s">
        <v>316</v>
      </c>
      <c r="B205" s="2" t="s">
        <v>626</v>
      </c>
      <c r="C205" s="2" t="s">
        <v>169</v>
      </c>
      <c r="D205" s="2" t="s">
        <v>651</v>
      </c>
      <c r="E205" s="2" t="s">
        <v>164</v>
      </c>
      <c r="F205" s="2" t="s">
        <v>171</v>
      </c>
      <c r="I205" s="2" t="s">
        <v>5</v>
      </c>
    </row>
    <row r="206" spans="1:9" x14ac:dyDescent="0.2">
      <c r="A206" s="2" t="s">
        <v>316</v>
      </c>
      <c r="B206" s="2" t="s">
        <v>627</v>
      </c>
      <c r="C206" s="2" t="s">
        <v>158</v>
      </c>
      <c r="D206" s="2" t="s">
        <v>652</v>
      </c>
      <c r="E206" s="2" t="s">
        <v>220</v>
      </c>
      <c r="F206" s="2" t="s">
        <v>88</v>
      </c>
      <c r="G206" s="2" t="s">
        <v>92</v>
      </c>
      <c r="I206" s="2" t="s">
        <v>132</v>
      </c>
    </row>
    <row r="207" spans="1:9" x14ac:dyDescent="0.2">
      <c r="A207" s="2" t="s">
        <v>316</v>
      </c>
      <c r="B207" s="2" t="s">
        <v>628</v>
      </c>
      <c r="C207" s="2" t="s">
        <v>173</v>
      </c>
      <c r="D207" s="2" t="s">
        <v>653</v>
      </c>
      <c r="E207" s="2" t="s">
        <v>164</v>
      </c>
      <c r="F207" s="2" t="s">
        <v>175</v>
      </c>
      <c r="I207" s="2" t="s">
        <v>176</v>
      </c>
    </row>
    <row r="208" spans="1:9" x14ac:dyDescent="0.2">
      <c r="A208" s="2" t="s">
        <v>316</v>
      </c>
      <c r="B208" s="2" t="s">
        <v>629</v>
      </c>
      <c r="C208" s="2" t="s">
        <v>177</v>
      </c>
      <c r="D208" s="2" t="s">
        <v>654</v>
      </c>
      <c r="E208" s="2" t="s">
        <v>164</v>
      </c>
      <c r="F208" s="2" t="s">
        <v>175</v>
      </c>
      <c r="I208" s="2" t="s">
        <v>179</v>
      </c>
    </row>
    <row r="209" spans="1:9" x14ac:dyDescent="0.2">
      <c r="A209" s="2" t="s">
        <v>316</v>
      </c>
      <c r="B209" s="2" t="s">
        <v>630</v>
      </c>
      <c r="C209" s="2" t="s">
        <v>181</v>
      </c>
      <c r="D209" s="2" t="s">
        <v>655</v>
      </c>
      <c r="E209" s="2" t="s">
        <v>164</v>
      </c>
      <c r="F209" s="2" t="s">
        <v>175</v>
      </c>
      <c r="I209" s="2" t="s">
        <v>183</v>
      </c>
    </row>
    <row r="210" spans="1:9" x14ac:dyDescent="0.2">
      <c r="A210" s="2" t="s">
        <v>316</v>
      </c>
      <c r="B210" s="2" t="s">
        <v>631</v>
      </c>
      <c r="C210" s="2" t="s">
        <v>196</v>
      </c>
      <c r="D210" s="2" t="s">
        <v>656</v>
      </c>
      <c r="E210" s="2" t="s">
        <v>164</v>
      </c>
      <c r="F210" s="2" t="s">
        <v>175</v>
      </c>
      <c r="I210" s="2" t="s">
        <v>197</v>
      </c>
    </row>
    <row r="211" spans="1:9" x14ac:dyDescent="0.2">
      <c r="A211" s="2" t="s">
        <v>316</v>
      </c>
      <c r="B211" s="2" t="s">
        <v>632</v>
      </c>
      <c r="C211" s="2" t="s">
        <v>198</v>
      </c>
      <c r="D211" s="2" t="s">
        <v>657</v>
      </c>
      <c r="E211" s="2" t="s">
        <v>164</v>
      </c>
      <c r="F211" s="2" t="s">
        <v>175</v>
      </c>
      <c r="I211" s="2" t="s">
        <v>199</v>
      </c>
    </row>
    <row r="212" spans="1:9" x14ac:dyDescent="0.2">
      <c r="A212" s="2" t="s">
        <v>316</v>
      </c>
      <c r="B212" s="2" t="s">
        <v>633</v>
      </c>
      <c r="C212" s="2" t="s">
        <v>184</v>
      </c>
      <c r="D212" s="2" t="s">
        <v>658</v>
      </c>
      <c r="E212" s="2" t="s">
        <v>164</v>
      </c>
      <c r="F212" s="2" t="s">
        <v>175</v>
      </c>
      <c r="I212" s="2" t="s">
        <v>186</v>
      </c>
    </row>
    <row r="213" spans="1:9" x14ac:dyDescent="0.2">
      <c r="A213" s="2" t="s">
        <v>316</v>
      </c>
      <c r="B213" s="2" t="s">
        <v>634</v>
      </c>
      <c r="C213" s="2" t="s">
        <v>1319</v>
      </c>
      <c r="D213" s="2" t="s">
        <v>659</v>
      </c>
      <c r="E213" s="2" t="s">
        <v>164</v>
      </c>
      <c r="F213" s="2" t="s">
        <v>171</v>
      </c>
      <c r="I213" s="2" t="s">
        <v>1320</v>
      </c>
    </row>
    <row r="214" spans="1:9" x14ac:dyDescent="0.2">
      <c r="A214" s="2" t="s">
        <v>316</v>
      </c>
      <c r="B214" s="2" t="s">
        <v>1344</v>
      </c>
      <c r="C214" s="2" t="s">
        <v>1317</v>
      </c>
      <c r="D214" s="2" t="s">
        <v>1345</v>
      </c>
      <c r="E214" s="2" t="s">
        <v>1333</v>
      </c>
      <c r="F214" s="2" t="s">
        <v>88</v>
      </c>
      <c r="I214" s="2" t="s">
        <v>1318</v>
      </c>
    </row>
    <row r="215" spans="1:9" x14ac:dyDescent="0.2">
      <c r="A215" s="2" t="s">
        <v>316</v>
      </c>
      <c r="B215" s="2" t="s">
        <v>1385</v>
      </c>
      <c r="C215" s="2" t="s">
        <v>1371</v>
      </c>
      <c r="D215" s="2" t="s">
        <v>1386</v>
      </c>
      <c r="E215" s="2" t="s">
        <v>1373</v>
      </c>
      <c r="F215" s="2" t="s">
        <v>88</v>
      </c>
      <c r="I215" s="2" t="s">
        <v>89</v>
      </c>
    </row>
    <row r="216" spans="1:9" x14ac:dyDescent="0.2">
      <c r="A216" s="42"/>
      <c r="B216" s="42"/>
      <c r="C216" s="42"/>
      <c r="D216" s="42"/>
      <c r="E216" s="43" t="s">
        <v>258</v>
      </c>
      <c r="F216" s="42"/>
      <c r="G216" s="42"/>
      <c r="H216" s="42"/>
      <c r="I216" s="42"/>
    </row>
    <row r="217" spans="1:9" x14ac:dyDescent="0.2">
      <c r="A217" s="2" t="s">
        <v>316</v>
      </c>
      <c r="B217" s="2" t="s">
        <v>131</v>
      </c>
      <c r="C217" s="2" t="str">
        <f>RIGHT(E216,LEN(E216)-5)</f>
        <v>Case008.sim</v>
      </c>
      <c r="E217" s="46"/>
      <c r="I217" s="2"/>
    </row>
    <row r="218" spans="1:9" x14ac:dyDescent="0.2">
      <c r="A218" s="2" t="s">
        <v>316</v>
      </c>
      <c r="B218" s="2" t="s">
        <v>120</v>
      </c>
      <c r="C218" s="2" t="s">
        <v>147</v>
      </c>
      <c r="D218" s="2" t="s">
        <v>123</v>
      </c>
      <c r="E218" s="2" t="s">
        <v>220</v>
      </c>
      <c r="F218" s="2" t="s">
        <v>88</v>
      </c>
      <c r="G218" s="2" t="s">
        <v>95</v>
      </c>
      <c r="I218" s="2" t="s">
        <v>96</v>
      </c>
    </row>
    <row r="219" spans="1:9" x14ac:dyDescent="0.2">
      <c r="A219" s="2" t="s">
        <v>316</v>
      </c>
      <c r="B219" s="2" t="s">
        <v>310</v>
      </c>
      <c r="C219" s="2" t="s">
        <v>148</v>
      </c>
      <c r="D219" s="2" t="s">
        <v>298</v>
      </c>
      <c r="E219" s="2" t="s">
        <v>220</v>
      </c>
      <c r="F219" s="2" t="s">
        <v>109</v>
      </c>
      <c r="G219" s="2" t="s">
        <v>110</v>
      </c>
      <c r="I219" s="2" t="s">
        <v>111</v>
      </c>
    </row>
    <row r="220" spans="1:9" x14ac:dyDescent="0.2">
      <c r="A220" s="2" t="s">
        <v>316</v>
      </c>
      <c r="B220" s="2" t="s">
        <v>660</v>
      </c>
      <c r="C220" s="2" t="s">
        <v>149</v>
      </c>
      <c r="D220" s="2" t="s">
        <v>684</v>
      </c>
      <c r="E220" s="2" t="s">
        <v>220</v>
      </c>
      <c r="F220" s="2" t="s">
        <v>109</v>
      </c>
      <c r="G220" s="2" t="s">
        <v>113</v>
      </c>
      <c r="I220" s="2" t="s">
        <v>111</v>
      </c>
    </row>
    <row r="221" spans="1:9" x14ac:dyDescent="0.2">
      <c r="A221" s="2" t="s">
        <v>316</v>
      </c>
      <c r="B221" s="2" t="s">
        <v>661</v>
      </c>
      <c r="C221" s="2" t="s">
        <v>150</v>
      </c>
      <c r="D221" s="2" t="s">
        <v>685</v>
      </c>
      <c r="E221" s="2" t="s">
        <v>220</v>
      </c>
      <c r="F221" s="2" t="s">
        <v>109</v>
      </c>
      <c r="G221" s="2" t="s">
        <v>115</v>
      </c>
      <c r="I221" s="2" t="s">
        <v>111</v>
      </c>
    </row>
    <row r="222" spans="1:9" x14ac:dyDescent="0.2">
      <c r="A222" s="2" t="s">
        <v>316</v>
      </c>
      <c r="B222" s="2" t="s">
        <v>662</v>
      </c>
      <c r="C222" s="2" t="s">
        <v>151</v>
      </c>
      <c r="D222" s="2" t="s">
        <v>686</v>
      </c>
      <c r="E222" s="2" t="s">
        <v>220</v>
      </c>
      <c r="F222" s="2" t="s">
        <v>109</v>
      </c>
      <c r="G222" s="2" t="s">
        <v>117</v>
      </c>
      <c r="I222" s="2" t="s">
        <v>111</v>
      </c>
    </row>
    <row r="223" spans="1:9" x14ac:dyDescent="0.2">
      <c r="A223" s="2" t="s">
        <v>316</v>
      </c>
      <c r="B223" s="2" t="s">
        <v>663</v>
      </c>
      <c r="C223" s="2" t="s">
        <v>152</v>
      </c>
      <c r="D223" s="2" t="s">
        <v>687</v>
      </c>
      <c r="E223" s="2" t="s">
        <v>220</v>
      </c>
      <c r="F223" s="2" t="s">
        <v>109</v>
      </c>
      <c r="G223" s="2" t="s">
        <v>119</v>
      </c>
      <c r="I223" s="2" t="s">
        <v>111</v>
      </c>
    </row>
    <row r="224" spans="1:9" x14ac:dyDescent="0.2">
      <c r="A224" s="2" t="s">
        <v>316</v>
      </c>
      <c r="B224" s="2" t="s">
        <v>664</v>
      </c>
      <c r="C224" s="2" t="s">
        <v>122</v>
      </c>
      <c r="D224" s="2" t="s">
        <v>688</v>
      </c>
      <c r="E224" s="2" t="s">
        <v>220</v>
      </c>
      <c r="F224" s="2" t="s">
        <v>109</v>
      </c>
      <c r="G224" s="2" t="s">
        <v>121</v>
      </c>
      <c r="I224" s="2" t="s">
        <v>122</v>
      </c>
    </row>
    <row r="225" spans="1:9" x14ac:dyDescent="0.2">
      <c r="A225" s="2" t="s">
        <v>316</v>
      </c>
      <c r="B225" s="2" t="s">
        <v>665</v>
      </c>
      <c r="C225" s="2" t="s">
        <v>153</v>
      </c>
      <c r="D225" s="2" t="s">
        <v>689</v>
      </c>
      <c r="E225" s="2" t="s">
        <v>220</v>
      </c>
      <c r="F225" s="2" t="s">
        <v>88</v>
      </c>
      <c r="G225" s="2" t="s">
        <v>92</v>
      </c>
      <c r="I225" s="2" t="s">
        <v>89</v>
      </c>
    </row>
    <row r="226" spans="1:9" x14ac:dyDescent="0.2">
      <c r="A226" s="2" t="s">
        <v>316</v>
      </c>
      <c r="B226" s="2" t="s">
        <v>666</v>
      </c>
      <c r="C226" s="2" t="s">
        <v>1308</v>
      </c>
      <c r="D226" s="2" t="s">
        <v>690</v>
      </c>
      <c r="E226" s="2" t="s">
        <v>220</v>
      </c>
      <c r="F226" s="2" t="s">
        <v>88</v>
      </c>
      <c r="G226" s="2" t="s">
        <v>103</v>
      </c>
      <c r="I226" s="2" t="s">
        <v>89</v>
      </c>
    </row>
    <row r="227" spans="1:9" x14ac:dyDescent="0.2">
      <c r="A227" s="2" t="s">
        <v>316</v>
      </c>
      <c r="B227" s="2" t="s">
        <v>667</v>
      </c>
      <c r="C227" s="2" t="s">
        <v>154</v>
      </c>
      <c r="D227" s="2" t="s">
        <v>691</v>
      </c>
      <c r="E227" s="2" t="s">
        <v>220</v>
      </c>
      <c r="F227" s="2" t="s">
        <v>88</v>
      </c>
      <c r="G227" s="2" t="s">
        <v>92</v>
      </c>
      <c r="I227" s="2" t="s">
        <v>125</v>
      </c>
    </row>
    <row r="228" spans="1:9" x14ac:dyDescent="0.2">
      <c r="A228" s="2" t="s">
        <v>316</v>
      </c>
      <c r="B228" s="2" t="s">
        <v>668</v>
      </c>
      <c r="C228" s="2" t="s">
        <v>155</v>
      </c>
      <c r="D228" s="2" t="s">
        <v>692</v>
      </c>
      <c r="E228" s="2" t="s">
        <v>220</v>
      </c>
      <c r="F228" s="2" t="s">
        <v>88</v>
      </c>
      <c r="G228" s="2" t="s">
        <v>103</v>
      </c>
      <c r="I228" s="2" t="s">
        <v>128</v>
      </c>
    </row>
    <row r="229" spans="1:9" x14ac:dyDescent="0.2">
      <c r="A229" s="2" t="s">
        <v>316</v>
      </c>
      <c r="B229" s="2" t="s">
        <v>669</v>
      </c>
      <c r="C229" s="2" t="s">
        <v>156</v>
      </c>
      <c r="D229" s="2" t="s">
        <v>693</v>
      </c>
      <c r="E229" s="2" t="s">
        <v>220</v>
      </c>
      <c r="F229" s="2" t="s">
        <v>88</v>
      </c>
      <c r="G229" s="2" t="s">
        <v>103</v>
      </c>
      <c r="I229" s="2" t="s">
        <v>96</v>
      </c>
    </row>
    <row r="230" spans="1:9" x14ac:dyDescent="0.2">
      <c r="A230" s="2" t="s">
        <v>316</v>
      </c>
      <c r="B230" s="2" t="s">
        <v>670</v>
      </c>
      <c r="C230" s="2" t="s">
        <v>157</v>
      </c>
      <c r="D230" s="2" t="s">
        <v>694</v>
      </c>
      <c r="E230" s="2" t="s">
        <v>220</v>
      </c>
      <c r="F230" s="2" t="s">
        <v>88</v>
      </c>
      <c r="G230" s="2" t="s">
        <v>92</v>
      </c>
      <c r="I230" s="2" t="s">
        <v>96</v>
      </c>
    </row>
    <row r="231" spans="1:9" x14ac:dyDescent="0.2">
      <c r="A231" s="2" t="s">
        <v>316</v>
      </c>
      <c r="B231" s="2" t="s">
        <v>671</v>
      </c>
      <c r="C231" s="2" t="s">
        <v>158</v>
      </c>
      <c r="D231" s="2" t="s">
        <v>695</v>
      </c>
      <c r="E231" s="2" t="s">
        <v>220</v>
      </c>
      <c r="F231" s="2" t="s">
        <v>88</v>
      </c>
      <c r="G231" s="2" t="s">
        <v>1312</v>
      </c>
      <c r="I231" s="2" t="s">
        <v>132</v>
      </c>
    </row>
    <row r="232" spans="1:9" x14ac:dyDescent="0.2">
      <c r="A232" s="2" t="s">
        <v>316</v>
      </c>
      <c r="B232" s="2" t="s">
        <v>672</v>
      </c>
      <c r="C232" s="2" t="s">
        <v>1313</v>
      </c>
      <c r="D232" s="2" t="s">
        <v>696</v>
      </c>
      <c r="E232" s="2" t="s">
        <v>220</v>
      </c>
      <c r="F232" s="2" t="s">
        <v>1487</v>
      </c>
      <c r="G232" s="2" t="s">
        <v>134</v>
      </c>
      <c r="I232" s="2" t="s">
        <v>135</v>
      </c>
    </row>
    <row r="233" spans="1:9" x14ac:dyDescent="0.2">
      <c r="A233" s="2" t="s">
        <v>316</v>
      </c>
      <c r="B233" s="2" t="s">
        <v>673</v>
      </c>
      <c r="C233" s="2" t="s">
        <v>1315</v>
      </c>
      <c r="D233" s="2" t="s">
        <v>697</v>
      </c>
      <c r="E233" s="2" t="s">
        <v>220</v>
      </c>
      <c r="F233" s="2" t="s">
        <v>88</v>
      </c>
      <c r="G233" s="2" t="s">
        <v>92</v>
      </c>
      <c r="I233" s="2" t="s">
        <v>1316</v>
      </c>
    </row>
    <row r="234" spans="1:9" x14ac:dyDescent="0.2">
      <c r="A234" s="2" t="s">
        <v>316</v>
      </c>
      <c r="B234" s="2" t="s">
        <v>674</v>
      </c>
      <c r="C234" s="2" t="s">
        <v>168</v>
      </c>
      <c r="D234" s="2" t="s">
        <v>698</v>
      </c>
      <c r="E234" s="2" t="s">
        <v>164</v>
      </c>
      <c r="F234" s="2" t="s">
        <v>109</v>
      </c>
      <c r="I234" s="2" t="s">
        <v>5</v>
      </c>
    </row>
    <row r="235" spans="1:9" x14ac:dyDescent="0.2">
      <c r="A235" s="2" t="s">
        <v>316</v>
      </c>
      <c r="B235" s="2" t="s">
        <v>675</v>
      </c>
      <c r="C235" s="2" t="s">
        <v>169</v>
      </c>
      <c r="D235" s="2" t="s">
        <v>699</v>
      </c>
      <c r="E235" s="2" t="s">
        <v>164</v>
      </c>
      <c r="F235" s="2" t="s">
        <v>171</v>
      </c>
      <c r="I235" s="2" t="s">
        <v>5</v>
      </c>
    </row>
    <row r="236" spans="1:9" x14ac:dyDescent="0.2">
      <c r="A236" s="2" t="s">
        <v>316</v>
      </c>
      <c r="B236" s="2" t="s">
        <v>676</v>
      </c>
      <c r="C236" s="2" t="s">
        <v>158</v>
      </c>
      <c r="D236" s="2" t="s">
        <v>700</v>
      </c>
      <c r="E236" s="2" t="s">
        <v>220</v>
      </c>
      <c r="F236" s="2" t="s">
        <v>88</v>
      </c>
      <c r="G236" s="2" t="s">
        <v>92</v>
      </c>
      <c r="I236" s="2" t="s">
        <v>132</v>
      </c>
    </row>
    <row r="237" spans="1:9" x14ac:dyDescent="0.2">
      <c r="A237" s="2" t="s">
        <v>316</v>
      </c>
      <c r="B237" s="2" t="s">
        <v>677</v>
      </c>
      <c r="C237" s="2" t="s">
        <v>173</v>
      </c>
      <c r="D237" s="2" t="s">
        <v>701</v>
      </c>
      <c r="E237" s="2" t="s">
        <v>164</v>
      </c>
      <c r="F237" s="2" t="s">
        <v>175</v>
      </c>
      <c r="I237" s="2" t="s">
        <v>176</v>
      </c>
    </row>
    <row r="238" spans="1:9" x14ac:dyDescent="0.2">
      <c r="A238" s="2" t="s">
        <v>316</v>
      </c>
      <c r="B238" s="2" t="s">
        <v>678</v>
      </c>
      <c r="C238" s="2" t="s">
        <v>177</v>
      </c>
      <c r="D238" s="2" t="s">
        <v>702</v>
      </c>
      <c r="E238" s="2" t="s">
        <v>164</v>
      </c>
      <c r="F238" s="2" t="s">
        <v>175</v>
      </c>
      <c r="I238" s="2" t="s">
        <v>179</v>
      </c>
    </row>
    <row r="239" spans="1:9" x14ac:dyDescent="0.2">
      <c r="A239" s="2" t="s">
        <v>316</v>
      </c>
      <c r="B239" s="2" t="s">
        <v>679</v>
      </c>
      <c r="C239" s="2" t="s">
        <v>181</v>
      </c>
      <c r="D239" s="2" t="s">
        <v>703</v>
      </c>
      <c r="E239" s="2" t="s">
        <v>164</v>
      </c>
      <c r="F239" s="2" t="s">
        <v>175</v>
      </c>
      <c r="I239" s="2" t="s">
        <v>183</v>
      </c>
    </row>
    <row r="240" spans="1:9" x14ac:dyDescent="0.2">
      <c r="A240" s="2" t="s">
        <v>316</v>
      </c>
      <c r="B240" s="2" t="s">
        <v>680</v>
      </c>
      <c r="C240" s="2" t="s">
        <v>196</v>
      </c>
      <c r="D240" s="2" t="s">
        <v>704</v>
      </c>
      <c r="E240" s="2" t="s">
        <v>164</v>
      </c>
      <c r="F240" s="2" t="s">
        <v>175</v>
      </c>
      <c r="I240" s="2" t="s">
        <v>197</v>
      </c>
    </row>
    <row r="241" spans="1:9" x14ac:dyDescent="0.2">
      <c r="A241" s="2" t="s">
        <v>316</v>
      </c>
      <c r="B241" s="2" t="s">
        <v>681</v>
      </c>
      <c r="C241" s="2" t="s">
        <v>198</v>
      </c>
      <c r="D241" s="2" t="s">
        <v>705</v>
      </c>
      <c r="E241" s="2" t="s">
        <v>164</v>
      </c>
      <c r="F241" s="2" t="s">
        <v>175</v>
      </c>
      <c r="I241" s="2" t="s">
        <v>199</v>
      </c>
    </row>
    <row r="242" spans="1:9" x14ac:dyDescent="0.2">
      <c r="A242" s="2" t="s">
        <v>316</v>
      </c>
      <c r="B242" s="2" t="s">
        <v>682</v>
      </c>
      <c r="C242" s="2" t="s">
        <v>184</v>
      </c>
      <c r="D242" s="2" t="s">
        <v>706</v>
      </c>
      <c r="E242" s="2" t="s">
        <v>164</v>
      </c>
      <c r="F242" s="2" t="s">
        <v>175</v>
      </c>
      <c r="I242" s="2" t="s">
        <v>186</v>
      </c>
    </row>
    <row r="243" spans="1:9" x14ac:dyDescent="0.2">
      <c r="A243" s="2" t="s">
        <v>316</v>
      </c>
      <c r="B243" s="2" t="s">
        <v>683</v>
      </c>
      <c r="C243" s="2" t="s">
        <v>1319</v>
      </c>
      <c r="D243" s="2" t="s">
        <v>707</v>
      </c>
      <c r="E243" s="2" t="s">
        <v>164</v>
      </c>
      <c r="F243" s="2" t="s">
        <v>171</v>
      </c>
      <c r="I243" s="2" t="s">
        <v>1320</v>
      </c>
    </row>
    <row r="244" spans="1:9" x14ac:dyDescent="0.2">
      <c r="A244" s="2" t="s">
        <v>316</v>
      </c>
      <c r="B244" s="2" t="s">
        <v>1346</v>
      </c>
      <c r="C244" s="2" t="s">
        <v>1317</v>
      </c>
      <c r="D244" s="2" t="s">
        <v>1347</v>
      </c>
      <c r="E244" s="2" t="s">
        <v>1333</v>
      </c>
      <c r="F244" s="2" t="s">
        <v>88</v>
      </c>
      <c r="I244" s="2" t="s">
        <v>1318</v>
      </c>
    </row>
    <row r="245" spans="1:9" x14ac:dyDescent="0.2">
      <c r="A245" s="2" t="s">
        <v>316</v>
      </c>
      <c r="B245" s="2" t="s">
        <v>1387</v>
      </c>
      <c r="C245" s="2" t="s">
        <v>1371</v>
      </c>
      <c r="D245" s="2" t="s">
        <v>1388</v>
      </c>
      <c r="E245" s="2" t="s">
        <v>1373</v>
      </c>
      <c r="F245" s="2" t="s">
        <v>88</v>
      </c>
      <c r="I245" s="2" t="s">
        <v>89</v>
      </c>
    </row>
    <row r="246" spans="1:9" x14ac:dyDescent="0.2">
      <c r="A246" s="42"/>
      <c r="B246" s="42"/>
      <c r="C246" s="42"/>
      <c r="D246" s="42"/>
      <c r="E246" s="43" t="s">
        <v>259</v>
      </c>
      <c r="F246" s="42"/>
      <c r="G246" s="42"/>
      <c r="H246" s="42"/>
      <c r="I246" s="42"/>
    </row>
    <row r="247" spans="1:9" x14ac:dyDescent="0.2">
      <c r="A247" s="2" t="s">
        <v>316</v>
      </c>
      <c r="B247" s="2" t="s">
        <v>133</v>
      </c>
      <c r="C247" s="2" t="str">
        <f>RIGHT(E246,LEN(E246)-5)</f>
        <v>Case009.sim</v>
      </c>
      <c r="E247" s="46"/>
      <c r="I247" s="2"/>
    </row>
    <row r="248" spans="1:9" x14ac:dyDescent="0.2">
      <c r="A248" s="2" t="s">
        <v>316</v>
      </c>
      <c r="B248" s="2" t="s">
        <v>126</v>
      </c>
      <c r="C248" s="2" t="s">
        <v>147</v>
      </c>
      <c r="D248" s="2" t="s">
        <v>129</v>
      </c>
      <c r="E248" s="2" t="s">
        <v>220</v>
      </c>
      <c r="F248" s="2" t="s">
        <v>88</v>
      </c>
      <c r="G248" s="2" t="s">
        <v>95</v>
      </c>
      <c r="I248" s="2" t="s">
        <v>96</v>
      </c>
    </row>
    <row r="249" spans="1:9" x14ac:dyDescent="0.2">
      <c r="A249" s="2" t="s">
        <v>316</v>
      </c>
      <c r="B249" s="2" t="s">
        <v>708</v>
      </c>
      <c r="C249" s="2" t="s">
        <v>148</v>
      </c>
      <c r="D249" s="2" t="s">
        <v>299</v>
      </c>
      <c r="E249" s="2" t="s">
        <v>220</v>
      </c>
      <c r="F249" s="2" t="s">
        <v>109</v>
      </c>
      <c r="G249" s="2" t="s">
        <v>110</v>
      </c>
      <c r="I249" s="2" t="s">
        <v>111</v>
      </c>
    </row>
    <row r="250" spans="1:9" x14ac:dyDescent="0.2">
      <c r="A250" s="2" t="s">
        <v>316</v>
      </c>
      <c r="B250" s="2" t="s">
        <v>709</v>
      </c>
      <c r="C250" s="2" t="s">
        <v>149</v>
      </c>
      <c r="D250" s="2" t="s">
        <v>733</v>
      </c>
      <c r="E250" s="2" t="s">
        <v>220</v>
      </c>
      <c r="F250" s="2" t="s">
        <v>109</v>
      </c>
      <c r="G250" s="2" t="s">
        <v>113</v>
      </c>
      <c r="I250" s="2" t="s">
        <v>111</v>
      </c>
    </row>
    <row r="251" spans="1:9" x14ac:dyDescent="0.2">
      <c r="A251" s="2" t="s">
        <v>316</v>
      </c>
      <c r="B251" s="2" t="s">
        <v>710</v>
      </c>
      <c r="C251" s="2" t="s">
        <v>150</v>
      </c>
      <c r="D251" s="2" t="s">
        <v>734</v>
      </c>
      <c r="E251" s="2" t="s">
        <v>220</v>
      </c>
      <c r="F251" s="2" t="s">
        <v>109</v>
      </c>
      <c r="G251" s="2" t="s">
        <v>115</v>
      </c>
      <c r="I251" s="2" t="s">
        <v>111</v>
      </c>
    </row>
    <row r="252" spans="1:9" x14ac:dyDescent="0.2">
      <c r="A252" s="2" t="s">
        <v>316</v>
      </c>
      <c r="B252" s="2" t="s">
        <v>711</v>
      </c>
      <c r="C252" s="2" t="s">
        <v>151</v>
      </c>
      <c r="D252" s="2" t="s">
        <v>735</v>
      </c>
      <c r="E252" s="2" t="s">
        <v>220</v>
      </c>
      <c r="F252" s="2" t="s">
        <v>109</v>
      </c>
      <c r="G252" s="2" t="s">
        <v>117</v>
      </c>
      <c r="I252" s="2" t="s">
        <v>111</v>
      </c>
    </row>
    <row r="253" spans="1:9" x14ac:dyDescent="0.2">
      <c r="A253" s="2" t="s">
        <v>316</v>
      </c>
      <c r="B253" s="2" t="s">
        <v>712</v>
      </c>
      <c r="C253" s="2" t="s">
        <v>152</v>
      </c>
      <c r="D253" s="2" t="s">
        <v>736</v>
      </c>
      <c r="E253" s="2" t="s">
        <v>220</v>
      </c>
      <c r="F253" s="2" t="s">
        <v>109</v>
      </c>
      <c r="G253" s="2" t="s">
        <v>119</v>
      </c>
      <c r="I253" s="2" t="s">
        <v>111</v>
      </c>
    </row>
    <row r="254" spans="1:9" x14ac:dyDescent="0.2">
      <c r="A254" s="2" t="s">
        <v>316</v>
      </c>
      <c r="B254" s="2" t="s">
        <v>713</v>
      </c>
      <c r="C254" s="2" t="s">
        <v>122</v>
      </c>
      <c r="D254" s="2" t="s">
        <v>737</v>
      </c>
      <c r="E254" s="2" t="s">
        <v>220</v>
      </c>
      <c r="F254" s="2" t="s">
        <v>109</v>
      </c>
      <c r="G254" s="2" t="s">
        <v>121</v>
      </c>
      <c r="I254" s="2" t="s">
        <v>122</v>
      </c>
    </row>
    <row r="255" spans="1:9" x14ac:dyDescent="0.2">
      <c r="A255" s="2" t="s">
        <v>316</v>
      </c>
      <c r="B255" s="2" t="s">
        <v>714</v>
      </c>
      <c r="C255" s="2" t="s">
        <v>153</v>
      </c>
      <c r="D255" s="2" t="s">
        <v>738</v>
      </c>
      <c r="E255" s="2" t="s">
        <v>220</v>
      </c>
      <c r="F255" s="2" t="s">
        <v>88</v>
      </c>
      <c r="G255" s="2" t="s">
        <v>92</v>
      </c>
      <c r="I255" s="2" t="s">
        <v>89</v>
      </c>
    </row>
    <row r="256" spans="1:9" x14ac:dyDescent="0.2">
      <c r="A256" s="2" t="s">
        <v>316</v>
      </c>
      <c r="B256" s="2" t="s">
        <v>715</v>
      </c>
      <c r="C256" s="2" t="s">
        <v>1308</v>
      </c>
      <c r="D256" s="2" t="s">
        <v>739</v>
      </c>
      <c r="E256" s="2" t="s">
        <v>220</v>
      </c>
      <c r="F256" s="2" t="s">
        <v>88</v>
      </c>
      <c r="G256" s="2" t="s">
        <v>103</v>
      </c>
      <c r="I256" s="2" t="s">
        <v>89</v>
      </c>
    </row>
    <row r="257" spans="1:9" x14ac:dyDescent="0.2">
      <c r="A257" s="2" t="s">
        <v>316</v>
      </c>
      <c r="B257" s="2" t="s">
        <v>716</v>
      </c>
      <c r="C257" s="2" t="s">
        <v>154</v>
      </c>
      <c r="D257" s="2" t="s">
        <v>740</v>
      </c>
      <c r="E257" s="2" t="s">
        <v>220</v>
      </c>
      <c r="F257" s="2" t="s">
        <v>88</v>
      </c>
      <c r="G257" s="2" t="s">
        <v>92</v>
      </c>
      <c r="I257" s="2" t="s">
        <v>125</v>
      </c>
    </row>
    <row r="258" spans="1:9" x14ac:dyDescent="0.2">
      <c r="A258" s="2" t="s">
        <v>316</v>
      </c>
      <c r="B258" s="2" t="s">
        <v>717</v>
      </c>
      <c r="C258" s="2" t="s">
        <v>155</v>
      </c>
      <c r="D258" s="2" t="s">
        <v>741</v>
      </c>
      <c r="E258" s="2" t="s">
        <v>220</v>
      </c>
      <c r="F258" s="2" t="s">
        <v>88</v>
      </c>
      <c r="G258" s="2" t="s">
        <v>103</v>
      </c>
      <c r="I258" s="2" t="s">
        <v>128</v>
      </c>
    </row>
    <row r="259" spans="1:9" x14ac:dyDescent="0.2">
      <c r="A259" s="2" t="s">
        <v>316</v>
      </c>
      <c r="B259" s="2" t="s">
        <v>718</v>
      </c>
      <c r="C259" s="2" t="s">
        <v>156</v>
      </c>
      <c r="D259" s="2" t="s">
        <v>742</v>
      </c>
      <c r="E259" s="2" t="s">
        <v>220</v>
      </c>
      <c r="F259" s="2" t="s">
        <v>88</v>
      </c>
      <c r="G259" s="2" t="s">
        <v>103</v>
      </c>
      <c r="I259" s="2" t="s">
        <v>96</v>
      </c>
    </row>
    <row r="260" spans="1:9" x14ac:dyDescent="0.2">
      <c r="A260" s="2" t="s">
        <v>316</v>
      </c>
      <c r="B260" s="2" t="s">
        <v>719</v>
      </c>
      <c r="C260" s="2" t="s">
        <v>157</v>
      </c>
      <c r="D260" s="2" t="s">
        <v>743</v>
      </c>
      <c r="E260" s="2" t="s">
        <v>220</v>
      </c>
      <c r="F260" s="2" t="s">
        <v>88</v>
      </c>
      <c r="G260" s="2" t="s">
        <v>92</v>
      </c>
      <c r="I260" s="2" t="s">
        <v>96</v>
      </c>
    </row>
    <row r="261" spans="1:9" x14ac:dyDescent="0.2">
      <c r="A261" s="2" t="s">
        <v>316</v>
      </c>
      <c r="B261" s="2" t="s">
        <v>720</v>
      </c>
      <c r="C261" s="2" t="s">
        <v>158</v>
      </c>
      <c r="D261" s="2" t="s">
        <v>744</v>
      </c>
      <c r="E261" s="2" t="s">
        <v>220</v>
      </c>
      <c r="F261" s="2" t="s">
        <v>88</v>
      </c>
      <c r="G261" s="2" t="s">
        <v>1312</v>
      </c>
      <c r="I261" s="2" t="s">
        <v>132</v>
      </c>
    </row>
    <row r="262" spans="1:9" x14ac:dyDescent="0.2">
      <c r="A262" s="2" t="s">
        <v>316</v>
      </c>
      <c r="B262" s="2" t="s">
        <v>721</v>
      </c>
      <c r="C262" s="2" t="s">
        <v>1313</v>
      </c>
      <c r="D262" s="2" t="s">
        <v>745</v>
      </c>
      <c r="E262" s="2" t="s">
        <v>220</v>
      </c>
      <c r="F262" s="2" t="s">
        <v>1487</v>
      </c>
      <c r="G262" s="2" t="s">
        <v>134</v>
      </c>
      <c r="I262" s="2" t="s">
        <v>135</v>
      </c>
    </row>
    <row r="263" spans="1:9" x14ac:dyDescent="0.2">
      <c r="A263" s="2" t="s">
        <v>316</v>
      </c>
      <c r="B263" s="2" t="s">
        <v>722</v>
      </c>
      <c r="C263" s="2" t="s">
        <v>1315</v>
      </c>
      <c r="D263" s="2" t="s">
        <v>746</v>
      </c>
      <c r="E263" s="2" t="s">
        <v>220</v>
      </c>
      <c r="F263" s="2" t="s">
        <v>88</v>
      </c>
      <c r="G263" s="2" t="s">
        <v>92</v>
      </c>
      <c r="I263" s="2" t="s">
        <v>1316</v>
      </c>
    </row>
    <row r="264" spans="1:9" x14ac:dyDescent="0.2">
      <c r="A264" s="2" t="s">
        <v>316</v>
      </c>
      <c r="B264" s="2" t="s">
        <v>723</v>
      </c>
      <c r="C264" s="2" t="s">
        <v>168</v>
      </c>
      <c r="D264" s="2" t="s">
        <v>747</v>
      </c>
      <c r="E264" s="2" t="s">
        <v>164</v>
      </c>
      <c r="F264" s="2" t="s">
        <v>109</v>
      </c>
      <c r="I264" s="2" t="s">
        <v>5</v>
      </c>
    </row>
    <row r="265" spans="1:9" x14ac:dyDescent="0.2">
      <c r="A265" s="2" t="s">
        <v>316</v>
      </c>
      <c r="B265" s="2" t="s">
        <v>724</v>
      </c>
      <c r="C265" s="2" t="s">
        <v>169</v>
      </c>
      <c r="D265" s="2" t="s">
        <v>748</v>
      </c>
      <c r="E265" s="2" t="s">
        <v>164</v>
      </c>
      <c r="F265" s="2" t="s">
        <v>171</v>
      </c>
      <c r="I265" s="2" t="s">
        <v>5</v>
      </c>
    </row>
    <row r="266" spans="1:9" x14ac:dyDescent="0.2">
      <c r="A266" s="2" t="s">
        <v>316</v>
      </c>
      <c r="B266" s="2" t="s">
        <v>725</v>
      </c>
      <c r="C266" s="2" t="s">
        <v>158</v>
      </c>
      <c r="D266" s="2" t="s">
        <v>749</v>
      </c>
      <c r="E266" s="2" t="s">
        <v>220</v>
      </c>
      <c r="F266" s="2" t="s">
        <v>88</v>
      </c>
      <c r="G266" s="2" t="s">
        <v>92</v>
      </c>
      <c r="I266" s="2" t="s">
        <v>132</v>
      </c>
    </row>
    <row r="267" spans="1:9" x14ac:dyDescent="0.2">
      <c r="A267" s="2" t="s">
        <v>316</v>
      </c>
      <c r="B267" s="2" t="s">
        <v>726</v>
      </c>
      <c r="C267" s="2" t="s">
        <v>173</v>
      </c>
      <c r="D267" s="2" t="s">
        <v>750</v>
      </c>
      <c r="E267" s="2" t="s">
        <v>164</v>
      </c>
      <c r="F267" s="2" t="s">
        <v>175</v>
      </c>
      <c r="I267" s="2" t="s">
        <v>176</v>
      </c>
    </row>
    <row r="268" spans="1:9" x14ac:dyDescent="0.2">
      <c r="A268" s="2" t="s">
        <v>316</v>
      </c>
      <c r="B268" s="2" t="s">
        <v>727</v>
      </c>
      <c r="C268" s="2" t="s">
        <v>177</v>
      </c>
      <c r="D268" s="2" t="s">
        <v>751</v>
      </c>
      <c r="E268" s="2" t="s">
        <v>164</v>
      </c>
      <c r="F268" s="2" t="s">
        <v>175</v>
      </c>
      <c r="I268" s="2" t="s">
        <v>179</v>
      </c>
    </row>
    <row r="269" spans="1:9" x14ac:dyDescent="0.2">
      <c r="A269" s="2" t="s">
        <v>316</v>
      </c>
      <c r="B269" s="2" t="s">
        <v>728</v>
      </c>
      <c r="C269" s="2" t="s">
        <v>181</v>
      </c>
      <c r="D269" s="2" t="s">
        <v>752</v>
      </c>
      <c r="E269" s="2" t="s">
        <v>164</v>
      </c>
      <c r="F269" s="2" t="s">
        <v>175</v>
      </c>
      <c r="I269" s="2" t="s">
        <v>183</v>
      </c>
    </row>
    <row r="270" spans="1:9" x14ac:dyDescent="0.2">
      <c r="A270" s="2" t="s">
        <v>316</v>
      </c>
      <c r="B270" s="2" t="s">
        <v>729</v>
      </c>
      <c r="C270" s="2" t="s">
        <v>196</v>
      </c>
      <c r="D270" s="2" t="s">
        <v>753</v>
      </c>
      <c r="E270" s="2" t="s">
        <v>164</v>
      </c>
      <c r="F270" s="2" t="s">
        <v>175</v>
      </c>
      <c r="I270" s="2" t="s">
        <v>197</v>
      </c>
    </row>
    <row r="271" spans="1:9" x14ac:dyDescent="0.2">
      <c r="A271" s="2" t="s">
        <v>316</v>
      </c>
      <c r="B271" s="2" t="s">
        <v>730</v>
      </c>
      <c r="C271" s="2" t="s">
        <v>198</v>
      </c>
      <c r="D271" s="2" t="s">
        <v>754</v>
      </c>
      <c r="E271" s="2" t="s">
        <v>164</v>
      </c>
      <c r="F271" s="2" t="s">
        <v>175</v>
      </c>
      <c r="I271" s="2" t="s">
        <v>199</v>
      </c>
    </row>
    <row r="272" spans="1:9" x14ac:dyDescent="0.2">
      <c r="A272" s="2" t="s">
        <v>316</v>
      </c>
      <c r="B272" s="2" t="s">
        <v>731</v>
      </c>
      <c r="C272" s="2" t="s">
        <v>184</v>
      </c>
      <c r="D272" s="2" t="s">
        <v>755</v>
      </c>
      <c r="E272" s="2" t="s">
        <v>164</v>
      </c>
      <c r="F272" s="2" t="s">
        <v>175</v>
      </c>
      <c r="I272" s="2" t="s">
        <v>186</v>
      </c>
    </row>
    <row r="273" spans="1:9" x14ac:dyDescent="0.2">
      <c r="A273" s="2" t="s">
        <v>316</v>
      </c>
      <c r="B273" s="2" t="s">
        <v>732</v>
      </c>
      <c r="C273" s="2" t="s">
        <v>1319</v>
      </c>
      <c r="D273" s="2" t="s">
        <v>756</v>
      </c>
      <c r="E273" s="2" t="s">
        <v>164</v>
      </c>
      <c r="F273" s="2" t="s">
        <v>171</v>
      </c>
      <c r="I273" s="2" t="s">
        <v>1320</v>
      </c>
    </row>
    <row r="274" spans="1:9" x14ac:dyDescent="0.2">
      <c r="A274" s="2" t="s">
        <v>316</v>
      </c>
      <c r="B274" s="2" t="s">
        <v>1348</v>
      </c>
      <c r="C274" s="2" t="s">
        <v>1317</v>
      </c>
      <c r="D274" s="2" t="s">
        <v>1349</v>
      </c>
      <c r="E274" s="2" t="s">
        <v>1333</v>
      </c>
      <c r="F274" s="2" t="s">
        <v>88</v>
      </c>
      <c r="I274" s="2" t="s">
        <v>1318</v>
      </c>
    </row>
    <row r="275" spans="1:9" x14ac:dyDescent="0.2">
      <c r="A275" s="2" t="s">
        <v>316</v>
      </c>
      <c r="B275" s="2" t="s">
        <v>1389</v>
      </c>
      <c r="C275" s="2" t="s">
        <v>1371</v>
      </c>
      <c r="D275" s="2" t="s">
        <v>1390</v>
      </c>
      <c r="E275" s="2" t="s">
        <v>1373</v>
      </c>
      <c r="F275" s="2" t="s">
        <v>88</v>
      </c>
      <c r="I275" s="2" t="s">
        <v>89</v>
      </c>
    </row>
    <row r="276" spans="1:9" x14ac:dyDescent="0.2">
      <c r="A276" s="42"/>
      <c r="B276" s="42"/>
      <c r="C276" s="42"/>
      <c r="D276" s="42"/>
      <c r="E276" s="43" t="s">
        <v>260</v>
      </c>
      <c r="F276" s="42"/>
      <c r="G276" s="42"/>
      <c r="H276" s="42"/>
      <c r="I276" s="42"/>
    </row>
    <row r="277" spans="1:9" x14ac:dyDescent="0.2">
      <c r="A277" s="2" t="s">
        <v>316</v>
      </c>
      <c r="B277" s="2" t="s">
        <v>138</v>
      </c>
      <c r="C277" s="2" t="str">
        <f>RIGHT(E276,LEN(E276)-5)</f>
        <v>Case010.sim</v>
      </c>
      <c r="E277" s="46"/>
      <c r="I277" s="2"/>
    </row>
    <row r="278" spans="1:9" x14ac:dyDescent="0.2">
      <c r="A278" s="2" t="s">
        <v>316</v>
      </c>
      <c r="B278" s="2" t="s">
        <v>136</v>
      </c>
      <c r="C278" s="2" t="s">
        <v>147</v>
      </c>
      <c r="D278" s="2" t="s">
        <v>139</v>
      </c>
      <c r="E278" s="2" t="s">
        <v>220</v>
      </c>
      <c r="F278" s="2" t="s">
        <v>88</v>
      </c>
      <c r="G278" s="2" t="s">
        <v>95</v>
      </c>
      <c r="I278" s="2" t="s">
        <v>96</v>
      </c>
    </row>
    <row r="279" spans="1:9" x14ac:dyDescent="0.2">
      <c r="A279" s="2" t="s">
        <v>316</v>
      </c>
      <c r="B279" s="2" t="s">
        <v>311</v>
      </c>
      <c r="C279" s="2" t="s">
        <v>148</v>
      </c>
      <c r="D279" s="2" t="s">
        <v>781</v>
      </c>
      <c r="E279" s="2" t="s">
        <v>220</v>
      </c>
      <c r="F279" s="2" t="s">
        <v>109</v>
      </c>
      <c r="G279" s="2" t="s">
        <v>110</v>
      </c>
      <c r="I279" s="2" t="s">
        <v>111</v>
      </c>
    </row>
    <row r="280" spans="1:9" x14ac:dyDescent="0.2">
      <c r="A280" s="2" t="s">
        <v>316</v>
      </c>
      <c r="B280" s="2" t="s">
        <v>757</v>
      </c>
      <c r="C280" s="2" t="s">
        <v>149</v>
      </c>
      <c r="D280" s="2" t="s">
        <v>782</v>
      </c>
      <c r="E280" s="2" t="s">
        <v>220</v>
      </c>
      <c r="F280" s="2" t="s">
        <v>109</v>
      </c>
      <c r="G280" s="2" t="s">
        <v>113</v>
      </c>
      <c r="I280" s="2" t="s">
        <v>111</v>
      </c>
    </row>
    <row r="281" spans="1:9" x14ac:dyDescent="0.2">
      <c r="A281" s="2" t="s">
        <v>316</v>
      </c>
      <c r="B281" s="2" t="s">
        <v>758</v>
      </c>
      <c r="C281" s="2" t="s">
        <v>150</v>
      </c>
      <c r="D281" s="2" t="s">
        <v>783</v>
      </c>
      <c r="E281" s="2" t="s">
        <v>220</v>
      </c>
      <c r="F281" s="2" t="s">
        <v>109</v>
      </c>
      <c r="G281" s="2" t="s">
        <v>115</v>
      </c>
      <c r="I281" s="2" t="s">
        <v>111</v>
      </c>
    </row>
    <row r="282" spans="1:9" x14ac:dyDescent="0.2">
      <c r="A282" s="2" t="s">
        <v>316</v>
      </c>
      <c r="B282" s="2" t="s">
        <v>759</v>
      </c>
      <c r="C282" s="2" t="s">
        <v>151</v>
      </c>
      <c r="D282" s="2" t="s">
        <v>784</v>
      </c>
      <c r="E282" s="2" t="s">
        <v>220</v>
      </c>
      <c r="F282" s="2" t="s">
        <v>109</v>
      </c>
      <c r="G282" s="2" t="s">
        <v>117</v>
      </c>
      <c r="I282" s="2" t="s">
        <v>111</v>
      </c>
    </row>
    <row r="283" spans="1:9" x14ac:dyDescent="0.2">
      <c r="A283" s="2" t="s">
        <v>316</v>
      </c>
      <c r="B283" s="2" t="s">
        <v>760</v>
      </c>
      <c r="C283" s="2" t="s">
        <v>152</v>
      </c>
      <c r="D283" s="2" t="s">
        <v>785</v>
      </c>
      <c r="E283" s="2" t="s">
        <v>220</v>
      </c>
      <c r="F283" s="2" t="s">
        <v>109</v>
      </c>
      <c r="G283" s="2" t="s">
        <v>119</v>
      </c>
      <c r="I283" s="2" t="s">
        <v>111</v>
      </c>
    </row>
    <row r="284" spans="1:9" x14ac:dyDescent="0.2">
      <c r="A284" s="2" t="s">
        <v>316</v>
      </c>
      <c r="B284" s="2" t="s">
        <v>761</v>
      </c>
      <c r="C284" s="2" t="s">
        <v>122</v>
      </c>
      <c r="D284" s="2" t="s">
        <v>786</v>
      </c>
      <c r="E284" s="2" t="s">
        <v>220</v>
      </c>
      <c r="F284" s="2" t="s">
        <v>109</v>
      </c>
      <c r="G284" s="2" t="s">
        <v>121</v>
      </c>
      <c r="I284" s="2" t="s">
        <v>122</v>
      </c>
    </row>
    <row r="285" spans="1:9" x14ac:dyDescent="0.2">
      <c r="A285" s="2" t="s">
        <v>316</v>
      </c>
      <c r="B285" s="2" t="s">
        <v>762</v>
      </c>
      <c r="C285" s="2" t="s">
        <v>153</v>
      </c>
      <c r="D285" s="2" t="s">
        <v>787</v>
      </c>
      <c r="E285" s="2" t="s">
        <v>220</v>
      </c>
      <c r="F285" s="2" t="s">
        <v>88</v>
      </c>
      <c r="G285" s="2" t="s">
        <v>92</v>
      </c>
      <c r="I285" s="2" t="s">
        <v>89</v>
      </c>
    </row>
    <row r="286" spans="1:9" x14ac:dyDescent="0.2">
      <c r="A286" s="2" t="s">
        <v>316</v>
      </c>
      <c r="B286" s="2" t="s">
        <v>763</v>
      </c>
      <c r="C286" s="2" t="s">
        <v>1308</v>
      </c>
      <c r="D286" s="2" t="s">
        <v>788</v>
      </c>
      <c r="E286" s="2" t="s">
        <v>220</v>
      </c>
      <c r="F286" s="2" t="s">
        <v>88</v>
      </c>
      <c r="G286" s="2" t="s">
        <v>103</v>
      </c>
      <c r="I286" s="2" t="s">
        <v>89</v>
      </c>
    </row>
    <row r="287" spans="1:9" x14ac:dyDescent="0.2">
      <c r="A287" s="2" t="s">
        <v>316</v>
      </c>
      <c r="B287" s="2" t="s">
        <v>764</v>
      </c>
      <c r="C287" s="2" t="s">
        <v>154</v>
      </c>
      <c r="D287" s="2" t="s">
        <v>789</v>
      </c>
      <c r="E287" s="2" t="s">
        <v>220</v>
      </c>
      <c r="F287" s="2" t="s">
        <v>88</v>
      </c>
      <c r="G287" s="2" t="s">
        <v>92</v>
      </c>
      <c r="I287" s="2" t="s">
        <v>125</v>
      </c>
    </row>
    <row r="288" spans="1:9" x14ac:dyDescent="0.2">
      <c r="A288" s="2" t="s">
        <v>316</v>
      </c>
      <c r="B288" s="2" t="s">
        <v>765</v>
      </c>
      <c r="C288" s="2" t="s">
        <v>155</v>
      </c>
      <c r="D288" s="2" t="s">
        <v>790</v>
      </c>
      <c r="E288" s="2" t="s">
        <v>220</v>
      </c>
      <c r="F288" s="2" t="s">
        <v>88</v>
      </c>
      <c r="G288" s="2" t="s">
        <v>103</v>
      </c>
      <c r="I288" s="2" t="s">
        <v>128</v>
      </c>
    </row>
    <row r="289" spans="1:9" x14ac:dyDescent="0.2">
      <c r="A289" s="2" t="s">
        <v>316</v>
      </c>
      <c r="B289" s="2" t="s">
        <v>766</v>
      </c>
      <c r="C289" s="2" t="s">
        <v>156</v>
      </c>
      <c r="D289" s="2" t="s">
        <v>791</v>
      </c>
      <c r="E289" s="2" t="s">
        <v>220</v>
      </c>
      <c r="F289" s="2" t="s">
        <v>88</v>
      </c>
      <c r="G289" s="2" t="s">
        <v>103</v>
      </c>
      <c r="I289" s="2" t="s">
        <v>96</v>
      </c>
    </row>
    <row r="290" spans="1:9" x14ac:dyDescent="0.2">
      <c r="A290" s="2" t="s">
        <v>316</v>
      </c>
      <c r="B290" s="2" t="s">
        <v>767</v>
      </c>
      <c r="C290" s="2" t="s">
        <v>157</v>
      </c>
      <c r="D290" s="2" t="s">
        <v>792</v>
      </c>
      <c r="E290" s="2" t="s">
        <v>220</v>
      </c>
      <c r="F290" s="2" t="s">
        <v>88</v>
      </c>
      <c r="G290" s="2" t="s">
        <v>92</v>
      </c>
      <c r="I290" s="2" t="s">
        <v>96</v>
      </c>
    </row>
    <row r="291" spans="1:9" x14ac:dyDescent="0.2">
      <c r="A291" s="2" t="s">
        <v>316</v>
      </c>
      <c r="B291" s="2" t="s">
        <v>768</v>
      </c>
      <c r="C291" s="2" t="s">
        <v>158</v>
      </c>
      <c r="D291" s="2" t="s">
        <v>793</v>
      </c>
      <c r="E291" s="2" t="s">
        <v>220</v>
      </c>
      <c r="F291" s="2" t="s">
        <v>88</v>
      </c>
      <c r="G291" s="2" t="s">
        <v>1312</v>
      </c>
      <c r="I291" s="2" t="s">
        <v>132</v>
      </c>
    </row>
    <row r="292" spans="1:9" x14ac:dyDescent="0.2">
      <c r="A292" s="2" t="s">
        <v>316</v>
      </c>
      <c r="B292" s="2" t="s">
        <v>769</v>
      </c>
      <c r="C292" s="2" t="s">
        <v>1313</v>
      </c>
      <c r="D292" s="2" t="s">
        <v>794</v>
      </c>
      <c r="E292" s="2" t="s">
        <v>220</v>
      </c>
      <c r="F292" s="2" t="s">
        <v>1487</v>
      </c>
      <c r="G292" s="2" t="s">
        <v>134</v>
      </c>
      <c r="I292" s="2" t="s">
        <v>135</v>
      </c>
    </row>
    <row r="293" spans="1:9" x14ac:dyDescent="0.2">
      <c r="A293" s="2" t="s">
        <v>316</v>
      </c>
      <c r="B293" s="2" t="s">
        <v>770</v>
      </c>
      <c r="C293" s="2" t="s">
        <v>1315</v>
      </c>
      <c r="D293" s="2" t="s">
        <v>795</v>
      </c>
      <c r="E293" s="2" t="s">
        <v>220</v>
      </c>
      <c r="F293" s="2" t="s">
        <v>88</v>
      </c>
      <c r="G293" s="2" t="s">
        <v>92</v>
      </c>
      <c r="I293" s="2" t="s">
        <v>1316</v>
      </c>
    </row>
    <row r="294" spans="1:9" x14ac:dyDescent="0.2">
      <c r="A294" s="2" t="s">
        <v>316</v>
      </c>
      <c r="B294" s="2" t="s">
        <v>771</v>
      </c>
      <c r="C294" s="2" t="s">
        <v>168</v>
      </c>
      <c r="D294" s="2" t="s">
        <v>796</v>
      </c>
      <c r="E294" s="2" t="s">
        <v>164</v>
      </c>
      <c r="F294" s="2" t="s">
        <v>109</v>
      </c>
      <c r="I294" s="2" t="s">
        <v>5</v>
      </c>
    </row>
    <row r="295" spans="1:9" x14ac:dyDescent="0.2">
      <c r="A295" s="2" t="s">
        <v>316</v>
      </c>
      <c r="B295" s="2" t="s">
        <v>772</v>
      </c>
      <c r="C295" s="2" t="s">
        <v>169</v>
      </c>
      <c r="D295" s="2" t="s">
        <v>797</v>
      </c>
      <c r="E295" s="2" t="s">
        <v>164</v>
      </c>
      <c r="F295" s="2" t="s">
        <v>171</v>
      </c>
      <c r="I295" s="2" t="s">
        <v>5</v>
      </c>
    </row>
    <row r="296" spans="1:9" x14ac:dyDescent="0.2">
      <c r="A296" s="2" t="s">
        <v>316</v>
      </c>
      <c r="B296" s="2" t="s">
        <v>773</v>
      </c>
      <c r="C296" s="2" t="s">
        <v>158</v>
      </c>
      <c r="D296" s="2" t="s">
        <v>798</v>
      </c>
      <c r="E296" s="2" t="s">
        <v>220</v>
      </c>
      <c r="F296" s="2" t="s">
        <v>88</v>
      </c>
      <c r="G296" s="2" t="s">
        <v>92</v>
      </c>
      <c r="I296" s="2" t="s">
        <v>132</v>
      </c>
    </row>
    <row r="297" spans="1:9" x14ac:dyDescent="0.2">
      <c r="A297" s="2" t="s">
        <v>316</v>
      </c>
      <c r="B297" s="2" t="s">
        <v>774</v>
      </c>
      <c r="C297" s="2" t="s">
        <v>173</v>
      </c>
      <c r="D297" s="2" t="s">
        <v>799</v>
      </c>
      <c r="E297" s="2" t="s">
        <v>164</v>
      </c>
      <c r="F297" s="2" t="s">
        <v>175</v>
      </c>
      <c r="I297" s="2" t="s">
        <v>176</v>
      </c>
    </row>
    <row r="298" spans="1:9" x14ac:dyDescent="0.2">
      <c r="A298" s="2" t="s">
        <v>316</v>
      </c>
      <c r="B298" s="2" t="s">
        <v>775</v>
      </c>
      <c r="C298" s="2" t="s">
        <v>177</v>
      </c>
      <c r="D298" s="2" t="s">
        <v>800</v>
      </c>
      <c r="E298" s="2" t="s">
        <v>164</v>
      </c>
      <c r="F298" s="2" t="s">
        <v>175</v>
      </c>
      <c r="I298" s="2" t="s">
        <v>179</v>
      </c>
    </row>
    <row r="299" spans="1:9" x14ac:dyDescent="0.2">
      <c r="A299" s="2" t="s">
        <v>316</v>
      </c>
      <c r="B299" s="2" t="s">
        <v>776</v>
      </c>
      <c r="C299" s="2" t="s">
        <v>181</v>
      </c>
      <c r="D299" s="2" t="s">
        <v>801</v>
      </c>
      <c r="E299" s="2" t="s">
        <v>164</v>
      </c>
      <c r="F299" s="2" t="s">
        <v>175</v>
      </c>
      <c r="I299" s="2" t="s">
        <v>183</v>
      </c>
    </row>
    <row r="300" spans="1:9" x14ac:dyDescent="0.2">
      <c r="A300" s="2" t="s">
        <v>316</v>
      </c>
      <c r="B300" s="2" t="s">
        <v>777</v>
      </c>
      <c r="C300" s="2" t="s">
        <v>196</v>
      </c>
      <c r="D300" s="2" t="s">
        <v>802</v>
      </c>
      <c r="E300" s="2" t="s">
        <v>164</v>
      </c>
      <c r="F300" s="2" t="s">
        <v>175</v>
      </c>
      <c r="I300" s="2" t="s">
        <v>197</v>
      </c>
    </row>
    <row r="301" spans="1:9" x14ac:dyDescent="0.2">
      <c r="A301" s="2" t="s">
        <v>316</v>
      </c>
      <c r="B301" s="2" t="s">
        <v>778</v>
      </c>
      <c r="C301" s="2" t="s">
        <v>198</v>
      </c>
      <c r="D301" s="2" t="s">
        <v>803</v>
      </c>
      <c r="E301" s="2" t="s">
        <v>164</v>
      </c>
      <c r="F301" s="2" t="s">
        <v>175</v>
      </c>
      <c r="I301" s="2" t="s">
        <v>199</v>
      </c>
    </row>
    <row r="302" spans="1:9" x14ac:dyDescent="0.2">
      <c r="A302" s="2" t="s">
        <v>316</v>
      </c>
      <c r="B302" s="2" t="s">
        <v>779</v>
      </c>
      <c r="C302" s="2" t="s">
        <v>184</v>
      </c>
      <c r="D302" s="2" t="s">
        <v>804</v>
      </c>
      <c r="E302" s="2" t="s">
        <v>164</v>
      </c>
      <c r="F302" s="2" t="s">
        <v>175</v>
      </c>
      <c r="I302" s="2" t="s">
        <v>186</v>
      </c>
    </row>
    <row r="303" spans="1:9" x14ac:dyDescent="0.2">
      <c r="A303" s="2" t="s">
        <v>316</v>
      </c>
      <c r="B303" s="2" t="s">
        <v>780</v>
      </c>
      <c r="C303" s="2" t="s">
        <v>1319</v>
      </c>
      <c r="D303" s="2" t="s">
        <v>805</v>
      </c>
      <c r="E303" s="2" t="s">
        <v>164</v>
      </c>
      <c r="F303" s="2" t="s">
        <v>171</v>
      </c>
      <c r="I303" s="2" t="s">
        <v>1320</v>
      </c>
    </row>
    <row r="304" spans="1:9" x14ac:dyDescent="0.2">
      <c r="A304" s="2" t="s">
        <v>316</v>
      </c>
      <c r="B304" s="2" t="s">
        <v>1350</v>
      </c>
      <c r="C304" s="2" t="s">
        <v>1317</v>
      </c>
      <c r="D304" s="2" t="s">
        <v>1351</v>
      </c>
      <c r="E304" s="2" t="s">
        <v>1333</v>
      </c>
      <c r="F304" s="2" t="s">
        <v>88</v>
      </c>
      <c r="I304" s="2" t="s">
        <v>1318</v>
      </c>
    </row>
    <row r="305" spans="1:9" x14ac:dyDescent="0.2">
      <c r="A305" s="2" t="s">
        <v>316</v>
      </c>
      <c r="B305" s="2" t="s">
        <v>1391</v>
      </c>
      <c r="C305" s="2" t="s">
        <v>1371</v>
      </c>
      <c r="D305" s="2" t="s">
        <v>1392</v>
      </c>
      <c r="E305" s="2" t="s">
        <v>1373</v>
      </c>
      <c r="F305" s="2" t="s">
        <v>88</v>
      </c>
      <c r="I305" s="2" t="s">
        <v>89</v>
      </c>
    </row>
    <row r="306" spans="1:9" x14ac:dyDescent="0.2">
      <c r="A306" s="42"/>
      <c r="B306" s="42"/>
      <c r="C306" s="42"/>
      <c r="D306" s="42"/>
      <c r="E306" s="43" t="s">
        <v>261</v>
      </c>
      <c r="F306" s="42"/>
      <c r="G306" s="42"/>
      <c r="H306" s="42"/>
      <c r="I306" s="42"/>
    </row>
    <row r="307" spans="1:9" x14ac:dyDescent="0.2">
      <c r="A307" s="2" t="s">
        <v>316</v>
      </c>
      <c r="B307" s="2" t="s">
        <v>143</v>
      </c>
      <c r="C307" s="2" t="str">
        <f>RIGHT(E306,LEN(E306)-5)</f>
        <v>Case011.sim</v>
      </c>
      <c r="E307" s="46"/>
      <c r="I307" s="2"/>
    </row>
    <row r="308" spans="1:9" x14ac:dyDescent="0.2">
      <c r="A308" s="2" t="s">
        <v>316</v>
      </c>
      <c r="B308" s="2" t="s">
        <v>141</v>
      </c>
      <c r="C308" s="2" t="s">
        <v>147</v>
      </c>
      <c r="D308" s="2" t="s">
        <v>144</v>
      </c>
      <c r="E308" s="2" t="s">
        <v>220</v>
      </c>
      <c r="F308" s="2" t="s">
        <v>88</v>
      </c>
      <c r="G308" s="2" t="s">
        <v>95</v>
      </c>
      <c r="I308" s="2" t="s">
        <v>96</v>
      </c>
    </row>
    <row r="309" spans="1:9" x14ac:dyDescent="0.2">
      <c r="A309" s="2" t="s">
        <v>316</v>
      </c>
      <c r="B309" s="2" t="s">
        <v>300</v>
      </c>
      <c r="C309" s="2" t="s">
        <v>148</v>
      </c>
      <c r="D309" s="2" t="s">
        <v>830</v>
      </c>
      <c r="E309" s="2" t="s">
        <v>220</v>
      </c>
      <c r="F309" s="2" t="s">
        <v>109</v>
      </c>
      <c r="G309" s="2" t="s">
        <v>110</v>
      </c>
      <c r="I309" s="2" t="s">
        <v>111</v>
      </c>
    </row>
    <row r="310" spans="1:9" x14ac:dyDescent="0.2">
      <c r="A310" s="2" t="s">
        <v>316</v>
      </c>
      <c r="B310" s="2" t="s">
        <v>806</v>
      </c>
      <c r="C310" s="2" t="s">
        <v>149</v>
      </c>
      <c r="D310" s="2" t="s">
        <v>831</v>
      </c>
      <c r="E310" s="2" t="s">
        <v>220</v>
      </c>
      <c r="F310" s="2" t="s">
        <v>109</v>
      </c>
      <c r="G310" s="2" t="s">
        <v>113</v>
      </c>
      <c r="I310" s="2" t="s">
        <v>111</v>
      </c>
    </row>
    <row r="311" spans="1:9" x14ac:dyDescent="0.2">
      <c r="A311" s="2" t="s">
        <v>316</v>
      </c>
      <c r="B311" s="2" t="s">
        <v>807</v>
      </c>
      <c r="C311" s="2" t="s">
        <v>150</v>
      </c>
      <c r="D311" s="2" t="s">
        <v>832</v>
      </c>
      <c r="E311" s="2" t="s">
        <v>220</v>
      </c>
      <c r="F311" s="2" t="s">
        <v>109</v>
      </c>
      <c r="G311" s="2" t="s">
        <v>115</v>
      </c>
      <c r="I311" s="2" t="s">
        <v>111</v>
      </c>
    </row>
    <row r="312" spans="1:9" x14ac:dyDescent="0.2">
      <c r="A312" s="2" t="s">
        <v>316</v>
      </c>
      <c r="B312" s="2" t="s">
        <v>808</v>
      </c>
      <c r="C312" s="2" t="s">
        <v>151</v>
      </c>
      <c r="D312" s="2" t="s">
        <v>833</v>
      </c>
      <c r="E312" s="2" t="s">
        <v>220</v>
      </c>
      <c r="F312" s="2" t="s">
        <v>109</v>
      </c>
      <c r="G312" s="2" t="s">
        <v>117</v>
      </c>
      <c r="I312" s="2" t="s">
        <v>111</v>
      </c>
    </row>
    <row r="313" spans="1:9" x14ac:dyDescent="0.2">
      <c r="A313" s="2" t="s">
        <v>316</v>
      </c>
      <c r="B313" s="2" t="s">
        <v>809</v>
      </c>
      <c r="C313" s="2" t="s">
        <v>152</v>
      </c>
      <c r="D313" s="2" t="s">
        <v>834</v>
      </c>
      <c r="E313" s="2" t="s">
        <v>220</v>
      </c>
      <c r="F313" s="2" t="s">
        <v>109</v>
      </c>
      <c r="G313" s="2" t="s">
        <v>119</v>
      </c>
      <c r="I313" s="2" t="s">
        <v>111</v>
      </c>
    </row>
    <row r="314" spans="1:9" x14ac:dyDescent="0.2">
      <c r="A314" s="2" t="s">
        <v>316</v>
      </c>
      <c r="B314" s="2" t="s">
        <v>810</v>
      </c>
      <c r="C314" s="2" t="s">
        <v>122</v>
      </c>
      <c r="D314" s="2" t="s">
        <v>835</v>
      </c>
      <c r="E314" s="2" t="s">
        <v>220</v>
      </c>
      <c r="F314" s="2" t="s">
        <v>109</v>
      </c>
      <c r="G314" s="2" t="s">
        <v>121</v>
      </c>
      <c r="I314" s="2" t="s">
        <v>122</v>
      </c>
    </row>
    <row r="315" spans="1:9" x14ac:dyDescent="0.2">
      <c r="A315" s="2" t="s">
        <v>316</v>
      </c>
      <c r="B315" s="2" t="s">
        <v>811</v>
      </c>
      <c r="C315" s="2" t="s">
        <v>153</v>
      </c>
      <c r="D315" s="2" t="s">
        <v>836</v>
      </c>
      <c r="E315" s="2" t="s">
        <v>220</v>
      </c>
      <c r="F315" s="2" t="s">
        <v>88</v>
      </c>
      <c r="G315" s="2" t="s">
        <v>92</v>
      </c>
      <c r="I315" s="2" t="s">
        <v>89</v>
      </c>
    </row>
    <row r="316" spans="1:9" x14ac:dyDescent="0.2">
      <c r="A316" s="2" t="s">
        <v>316</v>
      </c>
      <c r="B316" s="2" t="s">
        <v>812</v>
      </c>
      <c r="C316" s="2" t="s">
        <v>1308</v>
      </c>
      <c r="D316" s="2" t="s">
        <v>837</v>
      </c>
      <c r="E316" s="2" t="s">
        <v>220</v>
      </c>
      <c r="F316" s="2" t="s">
        <v>88</v>
      </c>
      <c r="G316" s="2" t="s">
        <v>103</v>
      </c>
      <c r="I316" s="2" t="s">
        <v>89</v>
      </c>
    </row>
    <row r="317" spans="1:9" x14ac:dyDescent="0.2">
      <c r="A317" s="2" t="s">
        <v>316</v>
      </c>
      <c r="B317" s="2" t="s">
        <v>813</v>
      </c>
      <c r="C317" s="2" t="s">
        <v>154</v>
      </c>
      <c r="D317" s="2" t="s">
        <v>838</v>
      </c>
      <c r="E317" s="2" t="s">
        <v>220</v>
      </c>
      <c r="F317" s="2" t="s">
        <v>88</v>
      </c>
      <c r="G317" s="2" t="s">
        <v>92</v>
      </c>
      <c r="I317" s="2" t="s">
        <v>125</v>
      </c>
    </row>
    <row r="318" spans="1:9" x14ac:dyDescent="0.2">
      <c r="A318" s="2" t="s">
        <v>316</v>
      </c>
      <c r="B318" s="2" t="s">
        <v>814</v>
      </c>
      <c r="C318" s="2" t="s">
        <v>155</v>
      </c>
      <c r="D318" s="2" t="s">
        <v>839</v>
      </c>
      <c r="E318" s="2" t="s">
        <v>220</v>
      </c>
      <c r="F318" s="2" t="s">
        <v>88</v>
      </c>
      <c r="G318" s="2" t="s">
        <v>103</v>
      </c>
      <c r="I318" s="2" t="s">
        <v>128</v>
      </c>
    </row>
    <row r="319" spans="1:9" x14ac:dyDescent="0.2">
      <c r="A319" s="2" t="s">
        <v>316</v>
      </c>
      <c r="B319" s="2" t="s">
        <v>815</v>
      </c>
      <c r="C319" s="2" t="s">
        <v>156</v>
      </c>
      <c r="D319" s="2" t="s">
        <v>840</v>
      </c>
      <c r="E319" s="2" t="s">
        <v>220</v>
      </c>
      <c r="F319" s="2" t="s">
        <v>88</v>
      </c>
      <c r="G319" s="2" t="s">
        <v>103</v>
      </c>
      <c r="I319" s="2" t="s">
        <v>96</v>
      </c>
    </row>
    <row r="320" spans="1:9" x14ac:dyDescent="0.2">
      <c r="A320" s="2" t="s">
        <v>316</v>
      </c>
      <c r="B320" s="2" t="s">
        <v>816</v>
      </c>
      <c r="C320" s="2" t="s">
        <v>157</v>
      </c>
      <c r="D320" s="2" t="s">
        <v>841</v>
      </c>
      <c r="E320" s="2" t="s">
        <v>220</v>
      </c>
      <c r="F320" s="2" t="s">
        <v>88</v>
      </c>
      <c r="G320" s="2" t="s">
        <v>92</v>
      </c>
      <c r="I320" s="2" t="s">
        <v>96</v>
      </c>
    </row>
    <row r="321" spans="1:9" x14ac:dyDescent="0.2">
      <c r="A321" s="2" t="s">
        <v>316</v>
      </c>
      <c r="B321" s="2" t="s">
        <v>817</v>
      </c>
      <c r="C321" s="2" t="s">
        <v>158</v>
      </c>
      <c r="D321" s="2" t="s">
        <v>842</v>
      </c>
      <c r="E321" s="2" t="s">
        <v>220</v>
      </c>
      <c r="F321" s="2" t="s">
        <v>88</v>
      </c>
      <c r="G321" s="2" t="s">
        <v>1312</v>
      </c>
      <c r="I321" s="2" t="s">
        <v>132</v>
      </c>
    </row>
    <row r="322" spans="1:9" x14ac:dyDescent="0.2">
      <c r="A322" s="2" t="s">
        <v>316</v>
      </c>
      <c r="B322" s="2" t="s">
        <v>818</v>
      </c>
      <c r="C322" s="2" t="s">
        <v>1313</v>
      </c>
      <c r="D322" s="2" t="s">
        <v>843</v>
      </c>
      <c r="E322" s="2" t="s">
        <v>220</v>
      </c>
      <c r="F322" s="2" t="s">
        <v>1487</v>
      </c>
      <c r="G322" s="2" t="s">
        <v>134</v>
      </c>
      <c r="I322" s="2" t="s">
        <v>135</v>
      </c>
    </row>
    <row r="323" spans="1:9" x14ac:dyDescent="0.2">
      <c r="A323" s="2" t="s">
        <v>316</v>
      </c>
      <c r="B323" s="2" t="s">
        <v>819</v>
      </c>
      <c r="C323" s="2" t="s">
        <v>1315</v>
      </c>
      <c r="D323" s="2" t="s">
        <v>844</v>
      </c>
      <c r="E323" s="2" t="s">
        <v>220</v>
      </c>
      <c r="F323" s="2" t="s">
        <v>88</v>
      </c>
      <c r="G323" s="2" t="s">
        <v>92</v>
      </c>
      <c r="I323" s="2" t="s">
        <v>1316</v>
      </c>
    </row>
    <row r="324" spans="1:9" x14ac:dyDescent="0.2">
      <c r="A324" s="2" t="s">
        <v>316</v>
      </c>
      <c r="B324" s="2" t="s">
        <v>820</v>
      </c>
      <c r="C324" s="2" t="s">
        <v>168</v>
      </c>
      <c r="D324" s="2" t="s">
        <v>845</v>
      </c>
      <c r="E324" s="2" t="s">
        <v>164</v>
      </c>
      <c r="F324" s="2" t="s">
        <v>109</v>
      </c>
      <c r="I324" s="2" t="s">
        <v>5</v>
      </c>
    </row>
    <row r="325" spans="1:9" x14ac:dyDescent="0.2">
      <c r="A325" s="2" t="s">
        <v>316</v>
      </c>
      <c r="B325" s="2" t="s">
        <v>821</v>
      </c>
      <c r="C325" s="2" t="s">
        <v>169</v>
      </c>
      <c r="D325" s="2" t="s">
        <v>846</v>
      </c>
      <c r="E325" s="2" t="s">
        <v>164</v>
      </c>
      <c r="F325" s="2" t="s">
        <v>171</v>
      </c>
      <c r="I325" s="2" t="s">
        <v>5</v>
      </c>
    </row>
    <row r="326" spans="1:9" x14ac:dyDescent="0.2">
      <c r="A326" s="2" t="s">
        <v>316</v>
      </c>
      <c r="B326" s="2" t="s">
        <v>822</v>
      </c>
      <c r="C326" s="2" t="s">
        <v>158</v>
      </c>
      <c r="D326" s="2" t="s">
        <v>847</v>
      </c>
      <c r="E326" s="2" t="s">
        <v>220</v>
      </c>
      <c r="F326" s="2" t="s">
        <v>88</v>
      </c>
      <c r="G326" s="2" t="s">
        <v>92</v>
      </c>
      <c r="I326" s="2" t="s">
        <v>132</v>
      </c>
    </row>
    <row r="327" spans="1:9" x14ac:dyDescent="0.2">
      <c r="A327" s="2" t="s">
        <v>316</v>
      </c>
      <c r="B327" s="2" t="s">
        <v>823</v>
      </c>
      <c r="C327" s="2" t="s">
        <v>173</v>
      </c>
      <c r="D327" s="2" t="s">
        <v>848</v>
      </c>
      <c r="E327" s="2" t="s">
        <v>164</v>
      </c>
      <c r="F327" s="2" t="s">
        <v>175</v>
      </c>
      <c r="I327" s="2" t="s">
        <v>176</v>
      </c>
    </row>
    <row r="328" spans="1:9" x14ac:dyDescent="0.2">
      <c r="A328" s="2" t="s">
        <v>316</v>
      </c>
      <c r="B328" s="2" t="s">
        <v>824</v>
      </c>
      <c r="C328" s="2" t="s">
        <v>177</v>
      </c>
      <c r="D328" s="2" t="s">
        <v>849</v>
      </c>
      <c r="E328" s="2" t="s">
        <v>164</v>
      </c>
      <c r="F328" s="2" t="s">
        <v>175</v>
      </c>
      <c r="I328" s="2" t="s">
        <v>179</v>
      </c>
    </row>
    <row r="329" spans="1:9" x14ac:dyDescent="0.2">
      <c r="A329" s="2" t="s">
        <v>316</v>
      </c>
      <c r="B329" s="2" t="s">
        <v>825</v>
      </c>
      <c r="C329" s="2" t="s">
        <v>181</v>
      </c>
      <c r="D329" s="2" t="s">
        <v>850</v>
      </c>
      <c r="E329" s="2" t="s">
        <v>164</v>
      </c>
      <c r="F329" s="2" t="s">
        <v>175</v>
      </c>
      <c r="I329" s="2" t="s">
        <v>183</v>
      </c>
    </row>
    <row r="330" spans="1:9" x14ac:dyDescent="0.2">
      <c r="A330" s="2" t="s">
        <v>316</v>
      </c>
      <c r="B330" s="2" t="s">
        <v>826</v>
      </c>
      <c r="C330" s="2" t="s">
        <v>196</v>
      </c>
      <c r="D330" s="2" t="s">
        <v>851</v>
      </c>
      <c r="E330" s="2" t="s">
        <v>164</v>
      </c>
      <c r="F330" s="2" t="s">
        <v>175</v>
      </c>
      <c r="I330" s="2" t="s">
        <v>197</v>
      </c>
    </row>
    <row r="331" spans="1:9" x14ac:dyDescent="0.2">
      <c r="A331" s="2" t="s">
        <v>316</v>
      </c>
      <c r="B331" s="2" t="s">
        <v>827</v>
      </c>
      <c r="C331" s="2" t="s">
        <v>198</v>
      </c>
      <c r="D331" s="2" t="s">
        <v>852</v>
      </c>
      <c r="E331" s="2" t="s">
        <v>164</v>
      </c>
      <c r="F331" s="2" t="s">
        <v>175</v>
      </c>
      <c r="I331" s="2" t="s">
        <v>199</v>
      </c>
    </row>
    <row r="332" spans="1:9" x14ac:dyDescent="0.2">
      <c r="A332" s="2" t="s">
        <v>316</v>
      </c>
      <c r="B332" s="2" t="s">
        <v>828</v>
      </c>
      <c r="C332" s="2" t="s">
        <v>184</v>
      </c>
      <c r="D332" s="2" t="s">
        <v>853</v>
      </c>
      <c r="E332" s="2" t="s">
        <v>164</v>
      </c>
      <c r="F332" s="2" t="s">
        <v>175</v>
      </c>
      <c r="I332" s="2" t="s">
        <v>186</v>
      </c>
    </row>
    <row r="333" spans="1:9" x14ac:dyDescent="0.2">
      <c r="A333" s="2" t="s">
        <v>316</v>
      </c>
      <c r="B333" s="2" t="s">
        <v>829</v>
      </c>
      <c r="C333" s="2" t="s">
        <v>1319</v>
      </c>
      <c r="D333" s="2" t="s">
        <v>854</v>
      </c>
      <c r="E333" s="2" t="s">
        <v>164</v>
      </c>
      <c r="F333" s="2" t="s">
        <v>171</v>
      </c>
      <c r="I333" s="2" t="s">
        <v>1320</v>
      </c>
    </row>
    <row r="334" spans="1:9" x14ac:dyDescent="0.2">
      <c r="A334" s="2" t="s">
        <v>316</v>
      </c>
      <c r="B334" s="2" t="s">
        <v>1352</v>
      </c>
      <c r="C334" s="2" t="s">
        <v>1317</v>
      </c>
      <c r="D334" s="2" t="s">
        <v>1353</v>
      </c>
      <c r="E334" s="2" t="s">
        <v>1333</v>
      </c>
      <c r="F334" s="2" t="s">
        <v>88</v>
      </c>
      <c r="I334" s="2" t="s">
        <v>1318</v>
      </c>
    </row>
    <row r="335" spans="1:9" x14ac:dyDescent="0.2">
      <c r="A335" s="2" t="s">
        <v>316</v>
      </c>
      <c r="B335" s="2" t="s">
        <v>1393</v>
      </c>
      <c r="C335" s="2" t="s">
        <v>1371</v>
      </c>
      <c r="D335" s="2" t="s">
        <v>1394</v>
      </c>
      <c r="E335" s="2" t="s">
        <v>1373</v>
      </c>
      <c r="F335" s="2" t="s">
        <v>88</v>
      </c>
      <c r="I335" s="2" t="s">
        <v>89</v>
      </c>
    </row>
    <row r="336" spans="1:9" x14ac:dyDescent="0.2">
      <c r="A336" s="42"/>
      <c r="B336" s="42"/>
      <c r="C336" s="42"/>
      <c r="D336" s="42"/>
      <c r="E336" s="43" t="s">
        <v>262</v>
      </c>
      <c r="F336" s="42"/>
      <c r="G336" s="42"/>
      <c r="H336" s="42"/>
      <c r="I336" s="42"/>
    </row>
    <row r="337" spans="1:9" x14ac:dyDescent="0.2">
      <c r="A337" s="2" t="s">
        <v>316</v>
      </c>
      <c r="B337" s="2" t="s">
        <v>165</v>
      </c>
      <c r="C337" s="2" t="str">
        <f>RIGHT(E336,LEN(E336)-5)</f>
        <v>Case012.sim</v>
      </c>
      <c r="E337" s="46"/>
      <c r="I337" s="2"/>
    </row>
    <row r="338" spans="1:9" x14ac:dyDescent="0.2">
      <c r="A338" s="2" t="s">
        <v>316</v>
      </c>
      <c r="B338" s="2" t="s">
        <v>146</v>
      </c>
      <c r="C338" s="2" t="s">
        <v>147</v>
      </c>
      <c r="D338" s="2" t="s">
        <v>166</v>
      </c>
      <c r="E338" s="2" t="s">
        <v>220</v>
      </c>
      <c r="F338" s="2" t="s">
        <v>88</v>
      </c>
      <c r="G338" s="2" t="s">
        <v>95</v>
      </c>
      <c r="I338" s="2" t="s">
        <v>96</v>
      </c>
    </row>
    <row r="339" spans="1:9" x14ac:dyDescent="0.2">
      <c r="A339" s="2" t="s">
        <v>316</v>
      </c>
      <c r="B339" s="2" t="s">
        <v>301</v>
      </c>
      <c r="C339" s="2" t="s">
        <v>148</v>
      </c>
      <c r="D339" s="2" t="s">
        <v>855</v>
      </c>
      <c r="E339" s="2" t="s">
        <v>220</v>
      </c>
      <c r="F339" s="2" t="s">
        <v>109</v>
      </c>
      <c r="G339" s="2" t="s">
        <v>110</v>
      </c>
      <c r="I339" s="2" t="s">
        <v>111</v>
      </c>
    </row>
    <row r="340" spans="1:9" x14ac:dyDescent="0.2">
      <c r="A340" s="2" t="s">
        <v>316</v>
      </c>
      <c r="B340" s="2" t="s">
        <v>856</v>
      </c>
      <c r="C340" s="2" t="s">
        <v>149</v>
      </c>
      <c r="D340" s="2" t="s">
        <v>857</v>
      </c>
      <c r="E340" s="2" t="s">
        <v>220</v>
      </c>
      <c r="F340" s="2" t="s">
        <v>109</v>
      </c>
      <c r="G340" s="2" t="s">
        <v>113</v>
      </c>
      <c r="I340" s="2" t="s">
        <v>111</v>
      </c>
    </row>
    <row r="341" spans="1:9" x14ac:dyDescent="0.2">
      <c r="A341" s="2" t="s">
        <v>316</v>
      </c>
      <c r="B341" s="2" t="s">
        <v>858</v>
      </c>
      <c r="C341" s="2" t="s">
        <v>150</v>
      </c>
      <c r="D341" s="2" t="s">
        <v>859</v>
      </c>
      <c r="E341" s="2" t="s">
        <v>220</v>
      </c>
      <c r="F341" s="2" t="s">
        <v>109</v>
      </c>
      <c r="G341" s="2" t="s">
        <v>115</v>
      </c>
      <c r="I341" s="2" t="s">
        <v>111</v>
      </c>
    </row>
    <row r="342" spans="1:9" x14ac:dyDescent="0.2">
      <c r="A342" s="2" t="s">
        <v>316</v>
      </c>
      <c r="B342" s="2" t="s">
        <v>860</v>
      </c>
      <c r="C342" s="2" t="s">
        <v>151</v>
      </c>
      <c r="D342" s="2" t="s">
        <v>861</v>
      </c>
      <c r="E342" s="2" t="s">
        <v>220</v>
      </c>
      <c r="F342" s="2" t="s">
        <v>109</v>
      </c>
      <c r="G342" s="2" t="s">
        <v>117</v>
      </c>
      <c r="I342" s="2" t="s">
        <v>111</v>
      </c>
    </row>
    <row r="343" spans="1:9" x14ac:dyDescent="0.2">
      <c r="A343" s="2" t="s">
        <v>316</v>
      </c>
      <c r="B343" s="2" t="s">
        <v>862</v>
      </c>
      <c r="C343" s="2" t="s">
        <v>152</v>
      </c>
      <c r="D343" s="2" t="s">
        <v>863</v>
      </c>
      <c r="E343" s="2" t="s">
        <v>220</v>
      </c>
      <c r="F343" s="2" t="s">
        <v>109</v>
      </c>
      <c r="G343" s="2" t="s">
        <v>119</v>
      </c>
      <c r="I343" s="2" t="s">
        <v>111</v>
      </c>
    </row>
    <row r="344" spans="1:9" x14ac:dyDescent="0.2">
      <c r="A344" s="2" t="s">
        <v>316</v>
      </c>
      <c r="B344" s="2" t="s">
        <v>864</v>
      </c>
      <c r="C344" s="2" t="s">
        <v>122</v>
      </c>
      <c r="D344" s="2" t="s">
        <v>865</v>
      </c>
      <c r="E344" s="2" t="s">
        <v>220</v>
      </c>
      <c r="F344" s="2" t="s">
        <v>109</v>
      </c>
      <c r="G344" s="2" t="s">
        <v>121</v>
      </c>
      <c r="I344" s="2" t="s">
        <v>122</v>
      </c>
    </row>
    <row r="345" spans="1:9" x14ac:dyDescent="0.2">
      <c r="A345" s="2" t="s">
        <v>316</v>
      </c>
      <c r="B345" s="2" t="s">
        <v>866</v>
      </c>
      <c r="C345" s="2" t="s">
        <v>153</v>
      </c>
      <c r="D345" s="2" t="s">
        <v>867</v>
      </c>
      <c r="E345" s="2" t="s">
        <v>220</v>
      </c>
      <c r="F345" s="2" t="s">
        <v>88</v>
      </c>
      <c r="G345" s="2" t="s">
        <v>92</v>
      </c>
      <c r="I345" s="2" t="s">
        <v>89</v>
      </c>
    </row>
    <row r="346" spans="1:9" x14ac:dyDescent="0.2">
      <c r="A346" s="2" t="s">
        <v>316</v>
      </c>
      <c r="B346" s="2" t="s">
        <v>868</v>
      </c>
      <c r="C346" s="2" t="s">
        <v>1308</v>
      </c>
      <c r="D346" s="2" t="s">
        <v>869</v>
      </c>
      <c r="E346" s="2" t="s">
        <v>220</v>
      </c>
      <c r="F346" s="2" t="s">
        <v>88</v>
      </c>
      <c r="G346" s="2" t="s">
        <v>103</v>
      </c>
      <c r="I346" s="2" t="s">
        <v>89</v>
      </c>
    </row>
    <row r="347" spans="1:9" x14ac:dyDescent="0.2">
      <c r="A347" s="2" t="s">
        <v>316</v>
      </c>
      <c r="B347" s="2" t="s">
        <v>870</v>
      </c>
      <c r="C347" s="2" t="s">
        <v>154</v>
      </c>
      <c r="D347" s="2" t="s">
        <v>871</v>
      </c>
      <c r="E347" s="2" t="s">
        <v>220</v>
      </c>
      <c r="F347" s="2" t="s">
        <v>88</v>
      </c>
      <c r="G347" s="2" t="s">
        <v>92</v>
      </c>
      <c r="I347" s="2" t="s">
        <v>125</v>
      </c>
    </row>
    <row r="348" spans="1:9" x14ac:dyDescent="0.2">
      <c r="A348" s="2" t="s">
        <v>316</v>
      </c>
      <c r="B348" s="2" t="s">
        <v>872</v>
      </c>
      <c r="C348" s="2" t="s">
        <v>155</v>
      </c>
      <c r="D348" s="2" t="s">
        <v>873</v>
      </c>
      <c r="E348" s="2" t="s">
        <v>220</v>
      </c>
      <c r="F348" s="2" t="s">
        <v>88</v>
      </c>
      <c r="G348" s="2" t="s">
        <v>103</v>
      </c>
      <c r="I348" s="2" t="s">
        <v>128</v>
      </c>
    </row>
    <row r="349" spans="1:9" x14ac:dyDescent="0.2">
      <c r="A349" s="2" t="s">
        <v>316</v>
      </c>
      <c r="B349" s="2" t="s">
        <v>874</v>
      </c>
      <c r="C349" s="2" t="s">
        <v>156</v>
      </c>
      <c r="D349" s="2" t="s">
        <v>875</v>
      </c>
      <c r="E349" s="2" t="s">
        <v>220</v>
      </c>
      <c r="F349" s="2" t="s">
        <v>88</v>
      </c>
      <c r="G349" s="2" t="s">
        <v>103</v>
      </c>
      <c r="I349" s="2" t="s">
        <v>96</v>
      </c>
    </row>
    <row r="350" spans="1:9" x14ac:dyDescent="0.2">
      <c r="A350" s="2" t="s">
        <v>316</v>
      </c>
      <c r="B350" s="2" t="s">
        <v>876</v>
      </c>
      <c r="C350" s="2" t="s">
        <v>157</v>
      </c>
      <c r="D350" s="2" t="s">
        <v>877</v>
      </c>
      <c r="E350" s="2" t="s">
        <v>220</v>
      </c>
      <c r="F350" s="2" t="s">
        <v>88</v>
      </c>
      <c r="G350" s="2" t="s">
        <v>92</v>
      </c>
      <c r="I350" s="2" t="s">
        <v>96</v>
      </c>
    </row>
    <row r="351" spans="1:9" x14ac:dyDescent="0.2">
      <c r="A351" s="2" t="s">
        <v>316</v>
      </c>
      <c r="B351" s="2" t="s">
        <v>878</v>
      </c>
      <c r="C351" s="2" t="s">
        <v>158</v>
      </c>
      <c r="D351" s="2" t="s">
        <v>879</v>
      </c>
      <c r="E351" s="2" t="s">
        <v>220</v>
      </c>
      <c r="F351" s="2" t="s">
        <v>88</v>
      </c>
      <c r="G351" s="2" t="s">
        <v>1312</v>
      </c>
      <c r="I351" s="2" t="s">
        <v>132</v>
      </c>
    </row>
    <row r="352" spans="1:9" x14ac:dyDescent="0.2">
      <c r="A352" s="2" t="s">
        <v>316</v>
      </c>
      <c r="B352" s="2" t="s">
        <v>880</v>
      </c>
      <c r="C352" s="2" t="s">
        <v>1313</v>
      </c>
      <c r="D352" s="2" t="s">
        <v>881</v>
      </c>
      <c r="E352" s="2" t="s">
        <v>220</v>
      </c>
      <c r="F352" s="2" t="s">
        <v>1487</v>
      </c>
      <c r="G352" s="2" t="s">
        <v>134</v>
      </c>
      <c r="I352" s="2" t="s">
        <v>135</v>
      </c>
    </row>
    <row r="353" spans="1:9" x14ac:dyDescent="0.2">
      <c r="A353" s="2" t="s">
        <v>316</v>
      </c>
      <c r="B353" s="2" t="s">
        <v>882</v>
      </c>
      <c r="C353" s="2" t="s">
        <v>1315</v>
      </c>
      <c r="D353" s="2" t="s">
        <v>883</v>
      </c>
      <c r="E353" s="2" t="s">
        <v>220</v>
      </c>
      <c r="F353" s="2" t="s">
        <v>88</v>
      </c>
      <c r="G353" s="2" t="s">
        <v>92</v>
      </c>
      <c r="I353" s="2" t="s">
        <v>1316</v>
      </c>
    </row>
    <row r="354" spans="1:9" x14ac:dyDescent="0.2">
      <c r="A354" s="2" t="s">
        <v>316</v>
      </c>
      <c r="B354" s="2" t="s">
        <v>884</v>
      </c>
      <c r="C354" s="2" t="s">
        <v>168</v>
      </c>
      <c r="D354" s="2" t="s">
        <v>885</v>
      </c>
      <c r="E354" s="2" t="s">
        <v>164</v>
      </c>
      <c r="F354" s="2" t="s">
        <v>109</v>
      </c>
      <c r="I354" s="2" t="s">
        <v>5</v>
      </c>
    </row>
    <row r="355" spans="1:9" x14ac:dyDescent="0.2">
      <c r="A355" s="2" t="s">
        <v>316</v>
      </c>
      <c r="B355" s="2" t="s">
        <v>886</v>
      </c>
      <c r="C355" s="2" t="s">
        <v>169</v>
      </c>
      <c r="D355" s="2" t="s">
        <v>887</v>
      </c>
      <c r="E355" s="2" t="s">
        <v>164</v>
      </c>
      <c r="F355" s="2" t="s">
        <v>171</v>
      </c>
      <c r="I355" s="2" t="s">
        <v>5</v>
      </c>
    </row>
    <row r="356" spans="1:9" x14ac:dyDescent="0.2">
      <c r="A356" s="2" t="s">
        <v>316</v>
      </c>
      <c r="B356" s="2" t="s">
        <v>888</v>
      </c>
      <c r="C356" s="2" t="s">
        <v>158</v>
      </c>
      <c r="D356" s="2" t="s">
        <v>889</v>
      </c>
      <c r="E356" s="2" t="s">
        <v>220</v>
      </c>
      <c r="F356" s="2" t="s">
        <v>88</v>
      </c>
      <c r="G356" s="2" t="s">
        <v>92</v>
      </c>
      <c r="I356" s="2" t="s">
        <v>132</v>
      </c>
    </row>
    <row r="357" spans="1:9" x14ac:dyDescent="0.2">
      <c r="A357" s="2" t="s">
        <v>316</v>
      </c>
      <c r="B357" s="2" t="s">
        <v>890</v>
      </c>
      <c r="C357" s="2" t="s">
        <v>173</v>
      </c>
      <c r="D357" s="2" t="s">
        <v>891</v>
      </c>
      <c r="E357" s="2" t="s">
        <v>164</v>
      </c>
      <c r="F357" s="2" t="s">
        <v>175</v>
      </c>
      <c r="I357" s="2" t="s">
        <v>176</v>
      </c>
    </row>
    <row r="358" spans="1:9" x14ac:dyDescent="0.2">
      <c r="A358" s="2" t="s">
        <v>316</v>
      </c>
      <c r="B358" s="2" t="s">
        <v>892</v>
      </c>
      <c r="C358" s="2" t="s">
        <v>177</v>
      </c>
      <c r="D358" s="2" t="s">
        <v>893</v>
      </c>
      <c r="E358" s="2" t="s">
        <v>164</v>
      </c>
      <c r="F358" s="2" t="s">
        <v>175</v>
      </c>
      <c r="I358" s="2" t="s">
        <v>179</v>
      </c>
    </row>
    <row r="359" spans="1:9" x14ac:dyDescent="0.2">
      <c r="A359" s="2" t="s">
        <v>316</v>
      </c>
      <c r="B359" s="2" t="s">
        <v>894</v>
      </c>
      <c r="C359" s="2" t="s">
        <v>181</v>
      </c>
      <c r="D359" s="2" t="s">
        <v>895</v>
      </c>
      <c r="E359" s="2" t="s">
        <v>164</v>
      </c>
      <c r="F359" s="2" t="s">
        <v>175</v>
      </c>
      <c r="I359" s="2" t="s">
        <v>183</v>
      </c>
    </row>
    <row r="360" spans="1:9" x14ac:dyDescent="0.2">
      <c r="A360" s="2" t="s">
        <v>316</v>
      </c>
      <c r="B360" s="2" t="s">
        <v>896</v>
      </c>
      <c r="C360" s="2" t="s">
        <v>196</v>
      </c>
      <c r="D360" s="2" t="s">
        <v>897</v>
      </c>
      <c r="E360" s="2" t="s">
        <v>164</v>
      </c>
      <c r="F360" s="2" t="s">
        <v>175</v>
      </c>
      <c r="I360" s="2" t="s">
        <v>197</v>
      </c>
    </row>
    <row r="361" spans="1:9" x14ac:dyDescent="0.2">
      <c r="A361" s="2" t="s">
        <v>316</v>
      </c>
      <c r="B361" s="2" t="s">
        <v>898</v>
      </c>
      <c r="C361" s="2" t="s">
        <v>198</v>
      </c>
      <c r="D361" s="2" t="s">
        <v>899</v>
      </c>
      <c r="E361" s="2" t="s">
        <v>164</v>
      </c>
      <c r="F361" s="2" t="s">
        <v>175</v>
      </c>
      <c r="I361" s="2" t="s">
        <v>199</v>
      </c>
    </row>
    <row r="362" spans="1:9" x14ac:dyDescent="0.2">
      <c r="A362" s="2" t="s">
        <v>316</v>
      </c>
      <c r="B362" s="2" t="s">
        <v>900</v>
      </c>
      <c r="C362" s="2" t="s">
        <v>184</v>
      </c>
      <c r="D362" s="2" t="s">
        <v>901</v>
      </c>
      <c r="E362" s="2" t="s">
        <v>164</v>
      </c>
      <c r="F362" s="2" t="s">
        <v>175</v>
      </c>
      <c r="I362" s="2" t="s">
        <v>186</v>
      </c>
    </row>
    <row r="363" spans="1:9" x14ac:dyDescent="0.2">
      <c r="A363" s="2" t="s">
        <v>316</v>
      </c>
      <c r="B363" s="2" t="s">
        <v>902</v>
      </c>
      <c r="C363" s="2" t="s">
        <v>1319</v>
      </c>
      <c r="D363" s="2" t="s">
        <v>903</v>
      </c>
      <c r="E363" s="2" t="s">
        <v>164</v>
      </c>
      <c r="F363" s="2" t="s">
        <v>171</v>
      </c>
      <c r="I363" s="2" t="s">
        <v>1320</v>
      </c>
    </row>
    <row r="364" spans="1:9" x14ac:dyDescent="0.2">
      <c r="A364" s="2" t="s">
        <v>316</v>
      </c>
      <c r="B364" s="2" t="s">
        <v>1354</v>
      </c>
      <c r="C364" s="2" t="s">
        <v>1317</v>
      </c>
      <c r="D364" s="2" t="s">
        <v>1355</v>
      </c>
      <c r="E364" s="2" t="s">
        <v>1333</v>
      </c>
      <c r="F364" s="2" t="s">
        <v>88</v>
      </c>
      <c r="I364" s="2" t="s">
        <v>1318</v>
      </c>
    </row>
    <row r="365" spans="1:9" x14ac:dyDescent="0.2">
      <c r="A365" s="2" t="s">
        <v>316</v>
      </c>
      <c r="B365" s="2" t="s">
        <v>1395</v>
      </c>
      <c r="C365" s="2" t="s">
        <v>1371</v>
      </c>
      <c r="D365" s="2" t="s">
        <v>1396</v>
      </c>
      <c r="E365" s="2" t="s">
        <v>1373</v>
      </c>
      <c r="F365" s="2" t="s">
        <v>88</v>
      </c>
      <c r="I365" s="2" t="s">
        <v>89</v>
      </c>
    </row>
    <row r="366" spans="1:9" x14ac:dyDescent="0.2">
      <c r="A366" s="42"/>
      <c r="B366" s="42"/>
      <c r="C366" s="42"/>
      <c r="D366" s="42"/>
      <c r="E366" s="43" t="s">
        <v>263</v>
      </c>
      <c r="F366" s="42"/>
      <c r="G366" s="42"/>
      <c r="H366" s="42"/>
      <c r="I366" s="42"/>
    </row>
    <row r="367" spans="1:9" x14ac:dyDescent="0.2">
      <c r="A367" s="2" t="s">
        <v>316</v>
      </c>
      <c r="B367" s="2" t="s">
        <v>172</v>
      </c>
      <c r="C367" s="2" t="str">
        <f>RIGHT(E366,LEN(E366)-5)</f>
        <v>Case013.sim</v>
      </c>
      <c r="E367" s="46"/>
      <c r="I367" s="2"/>
    </row>
    <row r="368" spans="1:9" x14ac:dyDescent="0.2">
      <c r="A368" s="2" t="s">
        <v>316</v>
      </c>
      <c r="B368" s="2" t="s">
        <v>170</v>
      </c>
      <c r="C368" s="2" t="s">
        <v>147</v>
      </c>
      <c r="D368" s="2" t="s">
        <v>174</v>
      </c>
      <c r="E368" s="2" t="s">
        <v>220</v>
      </c>
      <c r="F368" s="2" t="s">
        <v>88</v>
      </c>
      <c r="G368" s="2" t="s">
        <v>95</v>
      </c>
      <c r="I368" s="2" t="s">
        <v>96</v>
      </c>
    </row>
    <row r="369" spans="1:9" x14ac:dyDescent="0.2">
      <c r="A369" s="2" t="s">
        <v>316</v>
      </c>
      <c r="B369" s="2" t="s">
        <v>312</v>
      </c>
      <c r="C369" s="2" t="s">
        <v>148</v>
      </c>
      <c r="D369" s="2" t="s">
        <v>302</v>
      </c>
      <c r="E369" s="2" t="s">
        <v>220</v>
      </c>
      <c r="F369" s="2" t="s">
        <v>109</v>
      </c>
      <c r="G369" s="2" t="s">
        <v>110</v>
      </c>
      <c r="I369" s="2" t="s">
        <v>111</v>
      </c>
    </row>
    <row r="370" spans="1:9" x14ac:dyDescent="0.2">
      <c r="A370" s="2" t="s">
        <v>316</v>
      </c>
      <c r="B370" s="2" t="s">
        <v>904</v>
      </c>
      <c r="C370" s="2" t="s">
        <v>149</v>
      </c>
      <c r="D370" s="2" t="s">
        <v>905</v>
      </c>
      <c r="E370" s="2" t="s">
        <v>220</v>
      </c>
      <c r="F370" s="2" t="s">
        <v>109</v>
      </c>
      <c r="G370" s="2" t="s">
        <v>113</v>
      </c>
      <c r="I370" s="2" t="s">
        <v>111</v>
      </c>
    </row>
    <row r="371" spans="1:9" x14ac:dyDescent="0.2">
      <c r="A371" s="2" t="s">
        <v>316</v>
      </c>
      <c r="B371" s="2" t="s">
        <v>906</v>
      </c>
      <c r="C371" s="2" t="s">
        <v>150</v>
      </c>
      <c r="D371" s="2" t="s">
        <v>907</v>
      </c>
      <c r="E371" s="2" t="s">
        <v>220</v>
      </c>
      <c r="F371" s="2" t="s">
        <v>109</v>
      </c>
      <c r="G371" s="2" t="s">
        <v>115</v>
      </c>
      <c r="I371" s="2" t="s">
        <v>111</v>
      </c>
    </row>
    <row r="372" spans="1:9" x14ac:dyDescent="0.2">
      <c r="A372" s="2" t="s">
        <v>316</v>
      </c>
      <c r="B372" s="2" t="s">
        <v>908</v>
      </c>
      <c r="C372" s="2" t="s">
        <v>151</v>
      </c>
      <c r="D372" s="2" t="s">
        <v>909</v>
      </c>
      <c r="E372" s="2" t="s">
        <v>220</v>
      </c>
      <c r="F372" s="2" t="s">
        <v>109</v>
      </c>
      <c r="G372" s="2" t="s">
        <v>117</v>
      </c>
      <c r="I372" s="2" t="s">
        <v>111</v>
      </c>
    </row>
    <row r="373" spans="1:9" x14ac:dyDescent="0.2">
      <c r="A373" s="2" t="s">
        <v>316</v>
      </c>
      <c r="B373" s="2" t="s">
        <v>910</v>
      </c>
      <c r="C373" s="2" t="s">
        <v>152</v>
      </c>
      <c r="D373" s="2" t="s">
        <v>911</v>
      </c>
      <c r="E373" s="2" t="s">
        <v>220</v>
      </c>
      <c r="F373" s="2" t="s">
        <v>109</v>
      </c>
      <c r="G373" s="2" t="s">
        <v>119</v>
      </c>
      <c r="I373" s="2" t="s">
        <v>111</v>
      </c>
    </row>
    <row r="374" spans="1:9" x14ac:dyDescent="0.2">
      <c r="A374" s="2" t="s">
        <v>316</v>
      </c>
      <c r="B374" s="2" t="s">
        <v>912</v>
      </c>
      <c r="C374" s="2" t="s">
        <v>122</v>
      </c>
      <c r="D374" s="2" t="s">
        <v>913</v>
      </c>
      <c r="E374" s="2" t="s">
        <v>220</v>
      </c>
      <c r="F374" s="2" t="s">
        <v>109</v>
      </c>
      <c r="G374" s="2" t="s">
        <v>121</v>
      </c>
      <c r="I374" s="2" t="s">
        <v>122</v>
      </c>
    </row>
    <row r="375" spans="1:9" x14ac:dyDescent="0.2">
      <c r="A375" s="2" t="s">
        <v>316</v>
      </c>
      <c r="B375" s="2" t="s">
        <v>914</v>
      </c>
      <c r="C375" s="2" t="s">
        <v>153</v>
      </c>
      <c r="D375" s="2" t="s">
        <v>915</v>
      </c>
      <c r="E375" s="2" t="s">
        <v>220</v>
      </c>
      <c r="F375" s="2" t="s">
        <v>88</v>
      </c>
      <c r="G375" s="2" t="s">
        <v>92</v>
      </c>
      <c r="I375" s="2" t="s">
        <v>89</v>
      </c>
    </row>
    <row r="376" spans="1:9" x14ac:dyDescent="0.2">
      <c r="A376" s="2" t="s">
        <v>316</v>
      </c>
      <c r="B376" s="2" t="s">
        <v>916</v>
      </c>
      <c r="C376" s="2" t="s">
        <v>1308</v>
      </c>
      <c r="D376" s="2" t="s">
        <v>917</v>
      </c>
      <c r="E376" s="2" t="s">
        <v>220</v>
      </c>
      <c r="F376" s="2" t="s">
        <v>88</v>
      </c>
      <c r="G376" s="2" t="s">
        <v>103</v>
      </c>
      <c r="I376" s="2" t="s">
        <v>89</v>
      </c>
    </row>
    <row r="377" spans="1:9" x14ac:dyDescent="0.2">
      <c r="A377" s="2" t="s">
        <v>316</v>
      </c>
      <c r="B377" s="2" t="s">
        <v>918</v>
      </c>
      <c r="C377" s="2" t="s">
        <v>154</v>
      </c>
      <c r="D377" s="2" t="s">
        <v>919</v>
      </c>
      <c r="E377" s="2" t="s">
        <v>220</v>
      </c>
      <c r="F377" s="2" t="s">
        <v>88</v>
      </c>
      <c r="G377" s="2" t="s">
        <v>92</v>
      </c>
      <c r="I377" s="2" t="s">
        <v>125</v>
      </c>
    </row>
    <row r="378" spans="1:9" x14ac:dyDescent="0.2">
      <c r="A378" s="2" t="s">
        <v>316</v>
      </c>
      <c r="B378" s="2" t="s">
        <v>920</v>
      </c>
      <c r="C378" s="2" t="s">
        <v>155</v>
      </c>
      <c r="D378" s="2" t="s">
        <v>921</v>
      </c>
      <c r="E378" s="2" t="s">
        <v>220</v>
      </c>
      <c r="F378" s="2" t="s">
        <v>88</v>
      </c>
      <c r="G378" s="2" t="s">
        <v>103</v>
      </c>
      <c r="I378" s="2" t="s">
        <v>128</v>
      </c>
    </row>
    <row r="379" spans="1:9" x14ac:dyDescent="0.2">
      <c r="A379" s="2" t="s">
        <v>316</v>
      </c>
      <c r="B379" s="2" t="s">
        <v>922</v>
      </c>
      <c r="C379" s="2" t="s">
        <v>156</v>
      </c>
      <c r="D379" s="2" t="s">
        <v>923</v>
      </c>
      <c r="E379" s="2" t="s">
        <v>220</v>
      </c>
      <c r="F379" s="2" t="s">
        <v>88</v>
      </c>
      <c r="G379" s="2" t="s">
        <v>103</v>
      </c>
      <c r="I379" s="2" t="s">
        <v>96</v>
      </c>
    </row>
    <row r="380" spans="1:9" x14ac:dyDescent="0.2">
      <c r="A380" s="2" t="s">
        <v>316</v>
      </c>
      <c r="B380" s="2" t="s">
        <v>924</v>
      </c>
      <c r="C380" s="2" t="s">
        <v>157</v>
      </c>
      <c r="D380" s="2" t="s">
        <v>925</v>
      </c>
      <c r="E380" s="2" t="s">
        <v>220</v>
      </c>
      <c r="F380" s="2" t="s">
        <v>88</v>
      </c>
      <c r="G380" s="2" t="s">
        <v>92</v>
      </c>
      <c r="I380" s="2" t="s">
        <v>96</v>
      </c>
    </row>
    <row r="381" spans="1:9" x14ac:dyDescent="0.2">
      <c r="A381" s="2" t="s">
        <v>316</v>
      </c>
      <c r="B381" s="2" t="s">
        <v>926</v>
      </c>
      <c r="C381" s="2" t="s">
        <v>158</v>
      </c>
      <c r="D381" s="2" t="s">
        <v>927</v>
      </c>
      <c r="E381" s="2" t="s">
        <v>220</v>
      </c>
      <c r="F381" s="2" t="s">
        <v>88</v>
      </c>
      <c r="G381" s="2" t="s">
        <v>1312</v>
      </c>
      <c r="I381" s="2" t="s">
        <v>132</v>
      </c>
    </row>
    <row r="382" spans="1:9" x14ac:dyDescent="0.2">
      <c r="A382" s="2" t="s">
        <v>316</v>
      </c>
      <c r="B382" s="2" t="s">
        <v>928</v>
      </c>
      <c r="C382" s="2" t="s">
        <v>1313</v>
      </c>
      <c r="D382" s="2" t="s">
        <v>929</v>
      </c>
      <c r="E382" s="2" t="s">
        <v>220</v>
      </c>
      <c r="F382" s="2" t="s">
        <v>1487</v>
      </c>
      <c r="G382" s="2" t="s">
        <v>134</v>
      </c>
      <c r="I382" s="2" t="s">
        <v>135</v>
      </c>
    </row>
    <row r="383" spans="1:9" x14ac:dyDescent="0.2">
      <c r="A383" s="2" t="s">
        <v>316</v>
      </c>
      <c r="B383" s="2" t="s">
        <v>930</v>
      </c>
      <c r="C383" s="2" t="s">
        <v>1315</v>
      </c>
      <c r="D383" s="2" t="s">
        <v>931</v>
      </c>
      <c r="E383" s="2" t="s">
        <v>220</v>
      </c>
      <c r="F383" s="2" t="s">
        <v>88</v>
      </c>
      <c r="G383" s="2" t="s">
        <v>92</v>
      </c>
      <c r="I383" s="2" t="s">
        <v>1316</v>
      </c>
    </row>
    <row r="384" spans="1:9" x14ac:dyDescent="0.2">
      <c r="A384" s="2" t="s">
        <v>316</v>
      </c>
      <c r="B384" s="2" t="s">
        <v>932</v>
      </c>
      <c r="C384" s="2" t="s">
        <v>168</v>
      </c>
      <c r="D384" s="2" t="s">
        <v>933</v>
      </c>
      <c r="E384" s="2" t="s">
        <v>164</v>
      </c>
      <c r="F384" s="2" t="s">
        <v>109</v>
      </c>
      <c r="I384" s="2" t="s">
        <v>5</v>
      </c>
    </row>
    <row r="385" spans="1:9" x14ac:dyDescent="0.2">
      <c r="A385" s="2" t="s">
        <v>316</v>
      </c>
      <c r="B385" s="2" t="s">
        <v>934</v>
      </c>
      <c r="C385" s="2" t="s">
        <v>169</v>
      </c>
      <c r="D385" s="2" t="s">
        <v>935</v>
      </c>
      <c r="E385" s="2" t="s">
        <v>164</v>
      </c>
      <c r="F385" s="2" t="s">
        <v>171</v>
      </c>
      <c r="I385" s="2" t="s">
        <v>5</v>
      </c>
    </row>
    <row r="386" spans="1:9" x14ac:dyDescent="0.2">
      <c r="A386" s="2" t="s">
        <v>316</v>
      </c>
      <c r="B386" s="2" t="s">
        <v>936</v>
      </c>
      <c r="C386" s="2" t="s">
        <v>158</v>
      </c>
      <c r="D386" s="2" t="s">
        <v>937</v>
      </c>
      <c r="E386" s="2" t="s">
        <v>220</v>
      </c>
      <c r="F386" s="2" t="s">
        <v>88</v>
      </c>
      <c r="G386" s="2" t="s">
        <v>92</v>
      </c>
      <c r="I386" s="2" t="s">
        <v>132</v>
      </c>
    </row>
    <row r="387" spans="1:9" x14ac:dyDescent="0.2">
      <c r="A387" s="2" t="s">
        <v>316</v>
      </c>
      <c r="B387" s="2" t="s">
        <v>938</v>
      </c>
      <c r="C387" s="2" t="s">
        <v>173</v>
      </c>
      <c r="D387" s="2" t="s">
        <v>939</v>
      </c>
      <c r="E387" s="2" t="s">
        <v>164</v>
      </c>
      <c r="F387" s="2" t="s">
        <v>175</v>
      </c>
      <c r="I387" s="2" t="s">
        <v>176</v>
      </c>
    </row>
    <row r="388" spans="1:9" x14ac:dyDescent="0.2">
      <c r="A388" s="2" t="s">
        <v>316</v>
      </c>
      <c r="B388" s="2" t="s">
        <v>940</v>
      </c>
      <c r="C388" s="2" t="s">
        <v>177</v>
      </c>
      <c r="D388" s="2" t="s">
        <v>941</v>
      </c>
      <c r="E388" s="2" t="s">
        <v>164</v>
      </c>
      <c r="F388" s="2" t="s">
        <v>175</v>
      </c>
      <c r="I388" s="2" t="s">
        <v>179</v>
      </c>
    </row>
    <row r="389" spans="1:9" x14ac:dyDescent="0.2">
      <c r="A389" s="2" t="s">
        <v>316</v>
      </c>
      <c r="B389" s="2" t="s">
        <v>942</v>
      </c>
      <c r="C389" s="2" t="s">
        <v>181</v>
      </c>
      <c r="D389" s="2" t="s">
        <v>943</v>
      </c>
      <c r="E389" s="2" t="s">
        <v>164</v>
      </c>
      <c r="F389" s="2" t="s">
        <v>175</v>
      </c>
      <c r="I389" s="2" t="s">
        <v>183</v>
      </c>
    </row>
    <row r="390" spans="1:9" x14ac:dyDescent="0.2">
      <c r="A390" s="2" t="s">
        <v>316</v>
      </c>
      <c r="B390" s="2" t="s">
        <v>944</v>
      </c>
      <c r="C390" s="2" t="s">
        <v>196</v>
      </c>
      <c r="D390" s="2" t="s">
        <v>945</v>
      </c>
      <c r="E390" s="2" t="s">
        <v>164</v>
      </c>
      <c r="F390" s="2" t="s">
        <v>175</v>
      </c>
      <c r="I390" s="2" t="s">
        <v>197</v>
      </c>
    </row>
    <row r="391" spans="1:9" x14ac:dyDescent="0.2">
      <c r="A391" s="2" t="s">
        <v>316</v>
      </c>
      <c r="B391" s="2" t="s">
        <v>946</v>
      </c>
      <c r="C391" s="2" t="s">
        <v>198</v>
      </c>
      <c r="D391" s="2" t="s">
        <v>947</v>
      </c>
      <c r="E391" s="2" t="s">
        <v>164</v>
      </c>
      <c r="F391" s="2" t="s">
        <v>175</v>
      </c>
      <c r="I391" s="2" t="s">
        <v>199</v>
      </c>
    </row>
    <row r="392" spans="1:9" x14ac:dyDescent="0.2">
      <c r="A392" s="2" t="s">
        <v>316</v>
      </c>
      <c r="B392" s="2" t="s">
        <v>948</v>
      </c>
      <c r="C392" s="2" t="s">
        <v>184</v>
      </c>
      <c r="D392" s="2" t="s">
        <v>949</v>
      </c>
      <c r="E392" s="2" t="s">
        <v>164</v>
      </c>
      <c r="F392" s="2" t="s">
        <v>175</v>
      </c>
      <c r="I392" s="2" t="s">
        <v>186</v>
      </c>
    </row>
    <row r="393" spans="1:9" x14ac:dyDescent="0.2">
      <c r="A393" s="2" t="s">
        <v>316</v>
      </c>
      <c r="B393" s="2" t="s">
        <v>950</v>
      </c>
      <c r="C393" s="2" t="s">
        <v>1319</v>
      </c>
      <c r="D393" s="2" t="s">
        <v>951</v>
      </c>
      <c r="E393" s="2" t="s">
        <v>164</v>
      </c>
      <c r="F393" s="2" t="s">
        <v>171</v>
      </c>
      <c r="I393" s="2" t="s">
        <v>1320</v>
      </c>
    </row>
    <row r="394" spans="1:9" x14ac:dyDescent="0.2">
      <c r="A394" s="2" t="s">
        <v>316</v>
      </c>
      <c r="B394" s="2" t="s">
        <v>1356</v>
      </c>
      <c r="C394" s="2" t="s">
        <v>1317</v>
      </c>
      <c r="D394" s="2" t="s">
        <v>1357</v>
      </c>
      <c r="E394" s="2" t="s">
        <v>1333</v>
      </c>
      <c r="F394" s="2" t="s">
        <v>88</v>
      </c>
      <c r="I394" s="2" t="s">
        <v>1318</v>
      </c>
    </row>
    <row r="395" spans="1:9" x14ac:dyDescent="0.2">
      <c r="A395" s="2" t="s">
        <v>316</v>
      </c>
      <c r="B395" s="2" t="s">
        <v>1397</v>
      </c>
      <c r="C395" s="2" t="s">
        <v>1371</v>
      </c>
      <c r="D395" s="2" t="s">
        <v>1398</v>
      </c>
      <c r="E395" s="2" t="s">
        <v>1373</v>
      </c>
      <c r="F395" s="2" t="s">
        <v>88</v>
      </c>
      <c r="I395" s="2" t="s">
        <v>89</v>
      </c>
    </row>
    <row r="396" spans="1:9" x14ac:dyDescent="0.2">
      <c r="A396" s="42"/>
      <c r="B396" s="42"/>
      <c r="C396" s="42"/>
      <c r="D396" s="42"/>
      <c r="E396" s="43" t="s">
        <v>264</v>
      </c>
      <c r="F396" s="42"/>
      <c r="G396" s="42"/>
      <c r="H396" s="42"/>
      <c r="I396" s="42"/>
    </row>
    <row r="397" spans="1:9" x14ac:dyDescent="0.2">
      <c r="A397" s="2" t="s">
        <v>316</v>
      </c>
      <c r="B397" s="2" t="s">
        <v>180</v>
      </c>
      <c r="C397" s="2" t="str">
        <f>RIGHT(E396,LEN(E396)-5)</f>
        <v>Case014.sim</v>
      </c>
      <c r="E397" s="46"/>
      <c r="I397" s="2"/>
    </row>
    <row r="398" spans="1:9" x14ac:dyDescent="0.2">
      <c r="A398" s="2" t="s">
        <v>316</v>
      </c>
      <c r="B398" s="2" t="s">
        <v>178</v>
      </c>
      <c r="C398" s="2" t="s">
        <v>147</v>
      </c>
      <c r="D398" s="2" t="s">
        <v>182</v>
      </c>
      <c r="E398" s="2" t="s">
        <v>220</v>
      </c>
      <c r="F398" s="2" t="s">
        <v>88</v>
      </c>
      <c r="G398" s="2" t="s">
        <v>95</v>
      </c>
      <c r="I398" s="2" t="s">
        <v>96</v>
      </c>
    </row>
    <row r="399" spans="1:9" x14ac:dyDescent="0.2">
      <c r="A399" s="2" t="s">
        <v>316</v>
      </c>
      <c r="B399" s="2" t="s">
        <v>313</v>
      </c>
      <c r="C399" s="2" t="s">
        <v>148</v>
      </c>
      <c r="D399" s="2" t="s">
        <v>303</v>
      </c>
      <c r="E399" s="2" t="s">
        <v>220</v>
      </c>
      <c r="F399" s="2" t="s">
        <v>109</v>
      </c>
      <c r="G399" s="2" t="s">
        <v>110</v>
      </c>
      <c r="I399" s="2" t="s">
        <v>111</v>
      </c>
    </row>
    <row r="400" spans="1:9" x14ac:dyDescent="0.2">
      <c r="A400" s="2" t="s">
        <v>316</v>
      </c>
      <c r="B400" s="2" t="s">
        <v>952</v>
      </c>
      <c r="C400" s="2" t="s">
        <v>149</v>
      </c>
      <c r="D400" s="2" t="s">
        <v>953</v>
      </c>
      <c r="E400" s="2" t="s">
        <v>220</v>
      </c>
      <c r="F400" s="2" t="s">
        <v>109</v>
      </c>
      <c r="G400" s="2" t="s">
        <v>113</v>
      </c>
      <c r="I400" s="2" t="s">
        <v>111</v>
      </c>
    </row>
    <row r="401" spans="1:9" x14ac:dyDescent="0.2">
      <c r="A401" s="2" t="s">
        <v>316</v>
      </c>
      <c r="B401" s="2" t="s">
        <v>954</v>
      </c>
      <c r="C401" s="2" t="s">
        <v>150</v>
      </c>
      <c r="D401" s="2" t="s">
        <v>955</v>
      </c>
      <c r="E401" s="2" t="s">
        <v>220</v>
      </c>
      <c r="F401" s="2" t="s">
        <v>109</v>
      </c>
      <c r="G401" s="2" t="s">
        <v>115</v>
      </c>
      <c r="I401" s="2" t="s">
        <v>111</v>
      </c>
    </row>
    <row r="402" spans="1:9" x14ac:dyDescent="0.2">
      <c r="A402" s="2" t="s">
        <v>316</v>
      </c>
      <c r="B402" s="2" t="s">
        <v>956</v>
      </c>
      <c r="C402" s="2" t="s">
        <v>151</v>
      </c>
      <c r="D402" s="2" t="s">
        <v>957</v>
      </c>
      <c r="E402" s="2" t="s">
        <v>220</v>
      </c>
      <c r="F402" s="2" t="s">
        <v>109</v>
      </c>
      <c r="G402" s="2" t="s">
        <v>117</v>
      </c>
      <c r="I402" s="2" t="s">
        <v>111</v>
      </c>
    </row>
    <row r="403" spans="1:9" x14ac:dyDescent="0.2">
      <c r="A403" s="2" t="s">
        <v>316</v>
      </c>
      <c r="B403" s="2" t="s">
        <v>958</v>
      </c>
      <c r="C403" s="2" t="s">
        <v>152</v>
      </c>
      <c r="D403" s="2" t="s">
        <v>959</v>
      </c>
      <c r="E403" s="2" t="s">
        <v>220</v>
      </c>
      <c r="F403" s="2" t="s">
        <v>109</v>
      </c>
      <c r="G403" s="2" t="s">
        <v>119</v>
      </c>
      <c r="I403" s="2" t="s">
        <v>111</v>
      </c>
    </row>
    <row r="404" spans="1:9" x14ac:dyDescent="0.2">
      <c r="A404" s="2" t="s">
        <v>316</v>
      </c>
      <c r="B404" s="2" t="s">
        <v>960</v>
      </c>
      <c r="C404" s="2" t="s">
        <v>122</v>
      </c>
      <c r="D404" s="2" t="s">
        <v>961</v>
      </c>
      <c r="E404" s="2" t="s">
        <v>220</v>
      </c>
      <c r="F404" s="2" t="s">
        <v>109</v>
      </c>
      <c r="G404" s="2" t="s">
        <v>121</v>
      </c>
      <c r="I404" s="2" t="s">
        <v>122</v>
      </c>
    </row>
    <row r="405" spans="1:9" x14ac:dyDescent="0.2">
      <c r="A405" s="2" t="s">
        <v>316</v>
      </c>
      <c r="B405" s="2" t="s">
        <v>962</v>
      </c>
      <c r="C405" s="2" t="s">
        <v>153</v>
      </c>
      <c r="D405" s="2" t="s">
        <v>963</v>
      </c>
      <c r="E405" s="2" t="s">
        <v>220</v>
      </c>
      <c r="F405" s="2" t="s">
        <v>88</v>
      </c>
      <c r="G405" s="2" t="s">
        <v>92</v>
      </c>
      <c r="I405" s="2" t="s">
        <v>89</v>
      </c>
    </row>
    <row r="406" spans="1:9" x14ac:dyDescent="0.2">
      <c r="A406" s="2" t="s">
        <v>316</v>
      </c>
      <c r="B406" s="2" t="s">
        <v>964</v>
      </c>
      <c r="C406" s="2" t="s">
        <v>1308</v>
      </c>
      <c r="D406" s="2" t="s">
        <v>965</v>
      </c>
      <c r="E406" s="2" t="s">
        <v>220</v>
      </c>
      <c r="F406" s="2" t="s">
        <v>88</v>
      </c>
      <c r="G406" s="2" t="s">
        <v>103</v>
      </c>
      <c r="I406" s="2" t="s">
        <v>89</v>
      </c>
    </row>
    <row r="407" spans="1:9" x14ac:dyDescent="0.2">
      <c r="A407" s="2" t="s">
        <v>316</v>
      </c>
      <c r="B407" s="2" t="s">
        <v>966</v>
      </c>
      <c r="C407" s="2" t="s">
        <v>154</v>
      </c>
      <c r="D407" s="2" t="s">
        <v>967</v>
      </c>
      <c r="E407" s="2" t="s">
        <v>220</v>
      </c>
      <c r="F407" s="2" t="s">
        <v>88</v>
      </c>
      <c r="G407" s="2" t="s">
        <v>92</v>
      </c>
      <c r="I407" s="2" t="s">
        <v>125</v>
      </c>
    </row>
    <row r="408" spans="1:9" x14ac:dyDescent="0.2">
      <c r="A408" s="2" t="s">
        <v>316</v>
      </c>
      <c r="B408" s="2" t="s">
        <v>968</v>
      </c>
      <c r="C408" s="2" t="s">
        <v>155</v>
      </c>
      <c r="D408" s="2" t="s">
        <v>969</v>
      </c>
      <c r="E408" s="2" t="s">
        <v>220</v>
      </c>
      <c r="F408" s="2" t="s">
        <v>88</v>
      </c>
      <c r="G408" s="2" t="s">
        <v>103</v>
      </c>
      <c r="I408" s="2" t="s">
        <v>128</v>
      </c>
    </row>
    <row r="409" spans="1:9" x14ac:dyDescent="0.2">
      <c r="A409" s="2" t="s">
        <v>316</v>
      </c>
      <c r="B409" s="2" t="s">
        <v>970</v>
      </c>
      <c r="C409" s="2" t="s">
        <v>156</v>
      </c>
      <c r="D409" s="2" t="s">
        <v>971</v>
      </c>
      <c r="E409" s="2" t="s">
        <v>220</v>
      </c>
      <c r="F409" s="2" t="s">
        <v>88</v>
      </c>
      <c r="G409" s="2" t="s">
        <v>103</v>
      </c>
      <c r="I409" s="2" t="s">
        <v>96</v>
      </c>
    </row>
    <row r="410" spans="1:9" x14ac:dyDescent="0.2">
      <c r="A410" s="2" t="s">
        <v>316</v>
      </c>
      <c r="B410" s="2" t="s">
        <v>972</v>
      </c>
      <c r="C410" s="2" t="s">
        <v>157</v>
      </c>
      <c r="D410" s="2" t="s">
        <v>973</v>
      </c>
      <c r="E410" s="2" t="s">
        <v>220</v>
      </c>
      <c r="F410" s="2" t="s">
        <v>88</v>
      </c>
      <c r="G410" s="2" t="s">
        <v>92</v>
      </c>
      <c r="I410" s="2" t="s">
        <v>96</v>
      </c>
    </row>
    <row r="411" spans="1:9" x14ac:dyDescent="0.2">
      <c r="A411" s="2" t="s">
        <v>316</v>
      </c>
      <c r="B411" s="2" t="s">
        <v>974</v>
      </c>
      <c r="C411" s="2" t="s">
        <v>158</v>
      </c>
      <c r="D411" s="2" t="s">
        <v>975</v>
      </c>
      <c r="E411" s="2" t="s">
        <v>220</v>
      </c>
      <c r="F411" s="2" t="s">
        <v>88</v>
      </c>
      <c r="G411" s="2" t="s">
        <v>1312</v>
      </c>
      <c r="I411" s="2" t="s">
        <v>132</v>
      </c>
    </row>
    <row r="412" spans="1:9" x14ac:dyDescent="0.2">
      <c r="A412" s="2" t="s">
        <v>316</v>
      </c>
      <c r="B412" s="2" t="s">
        <v>976</v>
      </c>
      <c r="C412" s="2" t="s">
        <v>1313</v>
      </c>
      <c r="D412" s="2" t="s">
        <v>977</v>
      </c>
      <c r="E412" s="2" t="s">
        <v>220</v>
      </c>
      <c r="F412" s="2" t="s">
        <v>1487</v>
      </c>
      <c r="G412" s="2" t="s">
        <v>134</v>
      </c>
      <c r="I412" s="2" t="s">
        <v>135</v>
      </c>
    </row>
    <row r="413" spans="1:9" x14ac:dyDescent="0.2">
      <c r="A413" s="2" t="s">
        <v>316</v>
      </c>
      <c r="B413" s="2" t="s">
        <v>978</v>
      </c>
      <c r="C413" s="2" t="s">
        <v>1315</v>
      </c>
      <c r="D413" s="2" t="s">
        <v>979</v>
      </c>
      <c r="E413" s="2" t="s">
        <v>220</v>
      </c>
      <c r="F413" s="2" t="s">
        <v>88</v>
      </c>
      <c r="G413" s="2" t="s">
        <v>92</v>
      </c>
      <c r="I413" s="2" t="s">
        <v>1316</v>
      </c>
    </row>
    <row r="414" spans="1:9" x14ac:dyDescent="0.2">
      <c r="A414" s="2" t="s">
        <v>316</v>
      </c>
      <c r="B414" s="2" t="s">
        <v>980</v>
      </c>
      <c r="C414" s="2" t="s">
        <v>168</v>
      </c>
      <c r="D414" s="2" t="s">
        <v>981</v>
      </c>
      <c r="E414" s="2" t="s">
        <v>164</v>
      </c>
      <c r="F414" s="2" t="s">
        <v>109</v>
      </c>
      <c r="I414" s="2" t="s">
        <v>5</v>
      </c>
    </row>
    <row r="415" spans="1:9" x14ac:dyDescent="0.2">
      <c r="A415" s="2" t="s">
        <v>316</v>
      </c>
      <c r="B415" s="2" t="s">
        <v>982</v>
      </c>
      <c r="C415" s="2" t="s">
        <v>169</v>
      </c>
      <c r="D415" s="2" t="s">
        <v>983</v>
      </c>
      <c r="E415" s="2" t="s">
        <v>164</v>
      </c>
      <c r="F415" s="2" t="s">
        <v>171</v>
      </c>
      <c r="I415" s="2" t="s">
        <v>5</v>
      </c>
    </row>
    <row r="416" spans="1:9" x14ac:dyDescent="0.2">
      <c r="A416" s="2" t="s">
        <v>316</v>
      </c>
      <c r="B416" s="2" t="s">
        <v>984</v>
      </c>
      <c r="C416" s="2" t="s">
        <v>158</v>
      </c>
      <c r="D416" s="2" t="s">
        <v>985</v>
      </c>
      <c r="E416" s="2" t="s">
        <v>220</v>
      </c>
      <c r="F416" s="2" t="s">
        <v>88</v>
      </c>
      <c r="G416" s="2" t="s">
        <v>92</v>
      </c>
      <c r="I416" s="2" t="s">
        <v>132</v>
      </c>
    </row>
    <row r="417" spans="1:9" x14ac:dyDescent="0.2">
      <c r="A417" s="2" t="s">
        <v>316</v>
      </c>
      <c r="B417" s="2" t="s">
        <v>986</v>
      </c>
      <c r="C417" s="2" t="s">
        <v>173</v>
      </c>
      <c r="D417" s="2" t="s">
        <v>987</v>
      </c>
      <c r="E417" s="2" t="s">
        <v>164</v>
      </c>
      <c r="F417" s="2" t="s">
        <v>175</v>
      </c>
      <c r="I417" s="2" t="s">
        <v>176</v>
      </c>
    </row>
    <row r="418" spans="1:9" x14ac:dyDescent="0.2">
      <c r="A418" s="2" t="s">
        <v>316</v>
      </c>
      <c r="B418" s="2" t="s">
        <v>988</v>
      </c>
      <c r="C418" s="2" t="s">
        <v>177</v>
      </c>
      <c r="D418" s="2" t="s">
        <v>989</v>
      </c>
      <c r="E418" s="2" t="s">
        <v>164</v>
      </c>
      <c r="F418" s="2" t="s">
        <v>175</v>
      </c>
      <c r="I418" s="2" t="s">
        <v>179</v>
      </c>
    </row>
    <row r="419" spans="1:9" x14ac:dyDescent="0.2">
      <c r="A419" s="2" t="s">
        <v>316</v>
      </c>
      <c r="B419" s="2" t="s">
        <v>990</v>
      </c>
      <c r="C419" s="2" t="s">
        <v>181</v>
      </c>
      <c r="D419" s="2" t="s">
        <v>991</v>
      </c>
      <c r="E419" s="2" t="s">
        <v>164</v>
      </c>
      <c r="F419" s="2" t="s">
        <v>175</v>
      </c>
      <c r="I419" s="2" t="s">
        <v>183</v>
      </c>
    </row>
    <row r="420" spans="1:9" x14ac:dyDescent="0.2">
      <c r="A420" s="2" t="s">
        <v>316</v>
      </c>
      <c r="B420" s="2" t="s">
        <v>992</v>
      </c>
      <c r="C420" s="2" t="s">
        <v>196</v>
      </c>
      <c r="D420" s="2" t="s">
        <v>993</v>
      </c>
      <c r="E420" s="2" t="s">
        <v>164</v>
      </c>
      <c r="F420" s="2" t="s">
        <v>175</v>
      </c>
      <c r="I420" s="2" t="s">
        <v>197</v>
      </c>
    </row>
    <row r="421" spans="1:9" x14ac:dyDescent="0.2">
      <c r="A421" s="2" t="s">
        <v>316</v>
      </c>
      <c r="B421" s="2" t="s">
        <v>994</v>
      </c>
      <c r="C421" s="2" t="s">
        <v>198</v>
      </c>
      <c r="D421" s="2" t="s">
        <v>995</v>
      </c>
      <c r="E421" s="2" t="s">
        <v>164</v>
      </c>
      <c r="F421" s="2" t="s">
        <v>175</v>
      </c>
      <c r="I421" s="2" t="s">
        <v>199</v>
      </c>
    </row>
    <row r="422" spans="1:9" x14ac:dyDescent="0.2">
      <c r="A422" s="2" t="s">
        <v>316</v>
      </c>
      <c r="B422" s="2" t="s">
        <v>996</v>
      </c>
      <c r="C422" s="2" t="s">
        <v>184</v>
      </c>
      <c r="D422" s="2" t="s">
        <v>997</v>
      </c>
      <c r="E422" s="2" t="s">
        <v>164</v>
      </c>
      <c r="F422" s="2" t="s">
        <v>175</v>
      </c>
      <c r="I422" s="2" t="s">
        <v>186</v>
      </c>
    </row>
    <row r="423" spans="1:9" x14ac:dyDescent="0.2">
      <c r="A423" s="2" t="s">
        <v>316</v>
      </c>
      <c r="B423" s="2" t="s">
        <v>998</v>
      </c>
      <c r="C423" s="2" t="s">
        <v>1319</v>
      </c>
      <c r="D423" s="2" t="s">
        <v>999</v>
      </c>
      <c r="E423" s="2" t="s">
        <v>164</v>
      </c>
      <c r="F423" s="2" t="s">
        <v>171</v>
      </c>
      <c r="I423" s="2" t="s">
        <v>1320</v>
      </c>
    </row>
    <row r="424" spans="1:9" x14ac:dyDescent="0.2">
      <c r="A424" s="2" t="s">
        <v>316</v>
      </c>
      <c r="B424" s="2" t="s">
        <v>1358</v>
      </c>
      <c r="C424" s="2" t="s">
        <v>1317</v>
      </c>
      <c r="D424" s="2" t="s">
        <v>1359</v>
      </c>
      <c r="E424" s="2" t="s">
        <v>1333</v>
      </c>
      <c r="F424" s="2" t="s">
        <v>88</v>
      </c>
      <c r="I424" s="2" t="s">
        <v>1318</v>
      </c>
    </row>
    <row r="425" spans="1:9" x14ac:dyDescent="0.2">
      <c r="A425" s="2" t="s">
        <v>316</v>
      </c>
      <c r="B425" s="2" t="s">
        <v>1399</v>
      </c>
      <c r="C425" s="2" t="s">
        <v>1371</v>
      </c>
      <c r="D425" s="2" t="s">
        <v>1400</v>
      </c>
      <c r="E425" s="2" t="s">
        <v>1373</v>
      </c>
      <c r="F425" s="2" t="s">
        <v>88</v>
      </c>
      <c r="I425" s="2" t="s">
        <v>89</v>
      </c>
    </row>
    <row r="426" spans="1:9" x14ac:dyDescent="0.2">
      <c r="A426" s="42"/>
      <c r="B426" s="42"/>
      <c r="C426" s="42"/>
      <c r="D426" s="42"/>
      <c r="E426" s="43" t="s">
        <v>265</v>
      </c>
      <c r="F426" s="42"/>
      <c r="G426" s="42"/>
      <c r="H426" s="42"/>
      <c r="I426" s="42"/>
    </row>
    <row r="427" spans="1:9" x14ac:dyDescent="0.2">
      <c r="A427" s="2" t="s">
        <v>316</v>
      </c>
      <c r="B427" s="2" t="s">
        <v>187</v>
      </c>
      <c r="C427" s="2" t="str">
        <f>RIGHT(E426,LEN(E426)-5)</f>
        <v>Case015.sim</v>
      </c>
      <c r="E427" s="46"/>
      <c r="I427" s="2"/>
    </row>
    <row r="428" spans="1:9" x14ac:dyDescent="0.2">
      <c r="A428" s="2" t="s">
        <v>316</v>
      </c>
      <c r="B428" s="2" t="s">
        <v>185</v>
      </c>
      <c r="C428" s="2" t="s">
        <v>147</v>
      </c>
      <c r="D428" s="2" t="s">
        <v>189</v>
      </c>
      <c r="E428" s="2" t="s">
        <v>220</v>
      </c>
      <c r="F428" s="2" t="s">
        <v>88</v>
      </c>
      <c r="G428" s="2" t="s">
        <v>95</v>
      </c>
      <c r="I428" s="2" t="s">
        <v>96</v>
      </c>
    </row>
    <row r="429" spans="1:9" x14ac:dyDescent="0.2">
      <c r="A429" s="2" t="s">
        <v>316</v>
      </c>
      <c r="B429" s="2" t="s">
        <v>1000</v>
      </c>
      <c r="C429" s="2" t="s">
        <v>148</v>
      </c>
      <c r="D429" s="2" t="s">
        <v>1001</v>
      </c>
      <c r="E429" s="2" t="s">
        <v>220</v>
      </c>
      <c r="F429" s="2" t="s">
        <v>109</v>
      </c>
      <c r="G429" s="2" t="s">
        <v>110</v>
      </c>
      <c r="I429" s="2" t="s">
        <v>111</v>
      </c>
    </row>
    <row r="430" spans="1:9" x14ac:dyDescent="0.2">
      <c r="A430" s="2" t="s">
        <v>316</v>
      </c>
      <c r="B430" s="2" t="s">
        <v>1002</v>
      </c>
      <c r="C430" s="2" t="s">
        <v>149</v>
      </c>
      <c r="D430" s="2" t="s">
        <v>1003</v>
      </c>
      <c r="E430" s="2" t="s">
        <v>220</v>
      </c>
      <c r="F430" s="2" t="s">
        <v>109</v>
      </c>
      <c r="G430" s="2" t="s">
        <v>113</v>
      </c>
      <c r="I430" s="2" t="s">
        <v>111</v>
      </c>
    </row>
    <row r="431" spans="1:9" x14ac:dyDescent="0.2">
      <c r="A431" s="2" t="s">
        <v>316</v>
      </c>
      <c r="B431" s="2" t="s">
        <v>1004</v>
      </c>
      <c r="C431" s="2" t="s">
        <v>150</v>
      </c>
      <c r="D431" s="2" t="s">
        <v>1005</v>
      </c>
      <c r="E431" s="2" t="s">
        <v>220</v>
      </c>
      <c r="F431" s="2" t="s">
        <v>109</v>
      </c>
      <c r="G431" s="2" t="s">
        <v>115</v>
      </c>
      <c r="I431" s="2" t="s">
        <v>111</v>
      </c>
    </row>
    <row r="432" spans="1:9" x14ac:dyDescent="0.2">
      <c r="A432" s="2" t="s">
        <v>316</v>
      </c>
      <c r="B432" s="2" t="s">
        <v>1006</v>
      </c>
      <c r="C432" s="2" t="s">
        <v>151</v>
      </c>
      <c r="D432" s="2" t="s">
        <v>1007</v>
      </c>
      <c r="E432" s="2" t="s">
        <v>220</v>
      </c>
      <c r="F432" s="2" t="s">
        <v>109</v>
      </c>
      <c r="G432" s="2" t="s">
        <v>117</v>
      </c>
      <c r="I432" s="2" t="s">
        <v>111</v>
      </c>
    </row>
    <row r="433" spans="1:9" x14ac:dyDescent="0.2">
      <c r="A433" s="2" t="s">
        <v>316</v>
      </c>
      <c r="B433" s="2" t="s">
        <v>1008</v>
      </c>
      <c r="C433" s="2" t="s">
        <v>152</v>
      </c>
      <c r="D433" s="2" t="s">
        <v>1009</v>
      </c>
      <c r="E433" s="2" t="s">
        <v>220</v>
      </c>
      <c r="F433" s="2" t="s">
        <v>109</v>
      </c>
      <c r="G433" s="2" t="s">
        <v>119</v>
      </c>
      <c r="I433" s="2" t="s">
        <v>111</v>
      </c>
    </row>
    <row r="434" spans="1:9" x14ac:dyDescent="0.2">
      <c r="A434" s="2" t="s">
        <v>316</v>
      </c>
      <c r="B434" s="2" t="s">
        <v>1010</v>
      </c>
      <c r="C434" s="2" t="s">
        <v>122</v>
      </c>
      <c r="D434" s="2" t="s">
        <v>1011</v>
      </c>
      <c r="E434" s="2" t="s">
        <v>220</v>
      </c>
      <c r="F434" s="2" t="s">
        <v>109</v>
      </c>
      <c r="G434" s="2" t="s">
        <v>121</v>
      </c>
      <c r="I434" s="2" t="s">
        <v>122</v>
      </c>
    </row>
    <row r="435" spans="1:9" x14ac:dyDescent="0.2">
      <c r="A435" s="2" t="s">
        <v>316</v>
      </c>
      <c r="B435" s="2" t="s">
        <v>1012</v>
      </c>
      <c r="C435" s="2" t="s">
        <v>153</v>
      </c>
      <c r="D435" s="2" t="s">
        <v>1013</v>
      </c>
      <c r="E435" s="2" t="s">
        <v>220</v>
      </c>
      <c r="F435" s="2" t="s">
        <v>88</v>
      </c>
      <c r="G435" s="2" t="s">
        <v>92</v>
      </c>
      <c r="I435" s="2" t="s">
        <v>89</v>
      </c>
    </row>
    <row r="436" spans="1:9" x14ac:dyDescent="0.2">
      <c r="A436" s="2" t="s">
        <v>316</v>
      </c>
      <c r="B436" s="2" t="s">
        <v>1014</v>
      </c>
      <c r="C436" s="2" t="s">
        <v>1308</v>
      </c>
      <c r="D436" s="2" t="s">
        <v>1015</v>
      </c>
      <c r="E436" s="2" t="s">
        <v>220</v>
      </c>
      <c r="F436" s="2" t="s">
        <v>88</v>
      </c>
      <c r="G436" s="2" t="s">
        <v>103</v>
      </c>
      <c r="I436" s="2" t="s">
        <v>89</v>
      </c>
    </row>
    <row r="437" spans="1:9" x14ac:dyDescent="0.2">
      <c r="A437" s="2" t="s">
        <v>316</v>
      </c>
      <c r="B437" s="2" t="s">
        <v>1016</v>
      </c>
      <c r="C437" s="2" t="s">
        <v>154</v>
      </c>
      <c r="D437" s="2" t="s">
        <v>1017</v>
      </c>
      <c r="E437" s="2" t="s">
        <v>220</v>
      </c>
      <c r="F437" s="2" t="s">
        <v>88</v>
      </c>
      <c r="G437" s="2" t="s">
        <v>92</v>
      </c>
      <c r="I437" s="2" t="s">
        <v>125</v>
      </c>
    </row>
    <row r="438" spans="1:9" x14ac:dyDescent="0.2">
      <c r="A438" s="2" t="s">
        <v>316</v>
      </c>
      <c r="B438" s="2" t="s">
        <v>1018</v>
      </c>
      <c r="C438" s="2" t="s">
        <v>155</v>
      </c>
      <c r="D438" s="2" t="s">
        <v>1019</v>
      </c>
      <c r="E438" s="2" t="s">
        <v>220</v>
      </c>
      <c r="F438" s="2" t="s">
        <v>88</v>
      </c>
      <c r="G438" s="2" t="s">
        <v>103</v>
      </c>
      <c r="I438" s="2" t="s">
        <v>128</v>
      </c>
    </row>
    <row r="439" spans="1:9" x14ac:dyDescent="0.2">
      <c r="A439" s="2" t="s">
        <v>316</v>
      </c>
      <c r="B439" s="2" t="s">
        <v>1020</v>
      </c>
      <c r="C439" s="2" t="s">
        <v>156</v>
      </c>
      <c r="D439" s="2" t="s">
        <v>1021</v>
      </c>
      <c r="E439" s="2" t="s">
        <v>220</v>
      </c>
      <c r="F439" s="2" t="s">
        <v>88</v>
      </c>
      <c r="G439" s="2" t="s">
        <v>103</v>
      </c>
      <c r="I439" s="2" t="s">
        <v>96</v>
      </c>
    </row>
    <row r="440" spans="1:9" x14ac:dyDescent="0.2">
      <c r="A440" s="2" t="s">
        <v>316</v>
      </c>
      <c r="B440" s="2" t="s">
        <v>1022</v>
      </c>
      <c r="C440" s="2" t="s">
        <v>157</v>
      </c>
      <c r="D440" s="2" t="s">
        <v>1023</v>
      </c>
      <c r="E440" s="2" t="s">
        <v>220</v>
      </c>
      <c r="F440" s="2" t="s">
        <v>88</v>
      </c>
      <c r="G440" s="2" t="s">
        <v>92</v>
      </c>
      <c r="I440" s="2" t="s">
        <v>96</v>
      </c>
    </row>
    <row r="441" spans="1:9" x14ac:dyDescent="0.2">
      <c r="A441" s="2" t="s">
        <v>316</v>
      </c>
      <c r="B441" s="2" t="s">
        <v>1024</v>
      </c>
      <c r="C441" s="2" t="s">
        <v>158</v>
      </c>
      <c r="D441" s="2" t="s">
        <v>1025</v>
      </c>
      <c r="E441" s="2" t="s">
        <v>220</v>
      </c>
      <c r="F441" s="2" t="s">
        <v>88</v>
      </c>
      <c r="G441" s="2" t="s">
        <v>1312</v>
      </c>
      <c r="I441" s="2" t="s">
        <v>132</v>
      </c>
    </row>
    <row r="442" spans="1:9" x14ac:dyDescent="0.2">
      <c r="A442" s="2" t="s">
        <v>316</v>
      </c>
      <c r="B442" s="2" t="s">
        <v>1026</v>
      </c>
      <c r="C442" s="2" t="s">
        <v>1313</v>
      </c>
      <c r="D442" s="2" t="s">
        <v>1027</v>
      </c>
      <c r="E442" s="2" t="s">
        <v>220</v>
      </c>
      <c r="F442" s="2" t="s">
        <v>1487</v>
      </c>
      <c r="G442" s="2" t="s">
        <v>134</v>
      </c>
      <c r="I442" s="2" t="s">
        <v>135</v>
      </c>
    </row>
    <row r="443" spans="1:9" x14ac:dyDescent="0.2">
      <c r="A443" s="2" t="s">
        <v>316</v>
      </c>
      <c r="B443" s="2" t="s">
        <v>1028</v>
      </c>
      <c r="C443" s="2" t="s">
        <v>1315</v>
      </c>
      <c r="D443" s="2" t="s">
        <v>1029</v>
      </c>
      <c r="E443" s="2" t="s">
        <v>220</v>
      </c>
      <c r="F443" s="2" t="s">
        <v>88</v>
      </c>
      <c r="G443" s="2" t="s">
        <v>92</v>
      </c>
      <c r="I443" s="2" t="s">
        <v>1316</v>
      </c>
    </row>
    <row r="444" spans="1:9" x14ac:dyDescent="0.2">
      <c r="A444" s="2" t="s">
        <v>316</v>
      </c>
      <c r="B444" s="2" t="s">
        <v>1030</v>
      </c>
      <c r="C444" s="2" t="s">
        <v>168</v>
      </c>
      <c r="D444" s="2" t="s">
        <v>1031</v>
      </c>
      <c r="E444" s="2" t="s">
        <v>164</v>
      </c>
      <c r="F444" s="2" t="s">
        <v>109</v>
      </c>
      <c r="I444" s="2" t="s">
        <v>5</v>
      </c>
    </row>
    <row r="445" spans="1:9" x14ac:dyDescent="0.2">
      <c r="A445" s="2" t="s">
        <v>316</v>
      </c>
      <c r="B445" s="2" t="s">
        <v>1032</v>
      </c>
      <c r="C445" s="2" t="s">
        <v>169</v>
      </c>
      <c r="D445" s="2" t="s">
        <v>1033</v>
      </c>
      <c r="E445" s="2" t="s">
        <v>164</v>
      </c>
      <c r="F445" s="2" t="s">
        <v>171</v>
      </c>
      <c r="I445" s="2" t="s">
        <v>5</v>
      </c>
    </row>
    <row r="446" spans="1:9" x14ac:dyDescent="0.2">
      <c r="A446" s="2" t="s">
        <v>316</v>
      </c>
      <c r="B446" s="2" t="s">
        <v>1034</v>
      </c>
      <c r="C446" s="2" t="s">
        <v>158</v>
      </c>
      <c r="D446" s="2" t="s">
        <v>1035</v>
      </c>
      <c r="E446" s="2" t="s">
        <v>220</v>
      </c>
      <c r="F446" s="2" t="s">
        <v>88</v>
      </c>
      <c r="G446" s="2" t="s">
        <v>92</v>
      </c>
      <c r="I446" s="2" t="s">
        <v>132</v>
      </c>
    </row>
    <row r="447" spans="1:9" x14ac:dyDescent="0.2">
      <c r="A447" s="2" t="s">
        <v>316</v>
      </c>
      <c r="B447" s="2" t="s">
        <v>1036</v>
      </c>
      <c r="C447" s="2" t="s">
        <v>173</v>
      </c>
      <c r="D447" s="2" t="s">
        <v>1037</v>
      </c>
      <c r="E447" s="2" t="s">
        <v>164</v>
      </c>
      <c r="F447" s="2" t="s">
        <v>175</v>
      </c>
      <c r="I447" s="2" t="s">
        <v>176</v>
      </c>
    </row>
    <row r="448" spans="1:9" x14ac:dyDescent="0.2">
      <c r="A448" s="2" t="s">
        <v>316</v>
      </c>
      <c r="B448" s="2" t="s">
        <v>1038</v>
      </c>
      <c r="C448" s="2" t="s">
        <v>177</v>
      </c>
      <c r="D448" s="2" t="s">
        <v>1039</v>
      </c>
      <c r="E448" s="2" t="s">
        <v>164</v>
      </c>
      <c r="F448" s="2" t="s">
        <v>175</v>
      </c>
      <c r="I448" s="2" t="s">
        <v>179</v>
      </c>
    </row>
    <row r="449" spans="1:9" x14ac:dyDescent="0.2">
      <c r="A449" s="2" t="s">
        <v>316</v>
      </c>
      <c r="B449" s="2" t="s">
        <v>1040</v>
      </c>
      <c r="C449" s="2" t="s">
        <v>181</v>
      </c>
      <c r="D449" s="2" t="s">
        <v>1041</v>
      </c>
      <c r="E449" s="2" t="s">
        <v>164</v>
      </c>
      <c r="F449" s="2" t="s">
        <v>175</v>
      </c>
      <c r="I449" s="2" t="s">
        <v>183</v>
      </c>
    </row>
    <row r="450" spans="1:9" x14ac:dyDescent="0.2">
      <c r="A450" s="2" t="s">
        <v>316</v>
      </c>
      <c r="B450" s="2" t="s">
        <v>1042</v>
      </c>
      <c r="C450" s="2" t="s">
        <v>196</v>
      </c>
      <c r="D450" s="2" t="s">
        <v>1043</v>
      </c>
      <c r="E450" s="2" t="s">
        <v>164</v>
      </c>
      <c r="F450" s="2" t="s">
        <v>175</v>
      </c>
      <c r="I450" s="2" t="s">
        <v>197</v>
      </c>
    </row>
    <row r="451" spans="1:9" x14ac:dyDescent="0.2">
      <c r="A451" s="2" t="s">
        <v>316</v>
      </c>
      <c r="B451" s="2" t="s">
        <v>1044</v>
      </c>
      <c r="C451" s="2" t="s">
        <v>198</v>
      </c>
      <c r="D451" s="2" t="s">
        <v>1045</v>
      </c>
      <c r="E451" s="2" t="s">
        <v>164</v>
      </c>
      <c r="F451" s="2" t="s">
        <v>175</v>
      </c>
      <c r="I451" s="2" t="s">
        <v>199</v>
      </c>
    </row>
    <row r="452" spans="1:9" x14ac:dyDescent="0.2">
      <c r="A452" s="2" t="s">
        <v>316</v>
      </c>
      <c r="B452" s="2" t="s">
        <v>1046</v>
      </c>
      <c r="C452" s="2" t="s">
        <v>184</v>
      </c>
      <c r="D452" s="2" t="s">
        <v>1047</v>
      </c>
      <c r="E452" s="2" t="s">
        <v>164</v>
      </c>
      <c r="F452" s="2" t="s">
        <v>175</v>
      </c>
      <c r="I452" s="2" t="s">
        <v>186</v>
      </c>
    </row>
    <row r="453" spans="1:9" x14ac:dyDescent="0.2">
      <c r="A453" s="2" t="s">
        <v>316</v>
      </c>
      <c r="B453" s="2" t="s">
        <v>1048</v>
      </c>
      <c r="C453" s="2" t="s">
        <v>1319</v>
      </c>
      <c r="D453" s="2" t="s">
        <v>1049</v>
      </c>
      <c r="E453" s="2" t="s">
        <v>164</v>
      </c>
      <c r="F453" s="2" t="s">
        <v>171</v>
      </c>
      <c r="I453" s="2" t="s">
        <v>1320</v>
      </c>
    </row>
    <row r="454" spans="1:9" x14ac:dyDescent="0.2">
      <c r="A454" s="2" t="s">
        <v>316</v>
      </c>
      <c r="B454" s="2" t="s">
        <v>1360</v>
      </c>
      <c r="C454" s="2" t="s">
        <v>1317</v>
      </c>
      <c r="D454" s="2" t="s">
        <v>1361</v>
      </c>
      <c r="E454" s="2" t="s">
        <v>1333</v>
      </c>
      <c r="F454" s="2" t="s">
        <v>88</v>
      </c>
      <c r="I454" s="2" t="s">
        <v>1318</v>
      </c>
    </row>
    <row r="455" spans="1:9" x14ac:dyDescent="0.2">
      <c r="A455" s="2" t="s">
        <v>316</v>
      </c>
      <c r="B455" s="2" t="s">
        <v>1401</v>
      </c>
      <c r="C455" s="2" t="s">
        <v>1371</v>
      </c>
      <c r="D455" s="2" t="s">
        <v>1402</v>
      </c>
      <c r="E455" s="2" t="s">
        <v>1373</v>
      </c>
      <c r="F455" s="2" t="s">
        <v>88</v>
      </c>
      <c r="I455" s="2" t="s">
        <v>89</v>
      </c>
    </row>
    <row r="456" spans="1:9" x14ac:dyDescent="0.2">
      <c r="A456" s="42"/>
      <c r="B456" s="42"/>
      <c r="C456" s="42"/>
      <c r="D456" s="42"/>
      <c r="E456" s="43" t="s">
        <v>266</v>
      </c>
      <c r="F456" s="42"/>
      <c r="G456" s="42"/>
      <c r="H456" s="42"/>
      <c r="I456" s="42"/>
    </row>
    <row r="457" spans="1:9" x14ac:dyDescent="0.2">
      <c r="A457" s="2" t="s">
        <v>316</v>
      </c>
      <c r="B457" s="2" t="s">
        <v>1050</v>
      </c>
      <c r="C457" s="2" t="str">
        <f>RIGHT(E456,LEN(E456)-5)</f>
        <v>Case016.sim</v>
      </c>
      <c r="E457" s="46"/>
      <c r="I457" s="2"/>
    </row>
    <row r="458" spans="1:9" x14ac:dyDescent="0.2">
      <c r="A458" s="2" t="s">
        <v>316</v>
      </c>
      <c r="B458" s="2" t="s">
        <v>191</v>
      </c>
      <c r="C458" s="2" t="s">
        <v>147</v>
      </c>
      <c r="D458" s="2" t="s">
        <v>1051</v>
      </c>
      <c r="E458" s="2" t="s">
        <v>220</v>
      </c>
      <c r="F458" s="2" t="s">
        <v>88</v>
      </c>
      <c r="G458" s="2" t="s">
        <v>95</v>
      </c>
      <c r="I458" s="2" t="s">
        <v>96</v>
      </c>
    </row>
    <row r="459" spans="1:9" x14ac:dyDescent="0.2">
      <c r="A459" s="2" t="s">
        <v>316</v>
      </c>
      <c r="B459" s="2" t="s">
        <v>304</v>
      </c>
      <c r="C459" s="2" t="s">
        <v>148</v>
      </c>
      <c r="D459" s="2" t="s">
        <v>1052</v>
      </c>
      <c r="E459" s="2" t="s">
        <v>220</v>
      </c>
      <c r="F459" s="2" t="s">
        <v>109</v>
      </c>
      <c r="G459" s="2" t="s">
        <v>110</v>
      </c>
      <c r="I459" s="2" t="s">
        <v>111</v>
      </c>
    </row>
    <row r="460" spans="1:9" x14ac:dyDescent="0.2">
      <c r="A460" s="2" t="s">
        <v>316</v>
      </c>
      <c r="B460" s="2" t="s">
        <v>1053</v>
      </c>
      <c r="C460" s="2" t="s">
        <v>149</v>
      </c>
      <c r="D460" s="2" t="s">
        <v>1054</v>
      </c>
      <c r="E460" s="2" t="s">
        <v>220</v>
      </c>
      <c r="F460" s="2" t="s">
        <v>109</v>
      </c>
      <c r="G460" s="2" t="s">
        <v>113</v>
      </c>
      <c r="I460" s="2" t="s">
        <v>111</v>
      </c>
    </row>
    <row r="461" spans="1:9" x14ac:dyDescent="0.2">
      <c r="A461" s="2" t="s">
        <v>316</v>
      </c>
      <c r="B461" s="2" t="s">
        <v>1055</v>
      </c>
      <c r="C461" s="2" t="s">
        <v>150</v>
      </c>
      <c r="D461" s="2" t="s">
        <v>1056</v>
      </c>
      <c r="E461" s="2" t="s">
        <v>220</v>
      </c>
      <c r="F461" s="2" t="s">
        <v>109</v>
      </c>
      <c r="G461" s="2" t="s">
        <v>115</v>
      </c>
      <c r="I461" s="2" t="s">
        <v>111</v>
      </c>
    </row>
    <row r="462" spans="1:9" x14ac:dyDescent="0.2">
      <c r="A462" s="2" t="s">
        <v>316</v>
      </c>
      <c r="B462" s="2" t="s">
        <v>1057</v>
      </c>
      <c r="C462" s="2" t="s">
        <v>151</v>
      </c>
      <c r="D462" s="2" t="s">
        <v>1058</v>
      </c>
      <c r="E462" s="2" t="s">
        <v>220</v>
      </c>
      <c r="F462" s="2" t="s">
        <v>109</v>
      </c>
      <c r="G462" s="2" t="s">
        <v>117</v>
      </c>
      <c r="I462" s="2" t="s">
        <v>111</v>
      </c>
    </row>
    <row r="463" spans="1:9" x14ac:dyDescent="0.2">
      <c r="A463" s="2" t="s">
        <v>316</v>
      </c>
      <c r="B463" s="2" t="s">
        <v>1059</v>
      </c>
      <c r="C463" s="2" t="s">
        <v>152</v>
      </c>
      <c r="D463" s="2" t="s">
        <v>1060</v>
      </c>
      <c r="E463" s="2" t="s">
        <v>220</v>
      </c>
      <c r="F463" s="2" t="s">
        <v>109</v>
      </c>
      <c r="G463" s="2" t="s">
        <v>119</v>
      </c>
      <c r="I463" s="2" t="s">
        <v>111</v>
      </c>
    </row>
    <row r="464" spans="1:9" x14ac:dyDescent="0.2">
      <c r="A464" s="2" t="s">
        <v>316</v>
      </c>
      <c r="B464" s="2" t="s">
        <v>1061</v>
      </c>
      <c r="C464" s="2" t="s">
        <v>122</v>
      </c>
      <c r="D464" s="2" t="s">
        <v>1062</v>
      </c>
      <c r="E464" s="2" t="s">
        <v>220</v>
      </c>
      <c r="F464" s="2" t="s">
        <v>109</v>
      </c>
      <c r="G464" s="2" t="s">
        <v>121</v>
      </c>
      <c r="I464" s="2" t="s">
        <v>122</v>
      </c>
    </row>
    <row r="465" spans="1:9" x14ac:dyDescent="0.2">
      <c r="A465" s="2" t="s">
        <v>316</v>
      </c>
      <c r="B465" s="2" t="s">
        <v>1063</v>
      </c>
      <c r="C465" s="2" t="s">
        <v>153</v>
      </c>
      <c r="D465" s="2" t="s">
        <v>1064</v>
      </c>
      <c r="E465" s="2" t="s">
        <v>220</v>
      </c>
      <c r="F465" s="2" t="s">
        <v>88</v>
      </c>
      <c r="G465" s="2" t="s">
        <v>92</v>
      </c>
      <c r="I465" s="2" t="s">
        <v>89</v>
      </c>
    </row>
    <row r="466" spans="1:9" x14ac:dyDescent="0.2">
      <c r="A466" s="2" t="s">
        <v>316</v>
      </c>
      <c r="B466" s="2" t="s">
        <v>1065</v>
      </c>
      <c r="C466" s="2" t="s">
        <v>1308</v>
      </c>
      <c r="D466" s="2" t="s">
        <v>1066</v>
      </c>
      <c r="E466" s="2" t="s">
        <v>220</v>
      </c>
      <c r="F466" s="2" t="s">
        <v>88</v>
      </c>
      <c r="G466" s="2" t="s">
        <v>103</v>
      </c>
      <c r="I466" s="2" t="s">
        <v>89</v>
      </c>
    </row>
    <row r="467" spans="1:9" x14ac:dyDescent="0.2">
      <c r="A467" s="2" t="s">
        <v>316</v>
      </c>
      <c r="B467" s="2" t="s">
        <v>1067</v>
      </c>
      <c r="C467" s="2" t="s">
        <v>154</v>
      </c>
      <c r="D467" s="2" t="s">
        <v>1068</v>
      </c>
      <c r="E467" s="2" t="s">
        <v>220</v>
      </c>
      <c r="F467" s="2" t="s">
        <v>88</v>
      </c>
      <c r="G467" s="2" t="s">
        <v>92</v>
      </c>
      <c r="I467" s="2" t="s">
        <v>125</v>
      </c>
    </row>
    <row r="468" spans="1:9" x14ac:dyDescent="0.2">
      <c r="A468" s="2" t="s">
        <v>316</v>
      </c>
      <c r="B468" s="2" t="s">
        <v>1069</v>
      </c>
      <c r="C468" s="2" t="s">
        <v>155</v>
      </c>
      <c r="D468" s="2" t="s">
        <v>1070</v>
      </c>
      <c r="E468" s="2" t="s">
        <v>220</v>
      </c>
      <c r="F468" s="2" t="s">
        <v>88</v>
      </c>
      <c r="G468" s="2" t="s">
        <v>103</v>
      </c>
      <c r="I468" s="2" t="s">
        <v>128</v>
      </c>
    </row>
    <row r="469" spans="1:9" x14ac:dyDescent="0.2">
      <c r="A469" s="2" t="s">
        <v>316</v>
      </c>
      <c r="B469" s="2" t="s">
        <v>1071</v>
      </c>
      <c r="C469" s="2" t="s">
        <v>156</v>
      </c>
      <c r="D469" s="2" t="s">
        <v>1072</v>
      </c>
      <c r="E469" s="2" t="s">
        <v>220</v>
      </c>
      <c r="F469" s="2" t="s">
        <v>88</v>
      </c>
      <c r="G469" s="2" t="s">
        <v>103</v>
      </c>
      <c r="I469" s="2" t="s">
        <v>96</v>
      </c>
    </row>
    <row r="470" spans="1:9" x14ac:dyDescent="0.2">
      <c r="A470" s="2" t="s">
        <v>316</v>
      </c>
      <c r="B470" s="2" t="s">
        <v>1073</v>
      </c>
      <c r="C470" s="2" t="s">
        <v>157</v>
      </c>
      <c r="D470" s="2" t="s">
        <v>1074</v>
      </c>
      <c r="E470" s="2" t="s">
        <v>220</v>
      </c>
      <c r="F470" s="2" t="s">
        <v>88</v>
      </c>
      <c r="G470" s="2" t="s">
        <v>92</v>
      </c>
      <c r="I470" s="2" t="s">
        <v>96</v>
      </c>
    </row>
    <row r="471" spans="1:9" x14ac:dyDescent="0.2">
      <c r="A471" s="2" t="s">
        <v>316</v>
      </c>
      <c r="B471" s="2" t="s">
        <v>1075</v>
      </c>
      <c r="C471" s="2" t="s">
        <v>158</v>
      </c>
      <c r="D471" s="2" t="s">
        <v>1076</v>
      </c>
      <c r="E471" s="2" t="s">
        <v>220</v>
      </c>
      <c r="F471" s="2" t="s">
        <v>88</v>
      </c>
      <c r="G471" s="2" t="s">
        <v>1312</v>
      </c>
      <c r="I471" s="2" t="s">
        <v>132</v>
      </c>
    </row>
    <row r="472" spans="1:9" x14ac:dyDescent="0.2">
      <c r="A472" s="2" t="s">
        <v>316</v>
      </c>
      <c r="B472" s="2" t="s">
        <v>1077</v>
      </c>
      <c r="C472" s="2" t="s">
        <v>1313</v>
      </c>
      <c r="D472" s="2" t="s">
        <v>1078</v>
      </c>
      <c r="E472" s="2" t="s">
        <v>220</v>
      </c>
      <c r="F472" s="2" t="s">
        <v>1487</v>
      </c>
      <c r="G472" s="2" t="s">
        <v>134</v>
      </c>
      <c r="I472" s="2" t="s">
        <v>135</v>
      </c>
    </row>
    <row r="473" spans="1:9" x14ac:dyDescent="0.2">
      <c r="A473" s="2" t="s">
        <v>316</v>
      </c>
      <c r="B473" s="2" t="s">
        <v>1079</v>
      </c>
      <c r="C473" s="2" t="s">
        <v>1315</v>
      </c>
      <c r="D473" s="2" t="s">
        <v>1080</v>
      </c>
      <c r="E473" s="2" t="s">
        <v>220</v>
      </c>
      <c r="F473" s="2" t="s">
        <v>88</v>
      </c>
      <c r="G473" s="2" t="s">
        <v>92</v>
      </c>
      <c r="I473" s="2" t="s">
        <v>1316</v>
      </c>
    </row>
    <row r="474" spans="1:9" x14ac:dyDescent="0.2">
      <c r="A474" s="2" t="s">
        <v>316</v>
      </c>
      <c r="B474" s="2" t="s">
        <v>1081</v>
      </c>
      <c r="C474" s="2" t="s">
        <v>168</v>
      </c>
      <c r="D474" s="2" t="s">
        <v>1082</v>
      </c>
      <c r="E474" s="2" t="s">
        <v>164</v>
      </c>
      <c r="F474" s="2" t="s">
        <v>109</v>
      </c>
      <c r="I474" s="2" t="s">
        <v>5</v>
      </c>
    </row>
    <row r="475" spans="1:9" x14ac:dyDescent="0.2">
      <c r="A475" s="2" t="s">
        <v>316</v>
      </c>
      <c r="B475" s="2" t="s">
        <v>1083</v>
      </c>
      <c r="C475" s="2" t="s">
        <v>169</v>
      </c>
      <c r="D475" s="2" t="s">
        <v>1084</v>
      </c>
      <c r="E475" s="2" t="s">
        <v>164</v>
      </c>
      <c r="F475" s="2" t="s">
        <v>171</v>
      </c>
      <c r="I475" s="2" t="s">
        <v>5</v>
      </c>
    </row>
    <row r="476" spans="1:9" x14ac:dyDescent="0.2">
      <c r="A476" s="2" t="s">
        <v>316</v>
      </c>
      <c r="B476" s="2" t="s">
        <v>1085</v>
      </c>
      <c r="C476" s="2" t="s">
        <v>158</v>
      </c>
      <c r="D476" s="2" t="s">
        <v>1086</v>
      </c>
      <c r="E476" s="2" t="s">
        <v>220</v>
      </c>
      <c r="F476" s="2" t="s">
        <v>88</v>
      </c>
      <c r="G476" s="2" t="s">
        <v>92</v>
      </c>
      <c r="I476" s="2" t="s">
        <v>132</v>
      </c>
    </row>
    <row r="477" spans="1:9" x14ac:dyDescent="0.2">
      <c r="A477" s="2" t="s">
        <v>316</v>
      </c>
      <c r="B477" s="2" t="s">
        <v>1087</v>
      </c>
      <c r="C477" s="2" t="s">
        <v>173</v>
      </c>
      <c r="D477" s="2" t="s">
        <v>1088</v>
      </c>
      <c r="E477" s="2" t="s">
        <v>164</v>
      </c>
      <c r="F477" s="2" t="s">
        <v>175</v>
      </c>
      <c r="I477" s="2" t="s">
        <v>176</v>
      </c>
    </row>
    <row r="478" spans="1:9" x14ac:dyDescent="0.2">
      <c r="A478" s="2" t="s">
        <v>316</v>
      </c>
      <c r="B478" s="2" t="s">
        <v>1089</v>
      </c>
      <c r="C478" s="2" t="s">
        <v>177</v>
      </c>
      <c r="D478" s="2" t="s">
        <v>1090</v>
      </c>
      <c r="E478" s="2" t="s">
        <v>164</v>
      </c>
      <c r="F478" s="2" t="s">
        <v>175</v>
      </c>
      <c r="I478" s="2" t="s">
        <v>179</v>
      </c>
    </row>
    <row r="479" spans="1:9" x14ac:dyDescent="0.2">
      <c r="A479" s="2" t="s">
        <v>316</v>
      </c>
      <c r="B479" s="2" t="s">
        <v>1091</v>
      </c>
      <c r="C479" s="2" t="s">
        <v>181</v>
      </c>
      <c r="D479" s="2" t="s">
        <v>1092</v>
      </c>
      <c r="E479" s="2" t="s">
        <v>164</v>
      </c>
      <c r="F479" s="2" t="s">
        <v>175</v>
      </c>
      <c r="I479" s="2" t="s">
        <v>183</v>
      </c>
    </row>
    <row r="480" spans="1:9" x14ac:dyDescent="0.2">
      <c r="A480" s="2" t="s">
        <v>316</v>
      </c>
      <c r="B480" s="2" t="s">
        <v>1093</v>
      </c>
      <c r="C480" s="2" t="s">
        <v>196</v>
      </c>
      <c r="D480" s="2" t="s">
        <v>1094</v>
      </c>
      <c r="E480" s="2" t="s">
        <v>164</v>
      </c>
      <c r="F480" s="2" t="s">
        <v>175</v>
      </c>
      <c r="I480" s="2" t="s">
        <v>197</v>
      </c>
    </row>
    <row r="481" spans="1:9" x14ac:dyDescent="0.2">
      <c r="A481" s="2" t="s">
        <v>316</v>
      </c>
      <c r="B481" s="2" t="s">
        <v>1095</v>
      </c>
      <c r="C481" s="2" t="s">
        <v>198</v>
      </c>
      <c r="D481" s="2" t="s">
        <v>1096</v>
      </c>
      <c r="E481" s="2" t="s">
        <v>164</v>
      </c>
      <c r="F481" s="2" t="s">
        <v>175</v>
      </c>
      <c r="I481" s="2" t="s">
        <v>199</v>
      </c>
    </row>
    <row r="482" spans="1:9" x14ac:dyDescent="0.2">
      <c r="A482" s="2" t="s">
        <v>316</v>
      </c>
      <c r="B482" s="2" t="s">
        <v>1097</v>
      </c>
      <c r="C482" s="2" t="s">
        <v>184</v>
      </c>
      <c r="D482" s="2" t="s">
        <v>1098</v>
      </c>
      <c r="E482" s="2" t="s">
        <v>164</v>
      </c>
      <c r="F482" s="2" t="s">
        <v>175</v>
      </c>
      <c r="I482" s="2" t="s">
        <v>186</v>
      </c>
    </row>
    <row r="483" spans="1:9" x14ac:dyDescent="0.2">
      <c r="A483" s="2" t="s">
        <v>316</v>
      </c>
      <c r="B483" s="2" t="s">
        <v>1099</v>
      </c>
      <c r="C483" s="2" t="s">
        <v>1319</v>
      </c>
      <c r="D483" s="2" t="s">
        <v>1100</v>
      </c>
      <c r="E483" s="2" t="s">
        <v>164</v>
      </c>
      <c r="F483" s="2" t="s">
        <v>171</v>
      </c>
      <c r="I483" s="2" t="s">
        <v>1320</v>
      </c>
    </row>
    <row r="484" spans="1:9" x14ac:dyDescent="0.2">
      <c r="A484" s="2" t="s">
        <v>316</v>
      </c>
      <c r="B484" s="2" t="s">
        <v>1362</v>
      </c>
      <c r="C484" s="2" t="s">
        <v>1317</v>
      </c>
      <c r="D484" s="2" t="s">
        <v>1363</v>
      </c>
      <c r="E484" s="2" t="s">
        <v>1333</v>
      </c>
      <c r="F484" s="2" t="s">
        <v>88</v>
      </c>
      <c r="I484" s="2" t="s">
        <v>1318</v>
      </c>
    </row>
    <row r="485" spans="1:9" x14ac:dyDescent="0.2">
      <c r="A485" s="2" t="s">
        <v>316</v>
      </c>
      <c r="B485" s="2" t="s">
        <v>1403</v>
      </c>
      <c r="C485" s="2" t="s">
        <v>1371</v>
      </c>
      <c r="D485" s="2" t="s">
        <v>1404</v>
      </c>
      <c r="E485" s="2" t="s">
        <v>1373</v>
      </c>
      <c r="F485" s="2" t="s">
        <v>88</v>
      </c>
      <c r="I485" s="2" t="s">
        <v>89</v>
      </c>
    </row>
    <row r="486" spans="1:9" x14ac:dyDescent="0.2">
      <c r="A486" s="42"/>
      <c r="B486" s="42"/>
      <c r="C486" s="42"/>
      <c r="D486" s="42"/>
      <c r="E486" s="43" t="s">
        <v>267</v>
      </c>
      <c r="F486" s="42"/>
      <c r="G486" s="42"/>
      <c r="H486" s="42"/>
      <c r="I486" s="42"/>
    </row>
    <row r="487" spans="1:9" x14ac:dyDescent="0.2">
      <c r="A487" s="2" t="s">
        <v>316</v>
      </c>
      <c r="B487" s="2" t="s">
        <v>1101</v>
      </c>
      <c r="C487" s="2" t="str">
        <f>RIGHT(E486,LEN(E486)-5)</f>
        <v>Case017.sim</v>
      </c>
      <c r="E487" s="46"/>
      <c r="I487" s="2"/>
    </row>
    <row r="488" spans="1:9" x14ac:dyDescent="0.2">
      <c r="A488" s="2" t="s">
        <v>316</v>
      </c>
      <c r="B488" s="2" t="s">
        <v>200</v>
      </c>
      <c r="C488" s="2" t="s">
        <v>147</v>
      </c>
      <c r="D488" s="2" t="s">
        <v>1102</v>
      </c>
      <c r="E488" s="2" t="s">
        <v>220</v>
      </c>
      <c r="F488" s="2" t="s">
        <v>88</v>
      </c>
      <c r="G488" s="2" t="s">
        <v>95</v>
      </c>
      <c r="I488" s="2" t="s">
        <v>96</v>
      </c>
    </row>
    <row r="489" spans="1:9" x14ac:dyDescent="0.2">
      <c r="A489" s="2" t="s">
        <v>316</v>
      </c>
      <c r="B489" s="2" t="s">
        <v>305</v>
      </c>
      <c r="C489" s="2" t="s">
        <v>148</v>
      </c>
      <c r="D489" s="2" t="s">
        <v>1103</v>
      </c>
      <c r="E489" s="2" t="s">
        <v>220</v>
      </c>
      <c r="F489" s="2" t="s">
        <v>109</v>
      </c>
      <c r="G489" s="2" t="s">
        <v>110</v>
      </c>
      <c r="I489" s="2" t="s">
        <v>111</v>
      </c>
    </row>
    <row r="490" spans="1:9" x14ac:dyDescent="0.2">
      <c r="A490" s="2" t="s">
        <v>316</v>
      </c>
      <c r="B490" s="2" t="s">
        <v>1104</v>
      </c>
      <c r="C490" s="2" t="s">
        <v>149</v>
      </c>
      <c r="D490" s="2" t="s">
        <v>1105</v>
      </c>
      <c r="E490" s="2" t="s">
        <v>220</v>
      </c>
      <c r="F490" s="2" t="s">
        <v>109</v>
      </c>
      <c r="G490" s="2" t="s">
        <v>113</v>
      </c>
      <c r="I490" s="2" t="s">
        <v>111</v>
      </c>
    </row>
    <row r="491" spans="1:9" x14ac:dyDescent="0.2">
      <c r="A491" s="2" t="s">
        <v>316</v>
      </c>
      <c r="B491" s="2" t="s">
        <v>1106</v>
      </c>
      <c r="C491" s="2" t="s">
        <v>150</v>
      </c>
      <c r="D491" s="2" t="s">
        <v>1107</v>
      </c>
      <c r="E491" s="2" t="s">
        <v>220</v>
      </c>
      <c r="F491" s="2" t="s">
        <v>109</v>
      </c>
      <c r="G491" s="2" t="s">
        <v>115</v>
      </c>
      <c r="I491" s="2" t="s">
        <v>111</v>
      </c>
    </row>
    <row r="492" spans="1:9" x14ac:dyDescent="0.2">
      <c r="A492" s="2" t="s">
        <v>316</v>
      </c>
      <c r="B492" s="2" t="s">
        <v>1108</v>
      </c>
      <c r="C492" s="2" t="s">
        <v>151</v>
      </c>
      <c r="D492" s="2" t="s">
        <v>1109</v>
      </c>
      <c r="E492" s="2" t="s">
        <v>220</v>
      </c>
      <c r="F492" s="2" t="s">
        <v>109</v>
      </c>
      <c r="G492" s="2" t="s">
        <v>117</v>
      </c>
      <c r="I492" s="2" t="s">
        <v>111</v>
      </c>
    </row>
    <row r="493" spans="1:9" x14ac:dyDescent="0.2">
      <c r="A493" s="2" t="s">
        <v>316</v>
      </c>
      <c r="B493" s="2" t="s">
        <v>1110</v>
      </c>
      <c r="C493" s="2" t="s">
        <v>152</v>
      </c>
      <c r="D493" s="2" t="s">
        <v>1111</v>
      </c>
      <c r="E493" s="2" t="s">
        <v>220</v>
      </c>
      <c r="F493" s="2" t="s">
        <v>109</v>
      </c>
      <c r="G493" s="2" t="s">
        <v>119</v>
      </c>
      <c r="I493" s="2" t="s">
        <v>111</v>
      </c>
    </row>
    <row r="494" spans="1:9" x14ac:dyDescent="0.2">
      <c r="A494" s="2" t="s">
        <v>316</v>
      </c>
      <c r="B494" s="2" t="s">
        <v>1112</v>
      </c>
      <c r="C494" s="2" t="s">
        <v>122</v>
      </c>
      <c r="D494" s="2" t="s">
        <v>1113</v>
      </c>
      <c r="E494" s="2" t="s">
        <v>220</v>
      </c>
      <c r="F494" s="2" t="s">
        <v>109</v>
      </c>
      <c r="G494" s="2" t="s">
        <v>121</v>
      </c>
      <c r="I494" s="2" t="s">
        <v>122</v>
      </c>
    </row>
    <row r="495" spans="1:9" x14ac:dyDescent="0.2">
      <c r="A495" s="2" t="s">
        <v>316</v>
      </c>
      <c r="B495" s="2" t="s">
        <v>1114</v>
      </c>
      <c r="C495" s="2" t="s">
        <v>153</v>
      </c>
      <c r="D495" s="2" t="s">
        <v>1115</v>
      </c>
      <c r="E495" s="2" t="s">
        <v>220</v>
      </c>
      <c r="F495" s="2" t="s">
        <v>88</v>
      </c>
      <c r="G495" s="2" t="s">
        <v>92</v>
      </c>
      <c r="I495" s="2" t="s">
        <v>89</v>
      </c>
    </row>
    <row r="496" spans="1:9" x14ac:dyDescent="0.2">
      <c r="A496" s="2" t="s">
        <v>316</v>
      </c>
      <c r="B496" s="2" t="s">
        <v>1116</v>
      </c>
      <c r="C496" s="2" t="s">
        <v>1308</v>
      </c>
      <c r="D496" s="2" t="s">
        <v>1117</v>
      </c>
      <c r="E496" s="2" t="s">
        <v>220</v>
      </c>
      <c r="F496" s="2" t="s">
        <v>88</v>
      </c>
      <c r="G496" s="2" t="s">
        <v>103</v>
      </c>
      <c r="I496" s="2" t="s">
        <v>89</v>
      </c>
    </row>
    <row r="497" spans="1:9" x14ac:dyDescent="0.2">
      <c r="A497" s="2" t="s">
        <v>316</v>
      </c>
      <c r="B497" s="2" t="s">
        <v>1118</v>
      </c>
      <c r="C497" s="2" t="s">
        <v>154</v>
      </c>
      <c r="D497" s="2" t="s">
        <v>1119</v>
      </c>
      <c r="E497" s="2" t="s">
        <v>220</v>
      </c>
      <c r="F497" s="2" t="s">
        <v>88</v>
      </c>
      <c r="G497" s="2" t="s">
        <v>92</v>
      </c>
      <c r="I497" s="2" t="s">
        <v>125</v>
      </c>
    </row>
    <row r="498" spans="1:9" x14ac:dyDescent="0.2">
      <c r="A498" s="2" t="s">
        <v>316</v>
      </c>
      <c r="B498" s="2" t="s">
        <v>1120</v>
      </c>
      <c r="C498" s="2" t="s">
        <v>155</v>
      </c>
      <c r="D498" s="2" t="s">
        <v>1121</v>
      </c>
      <c r="E498" s="2" t="s">
        <v>220</v>
      </c>
      <c r="F498" s="2" t="s">
        <v>88</v>
      </c>
      <c r="G498" s="2" t="s">
        <v>103</v>
      </c>
      <c r="I498" s="2" t="s">
        <v>128</v>
      </c>
    </row>
    <row r="499" spans="1:9" x14ac:dyDescent="0.2">
      <c r="A499" s="2" t="s">
        <v>316</v>
      </c>
      <c r="B499" s="2" t="s">
        <v>1122</v>
      </c>
      <c r="C499" s="2" t="s">
        <v>156</v>
      </c>
      <c r="D499" s="2" t="s">
        <v>1123</v>
      </c>
      <c r="E499" s="2" t="s">
        <v>220</v>
      </c>
      <c r="F499" s="2" t="s">
        <v>88</v>
      </c>
      <c r="G499" s="2" t="s">
        <v>103</v>
      </c>
      <c r="I499" s="2" t="s">
        <v>96</v>
      </c>
    </row>
    <row r="500" spans="1:9" x14ac:dyDescent="0.2">
      <c r="A500" s="2" t="s">
        <v>316</v>
      </c>
      <c r="B500" s="2" t="s">
        <v>1124</v>
      </c>
      <c r="C500" s="2" t="s">
        <v>157</v>
      </c>
      <c r="D500" s="2" t="s">
        <v>1125</v>
      </c>
      <c r="E500" s="2" t="s">
        <v>220</v>
      </c>
      <c r="F500" s="2" t="s">
        <v>88</v>
      </c>
      <c r="G500" s="2" t="s">
        <v>92</v>
      </c>
      <c r="I500" s="2" t="s">
        <v>96</v>
      </c>
    </row>
    <row r="501" spans="1:9" x14ac:dyDescent="0.2">
      <c r="A501" s="2" t="s">
        <v>316</v>
      </c>
      <c r="B501" s="2" t="s">
        <v>1126</v>
      </c>
      <c r="C501" s="2" t="s">
        <v>158</v>
      </c>
      <c r="D501" s="2" t="s">
        <v>1127</v>
      </c>
      <c r="E501" s="2" t="s">
        <v>220</v>
      </c>
      <c r="F501" s="2" t="s">
        <v>88</v>
      </c>
      <c r="G501" s="2" t="s">
        <v>1312</v>
      </c>
      <c r="I501" s="2" t="s">
        <v>132</v>
      </c>
    </row>
    <row r="502" spans="1:9" x14ac:dyDescent="0.2">
      <c r="A502" s="2" t="s">
        <v>316</v>
      </c>
      <c r="B502" s="2" t="s">
        <v>1128</v>
      </c>
      <c r="C502" s="2" t="s">
        <v>1313</v>
      </c>
      <c r="D502" s="2" t="s">
        <v>1129</v>
      </c>
      <c r="E502" s="2" t="s">
        <v>220</v>
      </c>
      <c r="F502" s="2" t="s">
        <v>1487</v>
      </c>
      <c r="G502" s="2" t="s">
        <v>134</v>
      </c>
      <c r="I502" s="2" t="s">
        <v>135</v>
      </c>
    </row>
    <row r="503" spans="1:9" x14ac:dyDescent="0.2">
      <c r="A503" s="2" t="s">
        <v>316</v>
      </c>
      <c r="B503" s="2" t="s">
        <v>1130</v>
      </c>
      <c r="C503" s="2" t="s">
        <v>1315</v>
      </c>
      <c r="D503" s="2" t="s">
        <v>1131</v>
      </c>
      <c r="E503" s="2" t="s">
        <v>220</v>
      </c>
      <c r="F503" s="2" t="s">
        <v>88</v>
      </c>
      <c r="G503" s="2" t="s">
        <v>92</v>
      </c>
      <c r="I503" s="2" t="s">
        <v>1316</v>
      </c>
    </row>
    <row r="504" spans="1:9" x14ac:dyDescent="0.2">
      <c r="A504" s="2" t="s">
        <v>316</v>
      </c>
      <c r="B504" s="2" t="s">
        <v>1132</v>
      </c>
      <c r="C504" s="2" t="s">
        <v>168</v>
      </c>
      <c r="D504" s="2" t="s">
        <v>1133</v>
      </c>
      <c r="E504" s="2" t="s">
        <v>164</v>
      </c>
      <c r="F504" s="2" t="s">
        <v>109</v>
      </c>
      <c r="I504" s="2" t="s">
        <v>5</v>
      </c>
    </row>
    <row r="505" spans="1:9" x14ac:dyDescent="0.2">
      <c r="A505" s="2" t="s">
        <v>316</v>
      </c>
      <c r="B505" s="2" t="s">
        <v>1134</v>
      </c>
      <c r="C505" s="2" t="s">
        <v>169</v>
      </c>
      <c r="D505" s="2" t="s">
        <v>1135</v>
      </c>
      <c r="E505" s="2" t="s">
        <v>164</v>
      </c>
      <c r="F505" s="2" t="s">
        <v>171</v>
      </c>
      <c r="I505" s="2" t="s">
        <v>5</v>
      </c>
    </row>
    <row r="506" spans="1:9" x14ac:dyDescent="0.2">
      <c r="A506" s="2" t="s">
        <v>316</v>
      </c>
      <c r="B506" s="2" t="s">
        <v>1136</v>
      </c>
      <c r="C506" s="2" t="s">
        <v>158</v>
      </c>
      <c r="D506" s="2" t="s">
        <v>1137</v>
      </c>
      <c r="E506" s="2" t="s">
        <v>220</v>
      </c>
      <c r="F506" s="2" t="s">
        <v>88</v>
      </c>
      <c r="G506" s="2" t="s">
        <v>92</v>
      </c>
      <c r="I506" s="2" t="s">
        <v>132</v>
      </c>
    </row>
    <row r="507" spans="1:9" x14ac:dyDescent="0.2">
      <c r="A507" s="2" t="s">
        <v>316</v>
      </c>
      <c r="B507" s="2" t="s">
        <v>1138</v>
      </c>
      <c r="C507" s="2" t="s">
        <v>173</v>
      </c>
      <c r="D507" s="2" t="s">
        <v>1139</v>
      </c>
      <c r="E507" s="2" t="s">
        <v>164</v>
      </c>
      <c r="F507" s="2" t="s">
        <v>175</v>
      </c>
      <c r="I507" s="2" t="s">
        <v>176</v>
      </c>
    </row>
    <row r="508" spans="1:9" x14ac:dyDescent="0.2">
      <c r="A508" s="2" t="s">
        <v>316</v>
      </c>
      <c r="B508" s="2" t="s">
        <v>1140</v>
      </c>
      <c r="C508" s="2" t="s">
        <v>177</v>
      </c>
      <c r="D508" s="2" t="s">
        <v>1141</v>
      </c>
      <c r="E508" s="2" t="s">
        <v>164</v>
      </c>
      <c r="F508" s="2" t="s">
        <v>175</v>
      </c>
      <c r="I508" s="2" t="s">
        <v>179</v>
      </c>
    </row>
    <row r="509" spans="1:9" x14ac:dyDescent="0.2">
      <c r="A509" s="2" t="s">
        <v>316</v>
      </c>
      <c r="B509" s="2" t="s">
        <v>1142</v>
      </c>
      <c r="C509" s="2" t="s">
        <v>181</v>
      </c>
      <c r="D509" s="2" t="s">
        <v>1143</v>
      </c>
      <c r="E509" s="2" t="s">
        <v>164</v>
      </c>
      <c r="F509" s="2" t="s">
        <v>175</v>
      </c>
      <c r="I509" s="2" t="s">
        <v>183</v>
      </c>
    </row>
    <row r="510" spans="1:9" x14ac:dyDescent="0.2">
      <c r="A510" s="2" t="s">
        <v>316</v>
      </c>
      <c r="B510" s="2" t="s">
        <v>1144</v>
      </c>
      <c r="C510" s="2" t="s">
        <v>196</v>
      </c>
      <c r="D510" s="2" t="s">
        <v>1145</v>
      </c>
      <c r="E510" s="2" t="s">
        <v>164</v>
      </c>
      <c r="F510" s="2" t="s">
        <v>175</v>
      </c>
      <c r="I510" s="2" t="s">
        <v>197</v>
      </c>
    </row>
    <row r="511" spans="1:9" x14ac:dyDescent="0.2">
      <c r="A511" s="2" t="s">
        <v>316</v>
      </c>
      <c r="B511" s="2" t="s">
        <v>1146</v>
      </c>
      <c r="C511" s="2" t="s">
        <v>198</v>
      </c>
      <c r="D511" s="2" t="s">
        <v>1147</v>
      </c>
      <c r="E511" s="2" t="s">
        <v>164</v>
      </c>
      <c r="F511" s="2" t="s">
        <v>175</v>
      </c>
      <c r="I511" s="2" t="s">
        <v>199</v>
      </c>
    </row>
    <row r="512" spans="1:9" x14ac:dyDescent="0.2">
      <c r="A512" s="2" t="s">
        <v>316</v>
      </c>
      <c r="B512" s="2" t="s">
        <v>1148</v>
      </c>
      <c r="C512" s="2" t="s">
        <v>184</v>
      </c>
      <c r="D512" s="2" t="s">
        <v>1149</v>
      </c>
      <c r="E512" s="2" t="s">
        <v>164</v>
      </c>
      <c r="F512" s="2" t="s">
        <v>175</v>
      </c>
      <c r="I512" s="2" t="s">
        <v>186</v>
      </c>
    </row>
    <row r="513" spans="1:9" x14ac:dyDescent="0.2">
      <c r="A513" s="2" t="s">
        <v>316</v>
      </c>
      <c r="B513" s="2" t="s">
        <v>1150</v>
      </c>
      <c r="C513" s="2" t="s">
        <v>1319</v>
      </c>
      <c r="D513" s="2" t="s">
        <v>1151</v>
      </c>
      <c r="E513" s="2" t="s">
        <v>164</v>
      </c>
      <c r="F513" s="2" t="s">
        <v>171</v>
      </c>
      <c r="I513" s="2" t="s">
        <v>1320</v>
      </c>
    </row>
    <row r="514" spans="1:9" x14ac:dyDescent="0.2">
      <c r="A514" s="2" t="s">
        <v>316</v>
      </c>
      <c r="B514" s="2" t="s">
        <v>1364</v>
      </c>
      <c r="C514" s="2" t="s">
        <v>1317</v>
      </c>
      <c r="D514" s="2" t="s">
        <v>1365</v>
      </c>
      <c r="E514" s="2" t="s">
        <v>1333</v>
      </c>
      <c r="F514" s="2" t="s">
        <v>88</v>
      </c>
      <c r="I514" s="2" t="s">
        <v>1318</v>
      </c>
    </row>
    <row r="515" spans="1:9" x14ac:dyDescent="0.2">
      <c r="A515" s="2" t="s">
        <v>316</v>
      </c>
      <c r="B515" s="2" t="s">
        <v>1405</v>
      </c>
      <c r="C515" s="2" t="s">
        <v>1371</v>
      </c>
      <c r="D515" s="2" t="s">
        <v>1406</v>
      </c>
      <c r="E515" s="2" t="s">
        <v>1373</v>
      </c>
      <c r="F515" s="2" t="s">
        <v>88</v>
      </c>
      <c r="I515" s="2" t="s">
        <v>89</v>
      </c>
    </row>
    <row r="516" spans="1:9" x14ac:dyDescent="0.2">
      <c r="A516" s="42"/>
      <c r="B516" s="42"/>
      <c r="C516" s="42"/>
      <c r="D516" s="42"/>
      <c r="E516" s="43" t="s">
        <v>268</v>
      </c>
      <c r="F516" s="42"/>
      <c r="G516" s="42"/>
      <c r="H516" s="42"/>
      <c r="I516" s="42"/>
    </row>
    <row r="517" spans="1:9" x14ac:dyDescent="0.2">
      <c r="A517" s="2" t="s">
        <v>316</v>
      </c>
      <c r="B517" s="2" t="s">
        <v>223</v>
      </c>
      <c r="C517" s="2" t="str">
        <f>RIGHT(E516,LEN(E516)-5)</f>
        <v>Case018.sim</v>
      </c>
      <c r="E517" s="46"/>
      <c r="I517" s="2"/>
    </row>
    <row r="518" spans="1:9" x14ac:dyDescent="0.2">
      <c r="A518" s="2" t="s">
        <v>316</v>
      </c>
      <c r="B518" s="2" t="s">
        <v>222</v>
      </c>
      <c r="C518" s="2" t="s">
        <v>147</v>
      </c>
      <c r="D518" s="2" t="s">
        <v>291</v>
      </c>
      <c r="E518" s="2" t="s">
        <v>220</v>
      </c>
      <c r="F518" s="2" t="s">
        <v>88</v>
      </c>
      <c r="G518" s="2" t="s">
        <v>95</v>
      </c>
      <c r="I518" s="2" t="s">
        <v>96</v>
      </c>
    </row>
    <row r="519" spans="1:9" x14ac:dyDescent="0.2">
      <c r="A519" s="2" t="s">
        <v>316</v>
      </c>
      <c r="B519" s="2" t="s">
        <v>1152</v>
      </c>
      <c r="C519" s="2" t="s">
        <v>148</v>
      </c>
      <c r="D519" s="2" t="s">
        <v>306</v>
      </c>
      <c r="E519" s="2" t="s">
        <v>220</v>
      </c>
      <c r="F519" s="2" t="s">
        <v>109</v>
      </c>
      <c r="G519" s="2" t="s">
        <v>110</v>
      </c>
      <c r="I519" s="2" t="s">
        <v>111</v>
      </c>
    </row>
    <row r="520" spans="1:9" x14ac:dyDescent="0.2">
      <c r="A520" s="2" t="s">
        <v>316</v>
      </c>
      <c r="B520" s="2" t="s">
        <v>1153</v>
      </c>
      <c r="C520" s="2" t="s">
        <v>149</v>
      </c>
      <c r="D520" s="2" t="s">
        <v>1154</v>
      </c>
      <c r="E520" s="2" t="s">
        <v>220</v>
      </c>
      <c r="F520" s="2" t="s">
        <v>109</v>
      </c>
      <c r="G520" s="2" t="s">
        <v>113</v>
      </c>
      <c r="I520" s="2" t="s">
        <v>111</v>
      </c>
    </row>
    <row r="521" spans="1:9" x14ac:dyDescent="0.2">
      <c r="A521" s="2" t="s">
        <v>316</v>
      </c>
      <c r="B521" s="2" t="s">
        <v>1155</v>
      </c>
      <c r="C521" s="2" t="s">
        <v>150</v>
      </c>
      <c r="D521" s="2" t="s">
        <v>1156</v>
      </c>
      <c r="E521" s="2" t="s">
        <v>220</v>
      </c>
      <c r="F521" s="2" t="s">
        <v>109</v>
      </c>
      <c r="G521" s="2" t="s">
        <v>115</v>
      </c>
      <c r="I521" s="2" t="s">
        <v>111</v>
      </c>
    </row>
    <row r="522" spans="1:9" x14ac:dyDescent="0.2">
      <c r="A522" s="2" t="s">
        <v>316</v>
      </c>
      <c r="B522" s="2" t="s">
        <v>1157</v>
      </c>
      <c r="C522" s="2" t="s">
        <v>151</v>
      </c>
      <c r="D522" s="2" t="s">
        <v>1158</v>
      </c>
      <c r="E522" s="2" t="s">
        <v>220</v>
      </c>
      <c r="F522" s="2" t="s">
        <v>109</v>
      </c>
      <c r="G522" s="2" t="s">
        <v>117</v>
      </c>
      <c r="I522" s="2" t="s">
        <v>111</v>
      </c>
    </row>
    <row r="523" spans="1:9" x14ac:dyDescent="0.2">
      <c r="A523" s="2" t="s">
        <v>316</v>
      </c>
      <c r="B523" s="2" t="s">
        <v>1159</v>
      </c>
      <c r="C523" s="2" t="s">
        <v>152</v>
      </c>
      <c r="D523" s="2" t="s">
        <v>1160</v>
      </c>
      <c r="E523" s="2" t="s">
        <v>220</v>
      </c>
      <c r="F523" s="2" t="s">
        <v>109</v>
      </c>
      <c r="G523" s="2" t="s">
        <v>119</v>
      </c>
      <c r="I523" s="2" t="s">
        <v>111</v>
      </c>
    </row>
    <row r="524" spans="1:9" x14ac:dyDescent="0.2">
      <c r="A524" s="2" t="s">
        <v>316</v>
      </c>
      <c r="B524" s="2" t="s">
        <v>1161</v>
      </c>
      <c r="C524" s="2" t="s">
        <v>122</v>
      </c>
      <c r="D524" s="2" t="s">
        <v>1162</v>
      </c>
      <c r="E524" s="2" t="s">
        <v>220</v>
      </c>
      <c r="F524" s="2" t="s">
        <v>109</v>
      </c>
      <c r="G524" s="2" t="s">
        <v>121</v>
      </c>
      <c r="I524" s="2" t="s">
        <v>122</v>
      </c>
    </row>
    <row r="525" spans="1:9" x14ac:dyDescent="0.2">
      <c r="A525" s="2" t="s">
        <v>316</v>
      </c>
      <c r="B525" s="2" t="s">
        <v>1163</v>
      </c>
      <c r="C525" s="2" t="s">
        <v>153</v>
      </c>
      <c r="D525" s="2" t="s">
        <v>1164</v>
      </c>
      <c r="E525" s="2" t="s">
        <v>220</v>
      </c>
      <c r="F525" s="2" t="s">
        <v>88</v>
      </c>
      <c r="G525" s="2" t="s">
        <v>92</v>
      </c>
      <c r="I525" s="2" t="s">
        <v>89</v>
      </c>
    </row>
    <row r="526" spans="1:9" x14ac:dyDescent="0.2">
      <c r="A526" s="2" t="s">
        <v>316</v>
      </c>
      <c r="B526" s="2" t="s">
        <v>1165</v>
      </c>
      <c r="C526" s="2" t="s">
        <v>1308</v>
      </c>
      <c r="D526" s="2" t="s">
        <v>1166</v>
      </c>
      <c r="E526" s="2" t="s">
        <v>220</v>
      </c>
      <c r="F526" s="2" t="s">
        <v>88</v>
      </c>
      <c r="G526" s="2" t="s">
        <v>103</v>
      </c>
      <c r="I526" s="2" t="s">
        <v>89</v>
      </c>
    </row>
    <row r="527" spans="1:9" x14ac:dyDescent="0.2">
      <c r="A527" s="2" t="s">
        <v>316</v>
      </c>
      <c r="B527" s="2" t="s">
        <v>1167</v>
      </c>
      <c r="C527" s="2" t="s">
        <v>154</v>
      </c>
      <c r="D527" s="2" t="s">
        <v>1168</v>
      </c>
      <c r="E527" s="2" t="s">
        <v>220</v>
      </c>
      <c r="F527" s="2" t="s">
        <v>88</v>
      </c>
      <c r="G527" s="2" t="s">
        <v>92</v>
      </c>
      <c r="I527" s="2" t="s">
        <v>125</v>
      </c>
    </row>
    <row r="528" spans="1:9" x14ac:dyDescent="0.2">
      <c r="A528" s="2" t="s">
        <v>316</v>
      </c>
      <c r="B528" s="2" t="s">
        <v>1169</v>
      </c>
      <c r="C528" s="2" t="s">
        <v>155</v>
      </c>
      <c r="D528" s="2" t="s">
        <v>1170</v>
      </c>
      <c r="E528" s="2" t="s">
        <v>220</v>
      </c>
      <c r="F528" s="2" t="s">
        <v>88</v>
      </c>
      <c r="G528" s="2" t="s">
        <v>103</v>
      </c>
      <c r="I528" s="2" t="s">
        <v>128</v>
      </c>
    </row>
    <row r="529" spans="1:9" x14ac:dyDescent="0.2">
      <c r="A529" s="2" t="s">
        <v>316</v>
      </c>
      <c r="B529" s="2" t="s">
        <v>1171</v>
      </c>
      <c r="C529" s="2" t="s">
        <v>156</v>
      </c>
      <c r="D529" s="2" t="s">
        <v>1172</v>
      </c>
      <c r="E529" s="2" t="s">
        <v>220</v>
      </c>
      <c r="F529" s="2" t="s">
        <v>88</v>
      </c>
      <c r="G529" s="2" t="s">
        <v>103</v>
      </c>
      <c r="I529" s="2" t="s">
        <v>96</v>
      </c>
    </row>
    <row r="530" spans="1:9" x14ac:dyDescent="0.2">
      <c r="A530" s="2" t="s">
        <v>316</v>
      </c>
      <c r="B530" s="2" t="s">
        <v>1173</v>
      </c>
      <c r="C530" s="2" t="s">
        <v>157</v>
      </c>
      <c r="D530" s="2" t="s">
        <v>1174</v>
      </c>
      <c r="E530" s="2" t="s">
        <v>220</v>
      </c>
      <c r="F530" s="2" t="s">
        <v>88</v>
      </c>
      <c r="G530" s="2" t="s">
        <v>92</v>
      </c>
      <c r="I530" s="2" t="s">
        <v>96</v>
      </c>
    </row>
    <row r="531" spans="1:9" x14ac:dyDescent="0.2">
      <c r="A531" s="2" t="s">
        <v>316</v>
      </c>
      <c r="B531" s="2" t="s">
        <v>1175</v>
      </c>
      <c r="C531" s="2" t="s">
        <v>158</v>
      </c>
      <c r="D531" s="2" t="s">
        <v>1176</v>
      </c>
      <c r="E531" s="2" t="s">
        <v>220</v>
      </c>
      <c r="F531" s="2" t="s">
        <v>88</v>
      </c>
      <c r="G531" s="2" t="s">
        <v>1312</v>
      </c>
      <c r="I531" s="2" t="s">
        <v>132</v>
      </c>
    </row>
    <row r="532" spans="1:9" x14ac:dyDescent="0.2">
      <c r="A532" s="2" t="s">
        <v>316</v>
      </c>
      <c r="B532" s="2" t="s">
        <v>1177</v>
      </c>
      <c r="C532" s="2" t="s">
        <v>1313</v>
      </c>
      <c r="D532" s="2" t="s">
        <v>1178</v>
      </c>
      <c r="E532" s="2" t="s">
        <v>220</v>
      </c>
      <c r="F532" s="2" t="s">
        <v>1487</v>
      </c>
      <c r="G532" s="2" t="s">
        <v>134</v>
      </c>
      <c r="I532" s="2" t="s">
        <v>135</v>
      </c>
    </row>
    <row r="533" spans="1:9" x14ac:dyDescent="0.2">
      <c r="A533" s="2" t="s">
        <v>316</v>
      </c>
      <c r="B533" s="2" t="s">
        <v>1179</v>
      </c>
      <c r="C533" s="2" t="s">
        <v>1315</v>
      </c>
      <c r="D533" s="2" t="s">
        <v>1180</v>
      </c>
      <c r="E533" s="2" t="s">
        <v>220</v>
      </c>
      <c r="F533" s="2" t="s">
        <v>88</v>
      </c>
      <c r="G533" s="2" t="s">
        <v>92</v>
      </c>
      <c r="I533" s="2" t="s">
        <v>1316</v>
      </c>
    </row>
    <row r="534" spans="1:9" x14ac:dyDescent="0.2">
      <c r="A534" s="2" t="s">
        <v>316</v>
      </c>
      <c r="B534" s="2" t="s">
        <v>1181</v>
      </c>
      <c r="C534" s="2" t="s">
        <v>168</v>
      </c>
      <c r="D534" s="2" t="s">
        <v>1182</v>
      </c>
      <c r="E534" s="2" t="s">
        <v>164</v>
      </c>
      <c r="F534" s="2" t="s">
        <v>109</v>
      </c>
      <c r="I534" s="2" t="s">
        <v>5</v>
      </c>
    </row>
    <row r="535" spans="1:9" x14ac:dyDescent="0.2">
      <c r="A535" s="2" t="s">
        <v>316</v>
      </c>
      <c r="B535" s="2" t="s">
        <v>1183</v>
      </c>
      <c r="C535" s="2" t="s">
        <v>169</v>
      </c>
      <c r="D535" s="2" t="s">
        <v>1184</v>
      </c>
      <c r="E535" s="2" t="s">
        <v>164</v>
      </c>
      <c r="F535" s="2" t="s">
        <v>171</v>
      </c>
      <c r="I535" s="2" t="s">
        <v>5</v>
      </c>
    </row>
    <row r="536" spans="1:9" x14ac:dyDescent="0.2">
      <c r="A536" s="2" t="s">
        <v>316</v>
      </c>
      <c r="B536" s="2" t="s">
        <v>1185</v>
      </c>
      <c r="C536" s="2" t="s">
        <v>158</v>
      </c>
      <c r="D536" s="2" t="s">
        <v>1186</v>
      </c>
      <c r="E536" s="2" t="s">
        <v>220</v>
      </c>
      <c r="F536" s="2" t="s">
        <v>88</v>
      </c>
      <c r="G536" s="2" t="s">
        <v>92</v>
      </c>
      <c r="I536" s="2" t="s">
        <v>132</v>
      </c>
    </row>
    <row r="537" spans="1:9" x14ac:dyDescent="0.2">
      <c r="A537" s="2" t="s">
        <v>316</v>
      </c>
      <c r="B537" s="2" t="s">
        <v>1187</v>
      </c>
      <c r="C537" s="2" t="s">
        <v>173</v>
      </c>
      <c r="D537" s="2" t="s">
        <v>1188</v>
      </c>
      <c r="E537" s="2" t="s">
        <v>164</v>
      </c>
      <c r="F537" s="2" t="s">
        <v>175</v>
      </c>
      <c r="I537" s="2" t="s">
        <v>176</v>
      </c>
    </row>
    <row r="538" spans="1:9" x14ac:dyDescent="0.2">
      <c r="A538" s="2" t="s">
        <v>316</v>
      </c>
      <c r="B538" s="2" t="s">
        <v>1189</v>
      </c>
      <c r="C538" s="2" t="s">
        <v>177</v>
      </c>
      <c r="D538" s="2" t="s">
        <v>1190</v>
      </c>
      <c r="E538" s="2" t="s">
        <v>164</v>
      </c>
      <c r="F538" s="2" t="s">
        <v>175</v>
      </c>
      <c r="I538" s="2" t="s">
        <v>179</v>
      </c>
    </row>
    <row r="539" spans="1:9" x14ac:dyDescent="0.2">
      <c r="A539" s="2" t="s">
        <v>316</v>
      </c>
      <c r="B539" s="2" t="s">
        <v>1191</v>
      </c>
      <c r="C539" s="2" t="s">
        <v>181</v>
      </c>
      <c r="D539" s="2" t="s">
        <v>1192</v>
      </c>
      <c r="E539" s="2" t="s">
        <v>164</v>
      </c>
      <c r="F539" s="2" t="s">
        <v>175</v>
      </c>
      <c r="I539" s="2" t="s">
        <v>183</v>
      </c>
    </row>
    <row r="540" spans="1:9" x14ac:dyDescent="0.2">
      <c r="A540" s="2" t="s">
        <v>316</v>
      </c>
      <c r="B540" s="2" t="s">
        <v>1193</v>
      </c>
      <c r="C540" s="2" t="s">
        <v>196</v>
      </c>
      <c r="D540" s="2" t="s">
        <v>1194</v>
      </c>
      <c r="E540" s="2" t="s">
        <v>164</v>
      </c>
      <c r="F540" s="2" t="s">
        <v>175</v>
      </c>
      <c r="I540" s="2" t="s">
        <v>197</v>
      </c>
    </row>
    <row r="541" spans="1:9" x14ac:dyDescent="0.2">
      <c r="A541" s="2" t="s">
        <v>316</v>
      </c>
      <c r="B541" s="2" t="s">
        <v>1195</v>
      </c>
      <c r="C541" s="2" t="s">
        <v>198</v>
      </c>
      <c r="D541" s="2" t="s">
        <v>1196</v>
      </c>
      <c r="E541" s="2" t="s">
        <v>164</v>
      </c>
      <c r="F541" s="2" t="s">
        <v>175</v>
      </c>
      <c r="I541" s="2" t="s">
        <v>199</v>
      </c>
    </row>
    <row r="542" spans="1:9" x14ac:dyDescent="0.2">
      <c r="A542" s="2" t="s">
        <v>316</v>
      </c>
      <c r="B542" s="2" t="s">
        <v>1197</v>
      </c>
      <c r="C542" s="2" t="s">
        <v>184</v>
      </c>
      <c r="D542" s="2" t="s">
        <v>1198</v>
      </c>
      <c r="E542" s="2" t="s">
        <v>164</v>
      </c>
      <c r="F542" s="2" t="s">
        <v>175</v>
      </c>
      <c r="I542" s="2" t="s">
        <v>186</v>
      </c>
    </row>
    <row r="543" spans="1:9" x14ac:dyDescent="0.2">
      <c r="A543" s="2" t="s">
        <v>316</v>
      </c>
      <c r="B543" s="2" t="s">
        <v>1199</v>
      </c>
      <c r="C543" s="2" t="s">
        <v>1319</v>
      </c>
      <c r="D543" s="2" t="s">
        <v>1200</v>
      </c>
      <c r="E543" s="2" t="s">
        <v>164</v>
      </c>
      <c r="F543" s="2" t="s">
        <v>171</v>
      </c>
      <c r="I543" s="2" t="s">
        <v>1320</v>
      </c>
    </row>
    <row r="544" spans="1:9" x14ac:dyDescent="0.2">
      <c r="A544" s="2" t="s">
        <v>316</v>
      </c>
      <c r="B544" s="2" t="s">
        <v>1366</v>
      </c>
      <c r="C544" s="2" t="s">
        <v>1317</v>
      </c>
      <c r="D544" s="2" t="s">
        <v>1367</v>
      </c>
      <c r="E544" s="2" t="s">
        <v>1333</v>
      </c>
      <c r="F544" s="2" t="s">
        <v>88</v>
      </c>
      <c r="I544" s="2" t="s">
        <v>1318</v>
      </c>
    </row>
    <row r="545" spans="1:9" x14ac:dyDescent="0.2">
      <c r="A545" s="2" t="s">
        <v>316</v>
      </c>
      <c r="B545" s="2" t="s">
        <v>1407</v>
      </c>
      <c r="C545" s="2" t="s">
        <v>1371</v>
      </c>
      <c r="D545" s="2" t="s">
        <v>1408</v>
      </c>
      <c r="E545" s="2" t="s">
        <v>1373</v>
      </c>
      <c r="F545" s="2" t="s">
        <v>88</v>
      </c>
      <c r="I545" s="2" t="s">
        <v>89</v>
      </c>
    </row>
    <row r="546" spans="1:9" x14ac:dyDescent="0.2">
      <c r="E546" s="46"/>
      <c r="G546" s="2" t="s">
        <v>230</v>
      </c>
      <c r="I546" s="2"/>
    </row>
    <row r="547" spans="1:9" x14ac:dyDescent="0.2">
      <c r="A547" s="2" t="s">
        <v>316</v>
      </c>
      <c r="B547" s="2" t="s">
        <v>225</v>
      </c>
      <c r="C547" s="2" t="e">
        <f>RIGHT(E546,LEN(E546)-5)</f>
        <v>#VALUE!</v>
      </c>
      <c r="E547" s="46"/>
      <c r="I547" s="2"/>
    </row>
    <row r="548" spans="1:9" x14ac:dyDescent="0.2">
      <c r="A548" s="2" t="s">
        <v>316</v>
      </c>
      <c r="B548" s="2" t="s">
        <v>224</v>
      </c>
      <c r="C548" s="2" t="s">
        <v>147</v>
      </c>
      <c r="D548" s="2" t="s">
        <v>226</v>
      </c>
      <c r="E548" s="2" t="s">
        <v>220</v>
      </c>
      <c r="F548" s="2" t="s">
        <v>88</v>
      </c>
      <c r="G548" s="2" t="s">
        <v>95</v>
      </c>
      <c r="I548" s="2" t="s">
        <v>96</v>
      </c>
    </row>
    <row r="549" spans="1:9" x14ac:dyDescent="0.2">
      <c r="A549" s="2" t="s">
        <v>316</v>
      </c>
      <c r="B549" s="2" t="s">
        <v>314</v>
      </c>
      <c r="C549" s="2" t="s">
        <v>148</v>
      </c>
      <c r="D549" s="2" t="s">
        <v>307</v>
      </c>
      <c r="E549" s="2" t="s">
        <v>220</v>
      </c>
      <c r="F549" s="2" t="s">
        <v>109</v>
      </c>
      <c r="G549" s="2" t="s">
        <v>110</v>
      </c>
      <c r="I549" s="2" t="s">
        <v>111</v>
      </c>
    </row>
    <row r="550" spans="1:9" x14ac:dyDescent="0.2">
      <c r="A550" s="2" t="s">
        <v>316</v>
      </c>
      <c r="B550" s="2" t="s">
        <v>1201</v>
      </c>
      <c r="C550" s="2" t="s">
        <v>149</v>
      </c>
      <c r="D550" s="2" t="s">
        <v>1202</v>
      </c>
      <c r="E550" s="2" t="s">
        <v>220</v>
      </c>
      <c r="F550" s="2" t="s">
        <v>109</v>
      </c>
      <c r="G550" s="2" t="s">
        <v>113</v>
      </c>
      <c r="I550" s="2" t="s">
        <v>111</v>
      </c>
    </row>
    <row r="551" spans="1:9" x14ac:dyDescent="0.2">
      <c r="A551" s="2" t="s">
        <v>316</v>
      </c>
      <c r="B551" s="2" t="s">
        <v>1203</v>
      </c>
      <c r="C551" s="2" t="s">
        <v>150</v>
      </c>
      <c r="D551" s="2" t="s">
        <v>1204</v>
      </c>
      <c r="E551" s="2" t="s">
        <v>220</v>
      </c>
      <c r="F551" s="2" t="s">
        <v>109</v>
      </c>
      <c r="G551" s="2" t="s">
        <v>115</v>
      </c>
      <c r="I551" s="2" t="s">
        <v>111</v>
      </c>
    </row>
    <row r="552" spans="1:9" x14ac:dyDescent="0.2">
      <c r="A552" s="2" t="s">
        <v>316</v>
      </c>
      <c r="B552" s="2" t="s">
        <v>1205</v>
      </c>
      <c r="C552" s="2" t="s">
        <v>151</v>
      </c>
      <c r="D552" s="2" t="s">
        <v>1206</v>
      </c>
      <c r="E552" s="2" t="s">
        <v>220</v>
      </c>
      <c r="F552" s="2" t="s">
        <v>109</v>
      </c>
      <c r="G552" s="2" t="s">
        <v>117</v>
      </c>
      <c r="I552" s="2" t="s">
        <v>111</v>
      </c>
    </row>
    <row r="553" spans="1:9" x14ac:dyDescent="0.2">
      <c r="A553" s="2" t="s">
        <v>316</v>
      </c>
      <c r="B553" s="2" t="s">
        <v>1207</v>
      </c>
      <c r="C553" s="2" t="s">
        <v>152</v>
      </c>
      <c r="D553" s="2" t="s">
        <v>1208</v>
      </c>
      <c r="E553" s="2" t="s">
        <v>220</v>
      </c>
      <c r="F553" s="2" t="s">
        <v>109</v>
      </c>
      <c r="G553" s="2" t="s">
        <v>119</v>
      </c>
      <c r="I553" s="2" t="s">
        <v>111</v>
      </c>
    </row>
    <row r="554" spans="1:9" x14ac:dyDescent="0.2">
      <c r="A554" s="2" t="s">
        <v>316</v>
      </c>
      <c r="B554" s="2" t="s">
        <v>1209</v>
      </c>
      <c r="C554" s="2" t="s">
        <v>122</v>
      </c>
      <c r="D554" s="2" t="s">
        <v>1210</v>
      </c>
      <c r="E554" s="2" t="s">
        <v>220</v>
      </c>
      <c r="F554" s="2" t="s">
        <v>109</v>
      </c>
      <c r="G554" s="2" t="s">
        <v>121</v>
      </c>
      <c r="I554" s="2" t="s">
        <v>122</v>
      </c>
    </row>
    <row r="555" spans="1:9" x14ac:dyDescent="0.2">
      <c r="A555" s="2" t="s">
        <v>316</v>
      </c>
      <c r="B555" s="2" t="s">
        <v>1211</v>
      </c>
      <c r="C555" s="2" t="s">
        <v>153</v>
      </c>
      <c r="D555" s="2" t="s">
        <v>1212</v>
      </c>
      <c r="E555" s="2" t="s">
        <v>220</v>
      </c>
      <c r="F555" s="2" t="s">
        <v>88</v>
      </c>
      <c r="G555" s="2" t="s">
        <v>92</v>
      </c>
      <c r="I555" s="2" t="s">
        <v>89</v>
      </c>
    </row>
    <row r="556" spans="1:9" x14ac:dyDescent="0.2">
      <c r="A556" s="2" t="s">
        <v>316</v>
      </c>
      <c r="B556" s="2" t="s">
        <v>1213</v>
      </c>
      <c r="C556" s="2" t="s">
        <v>1308</v>
      </c>
      <c r="D556" s="2" t="s">
        <v>1214</v>
      </c>
      <c r="E556" s="2" t="s">
        <v>220</v>
      </c>
      <c r="F556" s="2" t="s">
        <v>88</v>
      </c>
      <c r="G556" s="2" t="s">
        <v>103</v>
      </c>
      <c r="I556" s="2" t="s">
        <v>89</v>
      </c>
    </row>
    <row r="557" spans="1:9" x14ac:dyDescent="0.2">
      <c r="A557" s="2" t="s">
        <v>316</v>
      </c>
      <c r="B557" s="2" t="s">
        <v>1215</v>
      </c>
      <c r="C557" s="2" t="s">
        <v>154</v>
      </c>
      <c r="D557" s="2" t="s">
        <v>1216</v>
      </c>
      <c r="E557" s="2" t="s">
        <v>220</v>
      </c>
      <c r="F557" s="2" t="s">
        <v>88</v>
      </c>
      <c r="G557" s="2" t="s">
        <v>92</v>
      </c>
      <c r="I557" s="2" t="s">
        <v>125</v>
      </c>
    </row>
    <row r="558" spans="1:9" x14ac:dyDescent="0.2">
      <c r="A558" s="2" t="s">
        <v>316</v>
      </c>
      <c r="B558" s="2" t="s">
        <v>1217</v>
      </c>
      <c r="C558" s="2" t="s">
        <v>155</v>
      </c>
      <c r="D558" s="2" t="s">
        <v>1218</v>
      </c>
      <c r="E558" s="2" t="s">
        <v>220</v>
      </c>
      <c r="F558" s="2" t="s">
        <v>88</v>
      </c>
      <c r="G558" s="2" t="s">
        <v>103</v>
      </c>
      <c r="I558" s="2" t="s">
        <v>128</v>
      </c>
    </row>
    <row r="559" spans="1:9" x14ac:dyDescent="0.2">
      <c r="A559" s="2" t="s">
        <v>316</v>
      </c>
      <c r="B559" s="2" t="s">
        <v>1219</v>
      </c>
      <c r="C559" s="2" t="s">
        <v>156</v>
      </c>
      <c r="D559" s="2" t="s">
        <v>1220</v>
      </c>
      <c r="E559" s="2" t="s">
        <v>220</v>
      </c>
      <c r="F559" s="2" t="s">
        <v>88</v>
      </c>
      <c r="G559" s="2" t="s">
        <v>103</v>
      </c>
      <c r="I559" s="2" t="s">
        <v>96</v>
      </c>
    </row>
    <row r="560" spans="1:9" x14ac:dyDescent="0.2">
      <c r="A560" s="2" t="s">
        <v>316</v>
      </c>
      <c r="B560" s="2" t="s">
        <v>1221</v>
      </c>
      <c r="C560" s="2" t="s">
        <v>157</v>
      </c>
      <c r="D560" s="2" t="s">
        <v>1222</v>
      </c>
      <c r="E560" s="2" t="s">
        <v>220</v>
      </c>
      <c r="F560" s="2" t="s">
        <v>88</v>
      </c>
      <c r="G560" s="2" t="s">
        <v>92</v>
      </c>
      <c r="I560" s="2" t="s">
        <v>96</v>
      </c>
    </row>
    <row r="561" spans="1:9" x14ac:dyDescent="0.2">
      <c r="A561" s="2" t="s">
        <v>316</v>
      </c>
      <c r="B561" s="2" t="s">
        <v>1223</v>
      </c>
      <c r="C561" s="2" t="s">
        <v>158</v>
      </c>
      <c r="D561" s="2" t="s">
        <v>1224</v>
      </c>
      <c r="E561" s="2" t="s">
        <v>220</v>
      </c>
      <c r="F561" s="2" t="s">
        <v>88</v>
      </c>
      <c r="G561" s="2" t="s">
        <v>1312</v>
      </c>
      <c r="I561" s="2" t="s">
        <v>132</v>
      </c>
    </row>
    <row r="562" spans="1:9" x14ac:dyDescent="0.2">
      <c r="A562" s="2" t="s">
        <v>316</v>
      </c>
      <c r="B562" s="2" t="s">
        <v>1225</v>
      </c>
      <c r="C562" s="2" t="s">
        <v>1313</v>
      </c>
      <c r="D562" s="2" t="s">
        <v>1226</v>
      </c>
      <c r="E562" s="2" t="s">
        <v>220</v>
      </c>
      <c r="F562" s="2" t="s">
        <v>109</v>
      </c>
      <c r="G562" s="2" t="s">
        <v>1314</v>
      </c>
      <c r="I562" s="2" t="s">
        <v>135</v>
      </c>
    </row>
    <row r="563" spans="1:9" x14ac:dyDescent="0.2">
      <c r="A563" s="2" t="s">
        <v>316</v>
      </c>
      <c r="B563" s="2" t="s">
        <v>1227</v>
      </c>
      <c r="C563" s="2" t="s">
        <v>1315</v>
      </c>
      <c r="D563" s="2" t="s">
        <v>1228</v>
      </c>
      <c r="E563" s="2" t="s">
        <v>220</v>
      </c>
      <c r="F563" s="2" t="s">
        <v>88</v>
      </c>
      <c r="G563" s="2" t="s">
        <v>92</v>
      </c>
      <c r="I563" s="2" t="s">
        <v>1316</v>
      </c>
    </row>
    <row r="564" spans="1:9" x14ac:dyDescent="0.2">
      <c r="A564" s="2" t="s">
        <v>316</v>
      </c>
      <c r="B564" s="2" t="s">
        <v>1229</v>
      </c>
      <c r="C564" s="2" t="s">
        <v>168</v>
      </c>
      <c r="D564" s="2" t="s">
        <v>1230</v>
      </c>
      <c r="E564" s="2" t="s">
        <v>164</v>
      </c>
      <c r="F564" s="2" t="s">
        <v>109</v>
      </c>
      <c r="I564" s="2" t="s">
        <v>5</v>
      </c>
    </row>
    <row r="565" spans="1:9" x14ac:dyDescent="0.2">
      <c r="A565" s="2" t="s">
        <v>316</v>
      </c>
      <c r="B565" s="2" t="s">
        <v>1231</v>
      </c>
      <c r="C565" s="2" t="s">
        <v>169</v>
      </c>
      <c r="D565" s="2" t="s">
        <v>1232</v>
      </c>
      <c r="E565" s="2" t="s">
        <v>164</v>
      </c>
      <c r="F565" s="2" t="s">
        <v>171</v>
      </c>
      <c r="I565" s="2" t="s">
        <v>5</v>
      </c>
    </row>
    <row r="566" spans="1:9" x14ac:dyDescent="0.2">
      <c r="A566" s="2" t="s">
        <v>316</v>
      </c>
      <c r="B566" s="2" t="s">
        <v>1233</v>
      </c>
      <c r="C566" s="2" t="s">
        <v>158</v>
      </c>
      <c r="D566" s="2" t="s">
        <v>1234</v>
      </c>
      <c r="E566" s="2" t="s">
        <v>220</v>
      </c>
      <c r="F566" s="2" t="s">
        <v>88</v>
      </c>
      <c r="G566" s="2" t="s">
        <v>92</v>
      </c>
      <c r="I566" s="2" t="s">
        <v>132</v>
      </c>
    </row>
    <row r="567" spans="1:9" x14ac:dyDescent="0.2">
      <c r="A567" s="2" t="s">
        <v>316</v>
      </c>
      <c r="B567" s="2" t="s">
        <v>1235</v>
      </c>
      <c r="C567" s="2" t="s">
        <v>173</v>
      </c>
      <c r="D567" s="2" t="s">
        <v>1236</v>
      </c>
      <c r="E567" s="2" t="s">
        <v>164</v>
      </c>
      <c r="F567" s="2" t="s">
        <v>175</v>
      </c>
      <c r="I567" s="2" t="s">
        <v>176</v>
      </c>
    </row>
    <row r="568" spans="1:9" x14ac:dyDescent="0.2">
      <c r="A568" s="2" t="s">
        <v>316</v>
      </c>
      <c r="B568" s="2" t="s">
        <v>1237</v>
      </c>
      <c r="C568" s="2" t="s">
        <v>177</v>
      </c>
      <c r="D568" s="2" t="s">
        <v>1238</v>
      </c>
      <c r="E568" s="2" t="s">
        <v>164</v>
      </c>
      <c r="F568" s="2" t="s">
        <v>175</v>
      </c>
      <c r="I568" s="2" t="s">
        <v>179</v>
      </c>
    </row>
    <row r="569" spans="1:9" x14ac:dyDescent="0.2">
      <c r="A569" s="2" t="s">
        <v>316</v>
      </c>
      <c r="B569" s="2" t="s">
        <v>1239</v>
      </c>
      <c r="C569" s="2" t="s">
        <v>181</v>
      </c>
      <c r="D569" s="2" t="s">
        <v>1240</v>
      </c>
      <c r="E569" s="2" t="s">
        <v>164</v>
      </c>
      <c r="F569" s="2" t="s">
        <v>175</v>
      </c>
      <c r="I569" s="2" t="s">
        <v>183</v>
      </c>
    </row>
    <row r="570" spans="1:9" x14ac:dyDescent="0.2">
      <c r="A570" s="2" t="s">
        <v>316</v>
      </c>
      <c r="B570" s="2" t="s">
        <v>1241</v>
      </c>
      <c r="C570" s="2" t="s">
        <v>196</v>
      </c>
      <c r="D570" s="2" t="s">
        <v>1242</v>
      </c>
      <c r="E570" s="2" t="s">
        <v>164</v>
      </c>
      <c r="F570" s="2" t="s">
        <v>175</v>
      </c>
      <c r="I570" s="2" t="s">
        <v>197</v>
      </c>
    </row>
    <row r="571" spans="1:9" x14ac:dyDescent="0.2">
      <c r="A571" s="2" t="s">
        <v>316</v>
      </c>
      <c r="B571" s="2" t="s">
        <v>1243</v>
      </c>
      <c r="C571" s="2" t="s">
        <v>198</v>
      </c>
      <c r="D571" s="2" t="s">
        <v>1244</v>
      </c>
      <c r="E571" s="2" t="s">
        <v>164</v>
      </c>
      <c r="F571" s="2" t="s">
        <v>175</v>
      </c>
      <c r="I571" s="2" t="s">
        <v>199</v>
      </c>
    </row>
    <row r="572" spans="1:9" x14ac:dyDescent="0.2">
      <c r="A572" s="2" t="s">
        <v>316</v>
      </c>
      <c r="B572" s="2" t="s">
        <v>1245</v>
      </c>
      <c r="C572" s="2" t="s">
        <v>184</v>
      </c>
      <c r="D572" s="2" t="s">
        <v>1246</v>
      </c>
      <c r="E572" s="2" t="s">
        <v>164</v>
      </c>
      <c r="F572" s="2" t="s">
        <v>175</v>
      </c>
      <c r="I572" s="2" t="s">
        <v>186</v>
      </c>
    </row>
    <row r="573" spans="1:9" x14ac:dyDescent="0.2">
      <c r="A573" s="2" t="s">
        <v>316</v>
      </c>
      <c r="B573" s="2" t="s">
        <v>1247</v>
      </c>
      <c r="C573" s="2" t="s">
        <v>1319</v>
      </c>
      <c r="D573" s="2" t="s">
        <v>1248</v>
      </c>
      <c r="E573" s="2" t="s">
        <v>164</v>
      </c>
      <c r="F573" s="2" t="s">
        <v>171</v>
      </c>
      <c r="I573" s="2" t="s">
        <v>1320</v>
      </c>
    </row>
    <row r="574" spans="1:9" x14ac:dyDescent="0.2">
      <c r="A574" s="2" t="s">
        <v>316</v>
      </c>
      <c r="B574" s="2" t="s">
        <v>1249</v>
      </c>
      <c r="C574" s="2" t="s">
        <v>1317</v>
      </c>
      <c r="D574" s="2" t="s">
        <v>1250</v>
      </c>
      <c r="E574" s="2" t="s">
        <v>1333</v>
      </c>
      <c r="F574" s="2" t="s">
        <v>88</v>
      </c>
      <c r="I574" s="2" t="s">
        <v>1318</v>
      </c>
    </row>
    <row r="575" spans="1:9" x14ac:dyDescent="0.2">
      <c r="A575" s="2" t="s">
        <v>316</v>
      </c>
      <c r="B575" s="2" t="s">
        <v>1251</v>
      </c>
      <c r="C575" s="2" t="s">
        <v>1371</v>
      </c>
      <c r="D575" s="2" t="s">
        <v>1252</v>
      </c>
      <c r="E575" s="2" t="s">
        <v>1373</v>
      </c>
      <c r="F575" s="2" t="s">
        <v>88</v>
      </c>
      <c r="I575" s="2" t="s">
        <v>89</v>
      </c>
    </row>
    <row r="576" spans="1:9" x14ac:dyDescent="0.2">
      <c r="A576" s="42"/>
      <c r="B576" s="42"/>
      <c r="C576" s="42"/>
      <c r="D576" s="42"/>
      <c r="E576" s="43" t="s">
        <v>269</v>
      </c>
      <c r="F576" s="42"/>
      <c r="G576" s="42"/>
      <c r="H576" s="42"/>
      <c r="I576" s="42"/>
    </row>
    <row r="577" spans="1:9" x14ac:dyDescent="0.2">
      <c r="A577" s="2" t="s">
        <v>316</v>
      </c>
      <c r="B577" s="2" t="s">
        <v>228</v>
      </c>
      <c r="C577" s="2" t="str">
        <f>RIGHT(E576,LEN(E576)-5)</f>
        <v>Case020.sim</v>
      </c>
      <c r="E577" s="46"/>
      <c r="I577" s="2"/>
    </row>
    <row r="578" spans="1:9" x14ac:dyDescent="0.2">
      <c r="A578" s="2" t="s">
        <v>316</v>
      </c>
      <c r="B578" s="2" t="s">
        <v>227</v>
      </c>
      <c r="C578" s="2" t="s">
        <v>147</v>
      </c>
      <c r="D578" s="2" t="s">
        <v>229</v>
      </c>
      <c r="E578" s="2" t="s">
        <v>220</v>
      </c>
      <c r="F578" s="2" t="s">
        <v>88</v>
      </c>
      <c r="G578" s="2" t="s">
        <v>95</v>
      </c>
      <c r="I578" s="2" t="s">
        <v>96</v>
      </c>
    </row>
    <row r="579" spans="1:9" x14ac:dyDescent="0.2">
      <c r="A579" s="2" t="s">
        <v>316</v>
      </c>
      <c r="B579" s="2" t="s">
        <v>315</v>
      </c>
      <c r="C579" s="2" t="s">
        <v>148</v>
      </c>
      <c r="D579" s="2" t="s">
        <v>1253</v>
      </c>
      <c r="E579" s="2" t="s">
        <v>220</v>
      </c>
      <c r="F579" s="2" t="s">
        <v>109</v>
      </c>
      <c r="G579" s="2" t="s">
        <v>110</v>
      </c>
      <c r="I579" s="2" t="s">
        <v>111</v>
      </c>
    </row>
    <row r="580" spans="1:9" x14ac:dyDescent="0.2">
      <c r="A580" s="2" t="s">
        <v>316</v>
      </c>
      <c r="B580" s="2" t="s">
        <v>1254</v>
      </c>
      <c r="C580" s="2" t="s">
        <v>149</v>
      </c>
      <c r="D580" s="2" t="s">
        <v>1255</v>
      </c>
      <c r="E580" s="2" t="s">
        <v>220</v>
      </c>
      <c r="F580" s="2" t="s">
        <v>109</v>
      </c>
      <c r="G580" s="2" t="s">
        <v>113</v>
      </c>
      <c r="I580" s="2" t="s">
        <v>111</v>
      </c>
    </row>
    <row r="581" spans="1:9" x14ac:dyDescent="0.2">
      <c r="A581" s="2" t="s">
        <v>316</v>
      </c>
      <c r="B581" s="2" t="s">
        <v>1256</v>
      </c>
      <c r="C581" s="2" t="s">
        <v>150</v>
      </c>
      <c r="D581" s="2" t="s">
        <v>1257</v>
      </c>
      <c r="E581" s="2" t="s">
        <v>220</v>
      </c>
      <c r="F581" s="2" t="s">
        <v>109</v>
      </c>
      <c r="G581" s="2" t="s">
        <v>115</v>
      </c>
      <c r="I581" s="2" t="s">
        <v>111</v>
      </c>
    </row>
    <row r="582" spans="1:9" x14ac:dyDescent="0.2">
      <c r="A582" s="2" t="s">
        <v>316</v>
      </c>
      <c r="B582" s="2" t="s">
        <v>1258</v>
      </c>
      <c r="C582" s="2" t="s">
        <v>151</v>
      </c>
      <c r="D582" s="2" t="s">
        <v>1259</v>
      </c>
      <c r="E582" s="2" t="s">
        <v>220</v>
      </c>
      <c r="F582" s="2" t="s">
        <v>109</v>
      </c>
      <c r="G582" s="2" t="s">
        <v>117</v>
      </c>
      <c r="I582" s="2" t="s">
        <v>111</v>
      </c>
    </row>
    <row r="583" spans="1:9" x14ac:dyDescent="0.2">
      <c r="A583" s="2" t="s">
        <v>316</v>
      </c>
      <c r="B583" s="2" t="s">
        <v>1260</v>
      </c>
      <c r="C583" s="2" t="s">
        <v>152</v>
      </c>
      <c r="D583" s="2" t="s">
        <v>1261</v>
      </c>
      <c r="E583" s="2" t="s">
        <v>220</v>
      </c>
      <c r="F583" s="2" t="s">
        <v>109</v>
      </c>
      <c r="G583" s="2" t="s">
        <v>119</v>
      </c>
      <c r="I583" s="2" t="s">
        <v>111</v>
      </c>
    </row>
    <row r="584" spans="1:9" x14ac:dyDescent="0.2">
      <c r="A584" s="2" t="s">
        <v>316</v>
      </c>
      <c r="B584" s="2" t="s">
        <v>1262</v>
      </c>
      <c r="C584" s="2" t="s">
        <v>122</v>
      </c>
      <c r="D584" s="2" t="s">
        <v>1263</v>
      </c>
      <c r="E584" s="2" t="s">
        <v>220</v>
      </c>
      <c r="F584" s="2" t="s">
        <v>109</v>
      </c>
      <c r="G584" s="2" t="s">
        <v>121</v>
      </c>
      <c r="I584" s="2" t="s">
        <v>122</v>
      </c>
    </row>
    <row r="585" spans="1:9" x14ac:dyDescent="0.2">
      <c r="A585" s="2" t="s">
        <v>316</v>
      </c>
      <c r="B585" s="2" t="s">
        <v>1264</v>
      </c>
      <c r="C585" s="2" t="s">
        <v>153</v>
      </c>
      <c r="D585" s="2" t="s">
        <v>1265</v>
      </c>
      <c r="E585" s="2" t="s">
        <v>220</v>
      </c>
      <c r="F585" s="2" t="s">
        <v>88</v>
      </c>
      <c r="G585" s="2" t="s">
        <v>92</v>
      </c>
      <c r="I585" s="2" t="s">
        <v>89</v>
      </c>
    </row>
    <row r="586" spans="1:9" x14ac:dyDescent="0.2">
      <c r="A586" s="2" t="s">
        <v>316</v>
      </c>
      <c r="B586" s="2" t="s">
        <v>1266</v>
      </c>
      <c r="C586" s="2" t="s">
        <v>1308</v>
      </c>
      <c r="D586" s="2" t="s">
        <v>1267</v>
      </c>
      <c r="E586" s="2" t="s">
        <v>220</v>
      </c>
      <c r="F586" s="2" t="s">
        <v>88</v>
      </c>
      <c r="G586" s="2" t="s">
        <v>103</v>
      </c>
      <c r="I586" s="2" t="s">
        <v>89</v>
      </c>
    </row>
    <row r="587" spans="1:9" x14ac:dyDescent="0.2">
      <c r="A587" s="2" t="s">
        <v>316</v>
      </c>
      <c r="B587" s="2" t="s">
        <v>1268</v>
      </c>
      <c r="C587" s="2" t="s">
        <v>154</v>
      </c>
      <c r="D587" s="2" t="s">
        <v>1269</v>
      </c>
      <c r="E587" s="2" t="s">
        <v>220</v>
      </c>
      <c r="F587" s="2" t="s">
        <v>88</v>
      </c>
      <c r="G587" s="2" t="s">
        <v>92</v>
      </c>
      <c r="I587" s="2" t="s">
        <v>125</v>
      </c>
    </row>
    <row r="588" spans="1:9" x14ac:dyDescent="0.2">
      <c r="A588" s="2" t="s">
        <v>316</v>
      </c>
      <c r="B588" s="2" t="s">
        <v>1270</v>
      </c>
      <c r="C588" s="2" t="s">
        <v>155</v>
      </c>
      <c r="D588" s="2" t="s">
        <v>1271</v>
      </c>
      <c r="E588" s="2" t="s">
        <v>220</v>
      </c>
      <c r="F588" s="2" t="s">
        <v>88</v>
      </c>
      <c r="G588" s="2" t="s">
        <v>103</v>
      </c>
      <c r="I588" s="2" t="s">
        <v>128</v>
      </c>
    </row>
    <row r="589" spans="1:9" x14ac:dyDescent="0.2">
      <c r="A589" s="2" t="s">
        <v>316</v>
      </c>
      <c r="B589" s="2" t="s">
        <v>1272</v>
      </c>
      <c r="C589" s="2" t="s">
        <v>156</v>
      </c>
      <c r="D589" s="2" t="s">
        <v>1273</v>
      </c>
      <c r="E589" s="2" t="s">
        <v>220</v>
      </c>
      <c r="F589" s="2" t="s">
        <v>88</v>
      </c>
      <c r="G589" s="2" t="s">
        <v>103</v>
      </c>
      <c r="I589" s="2" t="s">
        <v>96</v>
      </c>
    </row>
    <row r="590" spans="1:9" x14ac:dyDescent="0.2">
      <c r="A590" s="2" t="s">
        <v>316</v>
      </c>
      <c r="B590" s="2" t="s">
        <v>1274</v>
      </c>
      <c r="C590" s="2" t="s">
        <v>157</v>
      </c>
      <c r="D590" s="2" t="s">
        <v>1275</v>
      </c>
      <c r="E590" s="2" t="s">
        <v>220</v>
      </c>
      <c r="F590" s="2" t="s">
        <v>88</v>
      </c>
      <c r="G590" s="2" t="s">
        <v>92</v>
      </c>
      <c r="I590" s="2" t="s">
        <v>96</v>
      </c>
    </row>
    <row r="591" spans="1:9" x14ac:dyDescent="0.2">
      <c r="A591" s="2" t="s">
        <v>316</v>
      </c>
      <c r="B591" s="2" t="s">
        <v>1276</v>
      </c>
      <c r="C591" s="2" t="s">
        <v>158</v>
      </c>
      <c r="D591" s="2" t="s">
        <v>1277</v>
      </c>
      <c r="E591" s="2" t="s">
        <v>220</v>
      </c>
      <c r="F591" s="2" t="s">
        <v>88</v>
      </c>
      <c r="G591" s="2" t="s">
        <v>1312</v>
      </c>
      <c r="I591" s="2" t="s">
        <v>132</v>
      </c>
    </row>
    <row r="592" spans="1:9" x14ac:dyDescent="0.2">
      <c r="A592" s="2" t="s">
        <v>316</v>
      </c>
      <c r="B592" s="2" t="s">
        <v>1278</v>
      </c>
      <c r="C592" s="2" t="s">
        <v>1313</v>
      </c>
      <c r="D592" s="2" t="s">
        <v>1279</v>
      </c>
      <c r="E592" s="2" t="s">
        <v>220</v>
      </c>
      <c r="F592" s="2" t="s">
        <v>109</v>
      </c>
      <c r="G592" s="2" t="s">
        <v>1314</v>
      </c>
      <c r="I592" s="2" t="s">
        <v>135</v>
      </c>
    </row>
    <row r="593" spans="1:9" x14ac:dyDescent="0.2">
      <c r="A593" s="2" t="s">
        <v>316</v>
      </c>
      <c r="B593" s="2" t="s">
        <v>1280</v>
      </c>
      <c r="C593" s="2" t="s">
        <v>1315</v>
      </c>
      <c r="D593" s="2" t="s">
        <v>1281</v>
      </c>
      <c r="E593" s="2" t="s">
        <v>220</v>
      </c>
      <c r="F593" s="2" t="s">
        <v>88</v>
      </c>
      <c r="G593" s="2" t="s">
        <v>92</v>
      </c>
      <c r="I593" s="2" t="s">
        <v>1316</v>
      </c>
    </row>
    <row r="594" spans="1:9" x14ac:dyDescent="0.2">
      <c r="A594" s="2" t="s">
        <v>316</v>
      </c>
      <c r="B594" s="2" t="s">
        <v>1282</v>
      </c>
      <c r="C594" s="2" t="s">
        <v>168</v>
      </c>
      <c r="D594" s="2" t="s">
        <v>1283</v>
      </c>
      <c r="E594" s="2" t="s">
        <v>164</v>
      </c>
      <c r="F594" s="2" t="s">
        <v>109</v>
      </c>
      <c r="I594" s="2" t="s">
        <v>5</v>
      </c>
    </row>
    <row r="595" spans="1:9" x14ac:dyDescent="0.2">
      <c r="A595" s="2" t="s">
        <v>316</v>
      </c>
      <c r="B595" s="2" t="s">
        <v>1284</v>
      </c>
      <c r="C595" s="2" t="s">
        <v>169</v>
      </c>
      <c r="D595" s="2" t="s">
        <v>1285</v>
      </c>
      <c r="E595" s="2" t="s">
        <v>164</v>
      </c>
      <c r="F595" s="2" t="s">
        <v>171</v>
      </c>
      <c r="I595" s="2" t="s">
        <v>5</v>
      </c>
    </row>
    <row r="596" spans="1:9" x14ac:dyDescent="0.2">
      <c r="A596" s="2" t="s">
        <v>316</v>
      </c>
      <c r="B596" s="2" t="s">
        <v>1286</v>
      </c>
      <c r="C596" s="2" t="s">
        <v>158</v>
      </c>
      <c r="D596" s="2" t="s">
        <v>1287</v>
      </c>
      <c r="E596" s="2" t="s">
        <v>220</v>
      </c>
      <c r="F596" s="2" t="s">
        <v>88</v>
      </c>
      <c r="G596" s="2" t="s">
        <v>92</v>
      </c>
      <c r="I596" s="2" t="s">
        <v>132</v>
      </c>
    </row>
    <row r="597" spans="1:9" x14ac:dyDescent="0.2">
      <c r="A597" s="2" t="s">
        <v>316</v>
      </c>
      <c r="B597" s="2" t="s">
        <v>1288</v>
      </c>
      <c r="C597" s="2" t="s">
        <v>173</v>
      </c>
      <c r="D597" s="2" t="s">
        <v>1289</v>
      </c>
      <c r="E597" s="2" t="s">
        <v>164</v>
      </c>
      <c r="F597" s="2" t="s">
        <v>175</v>
      </c>
      <c r="I597" s="2" t="s">
        <v>176</v>
      </c>
    </row>
    <row r="598" spans="1:9" x14ac:dyDescent="0.2">
      <c r="A598" s="2" t="s">
        <v>316</v>
      </c>
      <c r="B598" s="2" t="s">
        <v>1290</v>
      </c>
      <c r="C598" s="2" t="s">
        <v>177</v>
      </c>
      <c r="D598" s="2" t="s">
        <v>1291</v>
      </c>
      <c r="E598" s="2" t="s">
        <v>164</v>
      </c>
      <c r="F598" s="2" t="s">
        <v>175</v>
      </c>
      <c r="I598" s="2" t="s">
        <v>179</v>
      </c>
    </row>
    <row r="599" spans="1:9" x14ac:dyDescent="0.2">
      <c r="A599" s="2" t="s">
        <v>316</v>
      </c>
      <c r="B599" s="2" t="s">
        <v>1292</v>
      </c>
      <c r="C599" s="2" t="s">
        <v>181</v>
      </c>
      <c r="D599" s="2" t="s">
        <v>1293</v>
      </c>
      <c r="E599" s="2" t="s">
        <v>164</v>
      </c>
      <c r="F599" s="2" t="s">
        <v>175</v>
      </c>
      <c r="I599" s="2" t="s">
        <v>183</v>
      </c>
    </row>
    <row r="600" spans="1:9" x14ac:dyDescent="0.2">
      <c r="A600" s="2" t="s">
        <v>316</v>
      </c>
      <c r="B600" s="2" t="s">
        <v>1294</v>
      </c>
      <c r="C600" s="2" t="s">
        <v>196</v>
      </c>
      <c r="D600" s="2" t="s">
        <v>1295</v>
      </c>
      <c r="E600" s="2" t="s">
        <v>164</v>
      </c>
      <c r="F600" s="2" t="s">
        <v>175</v>
      </c>
      <c r="I600" s="2" t="s">
        <v>197</v>
      </c>
    </row>
    <row r="601" spans="1:9" x14ac:dyDescent="0.2">
      <c r="A601" s="2" t="s">
        <v>316</v>
      </c>
      <c r="B601" s="2" t="s">
        <v>1296</v>
      </c>
      <c r="C601" s="2" t="s">
        <v>198</v>
      </c>
      <c r="D601" s="2" t="s">
        <v>1297</v>
      </c>
      <c r="E601" s="2" t="s">
        <v>164</v>
      </c>
      <c r="F601" s="2" t="s">
        <v>175</v>
      </c>
      <c r="I601" s="2" t="s">
        <v>199</v>
      </c>
    </row>
    <row r="602" spans="1:9" x14ac:dyDescent="0.2">
      <c r="A602" s="2" t="s">
        <v>316</v>
      </c>
      <c r="B602" s="2" t="s">
        <v>1298</v>
      </c>
      <c r="C602" s="2" t="s">
        <v>184</v>
      </c>
      <c r="D602" s="2" t="s">
        <v>1299</v>
      </c>
      <c r="E602" s="2" t="s">
        <v>164</v>
      </c>
      <c r="F602" s="2" t="s">
        <v>175</v>
      </c>
      <c r="I602" s="2" t="s">
        <v>186</v>
      </c>
    </row>
    <row r="603" spans="1:9" x14ac:dyDescent="0.2">
      <c r="A603" s="2" t="s">
        <v>316</v>
      </c>
      <c r="B603" s="2" t="s">
        <v>1300</v>
      </c>
      <c r="C603" s="2" t="s">
        <v>1319</v>
      </c>
      <c r="D603" s="2" t="s">
        <v>1301</v>
      </c>
      <c r="E603" s="2" t="s">
        <v>164</v>
      </c>
      <c r="F603" s="2" t="s">
        <v>171</v>
      </c>
      <c r="I603" s="2" t="s">
        <v>1320</v>
      </c>
    </row>
    <row r="604" spans="1:9" x14ac:dyDescent="0.2">
      <c r="A604" s="2" t="s">
        <v>316</v>
      </c>
      <c r="B604" s="2" t="s">
        <v>1302</v>
      </c>
      <c r="C604" s="2" t="s">
        <v>1317</v>
      </c>
      <c r="D604" s="2" t="s">
        <v>1303</v>
      </c>
      <c r="E604" s="2" t="s">
        <v>1333</v>
      </c>
      <c r="F604" s="2" t="s">
        <v>88</v>
      </c>
      <c r="I604" s="2" t="s">
        <v>1318</v>
      </c>
    </row>
    <row r="605" spans="1:9" x14ac:dyDescent="0.2">
      <c r="A605" s="2" t="s">
        <v>316</v>
      </c>
      <c r="B605" s="2" t="s">
        <v>1304</v>
      </c>
      <c r="C605" s="2" t="s">
        <v>1371</v>
      </c>
      <c r="D605" s="2" t="s">
        <v>1305</v>
      </c>
      <c r="E605" s="2" t="s">
        <v>1373</v>
      </c>
      <c r="F605" s="2" t="s">
        <v>88</v>
      </c>
      <c r="I605" s="2" t="s">
        <v>89</v>
      </c>
    </row>
    <row r="606" spans="1:9" x14ac:dyDescent="0.2">
      <c r="G606" s="2" t="s">
        <v>230</v>
      </c>
      <c r="I606" s="2"/>
    </row>
    <row r="607" spans="1:9" x14ac:dyDescent="0.2">
      <c r="A607" s="2" t="s">
        <v>316</v>
      </c>
      <c r="B607" s="2" t="s">
        <v>1272</v>
      </c>
      <c r="C607" s="2" t="s">
        <v>156</v>
      </c>
      <c r="D607" s="2" t="s">
        <v>1273</v>
      </c>
      <c r="E607" s="2" t="s">
        <v>220</v>
      </c>
      <c r="F607" s="2" t="s">
        <v>88</v>
      </c>
      <c r="G607" s="2" t="s">
        <v>103</v>
      </c>
      <c r="I607" s="2" t="s">
        <v>96</v>
      </c>
    </row>
    <row r="608" spans="1:9" x14ac:dyDescent="0.2">
      <c r="A608" s="2" t="s">
        <v>316</v>
      </c>
      <c r="B608" s="2" t="s">
        <v>1274</v>
      </c>
      <c r="C608" s="2" t="s">
        <v>157</v>
      </c>
      <c r="D608" s="2" t="s">
        <v>1275</v>
      </c>
      <c r="E608" s="2" t="s">
        <v>220</v>
      </c>
      <c r="F608" s="2" t="s">
        <v>88</v>
      </c>
      <c r="G608" s="2" t="s">
        <v>92</v>
      </c>
      <c r="I608" s="2" t="s">
        <v>96</v>
      </c>
    </row>
    <row r="609" spans="1:9" x14ac:dyDescent="0.2">
      <c r="A609" s="2" t="s">
        <v>316</v>
      </c>
      <c r="B609" s="2" t="s">
        <v>1276</v>
      </c>
      <c r="C609" s="2" t="s">
        <v>158</v>
      </c>
      <c r="D609" s="2" t="s">
        <v>1277</v>
      </c>
      <c r="E609" s="2" t="s">
        <v>220</v>
      </c>
      <c r="F609" s="2" t="s">
        <v>88</v>
      </c>
      <c r="G609" s="2" t="s">
        <v>1312</v>
      </c>
      <c r="I609" s="2" t="s">
        <v>132</v>
      </c>
    </row>
    <row r="610" spans="1:9" x14ac:dyDescent="0.2">
      <c r="A610" s="2" t="s">
        <v>316</v>
      </c>
      <c r="B610" s="2" t="s">
        <v>1278</v>
      </c>
      <c r="C610" s="2" t="s">
        <v>159</v>
      </c>
      <c r="D610" s="2" t="s">
        <v>1279</v>
      </c>
      <c r="E610" s="2" t="s">
        <v>220</v>
      </c>
      <c r="F610" s="2" t="s">
        <v>109</v>
      </c>
      <c r="G610" s="2" t="s">
        <v>134</v>
      </c>
      <c r="I610" s="2" t="s">
        <v>135</v>
      </c>
    </row>
    <row r="611" spans="1:9" x14ac:dyDescent="0.2">
      <c r="A611" s="2" t="s">
        <v>316</v>
      </c>
      <c r="B611" s="2" t="s">
        <v>1280</v>
      </c>
      <c r="C611" s="2" t="s">
        <v>160</v>
      </c>
      <c r="D611" s="2" t="s">
        <v>1281</v>
      </c>
      <c r="E611" s="2" t="s">
        <v>220</v>
      </c>
      <c r="F611" s="2" t="s">
        <v>109</v>
      </c>
      <c r="G611" s="2" t="s">
        <v>137</v>
      </c>
      <c r="I611" s="2" t="s">
        <v>135</v>
      </c>
    </row>
    <row r="612" spans="1:9" x14ac:dyDescent="0.2">
      <c r="A612" s="2" t="s">
        <v>316</v>
      </c>
      <c r="B612" s="2" t="s">
        <v>1282</v>
      </c>
      <c r="C612" s="2" t="s">
        <v>161</v>
      </c>
      <c r="D612" s="2" t="s">
        <v>1283</v>
      </c>
      <c r="E612" s="2" t="s">
        <v>220</v>
      </c>
      <c r="F612" s="2" t="s">
        <v>109</v>
      </c>
      <c r="G612" s="2" t="s">
        <v>140</v>
      </c>
      <c r="I612" s="2" t="s">
        <v>135</v>
      </c>
    </row>
    <row r="613" spans="1:9" x14ac:dyDescent="0.2">
      <c r="A613" s="2" t="s">
        <v>316</v>
      </c>
      <c r="B613" s="2" t="s">
        <v>1284</v>
      </c>
      <c r="C613" s="2" t="s">
        <v>162</v>
      </c>
      <c r="D613" s="2" t="s">
        <v>1285</v>
      </c>
      <c r="E613" s="2" t="s">
        <v>220</v>
      </c>
      <c r="F613" s="2" t="s">
        <v>109</v>
      </c>
      <c r="G613" s="2" t="s">
        <v>142</v>
      </c>
      <c r="I613" s="2" t="s">
        <v>135</v>
      </c>
    </row>
    <row r="614" spans="1:9" x14ac:dyDescent="0.2">
      <c r="A614" s="2" t="s">
        <v>316</v>
      </c>
      <c r="B614" s="2" t="s">
        <v>1286</v>
      </c>
      <c r="C614" s="2" t="s">
        <v>163</v>
      </c>
      <c r="D614" s="2" t="s">
        <v>1287</v>
      </c>
      <c r="E614" s="2" t="s">
        <v>220</v>
      </c>
      <c r="F614" s="2" t="s">
        <v>109</v>
      </c>
      <c r="G614" s="2" t="s">
        <v>145</v>
      </c>
      <c r="I614" s="2" t="s">
        <v>135</v>
      </c>
    </row>
    <row r="615" spans="1:9" x14ac:dyDescent="0.2">
      <c r="A615" s="2" t="s">
        <v>316</v>
      </c>
      <c r="B615" s="2" t="s">
        <v>1288</v>
      </c>
      <c r="C615" s="2" t="s">
        <v>390</v>
      </c>
      <c r="D615" s="2" t="s">
        <v>1289</v>
      </c>
      <c r="E615" s="2" t="s">
        <v>220</v>
      </c>
      <c r="F615" s="2" t="s">
        <v>88</v>
      </c>
      <c r="G615" s="2" t="s">
        <v>92</v>
      </c>
      <c r="I615" s="2" t="s">
        <v>132</v>
      </c>
    </row>
    <row r="616" spans="1:9" x14ac:dyDescent="0.2">
      <c r="A616" s="2" t="s">
        <v>316</v>
      </c>
      <c r="B616" s="2" t="s">
        <v>1290</v>
      </c>
      <c r="C616" s="2" t="s">
        <v>168</v>
      </c>
      <c r="D616" s="2" t="s">
        <v>1291</v>
      </c>
      <c r="E616" s="2" t="s">
        <v>164</v>
      </c>
      <c r="F616" s="2" t="s">
        <v>109</v>
      </c>
      <c r="I616" s="2" t="s">
        <v>5</v>
      </c>
    </row>
    <row r="617" spans="1:9" x14ac:dyDescent="0.2">
      <c r="A617" s="2" t="s">
        <v>316</v>
      </c>
      <c r="B617" s="2" t="s">
        <v>1292</v>
      </c>
      <c r="C617" s="2" t="s">
        <v>169</v>
      </c>
      <c r="D617" s="2" t="s">
        <v>1293</v>
      </c>
      <c r="E617" s="2" t="s">
        <v>164</v>
      </c>
      <c r="F617" s="2" t="s">
        <v>171</v>
      </c>
      <c r="I617" s="2" t="s">
        <v>5</v>
      </c>
    </row>
    <row r="618" spans="1:9" x14ac:dyDescent="0.2">
      <c r="A618" s="2" t="s">
        <v>316</v>
      </c>
      <c r="B618" s="2" t="s">
        <v>1294</v>
      </c>
      <c r="C618" s="2" t="s">
        <v>173</v>
      </c>
      <c r="D618" s="2" t="s">
        <v>1295</v>
      </c>
      <c r="E618" s="2" t="s">
        <v>164</v>
      </c>
      <c r="F618" s="2" t="s">
        <v>175</v>
      </c>
      <c r="I618" s="2" t="s">
        <v>176</v>
      </c>
    </row>
    <row r="619" spans="1:9" x14ac:dyDescent="0.2">
      <c r="A619" s="2" t="s">
        <v>316</v>
      </c>
      <c r="B619" s="2" t="s">
        <v>1296</v>
      </c>
      <c r="C619" s="2" t="s">
        <v>177</v>
      </c>
      <c r="D619" s="2" t="s">
        <v>1297</v>
      </c>
      <c r="E619" s="2" t="s">
        <v>164</v>
      </c>
      <c r="F619" s="2" t="s">
        <v>175</v>
      </c>
      <c r="I619" s="2" t="s">
        <v>179</v>
      </c>
    </row>
    <row r="620" spans="1:9" x14ac:dyDescent="0.2">
      <c r="A620" s="2" t="s">
        <v>316</v>
      </c>
      <c r="B620" s="2" t="s">
        <v>1298</v>
      </c>
      <c r="C620" s="2" t="s">
        <v>181</v>
      </c>
      <c r="D620" s="2" t="s">
        <v>1299</v>
      </c>
      <c r="E620" s="2" t="s">
        <v>164</v>
      </c>
      <c r="F620" s="2" t="s">
        <v>175</v>
      </c>
      <c r="I620" s="2" t="s">
        <v>183</v>
      </c>
    </row>
    <row r="621" spans="1:9" x14ac:dyDescent="0.2">
      <c r="A621" s="2" t="s">
        <v>316</v>
      </c>
      <c r="B621" s="2" t="s">
        <v>1300</v>
      </c>
      <c r="C621" s="2" t="s">
        <v>196</v>
      </c>
      <c r="D621" s="2" t="s">
        <v>1301</v>
      </c>
      <c r="E621" s="2" t="s">
        <v>164</v>
      </c>
      <c r="F621" s="2" t="s">
        <v>175</v>
      </c>
      <c r="I621" s="2" t="s">
        <v>197</v>
      </c>
    </row>
    <row r="622" spans="1:9" x14ac:dyDescent="0.2">
      <c r="A622" s="2" t="s">
        <v>316</v>
      </c>
      <c r="B622" s="2" t="s">
        <v>1302</v>
      </c>
      <c r="C622" s="2" t="s">
        <v>198</v>
      </c>
      <c r="D622" s="2" t="s">
        <v>1303</v>
      </c>
      <c r="E622" s="2" t="s">
        <v>164</v>
      </c>
      <c r="F622" s="2" t="s">
        <v>175</v>
      </c>
      <c r="I622" s="2" t="s">
        <v>199</v>
      </c>
    </row>
    <row r="623" spans="1:9" x14ac:dyDescent="0.2">
      <c r="A623" s="2" t="s">
        <v>316</v>
      </c>
      <c r="B623" s="2" t="s">
        <v>1304</v>
      </c>
      <c r="C623" s="2" t="s">
        <v>184</v>
      </c>
      <c r="D623" s="2" t="s">
        <v>1305</v>
      </c>
      <c r="E623" s="2" t="s">
        <v>164</v>
      </c>
      <c r="F623" s="2" t="s">
        <v>175</v>
      </c>
      <c r="I623" s="2" t="s">
        <v>186</v>
      </c>
    </row>
    <row r="624" spans="1:9" x14ac:dyDescent="0.2">
      <c r="A624" s="2" t="s">
        <v>316</v>
      </c>
      <c r="B624" s="2" t="s">
        <v>1306</v>
      </c>
      <c r="C624" s="2" t="s">
        <v>188</v>
      </c>
      <c r="D624" s="2" t="s">
        <v>1307</v>
      </c>
      <c r="E624" s="2" t="s">
        <v>164</v>
      </c>
      <c r="F624" s="2" t="s">
        <v>171</v>
      </c>
      <c r="I624" s="2" t="s">
        <v>190</v>
      </c>
    </row>
    <row r="625" spans="7:9" x14ac:dyDescent="0.2">
      <c r="G625" s="2" t="s">
        <v>230</v>
      </c>
      <c r="I625" s="2"/>
    </row>
  </sheetData>
  <dataConsolidate/>
  <phoneticPr fontId="0"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9"/>
  <sheetViews>
    <sheetView workbookViewId="0"/>
  </sheetViews>
  <sheetFormatPr defaultRowHeight="12.75" x14ac:dyDescent="0.2"/>
  <cols>
    <col min="1" max="1" width="29" customWidth="1"/>
    <col min="2" max="2" width="11.7109375" style="38" customWidth="1"/>
    <col min="3" max="3" width="28.5703125" bestFit="1" customWidth="1"/>
    <col min="4" max="4" width="24.140625" style="38" customWidth="1"/>
    <col min="8" max="8" width="23" customWidth="1"/>
  </cols>
  <sheetData>
    <row r="1" spans="1:9" x14ac:dyDescent="0.2">
      <c r="A1" t="s">
        <v>17</v>
      </c>
      <c r="B1" s="40" t="s">
        <v>12</v>
      </c>
      <c r="C1" t="s">
        <v>29</v>
      </c>
      <c r="D1" s="40">
        <v>0</v>
      </c>
      <c r="E1" t="s">
        <v>31</v>
      </c>
      <c r="F1" s="38" t="s">
        <v>83</v>
      </c>
      <c r="H1" s="38"/>
      <c r="I1" s="39"/>
    </row>
    <row r="2" spans="1:9" x14ac:dyDescent="0.2">
      <c r="A2" t="s">
        <v>18</v>
      </c>
      <c r="B2" s="40" t="s">
        <v>27</v>
      </c>
      <c r="C2" t="s">
        <v>71</v>
      </c>
      <c r="D2" s="40" t="s">
        <v>1320</v>
      </c>
      <c r="E2" t="s">
        <v>70</v>
      </c>
      <c r="F2" s="38" t="s">
        <v>72</v>
      </c>
      <c r="H2" s="38" t="s">
        <v>73</v>
      </c>
      <c r="I2" s="39" t="b">
        <v>0</v>
      </c>
    </row>
    <row r="3" spans="1:9" x14ac:dyDescent="0.2">
      <c r="A3" t="s">
        <v>21</v>
      </c>
      <c r="B3" s="40">
        <v>6</v>
      </c>
      <c r="C3" t="s">
        <v>32</v>
      </c>
      <c r="D3" s="40" t="b">
        <v>1</v>
      </c>
      <c r="H3" t="s">
        <v>74</v>
      </c>
      <c r="I3" s="39" t="b">
        <v>0</v>
      </c>
    </row>
    <row r="4" spans="1:9" x14ac:dyDescent="0.2">
      <c r="A4" t="s">
        <v>22</v>
      </c>
      <c r="B4" s="40">
        <v>0</v>
      </c>
      <c r="C4" t="s">
        <v>33</v>
      </c>
      <c r="D4" s="40">
        <v>65500</v>
      </c>
      <c r="H4" t="s">
        <v>75</v>
      </c>
      <c r="I4" s="39">
        <v>4</v>
      </c>
    </row>
    <row r="5" spans="1:9" x14ac:dyDescent="0.2">
      <c r="A5" t="s">
        <v>23</v>
      </c>
      <c r="B5" s="40">
        <v>1</v>
      </c>
      <c r="C5" t="s">
        <v>7</v>
      </c>
      <c r="D5" s="40">
        <v>26</v>
      </c>
    </row>
    <row r="6" spans="1:9" x14ac:dyDescent="0.2">
      <c r="A6" t="s">
        <v>24</v>
      </c>
      <c r="B6" s="40">
        <v>0</v>
      </c>
      <c r="C6" t="s">
        <v>65</v>
      </c>
      <c r="D6" s="40">
        <v>0</v>
      </c>
    </row>
    <row r="7" spans="1:9" x14ac:dyDescent="0.2">
      <c r="A7" t="s">
        <v>25</v>
      </c>
      <c r="B7" s="40">
        <v>18</v>
      </c>
      <c r="C7" t="s">
        <v>66</v>
      </c>
      <c r="D7" s="40">
        <v>0</v>
      </c>
    </row>
    <row r="8" spans="1:9" x14ac:dyDescent="0.2">
      <c r="A8" t="s">
        <v>76</v>
      </c>
      <c r="B8" s="40" t="b">
        <v>1</v>
      </c>
      <c r="C8" t="s">
        <v>68</v>
      </c>
      <c r="D8" s="40">
        <v>0</v>
      </c>
    </row>
    <row r="9" spans="1:9" x14ac:dyDescent="0.2">
      <c r="A9" t="s">
        <v>80</v>
      </c>
      <c r="B9" s="40">
        <v>0</v>
      </c>
      <c r="C9" t="s">
        <v>34</v>
      </c>
      <c r="D9" s="40" t="s">
        <v>93</v>
      </c>
    </row>
    <row r="10" spans="1:9" x14ac:dyDescent="0.2">
      <c r="C10" t="s">
        <v>47</v>
      </c>
      <c r="D10" s="40">
        <v>0</v>
      </c>
    </row>
    <row r="11" spans="1:9" x14ac:dyDescent="0.2">
      <c r="C11" t="s">
        <v>35</v>
      </c>
      <c r="D11" s="40">
        <v>2</v>
      </c>
    </row>
    <row r="12" spans="1:9" x14ac:dyDescent="0.2">
      <c r="C12" t="s">
        <v>36</v>
      </c>
      <c r="D12" s="40">
        <v>0</v>
      </c>
    </row>
    <row r="13" spans="1:9" x14ac:dyDescent="0.2">
      <c r="C13" t="s">
        <v>8</v>
      </c>
      <c r="D13" s="40" t="s">
        <v>1371</v>
      </c>
    </row>
    <row r="14" spans="1:9" x14ac:dyDescent="0.2">
      <c r="C14" t="s">
        <v>37</v>
      </c>
      <c r="D14" s="40" t="s">
        <v>1372</v>
      </c>
    </row>
    <row r="15" spans="1:9" x14ac:dyDescent="0.2">
      <c r="C15" t="s">
        <v>38</v>
      </c>
      <c r="D15" s="40">
        <v>0</v>
      </c>
    </row>
    <row r="16" spans="1:9" x14ac:dyDescent="0.2">
      <c r="C16" t="s">
        <v>39</v>
      </c>
      <c r="D16" s="40">
        <v>5</v>
      </c>
    </row>
    <row r="17" spans="3:4" x14ac:dyDescent="0.2">
      <c r="C17" t="s">
        <v>40</v>
      </c>
      <c r="D17" s="40">
        <v>7</v>
      </c>
    </row>
    <row r="18" spans="3:4" x14ac:dyDescent="0.2">
      <c r="C18" t="s">
        <v>41</v>
      </c>
      <c r="D18" s="40" t="s">
        <v>1374</v>
      </c>
    </row>
    <row r="19" spans="3:4" x14ac:dyDescent="0.2">
      <c r="C19" t="s">
        <v>69</v>
      </c>
      <c r="D19" s="40">
        <v>0</v>
      </c>
    </row>
    <row r="20" spans="3:4" x14ac:dyDescent="0.2">
      <c r="C20" t="s">
        <v>6</v>
      </c>
      <c r="D20" s="40">
        <v>2</v>
      </c>
    </row>
    <row r="21" spans="3:4" x14ac:dyDescent="0.2">
      <c r="C21" t="s">
        <v>42</v>
      </c>
      <c r="D21" s="40">
        <v>0</v>
      </c>
    </row>
    <row r="22" spans="3:4" x14ac:dyDescent="0.2">
      <c r="C22" t="s">
        <v>43</v>
      </c>
      <c r="D22" s="40">
        <v>0</v>
      </c>
    </row>
    <row r="23" spans="3:4" x14ac:dyDescent="0.2">
      <c r="C23" t="s">
        <v>44</v>
      </c>
      <c r="D23" s="40">
        <v>0</v>
      </c>
    </row>
    <row r="24" spans="3:4" x14ac:dyDescent="0.2">
      <c r="C24" t="s">
        <v>45</v>
      </c>
      <c r="D24" s="40" t="s">
        <v>316</v>
      </c>
    </row>
    <row r="25" spans="3:4" x14ac:dyDescent="0.2">
      <c r="C25" t="s">
        <v>19</v>
      </c>
      <c r="D25" s="40">
        <v>-8</v>
      </c>
    </row>
    <row r="26" spans="3:4" x14ac:dyDescent="0.2">
      <c r="C26" t="s">
        <v>20</v>
      </c>
      <c r="D26" s="40">
        <v>16</v>
      </c>
    </row>
    <row r="27" spans="3:4" x14ac:dyDescent="0.2">
      <c r="C27" t="s">
        <v>46</v>
      </c>
      <c r="D27" s="40">
        <v>0</v>
      </c>
    </row>
    <row r="28" spans="3:4" x14ac:dyDescent="0.2">
      <c r="C28" t="s">
        <v>48</v>
      </c>
      <c r="D28" s="40">
        <v>0</v>
      </c>
    </row>
    <row r="29" spans="3:4" x14ac:dyDescent="0.2">
      <c r="C29" t="s">
        <v>49</v>
      </c>
      <c r="D29" s="40" t="b">
        <v>0</v>
      </c>
    </row>
    <row r="30" spans="3:4" x14ac:dyDescent="0.2">
      <c r="C30" t="s">
        <v>50</v>
      </c>
      <c r="D30" s="40" t="s">
        <v>1375</v>
      </c>
    </row>
    <row r="31" spans="3:4" x14ac:dyDescent="0.2">
      <c r="C31" t="s">
        <v>51</v>
      </c>
      <c r="D31" s="40">
        <v>1</v>
      </c>
    </row>
    <row r="32" spans="3:4" x14ac:dyDescent="0.2">
      <c r="C32" t="s">
        <v>52</v>
      </c>
      <c r="D32" s="40">
        <v>0</v>
      </c>
    </row>
    <row r="33" spans="3:4" x14ac:dyDescent="0.2">
      <c r="C33" t="s">
        <v>30</v>
      </c>
      <c r="D33" s="40">
        <v>1</v>
      </c>
    </row>
    <row r="34" spans="3:4" x14ac:dyDescent="0.2">
      <c r="C34" t="s">
        <v>53</v>
      </c>
      <c r="D34" s="40" t="s">
        <v>27</v>
      </c>
    </row>
    <row r="35" spans="3:4" x14ac:dyDescent="0.2">
      <c r="C35" t="s">
        <v>54</v>
      </c>
      <c r="D35" s="40" t="s">
        <v>1410</v>
      </c>
    </row>
    <row r="36" spans="3:4" x14ac:dyDescent="0.2">
      <c r="C36" t="s">
        <v>55</v>
      </c>
      <c r="D36" s="40" t="s">
        <v>1411</v>
      </c>
    </row>
    <row r="37" spans="3:4" x14ac:dyDescent="0.2">
      <c r="C37" t="s">
        <v>56</v>
      </c>
      <c r="D37" s="40" t="b">
        <v>0</v>
      </c>
    </row>
    <row r="38" spans="3:4" x14ac:dyDescent="0.2">
      <c r="C38" t="s">
        <v>57</v>
      </c>
      <c r="D38" s="40" t="b">
        <v>1</v>
      </c>
    </row>
    <row r="39" spans="3:4" x14ac:dyDescent="0.2">
      <c r="C39" t="s">
        <v>58</v>
      </c>
      <c r="D39" s="40" t="b">
        <v>0</v>
      </c>
    </row>
    <row r="40" spans="3:4" x14ac:dyDescent="0.2">
      <c r="C40" t="s">
        <v>59</v>
      </c>
      <c r="D40" s="40" t="b">
        <v>0</v>
      </c>
    </row>
    <row r="41" spans="3:4" x14ac:dyDescent="0.2">
      <c r="C41" t="s">
        <v>60</v>
      </c>
      <c r="D41" s="40" t="b">
        <v>1</v>
      </c>
    </row>
    <row r="42" spans="3:4" x14ac:dyDescent="0.2">
      <c r="C42" t="s">
        <v>61</v>
      </c>
      <c r="D42" s="40" t="b">
        <v>0</v>
      </c>
    </row>
    <row r="43" spans="3:4" x14ac:dyDescent="0.2">
      <c r="C43" t="s">
        <v>62</v>
      </c>
      <c r="D43" s="40" t="b">
        <v>0</v>
      </c>
    </row>
    <row r="44" spans="3:4" x14ac:dyDescent="0.2">
      <c r="C44" t="s">
        <v>63</v>
      </c>
      <c r="D44" s="40">
        <v>0</v>
      </c>
    </row>
    <row r="45" spans="3:4" x14ac:dyDescent="0.2">
      <c r="C45" t="s">
        <v>64</v>
      </c>
      <c r="D45" s="40" t="s">
        <v>67</v>
      </c>
    </row>
    <row r="46" spans="3:4" x14ac:dyDescent="0.2">
      <c r="C46" t="s">
        <v>79</v>
      </c>
      <c r="D46" s="40">
        <v>0</v>
      </c>
    </row>
    <row r="47" spans="3:4" x14ac:dyDescent="0.2">
      <c r="C47" t="s">
        <v>77</v>
      </c>
      <c r="D47" s="40">
        <v>3</v>
      </c>
    </row>
    <row r="48" spans="3:4" x14ac:dyDescent="0.2">
      <c r="C48" t="s">
        <v>78</v>
      </c>
      <c r="D48" s="40" t="s">
        <v>82</v>
      </c>
    </row>
    <row r="49" spans="1:4" x14ac:dyDescent="0.2">
      <c r="C49" t="s">
        <v>81</v>
      </c>
      <c r="D49" s="40" t="b">
        <v>0</v>
      </c>
    </row>
    <row r="50" spans="1:4" x14ac:dyDescent="0.2">
      <c r="A50" t="s">
        <v>26</v>
      </c>
      <c r="B50" s="40" t="s">
        <v>272</v>
      </c>
      <c r="D50" s="40">
        <v>65500</v>
      </c>
    </row>
    <row r="51" spans="1:4" x14ac:dyDescent="0.2">
      <c r="B51" s="40" t="s">
        <v>273</v>
      </c>
      <c r="D51" s="40">
        <v>1</v>
      </c>
    </row>
    <row r="52" spans="1:4" x14ac:dyDescent="0.2">
      <c r="B52" s="40" t="s">
        <v>274</v>
      </c>
      <c r="D52" s="40">
        <v>7</v>
      </c>
    </row>
    <row r="53" spans="1:4" x14ac:dyDescent="0.2">
      <c r="B53" s="40" t="s">
        <v>275</v>
      </c>
    </row>
    <row r="54" spans="1:4" x14ac:dyDescent="0.2">
      <c r="B54" s="40" t="s">
        <v>276</v>
      </c>
    </row>
    <row r="55" spans="1:4" x14ac:dyDescent="0.2">
      <c r="B55" s="40" t="s">
        <v>277</v>
      </c>
    </row>
    <row r="56" spans="1:4" x14ac:dyDescent="0.2">
      <c r="B56" s="40" t="s">
        <v>278</v>
      </c>
    </row>
    <row r="57" spans="1:4" x14ac:dyDescent="0.2">
      <c r="B57" s="40" t="s">
        <v>279</v>
      </c>
    </row>
    <row r="58" spans="1:4" x14ac:dyDescent="0.2">
      <c r="B58" s="40" t="s">
        <v>280</v>
      </c>
    </row>
    <row r="59" spans="1:4" x14ac:dyDescent="0.2">
      <c r="B59" s="40" t="s">
        <v>281</v>
      </c>
    </row>
    <row r="60" spans="1:4" x14ac:dyDescent="0.2">
      <c r="B60" s="40" t="s">
        <v>282</v>
      </c>
    </row>
    <row r="61" spans="1:4" x14ac:dyDescent="0.2">
      <c r="B61" s="40" t="s">
        <v>283</v>
      </c>
    </row>
    <row r="62" spans="1:4" x14ac:dyDescent="0.2">
      <c r="B62" s="40" t="s">
        <v>284</v>
      </c>
    </row>
    <row r="63" spans="1:4" x14ac:dyDescent="0.2">
      <c r="B63" s="40" t="s">
        <v>285</v>
      </c>
    </row>
    <row r="64" spans="1:4" x14ac:dyDescent="0.2">
      <c r="B64" s="40" t="s">
        <v>286</v>
      </c>
    </row>
    <row r="65" spans="2:2" x14ac:dyDescent="0.2">
      <c r="B65" s="40" t="s">
        <v>287</v>
      </c>
    </row>
    <row r="66" spans="2:2" x14ac:dyDescent="0.2">
      <c r="B66" s="40" t="s">
        <v>288</v>
      </c>
    </row>
    <row r="67" spans="2:2" x14ac:dyDescent="0.2">
      <c r="B67" s="40" t="s">
        <v>289</v>
      </c>
    </row>
    <row r="68" spans="2:2" x14ac:dyDescent="0.2">
      <c r="B68" s="40" t="s">
        <v>290</v>
      </c>
    </row>
    <row r="69" spans="2:2" x14ac:dyDescent="0.2">
      <c r="B69" s="40" t="s">
        <v>93</v>
      </c>
    </row>
  </sheetData>
  <dataConsolidate/>
  <phoneticPr fontId="0"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J676"/>
  <sheetViews>
    <sheetView workbookViewId="0">
      <selection activeCell="A5" sqref="A5"/>
    </sheetView>
  </sheetViews>
  <sheetFormatPr defaultRowHeight="12" x14ac:dyDescent="0.2"/>
  <cols>
    <col min="1" max="1" width="22.7109375" style="2" customWidth="1"/>
    <col min="2" max="2" width="5.5703125" style="2" customWidth="1"/>
    <col min="3" max="3" width="39.42578125" style="2" customWidth="1"/>
    <col min="4" max="4" width="6.28515625" style="2" customWidth="1"/>
    <col min="5" max="5" width="23.140625" style="2" customWidth="1"/>
    <col min="6" max="6" width="11.140625" style="2" customWidth="1"/>
    <col min="7" max="7" width="23.42578125" style="2" customWidth="1"/>
    <col min="8" max="8" width="14.7109375" style="2" customWidth="1"/>
    <col min="9" max="9" width="28.28515625" style="1" customWidth="1"/>
    <col min="10" max="16384" width="9.140625" style="1"/>
  </cols>
  <sheetData>
    <row r="2" spans="1:10" ht="12.75" thickBot="1" x14ac:dyDescent="0.25">
      <c r="A2" s="1"/>
      <c r="B2" s="1"/>
      <c r="C2" s="1"/>
      <c r="D2" s="1"/>
      <c r="E2" s="1"/>
      <c r="F2" s="1"/>
      <c r="G2" s="1"/>
      <c r="H2" s="1"/>
    </row>
    <row r="3" spans="1:10" x14ac:dyDescent="0.2">
      <c r="A3" s="3" t="s">
        <v>1</v>
      </c>
      <c r="B3" s="4" t="s">
        <v>8</v>
      </c>
      <c r="C3" s="3"/>
      <c r="D3" s="4" t="s">
        <v>0</v>
      </c>
      <c r="E3" s="7"/>
      <c r="F3" s="3" t="s">
        <v>4</v>
      </c>
      <c r="G3" s="3" t="s">
        <v>9</v>
      </c>
      <c r="H3" s="3" t="s">
        <v>3</v>
      </c>
      <c r="I3" s="4"/>
    </row>
    <row r="4" spans="1:10" ht="12.75" thickBot="1" x14ac:dyDescent="0.25">
      <c r="A4" s="5" t="s">
        <v>5</v>
      </c>
      <c r="B4" s="6" t="s">
        <v>2</v>
      </c>
      <c r="C4" s="5" t="s">
        <v>8</v>
      </c>
      <c r="D4" s="6" t="s">
        <v>2</v>
      </c>
      <c r="E4" s="5" t="s">
        <v>7</v>
      </c>
      <c r="F4" s="5" t="s">
        <v>5</v>
      </c>
      <c r="G4" s="5" t="s">
        <v>15</v>
      </c>
      <c r="H4" s="5" t="s">
        <v>6</v>
      </c>
      <c r="I4" s="6" t="s">
        <v>16</v>
      </c>
    </row>
    <row r="5" spans="1:10" x14ac:dyDescent="0.2">
      <c r="A5" s="42"/>
      <c r="B5" s="42"/>
      <c r="C5" s="42"/>
      <c r="D5" s="42"/>
      <c r="E5" s="43" t="s">
        <v>251</v>
      </c>
      <c r="F5" s="42"/>
      <c r="G5" s="42"/>
      <c r="H5" s="42"/>
      <c r="I5" s="42"/>
    </row>
    <row r="6" spans="1:10" x14ac:dyDescent="0.2">
      <c r="A6" s="2" t="s">
        <v>271</v>
      </c>
      <c r="B6" s="2" t="s">
        <v>28</v>
      </c>
      <c r="C6" s="2" t="str">
        <f>E5</f>
        <v>Load Case001.sim</v>
      </c>
      <c r="E6" s="46"/>
      <c r="I6" s="2"/>
    </row>
    <row r="7" spans="1:10" x14ac:dyDescent="0.2">
      <c r="A7" s="2" t="s">
        <v>271</v>
      </c>
      <c r="B7" s="2" t="s">
        <v>270</v>
      </c>
      <c r="C7" s="2" t="s">
        <v>1330</v>
      </c>
      <c r="D7" s="2" t="s">
        <v>292</v>
      </c>
      <c r="E7" s="2" t="s">
        <v>218</v>
      </c>
      <c r="F7" s="2" t="s">
        <v>88</v>
      </c>
      <c r="I7" s="2" t="s">
        <v>132</v>
      </c>
    </row>
    <row r="8" spans="1:10" x14ac:dyDescent="0.2">
      <c r="A8" s="2" t="s">
        <v>271</v>
      </c>
      <c r="B8" s="2" t="s">
        <v>98</v>
      </c>
      <c r="C8" s="2" t="s">
        <v>221</v>
      </c>
      <c r="D8" s="2" t="s">
        <v>391</v>
      </c>
      <c r="E8" s="2" t="s">
        <v>218</v>
      </c>
      <c r="F8" s="2" t="s">
        <v>88</v>
      </c>
      <c r="I8" s="2" t="s">
        <v>100</v>
      </c>
    </row>
    <row r="9" spans="1:10" x14ac:dyDescent="0.2">
      <c r="A9" s="42"/>
      <c r="B9" s="42"/>
      <c r="C9" s="42"/>
      <c r="D9" s="42"/>
      <c r="E9" s="43" t="s">
        <v>252</v>
      </c>
      <c r="F9" s="42"/>
      <c r="G9" s="42"/>
      <c r="H9" s="42"/>
      <c r="I9" s="42"/>
      <c r="J9" s="65"/>
    </row>
    <row r="10" spans="1:10" x14ac:dyDescent="0.2">
      <c r="A10" s="2" t="s">
        <v>271</v>
      </c>
      <c r="B10" s="2" t="s">
        <v>1414</v>
      </c>
      <c r="C10" s="2" t="str">
        <f>E9</f>
        <v>Load Case002.sim</v>
      </c>
      <c r="E10" s="46"/>
      <c r="I10" s="2"/>
      <c r="J10" s="65"/>
    </row>
    <row r="11" spans="1:10" x14ac:dyDescent="0.2">
      <c r="A11" s="2" t="s">
        <v>271</v>
      </c>
      <c r="B11" s="2" t="s">
        <v>104</v>
      </c>
      <c r="C11" s="2" t="s">
        <v>1330</v>
      </c>
      <c r="D11" s="2" t="s">
        <v>308</v>
      </c>
      <c r="E11" s="2" t="s">
        <v>218</v>
      </c>
      <c r="F11" s="2" t="s">
        <v>88</v>
      </c>
      <c r="I11" s="2" t="s">
        <v>132</v>
      </c>
    </row>
    <row r="12" spans="1:10" x14ac:dyDescent="0.2">
      <c r="A12" s="2" t="s">
        <v>271</v>
      </c>
      <c r="B12" s="2" t="s">
        <v>108</v>
      </c>
      <c r="C12" s="2" t="s">
        <v>221</v>
      </c>
      <c r="D12" s="2" t="s">
        <v>537</v>
      </c>
      <c r="E12" s="2" t="s">
        <v>218</v>
      </c>
      <c r="F12" s="2" t="s">
        <v>88</v>
      </c>
      <c r="I12" s="2" t="s">
        <v>100</v>
      </c>
    </row>
    <row r="13" spans="1:10" x14ac:dyDescent="0.2">
      <c r="A13" s="42"/>
      <c r="B13" s="42"/>
      <c r="C13" s="42"/>
      <c r="D13" s="42"/>
      <c r="E13" s="43" t="s">
        <v>253</v>
      </c>
      <c r="F13" s="42"/>
      <c r="G13" s="42"/>
      <c r="H13" s="42"/>
      <c r="I13" s="42"/>
    </row>
    <row r="14" spans="1:10" x14ac:dyDescent="0.2">
      <c r="A14" s="2" t="s">
        <v>271</v>
      </c>
      <c r="B14" s="2" t="s">
        <v>1415</v>
      </c>
      <c r="C14" s="2" t="str">
        <f>E13</f>
        <v>Load Case003.sim</v>
      </c>
      <c r="E14" s="46"/>
      <c r="I14" s="2"/>
    </row>
    <row r="15" spans="1:10" x14ac:dyDescent="0.2">
      <c r="A15" s="2" t="s">
        <v>271</v>
      </c>
      <c r="B15" s="2" t="s">
        <v>116</v>
      </c>
      <c r="C15" s="2" t="s">
        <v>1330</v>
      </c>
      <c r="D15" s="2" t="s">
        <v>297</v>
      </c>
      <c r="E15" s="2" t="s">
        <v>218</v>
      </c>
      <c r="F15" s="2" t="s">
        <v>88</v>
      </c>
      <c r="I15" s="2" t="s">
        <v>132</v>
      </c>
    </row>
    <row r="16" spans="1:10" x14ac:dyDescent="0.2">
      <c r="A16" s="2" t="s">
        <v>271</v>
      </c>
      <c r="B16" s="2" t="s">
        <v>123</v>
      </c>
      <c r="C16" s="2" t="s">
        <v>221</v>
      </c>
      <c r="D16" s="2" t="s">
        <v>298</v>
      </c>
      <c r="E16" s="2" t="s">
        <v>218</v>
      </c>
      <c r="F16" s="2" t="s">
        <v>88</v>
      </c>
      <c r="I16" s="2" t="s">
        <v>100</v>
      </c>
    </row>
    <row r="17" spans="1:9" x14ac:dyDescent="0.2">
      <c r="A17" s="42"/>
      <c r="B17" s="42"/>
      <c r="C17" s="42"/>
      <c r="D17" s="42"/>
      <c r="E17" s="43" t="s">
        <v>254</v>
      </c>
      <c r="F17" s="42"/>
      <c r="G17" s="42"/>
      <c r="H17" s="42"/>
      <c r="I17" s="42"/>
    </row>
    <row r="18" spans="1:9" x14ac:dyDescent="0.2">
      <c r="A18" s="2" t="s">
        <v>271</v>
      </c>
      <c r="B18" s="2" t="s">
        <v>1416</v>
      </c>
      <c r="C18" s="2" t="str">
        <f>E17</f>
        <v>Load Case004.sim</v>
      </c>
      <c r="E18" s="46"/>
      <c r="I18" s="2"/>
    </row>
    <row r="19" spans="1:9" x14ac:dyDescent="0.2">
      <c r="A19" s="2" t="s">
        <v>271</v>
      </c>
      <c r="B19" s="2" t="s">
        <v>136</v>
      </c>
      <c r="C19" s="2" t="s">
        <v>1330</v>
      </c>
      <c r="D19" s="2" t="s">
        <v>311</v>
      </c>
      <c r="E19" s="2" t="s">
        <v>218</v>
      </c>
      <c r="F19" s="2" t="s">
        <v>88</v>
      </c>
      <c r="I19" s="2" t="s">
        <v>132</v>
      </c>
    </row>
    <row r="20" spans="1:9" x14ac:dyDescent="0.2">
      <c r="A20" s="2" t="s">
        <v>271</v>
      </c>
      <c r="B20" s="2" t="s">
        <v>144</v>
      </c>
      <c r="C20" s="2" t="s">
        <v>221</v>
      </c>
      <c r="D20" s="2" t="s">
        <v>830</v>
      </c>
      <c r="E20" s="2" t="s">
        <v>218</v>
      </c>
      <c r="F20" s="2" t="s">
        <v>88</v>
      </c>
      <c r="I20" s="2" t="s">
        <v>100</v>
      </c>
    </row>
    <row r="21" spans="1:9" x14ac:dyDescent="0.2">
      <c r="A21" s="42"/>
      <c r="B21" s="42"/>
      <c r="C21" s="42"/>
      <c r="D21" s="42"/>
      <c r="E21" s="43" t="s">
        <v>255</v>
      </c>
      <c r="F21" s="42"/>
      <c r="G21" s="42"/>
      <c r="H21" s="42"/>
      <c r="I21" s="42"/>
    </row>
    <row r="22" spans="1:9" x14ac:dyDescent="0.2">
      <c r="A22" s="2" t="s">
        <v>271</v>
      </c>
      <c r="B22" s="2" t="s">
        <v>1417</v>
      </c>
      <c r="C22" s="2" t="str">
        <f>E21</f>
        <v>Load Case005.sim</v>
      </c>
      <c r="E22" s="46"/>
      <c r="I22" s="2"/>
    </row>
    <row r="23" spans="1:9" x14ac:dyDescent="0.2">
      <c r="A23" s="2" t="s">
        <v>271</v>
      </c>
      <c r="B23" s="2" t="s">
        <v>170</v>
      </c>
      <c r="C23" s="2" t="s">
        <v>1330</v>
      </c>
      <c r="D23" s="2" t="s">
        <v>312</v>
      </c>
      <c r="E23" s="2" t="s">
        <v>218</v>
      </c>
      <c r="F23" s="2" t="s">
        <v>88</v>
      </c>
      <c r="I23" s="2" t="s">
        <v>132</v>
      </c>
    </row>
    <row r="24" spans="1:9" x14ac:dyDescent="0.2">
      <c r="A24" s="2" t="s">
        <v>271</v>
      </c>
      <c r="B24" s="2" t="s">
        <v>182</v>
      </c>
      <c r="C24" s="2" t="s">
        <v>221</v>
      </c>
      <c r="D24" s="2" t="s">
        <v>303</v>
      </c>
      <c r="E24" s="2" t="s">
        <v>218</v>
      </c>
      <c r="F24" s="2" t="s">
        <v>88</v>
      </c>
      <c r="I24" s="2" t="s">
        <v>100</v>
      </c>
    </row>
    <row r="25" spans="1:9" x14ac:dyDescent="0.2">
      <c r="A25" s="42"/>
      <c r="B25" s="42"/>
      <c r="C25" s="42"/>
      <c r="D25" s="42"/>
      <c r="E25" s="43" t="s">
        <v>256</v>
      </c>
      <c r="F25" s="42"/>
      <c r="G25" s="42"/>
      <c r="H25" s="42"/>
      <c r="I25" s="42"/>
    </row>
    <row r="26" spans="1:9" x14ac:dyDescent="0.2">
      <c r="A26" s="2" t="s">
        <v>271</v>
      </c>
      <c r="B26" s="2" t="s">
        <v>1418</v>
      </c>
      <c r="C26" s="2" t="str">
        <f>E25</f>
        <v>Load Case006.sim</v>
      </c>
      <c r="E26" s="46"/>
      <c r="I26" s="2"/>
    </row>
    <row r="27" spans="1:9" x14ac:dyDescent="0.2">
      <c r="A27" s="2" t="s">
        <v>271</v>
      </c>
      <c r="B27" s="2" t="s">
        <v>191</v>
      </c>
      <c r="C27" s="2" t="s">
        <v>1330</v>
      </c>
      <c r="D27" s="2" t="s">
        <v>304</v>
      </c>
      <c r="E27" s="2" t="s">
        <v>218</v>
      </c>
      <c r="F27" s="2" t="s">
        <v>88</v>
      </c>
      <c r="I27" s="2" t="s">
        <v>132</v>
      </c>
    </row>
    <row r="28" spans="1:9" x14ac:dyDescent="0.2">
      <c r="A28" s="2" t="s">
        <v>271</v>
      </c>
      <c r="B28" s="2" t="s">
        <v>1102</v>
      </c>
      <c r="C28" s="2" t="s">
        <v>221</v>
      </c>
      <c r="D28" s="2" t="s">
        <v>1103</v>
      </c>
      <c r="E28" s="2" t="s">
        <v>218</v>
      </c>
      <c r="F28" s="2" t="s">
        <v>88</v>
      </c>
      <c r="I28" s="2" t="s">
        <v>100</v>
      </c>
    </row>
    <row r="29" spans="1:9" x14ac:dyDescent="0.2">
      <c r="A29" s="42"/>
      <c r="B29" s="42"/>
      <c r="C29" s="42"/>
      <c r="D29" s="42"/>
      <c r="E29" s="43" t="s">
        <v>257</v>
      </c>
      <c r="F29" s="42"/>
      <c r="G29" s="42"/>
      <c r="H29" s="42"/>
      <c r="I29" s="42"/>
    </row>
    <row r="30" spans="1:9" x14ac:dyDescent="0.2">
      <c r="A30" s="2" t="s">
        <v>271</v>
      </c>
      <c r="B30" s="2" t="s">
        <v>1419</v>
      </c>
      <c r="C30" s="2" t="str">
        <f>E29</f>
        <v>Load Case007.sim</v>
      </c>
      <c r="E30" s="46"/>
      <c r="I30" s="2"/>
    </row>
    <row r="31" spans="1:9" x14ac:dyDescent="0.2">
      <c r="A31" s="2" t="s">
        <v>271</v>
      </c>
      <c r="B31" s="2" t="s">
        <v>224</v>
      </c>
      <c r="C31" s="2" t="s">
        <v>1330</v>
      </c>
      <c r="D31" s="2" t="s">
        <v>314</v>
      </c>
      <c r="E31" s="2" t="s">
        <v>218</v>
      </c>
      <c r="F31" s="2" t="s">
        <v>88</v>
      </c>
      <c r="I31" s="2" t="s">
        <v>132</v>
      </c>
    </row>
    <row r="32" spans="1:9" x14ac:dyDescent="0.2">
      <c r="A32" s="2" t="s">
        <v>271</v>
      </c>
      <c r="B32" s="2" t="s">
        <v>229</v>
      </c>
      <c r="C32" s="2" t="s">
        <v>221</v>
      </c>
      <c r="D32" s="2" t="s">
        <v>1253</v>
      </c>
      <c r="E32" s="2" t="s">
        <v>218</v>
      </c>
      <c r="F32" s="2" t="s">
        <v>88</v>
      </c>
      <c r="I32" s="2" t="s">
        <v>100</v>
      </c>
    </row>
    <row r="33" spans="1:9" x14ac:dyDescent="0.2">
      <c r="A33" s="42"/>
      <c r="B33" s="42"/>
      <c r="C33" s="42"/>
      <c r="D33" s="42"/>
      <c r="E33" s="43" t="s">
        <v>258</v>
      </c>
      <c r="F33" s="42"/>
      <c r="G33" s="42"/>
      <c r="H33" s="42"/>
      <c r="I33" s="42"/>
    </row>
    <row r="34" spans="1:9" x14ac:dyDescent="0.2">
      <c r="A34" s="2" t="s">
        <v>271</v>
      </c>
      <c r="B34" s="2" t="s">
        <v>1420</v>
      </c>
      <c r="C34" s="2" t="str">
        <f>E33</f>
        <v>Load Case008.sim</v>
      </c>
      <c r="E34" s="46"/>
      <c r="I34" s="2"/>
    </row>
    <row r="35" spans="1:9" x14ac:dyDescent="0.2">
      <c r="A35" s="2" t="s">
        <v>271</v>
      </c>
      <c r="B35" s="2" t="s">
        <v>1421</v>
      </c>
      <c r="C35" s="2" t="s">
        <v>1330</v>
      </c>
      <c r="D35" s="2" t="s">
        <v>1422</v>
      </c>
      <c r="E35" s="2" t="s">
        <v>218</v>
      </c>
      <c r="F35" s="2" t="s">
        <v>88</v>
      </c>
      <c r="I35" s="2" t="s">
        <v>132</v>
      </c>
    </row>
    <row r="36" spans="1:9" x14ac:dyDescent="0.2">
      <c r="A36" s="2" t="s">
        <v>271</v>
      </c>
      <c r="B36" s="2" t="s">
        <v>1423</v>
      </c>
      <c r="C36" s="2" t="s">
        <v>221</v>
      </c>
      <c r="D36" s="2" t="s">
        <v>1424</v>
      </c>
      <c r="E36" s="2" t="s">
        <v>218</v>
      </c>
      <c r="F36" s="2" t="s">
        <v>88</v>
      </c>
      <c r="I36" s="2" t="s">
        <v>100</v>
      </c>
    </row>
    <row r="37" spans="1:9" x14ac:dyDescent="0.2">
      <c r="A37" s="42"/>
      <c r="B37" s="42"/>
      <c r="C37" s="42"/>
      <c r="D37" s="42"/>
      <c r="E37" s="43" t="s">
        <v>259</v>
      </c>
      <c r="F37" s="42"/>
      <c r="G37" s="42"/>
      <c r="H37" s="42"/>
      <c r="I37" s="42"/>
    </row>
    <row r="38" spans="1:9" x14ac:dyDescent="0.2">
      <c r="A38" s="2" t="s">
        <v>271</v>
      </c>
      <c r="B38" s="2" t="s">
        <v>1425</v>
      </c>
      <c r="C38" s="2" t="str">
        <f>E37</f>
        <v>Load Case009.sim</v>
      </c>
      <c r="E38" s="46"/>
      <c r="I38" s="2"/>
    </row>
    <row r="39" spans="1:9" x14ac:dyDescent="0.2">
      <c r="A39" s="2" t="s">
        <v>271</v>
      </c>
      <c r="B39" s="2" t="s">
        <v>1426</v>
      </c>
      <c r="C39" s="2" t="s">
        <v>1330</v>
      </c>
      <c r="D39" s="2" t="s">
        <v>1427</v>
      </c>
      <c r="E39" s="2" t="s">
        <v>218</v>
      </c>
      <c r="F39" s="2" t="s">
        <v>88</v>
      </c>
      <c r="I39" s="2" t="s">
        <v>132</v>
      </c>
    </row>
    <row r="40" spans="1:9" x14ac:dyDescent="0.2">
      <c r="A40" s="2" t="s">
        <v>271</v>
      </c>
      <c r="B40" s="2" t="s">
        <v>1428</v>
      </c>
      <c r="C40" s="2" t="s">
        <v>221</v>
      </c>
      <c r="D40" s="2" t="s">
        <v>1429</v>
      </c>
      <c r="E40" s="2" t="s">
        <v>218</v>
      </c>
      <c r="F40" s="2" t="s">
        <v>88</v>
      </c>
      <c r="I40" s="2" t="s">
        <v>100</v>
      </c>
    </row>
    <row r="41" spans="1:9" x14ac:dyDescent="0.2">
      <c r="A41" s="42"/>
      <c r="B41" s="42"/>
      <c r="C41" s="42"/>
      <c r="D41" s="42"/>
      <c r="E41" s="43" t="s">
        <v>260</v>
      </c>
      <c r="F41" s="42"/>
      <c r="G41" s="42"/>
      <c r="H41" s="42"/>
      <c r="I41" s="42"/>
    </row>
    <row r="42" spans="1:9" x14ac:dyDescent="0.2">
      <c r="A42" s="2" t="s">
        <v>271</v>
      </c>
      <c r="B42" s="2" t="s">
        <v>1430</v>
      </c>
      <c r="C42" s="2" t="str">
        <f>E41</f>
        <v>Load Case010.sim</v>
      </c>
      <c r="E42" s="46"/>
      <c r="I42" s="2"/>
    </row>
    <row r="43" spans="1:9" x14ac:dyDescent="0.2">
      <c r="A43" s="2" t="s">
        <v>271</v>
      </c>
      <c r="B43" s="2" t="s">
        <v>1431</v>
      </c>
      <c r="C43" s="2" t="s">
        <v>1330</v>
      </c>
      <c r="D43" s="2" t="s">
        <v>1432</v>
      </c>
      <c r="E43" s="2" t="s">
        <v>218</v>
      </c>
      <c r="F43" s="2" t="s">
        <v>88</v>
      </c>
      <c r="I43" s="2" t="s">
        <v>132</v>
      </c>
    </row>
    <row r="44" spans="1:9" x14ac:dyDescent="0.2">
      <c r="A44" s="2" t="s">
        <v>271</v>
      </c>
      <c r="B44" s="2" t="s">
        <v>1433</v>
      </c>
      <c r="C44" s="2" t="s">
        <v>221</v>
      </c>
      <c r="D44" s="2" t="s">
        <v>1434</v>
      </c>
      <c r="E44" s="2" t="s">
        <v>218</v>
      </c>
      <c r="F44" s="2" t="s">
        <v>88</v>
      </c>
      <c r="I44" s="2" t="s">
        <v>100</v>
      </c>
    </row>
    <row r="45" spans="1:9" x14ac:dyDescent="0.2">
      <c r="A45" s="42"/>
      <c r="B45" s="42"/>
      <c r="C45" s="42"/>
      <c r="D45" s="42"/>
      <c r="E45" s="43" t="s">
        <v>261</v>
      </c>
      <c r="F45" s="42"/>
      <c r="G45" s="42"/>
      <c r="H45" s="42"/>
      <c r="I45" s="42"/>
    </row>
    <row r="46" spans="1:9" x14ac:dyDescent="0.2">
      <c r="A46" s="2" t="s">
        <v>271</v>
      </c>
      <c r="B46" s="2" t="s">
        <v>1435</v>
      </c>
      <c r="C46" s="2" t="str">
        <f>E45</f>
        <v>Load Case011.sim</v>
      </c>
      <c r="E46" s="46"/>
      <c r="I46" s="2"/>
    </row>
    <row r="47" spans="1:9" x14ac:dyDescent="0.2">
      <c r="A47" s="2" t="s">
        <v>271</v>
      </c>
      <c r="B47" s="2" t="s">
        <v>1436</v>
      </c>
      <c r="C47" s="2" t="s">
        <v>1330</v>
      </c>
      <c r="D47" s="2" t="s">
        <v>1437</v>
      </c>
      <c r="E47" s="2" t="s">
        <v>218</v>
      </c>
      <c r="F47" s="2" t="s">
        <v>88</v>
      </c>
      <c r="I47" s="2" t="s">
        <v>132</v>
      </c>
    </row>
    <row r="48" spans="1:9" x14ac:dyDescent="0.2">
      <c r="A48" s="2" t="s">
        <v>271</v>
      </c>
      <c r="B48" s="2" t="s">
        <v>1438</v>
      </c>
      <c r="C48" s="2" t="s">
        <v>221</v>
      </c>
      <c r="D48" s="2" t="s">
        <v>1439</v>
      </c>
      <c r="E48" s="2" t="s">
        <v>218</v>
      </c>
      <c r="F48" s="2" t="s">
        <v>88</v>
      </c>
      <c r="I48" s="2" t="s">
        <v>100</v>
      </c>
    </row>
    <row r="49" spans="1:9" x14ac:dyDescent="0.2">
      <c r="A49" s="42"/>
      <c r="B49" s="42"/>
      <c r="C49" s="42"/>
      <c r="D49" s="42"/>
      <c r="E49" s="43" t="s">
        <v>262</v>
      </c>
      <c r="F49" s="42"/>
      <c r="G49" s="42"/>
      <c r="H49" s="42"/>
      <c r="I49" s="42"/>
    </row>
    <row r="50" spans="1:9" x14ac:dyDescent="0.2">
      <c r="A50" s="2" t="s">
        <v>271</v>
      </c>
      <c r="B50" s="2" t="s">
        <v>1440</v>
      </c>
      <c r="C50" s="2" t="str">
        <f>E49</f>
        <v>Load Case012.sim</v>
      </c>
      <c r="E50" s="46"/>
      <c r="I50" s="2"/>
    </row>
    <row r="51" spans="1:9" x14ac:dyDescent="0.2">
      <c r="A51" s="2" t="s">
        <v>271</v>
      </c>
      <c r="B51" s="2" t="s">
        <v>1441</v>
      </c>
      <c r="C51" s="2" t="s">
        <v>1330</v>
      </c>
      <c r="D51" s="2" t="s">
        <v>1442</v>
      </c>
      <c r="E51" s="2" t="s">
        <v>218</v>
      </c>
      <c r="F51" s="2" t="s">
        <v>88</v>
      </c>
      <c r="I51" s="2" t="s">
        <v>132</v>
      </c>
    </row>
    <row r="52" spans="1:9" x14ac:dyDescent="0.2">
      <c r="A52" s="2" t="s">
        <v>271</v>
      </c>
      <c r="B52" s="2" t="s">
        <v>1443</v>
      </c>
      <c r="C52" s="2" t="s">
        <v>221</v>
      </c>
      <c r="D52" s="2" t="s">
        <v>1444</v>
      </c>
      <c r="E52" s="2" t="s">
        <v>218</v>
      </c>
      <c r="F52" s="2" t="s">
        <v>88</v>
      </c>
      <c r="I52" s="2" t="s">
        <v>100</v>
      </c>
    </row>
    <row r="53" spans="1:9" x14ac:dyDescent="0.2">
      <c r="A53" s="42"/>
      <c r="B53" s="42"/>
      <c r="C53" s="42"/>
      <c r="D53" s="42"/>
      <c r="E53" s="43" t="s">
        <v>263</v>
      </c>
      <c r="F53" s="42"/>
      <c r="G53" s="42"/>
      <c r="H53" s="42"/>
      <c r="I53" s="42"/>
    </row>
    <row r="54" spans="1:9" x14ac:dyDescent="0.2">
      <c r="A54" s="2" t="s">
        <v>271</v>
      </c>
      <c r="B54" s="2" t="s">
        <v>1445</v>
      </c>
      <c r="C54" s="2" t="str">
        <f>E53</f>
        <v>Load Case013.sim</v>
      </c>
      <c r="E54" s="46"/>
      <c r="I54" s="2"/>
    </row>
    <row r="55" spans="1:9" x14ac:dyDescent="0.2">
      <c r="A55" s="2" t="s">
        <v>271</v>
      </c>
      <c r="B55" s="2" t="s">
        <v>1446</v>
      </c>
      <c r="C55" s="2" t="s">
        <v>1330</v>
      </c>
      <c r="D55" s="2" t="s">
        <v>1447</v>
      </c>
      <c r="E55" s="2" t="s">
        <v>218</v>
      </c>
      <c r="F55" s="2" t="s">
        <v>88</v>
      </c>
      <c r="I55" s="2" t="s">
        <v>132</v>
      </c>
    </row>
    <row r="56" spans="1:9" x14ac:dyDescent="0.2">
      <c r="A56" s="2" t="s">
        <v>271</v>
      </c>
      <c r="B56" s="2" t="s">
        <v>1448</v>
      </c>
      <c r="C56" s="2" t="s">
        <v>221</v>
      </c>
      <c r="D56" s="2" t="s">
        <v>1449</v>
      </c>
      <c r="E56" s="2" t="s">
        <v>218</v>
      </c>
      <c r="F56" s="2" t="s">
        <v>88</v>
      </c>
      <c r="I56" s="2" t="s">
        <v>100</v>
      </c>
    </row>
    <row r="57" spans="1:9" x14ac:dyDescent="0.2">
      <c r="A57" s="42"/>
      <c r="B57" s="42"/>
      <c r="C57" s="42"/>
      <c r="D57" s="42"/>
      <c r="E57" s="43" t="s">
        <v>264</v>
      </c>
      <c r="F57" s="42"/>
      <c r="G57" s="42"/>
      <c r="H57" s="42"/>
      <c r="I57" s="42"/>
    </row>
    <row r="58" spans="1:9" x14ac:dyDescent="0.2">
      <c r="A58" s="2" t="s">
        <v>271</v>
      </c>
      <c r="B58" s="2" t="s">
        <v>1450</v>
      </c>
      <c r="C58" s="2" t="str">
        <f>E57</f>
        <v>Load Case014.sim</v>
      </c>
      <c r="E58" s="46"/>
      <c r="I58" s="2"/>
    </row>
    <row r="59" spans="1:9" x14ac:dyDescent="0.2">
      <c r="A59" s="2" t="s">
        <v>271</v>
      </c>
      <c r="B59" s="2" t="s">
        <v>1451</v>
      </c>
      <c r="C59" s="2" t="s">
        <v>1330</v>
      </c>
      <c r="D59" s="2" t="s">
        <v>1452</v>
      </c>
      <c r="E59" s="2" t="s">
        <v>218</v>
      </c>
      <c r="F59" s="2" t="s">
        <v>88</v>
      </c>
      <c r="I59" s="2" t="s">
        <v>132</v>
      </c>
    </row>
    <row r="60" spans="1:9" x14ac:dyDescent="0.2">
      <c r="A60" s="2" t="s">
        <v>271</v>
      </c>
      <c r="B60" s="2" t="s">
        <v>1453</v>
      </c>
      <c r="C60" s="2" t="s">
        <v>221</v>
      </c>
      <c r="D60" s="2" t="s">
        <v>1454</v>
      </c>
      <c r="E60" s="2" t="s">
        <v>218</v>
      </c>
      <c r="F60" s="2" t="s">
        <v>88</v>
      </c>
      <c r="I60" s="2" t="s">
        <v>100</v>
      </c>
    </row>
    <row r="61" spans="1:9" x14ac:dyDescent="0.2">
      <c r="A61" s="42"/>
      <c r="B61" s="42"/>
      <c r="C61" s="42"/>
      <c r="D61" s="42"/>
      <c r="E61" s="43" t="s">
        <v>265</v>
      </c>
      <c r="F61" s="42"/>
      <c r="G61" s="42"/>
      <c r="H61" s="42"/>
      <c r="I61" s="42"/>
    </row>
    <row r="62" spans="1:9" x14ac:dyDescent="0.2">
      <c r="A62" s="2" t="s">
        <v>271</v>
      </c>
      <c r="B62" s="2" t="s">
        <v>1455</v>
      </c>
      <c r="C62" s="2" t="str">
        <f>E61</f>
        <v>Load Case015.sim</v>
      </c>
      <c r="E62" s="46"/>
      <c r="I62" s="2"/>
    </row>
    <row r="63" spans="1:9" x14ac:dyDescent="0.2">
      <c r="A63" s="2" t="s">
        <v>271</v>
      </c>
      <c r="B63" s="2" t="s">
        <v>1456</v>
      </c>
      <c r="C63" s="2" t="s">
        <v>1330</v>
      </c>
      <c r="D63" s="2" t="s">
        <v>1457</v>
      </c>
      <c r="E63" s="2" t="s">
        <v>218</v>
      </c>
      <c r="F63" s="2" t="s">
        <v>88</v>
      </c>
      <c r="I63" s="2" t="s">
        <v>132</v>
      </c>
    </row>
    <row r="64" spans="1:9" x14ac:dyDescent="0.2">
      <c r="A64" s="2" t="s">
        <v>271</v>
      </c>
      <c r="B64" s="2" t="s">
        <v>1458</v>
      </c>
      <c r="C64" s="2" t="s">
        <v>221</v>
      </c>
      <c r="D64" s="2" t="s">
        <v>1459</v>
      </c>
      <c r="E64" s="2" t="s">
        <v>218</v>
      </c>
      <c r="F64" s="2" t="s">
        <v>88</v>
      </c>
      <c r="I64" s="2" t="s">
        <v>100</v>
      </c>
    </row>
    <row r="65" spans="1:9" x14ac:dyDescent="0.2">
      <c r="A65" s="42"/>
      <c r="B65" s="42"/>
      <c r="C65" s="42"/>
      <c r="D65" s="42"/>
      <c r="E65" s="43" t="s">
        <v>266</v>
      </c>
      <c r="F65" s="42"/>
      <c r="G65" s="42"/>
      <c r="H65" s="42"/>
      <c r="I65" s="42"/>
    </row>
    <row r="66" spans="1:9" x14ac:dyDescent="0.2">
      <c r="A66" s="2" t="s">
        <v>271</v>
      </c>
      <c r="B66" s="2" t="s">
        <v>1460</v>
      </c>
      <c r="C66" s="2" t="str">
        <f>E65</f>
        <v>Load Case016.sim</v>
      </c>
      <c r="E66" s="46"/>
      <c r="I66" s="2"/>
    </row>
    <row r="67" spans="1:9" x14ac:dyDescent="0.2">
      <c r="A67" s="2" t="s">
        <v>271</v>
      </c>
      <c r="B67" s="2" t="s">
        <v>1461</v>
      </c>
      <c r="C67" s="2" t="s">
        <v>1330</v>
      </c>
      <c r="D67" s="2" t="s">
        <v>1462</v>
      </c>
      <c r="E67" s="2" t="s">
        <v>218</v>
      </c>
      <c r="F67" s="2" t="s">
        <v>88</v>
      </c>
      <c r="I67" s="2" t="s">
        <v>132</v>
      </c>
    </row>
    <row r="68" spans="1:9" x14ac:dyDescent="0.2">
      <c r="A68" s="2" t="s">
        <v>271</v>
      </c>
      <c r="B68" s="2" t="s">
        <v>1463</v>
      </c>
      <c r="C68" s="2" t="s">
        <v>221</v>
      </c>
      <c r="D68" s="2" t="s">
        <v>1464</v>
      </c>
      <c r="E68" s="2" t="s">
        <v>218</v>
      </c>
      <c r="F68" s="2" t="s">
        <v>88</v>
      </c>
      <c r="I68" s="2" t="s">
        <v>100</v>
      </c>
    </row>
    <row r="69" spans="1:9" x14ac:dyDescent="0.2">
      <c r="A69" s="42"/>
      <c r="B69" s="42"/>
      <c r="C69" s="42"/>
      <c r="D69" s="42"/>
      <c r="E69" s="43" t="s">
        <v>267</v>
      </c>
      <c r="F69" s="42"/>
      <c r="G69" s="42"/>
      <c r="H69" s="42"/>
      <c r="I69" s="42"/>
    </row>
    <row r="70" spans="1:9" x14ac:dyDescent="0.2">
      <c r="A70" s="2" t="s">
        <v>271</v>
      </c>
      <c r="B70" s="2" t="s">
        <v>1465</v>
      </c>
      <c r="C70" s="2" t="str">
        <f>E69</f>
        <v>Load Case017.sim</v>
      </c>
      <c r="E70" s="46"/>
      <c r="I70" s="2"/>
    </row>
    <row r="71" spans="1:9" x14ac:dyDescent="0.2">
      <c r="A71" s="2" t="s">
        <v>271</v>
      </c>
      <c r="B71" s="2" t="s">
        <v>1466</v>
      </c>
      <c r="C71" s="2" t="s">
        <v>1330</v>
      </c>
      <c r="D71" s="2" t="s">
        <v>1467</v>
      </c>
      <c r="E71" s="2" t="s">
        <v>218</v>
      </c>
      <c r="F71" s="2" t="s">
        <v>88</v>
      </c>
      <c r="I71" s="2" t="s">
        <v>132</v>
      </c>
    </row>
    <row r="72" spans="1:9" x14ac:dyDescent="0.2">
      <c r="A72" s="2" t="s">
        <v>271</v>
      </c>
      <c r="B72" s="2" t="s">
        <v>1468</v>
      </c>
      <c r="C72" s="2" t="s">
        <v>221</v>
      </c>
      <c r="D72" s="2" t="s">
        <v>1469</v>
      </c>
      <c r="E72" s="2" t="s">
        <v>218</v>
      </c>
      <c r="F72" s="2" t="s">
        <v>88</v>
      </c>
      <c r="I72" s="2" t="s">
        <v>100</v>
      </c>
    </row>
    <row r="73" spans="1:9" x14ac:dyDescent="0.2">
      <c r="A73" s="42"/>
      <c r="B73" s="42"/>
      <c r="C73" s="42"/>
      <c r="D73" s="42"/>
      <c r="E73" s="43" t="s">
        <v>268</v>
      </c>
      <c r="F73" s="42"/>
      <c r="G73" s="42"/>
      <c r="H73" s="42"/>
      <c r="I73" s="42"/>
    </row>
    <row r="74" spans="1:9" x14ac:dyDescent="0.2">
      <c r="A74" s="2" t="s">
        <v>271</v>
      </c>
      <c r="B74" s="2" t="s">
        <v>1470</v>
      </c>
      <c r="C74" s="2" t="str">
        <f>E73</f>
        <v>Load Case018.sim</v>
      </c>
      <c r="E74" s="46"/>
      <c r="I74" s="2"/>
    </row>
    <row r="75" spans="1:9" x14ac:dyDescent="0.2">
      <c r="A75" s="2" t="s">
        <v>271</v>
      </c>
      <c r="B75" s="2" t="s">
        <v>1471</v>
      </c>
      <c r="C75" s="2" t="s">
        <v>1330</v>
      </c>
      <c r="D75" s="2" t="s">
        <v>1472</v>
      </c>
      <c r="E75" s="2" t="s">
        <v>218</v>
      </c>
      <c r="F75" s="2" t="s">
        <v>88</v>
      </c>
      <c r="I75" s="2" t="s">
        <v>132</v>
      </c>
    </row>
    <row r="76" spans="1:9" x14ac:dyDescent="0.2">
      <c r="A76" s="2" t="s">
        <v>271</v>
      </c>
      <c r="B76" s="2" t="s">
        <v>1473</v>
      </c>
      <c r="C76" s="2" t="s">
        <v>221</v>
      </c>
      <c r="D76" s="2" t="s">
        <v>1474</v>
      </c>
      <c r="E76" s="2" t="s">
        <v>218</v>
      </c>
      <c r="F76" s="2" t="s">
        <v>88</v>
      </c>
      <c r="I76" s="2" t="s">
        <v>100</v>
      </c>
    </row>
    <row r="77" spans="1:9" x14ac:dyDescent="0.2">
      <c r="E77" s="46"/>
      <c r="G77" s="2" t="s">
        <v>230</v>
      </c>
      <c r="I77" s="2"/>
    </row>
    <row r="78" spans="1:9" x14ac:dyDescent="0.2">
      <c r="A78" s="2" t="s">
        <v>271</v>
      </c>
      <c r="B78" s="2" t="s">
        <v>1475</v>
      </c>
      <c r="C78" s="2">
        <f>E77</f>
        <v>0</v>
      </c>
      <c r="E78" s="46"/>
      <c r="I78" s="2"/>
    </row>
    <row r="79" spans="1:9" x14ac:dyDescent="0.2">
      <c r="A79" s="2" t="s">
        <v>271</v>
      </c>
      <c r="B79" s="2" t="s">
        <v>1476</v>
      </c>
      <c r="C79" s="2" t="s">
        <v>1330</v>
      </c>
      <c r="D79" s="2" t="s">
        <v>1477</v>
      </c>
      <c r="E79" s="2" t="s">
        <v>218</v>
      </c>
      <c r="F79" s="2" t="s">
        <v>88</v>
      </c>
      <c r="I79" s="2" t="s">
        <v>132</v>
      </c>
    </row>
    <row r="80" spans="1:9" x14ac:dyDescent="0.2">
      <c r="A80" s="2" t="s">
        <v>271</v>
      </c>
      <c r="B80" s="2" t="s">
        <v>1478</v>
      </c>
      <c r="C80" s="2" t="s">
        <v>221</v>
      </c>
      <c r="D80" s="2" t="s">
        <v>1479</v>
      </c>
      <c r="E80" s="2" t="s">
        <v>218</v>
      </c>
      <c r="F80" s="2" t="s">
        <v>88</v>
      </c>
      <c r="I80" s="2" t="s">
        <v>100</v>
      </c>
    </row>
    <row r="81" spans="1:9" x14ac:dyDescent="0.2">
      <c r="A81" s="42"/>
      <c r="B81" s="42"/>
      <c r="C81" s="42"/>
      <c r="D81" s="42"/>
      <c r="E81" s="43" t="s">
        <v>269</v>
      </c>
      <c r="F81" s="42"/>
      <c r="G81" s="42"/>
      <c r="H81" s="42"/>
      <c r="I81" s="42"/>
    </row>
    <row r="82" spans="1:9" x14ac:dyDescent="0.2">
      <c r="A82" s="2" t="s">
        <v>271</v>
      </c>
      <c r="B82" s="2" t="s">
        <v>1480</v>
      </c>
      <c r="C82" s="2" t="str">
        <f>E81</f>
        <v>Load Case020.sim</v>
      </c>
      <c r="E82" s="46"/>
      <c r="I82" s="2"/>
    </row>
    <row r="83" spans="1:9" x14ac:dyDescent="0.2">
      <c r="A83" s="2" t="s">
        <v>271</v>
      </c>
      <c r="B83" s="2" t="s">
        <v>1481</v>
      </c>
      <c r="C83" s="2" t="s">
        <v>1330</v>
      </c>
      <c r="D83" s="2" t="s">
        <v>1482</v>
      </c>
      <c r="E83" s="2" t="s">
        <v>218</v>
      </c>
      <c r="F83" s="2" t="s">
        <v>88</v>
      </c>
      <c r="I83" s="2" t="s">
        <v>132</v>
      </c>
    </row>
    <row r="84" spans="1:9" x14ac:dyDescent="0.2">
      <c r="A84" s="2" t="s">
        <v>271</v>
      </c>
      <c r="B84" s="2" t="s">
        <v>1483</v>
      </c>
      <c r="C84" s="2" t="s">
        <v>221</v>
      </c>
      <c r="D84" s="2" t="s">
        <v>1484</v>
      </c>
      <c r="E84" s="2" t="s">
        <v>218</v>
      </c>
      <c r="F84" s="2" t="s">
        <v>88</v>
      </c>
      <c r="I84" s="2" t="s">
        <v>100</v>
      </c>
    </row>
    <row r="85" spans="1:9" x14ac:dyDescent="0.2">
      <c r="G85" s="2" t="s">
        <v>230</v>
      </c>
      <c r="I85" s="2"/>
    </row>
    <row r="86" spans="1:9" x14ac:dyDescent="0.2">
      <c r="A86" s="2" t="s">
        <v>1411</v>
      </c>
      <c r="B86" s="2" t="s">
        <v>1465</v>
      </c>
      <c r="C86" s="2" t="str">
        <f>E84</f>
        <v>Range Graph</v>
      </c>
      <c r="E86" s="46"/>
      <c r="I86" s="2"/>
    </row>
    <row r="87" spans="1:9" x14ac:dyDescent="0.2">
      <c r="A87" s="2" t="s">
        <v>1411</v>
      </c>
      <c r="B87" s="2" t="s">
        <v>1466</v>
      </c>
      <c r="C87" s="2" t="s">
        <v>1330</v>
      </c>
      <c r="D87" s="2" t="s">
        <v>1467</v>
      </c>
      <c r="E87" s="2" t="s">
        <v>218</v>
      </c>
      <c r="F87" s="2" t="s">
        <v>88</v>
      </c>
      <c r="I87" s="2" t="s">
        <v>132</v>
      </c>
    </row>
    <row r="88" spans="1:9" x14ac:dyDescent="0.2">
      <c r="A88" s="2" t="s">
        <v>1411</v>
      </c>
      <c r="B88" s="2" t="s">
        <v>1468</v>
      </c>
      <c r="C88" s="2" t="s">
        <v>221</v>
      </c>
      <c r="D88" s="2" t="s">
        <v>1469</v>
      </c>
      <c r="E88" s="2" t="s">
        <v>218</v>
      </c>
      <c r="F88" s="2" t="s">
        <v>88</v>
      </c>
      <c r="I88" s="2" t="s">
        <v>100</v>
      </c>
    </row>
    <row r="89" spans="1:9" x14ac:dyDescent="0.2">
      <c r="A89" s="42"/>
      <c r="B89" s="42"/>
      <c r="C89" s="42"/>
      <c r="D89" s="42"/>
      <c r="E89" s="43" t="s">
        <v>268</v>
      </c>
      <c r="F89" s="42"/>
      <c r="G89" s="42"/>
      <c r="H89" s="42"/>
      <c r="I89" s="42"/>
    </row>
    <row r="90" spans="1:9" x14ac:dyDescent="0.2">
      <c r="A90" s="2" t="s">
        <v>1411</v>
      </c>
      <c r="E90" s="2" t="s">
        <v>1412</v>
      </c>
      <c r="G90" s="2" t="s">
        <v>1410</v>
      </c>
      <c r="I90" s="2"/>
    </row>
    <row r="91" spans="1:9" x14ac:dyDescent="0.2">
      <c r="A91" s="2" t="s">
        <v>1411</v>
      </c>
      <c r="B91" s="2" t="s">
        <v>1470</v>
      </c>
      <c r="C91" s="2" t="str">
        <f>E89</f>
        <v>Load Case018.sim</v>
      </c>
      <c r="E91" s="46"/>
      <c r="I91" s="2"/>
    </row>
    <row r="92" spans="1:9" x14ac:dyDescent="0.2">
      <c r="A92" s="2" t="s">
        <v>1411</v>
      </c>
      <c r="B92" s="2" t="s">
        <v>1471</v>
      </c>
      <c r="C92" s="2" t="s">
        <v>1330</v>
      </c>
      <c r="D92" s="2" t="s">
        <v>1472</v>
      </c>
      <c r="E92" s="2" t="s">
        <v>218</v>
      </c>
      <c r="F92" s="2" t="s">
        <v>88</v>
      </c>
      <c r="I92" s="2" t="s">
        <v>132</v>
      </c>
    </row>
    <row r="93" spans="1:9" x14ac:dyDescent="0.2">
      <c r="A93" s="2" t="s">
        <v>1411</v>
      </c>
      <c r="B93" s="2" t="s">
        <v>1473</v>
      </c>
      <c r="C93" s="2" t="s">
        <v>221</v>
      </c>
      <c r="D93" s="2" t="s">
        <v>1474</v>
      </c>
      <c r="E93" s="2" t="s">
        <v>218</v>
      </c>
      <c r="F93" s="2" t="s">
        <v>88</v>
      </c>
      <c r="I93" s="2" t="s">
        <v>100</v>
      </c>
    </row>
    <row r="94" spans="1:9" x14ac:dyDescent="0.2">
      <c r="A94" s="42"/>
      <c r="B94" s="42"/>
      <c r="C94" s="42"/>
      <c r="D94" s="42"/>
      <c r="E94" s="43"/>
      <c r="F94" s="42"/>
      <c r="G94" s="42"/>
      <c r="H94" s="42"/>
      <c r="I94" s="42"/>
    </row>
    <row r="95" spans="1:9" x14ac:dyDescent="0.2">
      <c r="I95" s="2"/>
    </row>
    <row r="96" spans="1:9" x14ac:dyDescent="0.2">
      <c r="E96" s="46"/>
      <c r="I96" s="2"/>
    </row>
    <row r="97" spans="1:9" x14ac:dyDescent="0.2">
      <c r="I97" s="2"/>
    </row>
    <row r="98" spans="1:9" x14ac:dyDescent="0.2">
      <c r="I98" s="2"/>
    </row>
    <row r="99" spans="1:9" x14ac:dyDescent="0.2">
      <c r="A99" s="42"/>
      <c r="B99" s="42"/>
      <c r="C99" s="42"/>
      <c r="D99" s="42"/>
      <c r="E99" s="43"/>
      <c r="F99" s="42"/>
      <c r="G99" s="42"/>
      <c r="H99" s="42"/>
      <c r="I99" s="42"/>
    </row>
    <row r="100" spans="1:9" x14ac:dyDescent="0.2">
      <c r="I100" s="2"/>
    </row>
    <row r="101" spans="1:9" x14ac:dyDescent="0.2">
      <c r="E101" s="46"/>
      <c r="I101" s="2"/>
    </row>
    <row r="102" spans="1:9" x14ac:dyDescent="0.2">
      <c r="I102" s="2"/>
    </row>
    <row r="103" spans="1:9" x14ac:dyDescent="0.2">
      <c r="I103" s="2"/>
    </row>
    <row r="104" spans="1:9" x14ac:dyDescent="0.2">
      <c r="I104" s="2"/>
    </row>
    <row r="105" spans="1:9" x14ac:dyDescent="0.2">
      <c r="I105" s="2"/>
    </row>
    <row r="106" spans="1:9" x14ac:dyDescent="0.2">
      <c r="I106" s="2"/>
    </row>
    <row r="107" spans="1:9" x14ac:dyDescent="0.2">
      <c r="I107" s="2"/>
    </row>
    <row r="108" spans="1:9" x14ac:dyDescent="0.2">
      <c r="A108" s="42"/>
      <c r="B108" s="42"/>
      <c r="C108" s="42"/>
      <c r="D108" s="42"/>
      <c r="E108" s="43"/>
      <c r="F108" s="42"/>
      <c r="G108" s="42"/>
      <c r="H108" s="42"/>
      <c r="I108" s="42"/>
    </row>
    <row r="109" spans="1:9" x14ac:dyDescent="0.2">
      <c r="E109" s="46"/>
      <c r="I109" s="2"/>
    </row>
    <row r="110" spans="1:9" x14ac:dyDescent="0.2">
      <c r="I110" s="2"/>
    </row>
    <row r="111" spans="1:9" x14ac:dyDescent="0.2">
      <c r="I111" s="2"/>
    </row>
    <row r="112" spans="1:9" x14ac:dyDescent="0.2">
      <c r="I112" s="2"/>
    </row>
    <row r="113" spans="9:9" x14ac:dyDescent="0.2">
      <c r="I113" s="2"/>
    </row>
    <row r="114" spans="9:9" x14ac:dyDescent="0.2">
      <c r="I114" s="2"/>
    </row>
    <row r="115" spans="9:9" x14ac:dyDescent="0.2">
      <c r="I115" s="2"/>
    </row>
    <row r="116" spans="9:9" x14ac:dyDescent="0.2">
      <c r="I116" s="2"/>
    </row>
    <row r="117" spans="9:9" x14ac:dyDescent="0.2">
      <c r="I117" s="2"/>
    </row>
    <row r="118" spans="9:9" x14ac:dyDescent="0.2">
      <c r="I118" s="2"/>
    </row>
    <row r="119" spans="9:9" x14ac:dyDescent="0.2">
      <c r="I119" s="2"/>
    </row>
    <row r="120" spans="9:9" x14ac:dyDescent="0.2">
      <c r="I120" s="2"/>
    </row>
    <row r="121" spans="9:9" x14ac:dyDescent="0.2">
      <c r="I121" s="2"/>
    </row>
    <row r="122" spans="9:9" x14ac:dyDescent="0.2">
      <c r="I122" s="2"/>
    </row>
    <row r="123" spans="9:9" x14ac:dyDescent="0.2">
      <c r="I123" s="2"/>
    </row>
    <row r="124" spans="9:9" x14ac:dyDescent="0.2">
      <c r="I124" s="2"/>
    </row>
    <row r="125" spans="9:9" x14ac:dyDescent="0.2">
      <c r="I125" s="2"/>
    </row>
    <row r="126" spans="9:9" x14ac:dyDescent="0.2">
      <c r="I126" s="2"/>
    </row>
    <row r="127" spans="9:9" x14ac:dyDescent="0.2">
      <c r="I127" s="2"/>
    </row>
    <row r="128" spans="9:9" x14ac:dyDescent="0.2">
      <c r="I128" s="2"/>
    </row>
    <row r="129" spans="1:9" x14ac:dyDescent="0.2">
      <c r="I129" s="2"/>
    </row>
    <row r="130" spans="1:9" x14ac:dyDescent="0.2">
      <c r="I130" s="2"/>
    </row>
    <row r="131" spans="1:9" x14ac:dyDescent="0.2">
      <c r="I131" s="2"/>
    </row>
    <row r="132" spans="1:9" x14ac:dyDescent="0.2">
      <c r="I132" s="2"/>
    </row>
    <row r="133" spans="1:9" x14ac:dyDescent="0.2">
      <c r="I133" s="2"/>
    </row>
    <row r="134" spans="1:9" x14ac:dyDescent="0.2">
      <c r="I134" s="2"/>
    </row>
    <row r="135" spans="1:9" x14ac:dyDescent="0.2">
      <c r="I135" s="2"/>
    </row>
    <row r="136" spans="1:9" x14ac:dyDescent="0.2">
      <c r="I136" s="2"/>
    </row>
    <row r="137" spans="1:9" x14ac:dyDescent="0.2">
      <c r="I137" s="2"/>
    </row>
    <row r="138" spans="1:9" x14ac:dyDescent="0.2">
      <c r="I138" s="2"/>
    </row>
    <row r="139" spans="1:9" x14ac:dyDescent="0.2">
      <c r="I139" s="2"/>
    </row>
    <row r="140" spans="1:9" x14ac:dyDescent="0.2">
      <c r="I140" s="2"/>
    </row>
    <row r="141" spans="1:9" x14ac:dyDescent="0.2">
      <c r="A141" s="42"/>
      <c r="B141" s="42"/>
      <c r="C141" s="42"/>
      <c r="D141" s="42"/>
      <c r="E141" s="43"/>
      <c r="F141" s="42"/>
      <c r="G141" s="42"/>
      <c r="H141" s="42"/>
      <c r="I141" s="42"/>
    </row>
    <row r="142" spans="1:9" x14ac:dyDescent="0.2">
      <c r="E142" s="46"/>
      <c r="I142" s="2"/>
    </row>
    <row r="143" spans="1:9" x14ac:dyDescent="0.2">
      <c r="I143" s="2"/>
    </row>
    <row r="144" spans="1:9" x14ac:dyDescent="0.2">
      <c r="I144" s="2"/>
    </row>
    <row r="145" spans="9:9" x14ac:dyDescent="0.2">
      <c r="I145" s="2"/>
    </row>
    <row r="146" spans="9:9" x14ac:dyDescent="0.2">
      <c r="I146" s="2"/>
    </row>
    <row r="147" spans="9:9" x14ac:dyDescent="0.2">
      <c r="I147" s="2"/>
    </row>
    <row r="148" spans="9:9" x14ac:dyDescent="0.2">
      <c r="I148" s="2"/>
    </row>
    <row r="149" spans="9:9" x14ac:dyDescent="0.2">
      <c r="I149" s="2"/>
    </row>
    <row r="150" spans="9:9" x14ac:dyDescent="0.2">
      <c r="I150" s="2"/>
    </row>
    <row r="151" spans="9:9" x14ac:dyDescent="0.2">
      <c r="I151" s="2"/>
    </row>
    <row r="152" spans="9:9" x14ac:dyDescent="0.2">
      <c r="I152" s="2"/>
    </row>
    <row r="153" spans="9:9" x14ac:dyDescent="0.2">
      <c r="I153" s="2"/>
    </row>
    <row r="154" spans="9:9" x14ac:dyDescent="0.2">
      <c r="I154" s="2"/>
    </row>
    <row r="155" spans="9:9" x14ac:dyDescent="0.2">
      <c r="I155" s="2"/>
    </row>
    <row r="156" spans="9:9" x14ac:dyDescent="0.2">
      <c r="I156" s="2"/>
    </row>
    <row r="157" spans="9:9" x14ac:dyDescent="0.2">
      <c r="I157" s="2"/>
    </row>
    <row r="158" spans="9:9" x14ac:dyDescent="0.2">
      <c r="I158" s="2"/>
    </row>
    <row r="159" spans="9:9" x14ac:dyDescent="0.2">
      <c r="I159" s="2"/>
    </row>
    <row r="160" spans="9:9" x14ac:dyDescent="0.2">
      <c r="I160" s="2"/>
    </row>
    <row r="161" spans="1:9" x14ac:dyDescent="0.2">
      <c r="I161" s="2"/>
    </row>
    <row r="162" spans="1:9" x14ac:dyDescent="0.2">
      <c r="I162" s="2"/>
    </row>
    <row r="163" spans="1:9" x14ac:dyDescent="0.2">
      <c r="I163" s="2"/>
    </row>
    <row r="164" spans="1:9" x14ac:dyDescent="0.2">
      <c r="I164" s="2"/>
    </row>
    <row r="165" spans="1:9" x14ac:dyDescent="0.2">
      <c r="I165" s="2"/>
    </row>
    <row r="166" spans="1:9" x14ac:dyDescent="0.2">
      <c r="I166" s="2"/>
    </row>
    <row r="167" spans="1:9" x14ac:dyDescent="0.2">
      <c r="I167" s="2"/>
    </row>
    <row r="168" spans="1:9" x14ac:dyDescent="0.2">
      <c r="I168" s="2"/>
    </row>
    <row r="169" spans="1:9" x14ac:dyDescent="0.2">
      <c r="I169" s="2"/>
    </row>
    <row r="170" spans="1:9" x14ac:dyDescent="0.2">
      <c r="I170" s="2"/>
    </row>
    <row r="171" spans="1:9" x14ac:dyDescent="0.2">
      <c r="I171" s="2"/>
    </row>
    <row r="172" spans="1:9" x14ac:dyDescent="0.2">
      <c r="I172" s="2"/>
    </row>
    <row r="173" spans="1:9" x14ac:dyDescent="0.2">
      <c r="I173" s="2"/>
    </row>
    <row r="174" spans="1:9" x14ac:dyDescent="0.2">
      <c r="A174" s="42"/>
      <c r="B174" s="42"/>
      <c r="C174" s="42"/>
      <c r="D174" s="42"/>
      <c r="E174" s="43"/>
      <c r="F174" s="42"/>
      <c r="G174" s="42"/>
      <c r="H174" s="42"/>
      <c r="I174" s="42"/>
    </row>
    <row r="175" spans="1:9" x14ac:dyDescent="0.2">
      <c r="E175" s="46"/>
      <c r="I175" s="2"/>
    </row>
    <row r="176" spans="1:9" x14ac:dyDescent="0.2">
      <c r="I176" s="2"/>
    </row>
    <row r="177" spans="9:9" x14ac:dyDescent="0.2">
      <c r="I177" s="2"/>
    </row>
    <row r="178" spans="9:9" x14ac:dyDescent="0.2">
      <c r="I178" s="2"/>
    </row>
    <row r="179" spans="9:9" x14ac:dyDescent="0.2">
      <c r="I179" s="2"/>
    </row>
    <row r="180" spans="9:9" x14ac:dyDescent="0.2">
      <c r="I180" s="2"/>
    </row>
    <row r="181" spans="9:9" x14ac:dyDescent="0.2">
      <c r="I181" s="2"/>
    </row>
    <row r="182" spans="9:9" x14ac:dyDescent="0.2">
      <c r="I182" s="2"/>
    </row>
    <row r="183" spans="9:9" x14ac:dyDescent="0.2">
      <c r="I183" s="2"/>
    </row>
    <row r="184" spans="9:9" x14ac:dyDescent="0.2">
      <c r="I184" s="2"/>
    </row>
    <row r="185" spans="9:9" x14ac:dyDescent="0.2">
      <c r="I185" s="2"/>
    </row>
    <row r="186" spans="9:9" x14ac:dyDescent="0.2">
      <c r="I186" s="2"/>
    </row>
    <row r="187" spans="9:9" x14ac:dyDescent="0.2">
      <c r="I187" s="2"/>
    </row>
    <row r="188" spans="9:9" x14ac:dyDescent="0.2">
      <c r="I188" s="2"/>
    </row>
    <row r="189" spans="9:9" x14ac:dyDescent="0.2">
      <c r="I189" s="2"/>
    </row>
    <row r="190" spans="9:9" x14ac:dyDescent="0.2">
      <c r="I190" s="2"/>
    </row>
    <row r="191" spans="9:9" x14ac:dyDescent="0.2">
      <c r="I191" s="2"/>
    </row>
    <row r="192" spans="9:9" x14ac:dyDescent="0.2">
      <c r="I192" s="2"/>
    </row>
    <row r="193" spans="1:9" x14ac:dyDescent="0.2">
      <c r="I193" s="2"/>
    </row>
    <row r="194" spans="1:9" x14ac:dyDescent="0.2">
      <c r="I194" s="2"/>
    </row>
    <row r="195" spans="1:9" x14ac:dyDescent="0.2">
      <c r="I195" s="2"/>
    </row>
    <row r="196" spans="1:9" x14ac:dyDescent="0.2">
      <c r="I196" s="2"/>
    </row>
    <row r="197" spans="1:9" x14ac:dyDescent="0.2">
      <c r="I197" s="2"/>
    </row>
    <row r="198" spans="1:9" x14ac:dyDescent="0.2">
      <c r="I198" s="2"/>
    </row>
    <row r="199" spans="1:9" x14ac:dyDescent="0.2">
      <c r="I199" s="2"/>
    </row>
    <row r="200" spans="1:9" x14ac:dyDescent="0.2">
      <c r="I200" s="2"/>
    </row>
    <row r="201" spans="1:9" x14ac:dyDescent="0.2">
      <c r="I201" s="2"/>
    </row>
    <row r="202" spans="1:9" x14ac:dyDescent="0.2">
      <c r="I202" s="2"/>
    </row>
    <row r="203" spans="1:9" x14ac:dyDescent="0.2">
      <c r="I203" s="2"/>
    </row>
    <row r="204" spans="1:9" x14ac:dyDescent="0.2">
      <c r="I204" s="2"/>
    </row>
    <row r="205" spans="1:9" x14ac:dyDescent="0.2">
      <c r="I205" s="2"/>
    </row>
    <row r="206" spans="1:9" x14ac:dyDescent="0.2">
      <c r="I206" s="2"/>
    </row>
    <row r="207" spans="1:9" x14ac:dyDescent="0.2">
      <c r="A207" s="42"/>
      <c r="B207" s="42"/>
      <c r="C207" s="42"/>
      <c r="D207" s="42"/>
      <c r="E207" s="43"/>
      <c r="F207" s="42"/>
      <c r="G207" s="42"/>
      <c r="H207" s="42"/>
      <c r="I207" s="42"/>
    </row>
    <row r="208" spans="1:9" x14ac:dyDescent="0.2">
      <c r="E208" s="46"/>
      <c r="I208" s="2"/>
    </row>
    <row r="209" spans="9:9" x14ac:dyDescent="0.2">
      <c r="I209" s="2"/>
    </row>
    <row r="210" spans="9:9" x14ac:dyDescent="0.2">
      <c r="I210" s="2"/>
    </row>
    <row r="211" spans="9:9" x14ac:dyDescent="0.2">
      <c r="I211" s="2"/>
    </row>
    <row r="212" spans="9:9" x14ac:dyDescent="0.2">
      <c r="I212" s="2"/>
    </row>
    <row r="213" spans="9:9" x14ac:dyDescent="0.2">
      <c r="I213" s="2"/>
    </row>
    <row r="214" spans="9:9" x14ac:dyDescent="0.2">
      <c r="I214" s="2"/>
    </row>
    <row r="215" spans="9:9" x14ac:dyDescent="0.2">
      <c r="I215" s="2"/>
    </row>
    <row r="216" spans="9:9" x14ac:dyDescent="0.2">
      <c r="I216" s="2"/>
    </row>
    <row r="217" spans="9:9" x14ac:dyDescent="0.2">
      <c r="I217" s="2"/>
    </row>
    <row r="218" spans="9:9" x14ac:dyDescent="0.2">
      <c r="I218" s="2"/>
    </row>
    <row r="219" spans="9:9" x14ac:dyDescent="0.2">
      <c r="I219" s="2"/>
    </row>
    <row r="220" spans="9:9" x14ac:dyDescent="0.2">
      <c r="I220" s="2"/>
    </row>
    <row r="221" spans="9:9" x14ac:dyDescent="0.2">
      <c r="I221" s="2"/>
    </row>
    <row r="222" spans="9:9" x14ac:dyDescent="0.2">
      <c r="I222" s="2"/>
    </row>
    <row r="223" spans="9:9" x14ac:dyDescent="0.2">
      <c r="I223" s="2"/>
    </row>
    <row r="224" spans="9:9" x14ac:dyDescent="0.2">
      <c r="I224" s="2"/>
    </row>
    <row r="225" spans="1:9" x14ac:dyDescent="0.2">
      <c r="I225" s="2"/>
    </row>
    <row r="226" spans="1:9" x14ac:dyDescent="0.2">
      <c r="I226" s="2"/>
    </row>
    <row r="227" spans="1:9" x14ac:dyDescent="0.2">
      <c r="I227" s="2"/>
    </row>
    <row r="228" spans="1:9" x14ac:dyDescent="0.2">
      <c r="I228" s="2"/>
    </row>
    <row r="229" spans="1:9" x14ac:dyDescent="0.2">
      <c r="I229" s="2"/>
    </row>
    <row r="230" spans="1:9" x14ac:dyDescent="0.2">
      <c r="I230" s="2"/>
    </row>
    <row r="231" spans="1:9" x14ac:dyDescent="0.2">
      <c r="I231" s="2"/>
    </row>
    <row r="232" spans="1:9" x14ac:dyDescent="0.2">
      <c r="I232" s="2"/>
    </row>
    <row r="233" spans="1:9" x14ac:dyDescent="0.2">
      <c r="I233" s="2"/>
    </row>
    <row r="234" spans="1:9" x14ac:dyDescent="0.2">
      <c r="I234" s="2"/>
    </row>
    <row r="235" spans="1:9" x14ac:dyDescent="0.2">
      <c r="I235" s="2"/>
    </row>
    <row r="236" spans="1:9" x14ac:dyDescent="0.2">
      <c r="I236" s="2"/>
    </row>
    <row r="237" spans="1:9" x14ac:dyDescent="0.2">
      <c r="I237" s="2"/>
    </row>
    <row r="238" spans="1:9" x14ac:dyDescent="0.2">
      <c r="I238" s="2"/>
    </row>
    <row r="239" spans="1:9" x14ac:dyDescent="0.2">
      <c r="I239" s="2"/>
    </row>
    <row r="240" spans="1:9" x14ac:dyDescent="0.2">
      <c r="A240" s="42"/>
      <c r="B240" s="42"/>
      <c r="C240" s="42"/>
      <c r="D240" s="42"/>
      <c r="E240" s="43"/>
      <c r="F240" s="42"/>
      <c r="G240" s="42"/>
      <c r="H240" s="42"/>
      <c r="I240" s="42"/>
    </row>
    <row r="241" spans="5:9" x14ac:dyDescent="0.2">
      <c r="E241" s="46"/>
      <c r="I241" s="2"/>
    </row>
    <row r="242" spans="5:9" x14ac:dyDescent="0.2">
      <c r="I242" s="2"/>
    </row>
    <row r="243" spans="5:9" x14ac:dyDescent="0.2">
      <c r="I243" s="2"/>
    </row>
    <row r="244" spans="5:9" x14ac:dyDescent="0.2">
      <c r="I244" s="2"/>
    </row>
    <row r="245" spans="5:9" x14ac:dyDescent="0.2">
      <c r="I245" s="2"/>
    </row>
    <row r="246" spans="5:9" x14ac:dyDescent="0.2">
      <c r="I246" s="2"/>
    </row>
    <row r="247" spans="5:9" x14ac:dyDescent="0.2">
      <c r="I247" s="2"/>
    </row>
    <row r="248" spans="5:9" x14ac:dyDescent="0.2">
      <c r="I248" s="2"/>
    </row>
    <row r="249" spans="5:9" x14ac:dyDescent="0.2">
      <c r="I249" s="2"/>
    </row>
    <row r="250" spans="5:9" x14ac:dyDescent="0.2">
      <c r="I250" s="2"/>
    </row>
    <row r="251" spans="5:9" x14ac:dyDescent="0.2">
      <c r="I251" s="2"/>
    </row>
    <row r="252" spans="5:9" x14ac:dyDescent="0.2">
      <c r="I252" s="2"/>
    </row>
    <row r="253" spans="5:9" x14ac:dyDescent="0.2">
      <c r="I253" s="2"/>
    </row>
    <row r="254" spans="5:9" x14ac:dyDescent="0.2">
      <c r="I254" s="2"/>
    </row>
    <row r="255" spans="5:9" x14ac:dyDescent="0.2">
      <c r="I255" s="2"/>
    </row>
    <row r="256" spans="5:9" x14ac:dyDescent="0.2">
      <c r="I256" s="2"/>
    </row>
    <row r="257" spans="9:9" x14ac:dyDescent="0.2">
      <c r="I257" s="2"/>
    </row>
    <row r="258" spans="9:9" x14ac:dyDescent="0.2">
      <c r="I258" s="2"/>
    </row>
    <row r="259" spans="9:9" x14ac:dyDescent="0.2">
      <c r="I259" s="2"/>
    </row>
    <row r="260" spans="9:9" x14ac:dyDescent="0.2">
      <c r="I260" s="2"/>
    </row>
    <row r="261" spans="9:9" x14ac:dyDescent="0.2">
      <c r="I261" s="2"/>
    </row>
    <row r="262" spans="9:9" x14ac:dyDescent="0.2">
      <c r="I262" s="2"/>
    </row>
    <row r="263" spans="9:9" x14ac:dyDescent="0.2">
      <c r="I263" s="2"/>
    </row>
    <row r="264" spans="9:9" x14ac:dyDescent="0.2">
      <c r="I264" s="2"/>
    </row>
    <row r="265" spans="9:9" x14ac:dyDescent="0.2">
      <c r="I265" s="2"/>
    </row>
    <row r="266" spans="9:9" x14ac:dyDescent="0.2">
      <c r="I266" s="2"/>
    </row>
    <row r="267" spans="9:9" x14ac:dyDescent="0.2">
      <c r="I267" s="2"/>
    </row>
    <row r="268" spans="9:9" x14ac:dyDescent="0.2">
      <c r="I268" s="2"/>
    </row>
    <row r="269" spans="9:9" x14ac:dyDescent="0.2">
      <c r="I269" s="2"/>
    </row>
    <row r="270" spans="9:9" x14ac:dyDescent="0.2">
      <c r="I270" s="2"/>
    </row>
    <row r="271" spans="9:9" x14ac:dyDescent="0.2">
      <c r="I271" s="2"/>
    </row>
    <row r="272" spans="9:9" x14ac:dyDescent="0.2">
      <c r="I272" s="2"/>
    </row>
    <row r="273" spans="1:9" x14ac:dyDescent="0.2">
      <c r="A273" s="42"/>
      <c r="B273" s="42"/>
      <c r="C273" s="42"/>
      <c r="D273" s="42"/>
      <c r="E273" s="43"/>
      <c r="F273" s="42"/>
      <c r="G273" s="42"/>
      <c r="H273" s="42"/>
      <c r="I273" s="42"/>
    </row>
    <row r="274" spans="1:9" x14ac:dyDescent="0.2">
      <c r="E274" s="46"/>
      <c r="I274" s="2"/>
    </row>
    <row r="275" spans="1:9" x14ac:dyDescent="0.2">
      <c r="I275" s="2"/>
    </row>
    <row r="276" spans="1:9" x14ac:dyDescent="0.2">
      <c r="I276" s="2"/>
    </row>
    <row r="277" spans="1:9" x14ac:dyDescent="0.2">
      <c r="I277" s="2"/>
    </row>
    <row r="278" spans="1:9" x14ac:dyDescent="0.2">
      <c r="I278" s="2"/>
    </row>
    <row r="279" spans="1:9" x14ac:dyDescent="0.2">
      <c r="I279" s="2"/>
    </row>
    <row r="280" spans="1:9" x14ac:dyDescent="0.2">
      <c r="I280" s="2"/>
    </row>
    <row r="281" spans="1:9" x14ac:dyDescent="0.2">
      <c r="I281" s="2"/>
    </row>
    <row r="282" spans="1:9" x14ac:dyDescent="0.2">
      <c r="I282" s="2"/>
    </row>
    <row r="283" spans="1:9" x14ac:dyDescent="0.2">
      <c r="I283" s="2"/>
    </row>
    <row r="284" spans="1:9" x14ac:dyDescent="0.2">
      <c r="I284" s="2"/>
    </row>
    <row r="285" spans="1:9" x14ac:dyDescent="0.2">
      <c r="I285" s="2"/>
    </row>
    <row r="286" spans="1:9" x14ac:dyDescent="0.2">
      <c r="I286" s="2"/>
    </row>
    <row r="287" spans="1:9" x14ac:dyDescent="0.2">
      <c r="I287" s="2"/>
    </row>
    <row r="288" spans="1:9" x14ac:dyDescent="0.2">
      <c r="I288" s="2"/>
    </row>
    <row r="289" spans="9:9" x14ac:dyDescent="0.2">
      <c r="I289" s="2"/>
    </row>
    <row r="290" spans="9:9" x14ac:dyDescent="0.2">
      <c r="I290" s="2"/>
    </row>
    <row r="291" spans="9:9" x14ac:dyDescent="0.2">
      <c r="I291" s="2"/>
    </row>
    <row r="292" spans="9:9" x14ac:dyDescent="0.2">
      <c r="I292" s="2"/>
    </row>
    <row r="293" spans="9:9" x14ac:dyDescent="0.2">
      <c r="I293" s="2"/>
    </row>
    <row r="294" spans="9:9" x14ac:dyDescent="0.2">
      <c r="I294" s="2"/>
    </row>
    <row r="295" spans="9:9" x14ac:dyDescent="0.2">
      <c r="I295" s="2"/>
    </row>
    <row r="296" spans="9:9" x14ac:dyDescent="0.2">
      <c r="I296" s="2"/>
    </row>
    <row r="297" spans="9:9" x14ac:dyDescent="0.2">
      <c r="I297" s="2"/>
    </row>
    <row r="298" spans="9:9" x14ac:dyDescent="0.2">
      <c r="I298" s="2"/>
    </row>
    <row r="299" spans="9:9" x14ac:dyDescent="0.2">
      <c r="I299" s="2"/>
    </row>
    <row r="300" spans="9:9" x14ac:dyDescent="0.2">
      <c r="I300" s="2"/>
    </row>
    <row r="301" spans="9:9" x14ac:dyDescent="0.2">
      <c r="I301" s="2"/>
    </row>
    <row r="302" spans="9:9" x14ac:dyDescent="0.2">
      <c r="I302" s="2"/>
    </row>
    <row r="303" spans="9:9" x14ac:dyDescent="0.2">
      <c r="I303" s="2"/>
    </row>
    <row r="304" spans="9:9" x14ac:dyDescent="0.2">
      <c r="I304" s="2"/>
    </row>
    <row r="305" spans="1:9" x14ac:dyDescent="0.2">
      <c r="I305" s="2"/>
    </row>
    <row r="306" spans="1:9" x14ac:dyDescent="0.2">
      <c r="A306" s="42"/>
      <c r="B306" s="42"/>
      <c r="C306" s="42"/>
      <c r="D306" s="42"/>
      <c r="E306" s="43"/>
      <c r="F306" s="42"/>
      <c r="G306" s="42"/>
      <c r="H306" s="42"/>
      <c r="I306" s="42"/>
    </row>
    <row r="307" spans="1:9" x14ac:dyDescent="0.2">
      <c r="E307" s="46"/>
      <c r="I307" s="2"/>
    </row>
    <row r="308" spans="1:9" x14ac:dyDescent="0.2">
      <c r="I308" s="2"/>
    </row>
    <row r="309" spans="1:9" x14ac:dyDescent="0.2">
      <c r="I309" s="2"/>
    </row>
    <row r="310" spans="1:9" x14ac:dyDescent="0.2">
      <c r="I310" s="2"/>
    </row>
    <row r="311" spans="1:9" x14ac:dyDescent="0.2">
      <c r="I311" s="2"/>
    </row>
    <row r="312" spans="1:9" x14ac:dyDescent="0.2">
      <c r="I312" s="2"/>
    </row>
    <row r="313" spans="1:9" x14ac:dyDescent="0.2">
      <c r="I313" s="2"/>
    </row>
    <row r="314" spans="1:9" x14ac:dyDescent="0.2">
      <c r="I314" s="2"/>
    </row>
    <row r="315" spans="1:9" x14ac:dyDescent="0.2">
      <c r="I315" s="2"/>
    </row>
    <row r="316" spans="1:9" x14ac:dyDescent="0.2">
      <c r="I316" s="2"/>
    </row>
    <row r="317" spans="1:9" x14ac:dyDescent="0.2">
      <c r="I317" s="2"/>
    </row>
    <row r="318" spans="1:9" x14ac:dyDescent="0.2">
      <c r="I318" s="2"/>
    </row>
    <row r="319" spans="1:9" x14ac:dyDescent="0.2">
      <c r="I319" s="2"/>
    </row>
    <row r="320" spans="1:9" x14ac:dyDescent="0.2">
      <c r="I320" s="2"/>
    </row>
    <row r="321" spans="9:9" x14ac:dyDescent="0.2">
      <c r="I321" s="2"/>
    </row>
    <row r="322" spans="9:9" x14ac:dyDescent="0.2">
      <c r="I322" s="2"/>
    </row>
    <row r="323" spans="9:9" x14ac:dyDescent="0.2">
      <c r="I323" s="2"/>
    </row>
    <row r="324" spans="9:9" x14ac:dyDescent="0.2">
      <c r="I324" s="2"/>
    </row>
    <row r="325" spans="9:9" x14ac:dyDescent="0.2">
      <c r="I325" s="2"/>
    </row>
    <row r="326" spans="9:9" x14ac:dyDescent="0.2">
      <c r="I326" s="2"/>
    </row>
    <row r="327" spans="9:9" x14ac:dyDescent="0.2">
      <c r="I327" s="2"/>
    </row>
    <row r="328" spans="9:9" x14ac:dyDescent="0.2">
      <c r="I328" s="2"/>
    </row>
    <row r="329" spans="9:9" x14ac:dyDescent="0.2">
      <c r="I329" s="2"/>
    </row>
    <row r="330" spans="9:9" x14ac:dyDescent="0.2">
      <c r="I330" s="2"/>
    </row>
    <row r="331" spans="9:9" x14ac:dyDescent="0.2">
      <c r="I331" s="2"/>
    </row>
    <row r="332" spans="9:9" x14ac:dyDescent="0.2">
      <c r="I332" s="2"/>
    </row>
    <row r="333" spans="9:9" x14ac:dyDescent="0.2">
      <c r="I333" s="2"/>
    </row>
    <row r="334" spans="9:9" x14ac:dyDescent="0.2">
      <c r="I334" s="2"/>
    </row>
    <row r="335" spans="9:9" x14ac:dyDescent="0.2">
      <c r="I335" s="2"/>
    </row>
    <row r="336" spans="9:9" x14ac:dyDescent="0.2">
      <c r="I336" s="2"/>
    </row>
    <row r="337" spans="1:9" x14ac:dyDescent="0.2">
      <c r="I337" s="2"/>
    </row>
    <row r="338" spans="1:9" x14ac:dyDescent="0.2">
      <c r="I338" s="2"/>
    </row>
    <row r="339" spans="1:9" x14ac:dyDescent="0.2">
      <c r="A339" s="42"/>
      <c r="B339" s="42"/>
      <c r="C339" s="42"/>
      <c r="D339" s="42"/>
      <c r="E339" s="43"/>
      <c r="F339" s="42"/>
      <c r="G339" s="42"/>
      <c r="H339" s="42"/>
      <c r="I339" s="42"/>
    </row>
    <row r="340" spans="1:9" x14ac:dyDescent="0.2">
      <c r="E340" s="46"/>
      <c r="I340" s="2"/>
    </row>
    <row r="341" spans="1:9" x14ac:dyDescent="0.2">
      <c r="I341" s="2"/>
    </row>
    <row r="342" spans="1:9" x14ac:dyDescent="0.2">
      <c r="I342" s="2"/>
    </row>
    <row r="343" spans="1:9" x14ac:dyDescent="0.2">
      <c r="I343" s="2"/>
    </row>
    <row r="344" spans="1:9" x14ac:dyDescent="0.2">
      <c r="I344" s="2"/>
    </row>
    <row r="345" spans="1:9" x14ac:dyDescent="0.2">
      <c r="I345" s="2"/>
    </row>
    <row r="346" spans="1:9" x14ac:dyDescent="0.2">
      <c r="I346" s="2"/>
    </row>
    <row r="347" spans="1:9" x14ac:dyDescent="0.2">
      <c r="I347" s="2"/>
    </row>
    <row r="348" spans="1:9" x14ac:dyDescent="0.2">
      <c r="I348" s="2"/>
    </row>
    <row r="349" spans="1:9" x14ac:dyDescent="0.2">
      <c r="I349" s="2"/>
    </row>
    <row r="350" spans="1:9" x14ac:dyDescent="0.2">
      <c r="I350" s="2"/>
    </row>
    <row r="351" spans="1:9" x14ac:dyDescent="0.2">
      <c r="I351" s="2"/>
    </row>
    <row r="352" spans="1:9" x14ac:dyDescent="0.2">
      <c r="I352" s="2"/>
    </row>
    <row r="353" spans="9:9" x14ac:dyDescent="0.2">
      <c r="I353" s="2"/>
    </row>
    <row r="354" spans="9:9" x14ac:dyDescent="0.2">
      <c r="I354" s="2"/>
    </row>
    <row r="355" spans="9:9" x14ac:dyDescent="0.2">
      <c r="I355" s="2"/>
    </row>
    <row r="356" spans="9:9" x14ac:dyDescent="0.2">
      <c r="I356" s="2"/>
    </row>
    <row r="357" spans="9:9" x14ac:dyDescent="0.2">
      <c r="I357" s="2"/>
    </row>
    <row r="358" spans="9:9" x14ac:dyDescent="0.2">
      <c r="I358" s="2"/>
    </row>
    <row r="359" spans="9:9" x14ac:dyDescent="0.2">
      <c r="I359" s="2"/>
    </row>
    <row r="360" spans="9:9" x14ac:dyDescent="0.2">
      <c r="I360" s="2"/>
    </row>
    <row r="361" spans="9:9" x14ac:dyDescent="0.2">
      <c r="I361" s="2"/>
    </row>
    <row r="362" spans="9:9" x14ac:dyDescent="0.2">
      <c r="I362" s="2"/>
    </row>
    <row r="363" spans="9:9" x14ac:dyDescent="0.2">
      <c r="I363" s="2"/>
    </row>
    <row r="364" spans="9:9" x14ac:dyDescent="0.2">
      <c r="I364" s="2"/>
    </row>
    <row r="365" spans="9:9" x14ac:dyDescent="0.2">
      <c r="I365" s="2"/>
    </row>
    <row r="366" spans="9:9" x14ac:dyDescent="0.2">
      <c r="I366" s="2"/>
    </row>
    <row r="367" spans="9:9" x14ac:dyDescent="0.2">
      <c r="I367" s="2"/>
    </row>
    <row r="368" spans="9:9" x14ac:dyDescent="0.2">
      <c r="I368" s="2"/>
    </row>
    <row r="369" spans="1:9" x14ac:dyDescent="0.2">
      <c r="I369" s="2"/>
    </row>
    <row r="370" spans="1:9" x14ac:dyDescent="0.2">
      <c r="I370" s="2"/>
    </row>
    <row r="371" spans="1:9" x14ac:dyDescent="0.2">
      <c r="I371" s="2"/>
    </row>
    <row r="372" spans="1:9" x14ac:dyDescent="0.2">
      <c r="A372" s="42"/>
      <c r="B372" s="42"/>
      <c r="C372" s="42"/>
      <c r="D372" s="42"/>
      <c r="E372" s="43"/>
      <c r="F372" s="42"/>
      <c r="G372" s="42"/>
      <c r="H372" s="42"/>
      <c r="I372" s="42"/>
    </row>
    <row r="373" spans="1:9" x14ac:dyDescent="0.2">
      <c r="E373" s="46"/>
      <c r="I373" s="2"/>
    </row>
    <row r="374" spans="1:9" x14ac:dyDescent="0.2">
      <c r="I374" s="2"/>
    </row>
    <row r="375" spans="1:9" x14ac:dyDescent="0.2">
      <c r="I375" s="2"/>
    </row>
    <row r="376" spans="1:9" x14ac:dyDescent="0.2">
      <c r="I376" s="2"/>
    </row>
    <row r="377" spans="1:9" x14ac:dyDescent="0.2">
      <c r="I377" s="2"/>
    </row>
    <row r="378" spans="1:9" x14ac:dyDescent="0.2">
      <c r="I378" s="2"/>
    </row>
    <row r="379" spans="1:9" x14ac:dyDescent="0.2">
      <c r="I379" s="2"/>
    </row>
    <row r="380" spans="1:9" x14ac:dyDescent="0.2">
      <c r="I380" s="2"/>
    </row>
    <row r="381" spans="1:9" x14ac:dyDescent="0.2">
      <c r="I381" s="2"/>
    </row>
    <row r="382" spans="1:9" x14ac:dyDescent="0.2">
      <c r="I382" s="2"/>
    </row>
    <row r="383" spans="1:9" x14ac:dyDescent="0.2">
      <c r="I383" s="2"/>
    </row>
    <row r="384" spans="1:9" x14ac:dyDescent="0.2">
      <c r="I384" s="2"/>
    </row>
    <row r="385" spans="9:9" x14ac:dyDescent="0.2">
      <c r="I385" s="2"/>
    </row>
    <row r="386" spans="9:9" x14ac:dyDescent="0.2">
      <c r="I386" s="2"/>
    </row>
    <row r="387" spans="9:9" x14ac:dyDescent="0.2">
      <c r="I387" s="2"/>
    </row>
    <row r="388" spans="9:9" x14ac:dyDescent="0.2">
      <c r="I388" s="2"/>
    </row>
    <row r="389" spans="9:9" x14ac:dyDescent="0.2">
      <c r="I389" s="2"/>
    </row>
    <row r="390" spans="9:9" x14ac:dyDescent="0.2">
      <c r="I390" s="2"/>
    </row>
    <row r="391" spans="9:9" x14ac:dyDescent="0.2">
      <c r="I391" s="2"/>
    </row>
    <row r="392" spans="9:9" x14ac:dyDescent="0.2">
      <c r="I392" s="2"/>
    </row>
    <row r="393" spans="9:9" x14ac:dyDescent="0.2">
      <c r="I393" s="2"/>
    </row>
    <row r="394" spans="9:9" x14ac:dyDescent="0.2">
      <c r="I394" s="2"/>
    </row>
    <row r="395" spans="9:9" x14ac:dyDescent="0.2">
      <c r="I395" s="2"/>
    </row>
    <row r="396" spans="9:9" x14ac:dyDescent="0.2">
      <c r="I396" s="2"/>
    </row>
    <row r="397" spans="9:9" x14ac:dyDescent="0.2">
      <c r="I397" s="2"/>
    </row>
    <row r="398" spans="9:9" x14ac:dyDescent="0.2">
      <c r="I398" s="2"/>
    </row>
    <row r="399" spans="9:9" x14ac:dyDescent="0.2">
      <c r="I399" s="2"/>
    </row>
    <row r="400" spans="9:9" x14ac:dyDescent="0.2">
      <c r="I400" s="2"/>
    </row>
    <row r="401" spans="1:9" x14ac:dyDescent="0.2">
      <c r="I401" s="2"/>
    </row>
    <row r="402" spans="1:9" x14ac:dyDescent="0.2">
      <c r="I402" s="2"/>
    </row>
    <row r="403" spans="1:9" x14ac:dyDescent="0.2">
      <c r="I403" s="2"/>
    </row>
    <row r="404" spans="1:9" x14ac:dyDescent="0.2">
      <c r="I404" s="2"/>
    </row>
    <row r="405" spans="1:9" x14ac:dyDescent="0.2">
      <c r="A405" s="42"/>
      <c r="B405" s="42"/>
      <c r="C405" s="42"/>
      <c r="D405" s="42"/>
      <c r="E405" s="43"/>
      <c r="F405" s="42"/>
      <c r="G405" s="42"/>
      <c r="H405" s="42"/>
      <c r="I405" s="42"/>
    </row>
    <row r="406" spans="1:9" x14ac:dyDescent="0.2">
      <c r="E406" s="46"/>
      <c r="I406" s="2"/>
    </row>
    <row r="407" spans="1:9" x14ac:dyDescent="0.2">
      <c r="I407" s="2"/>
    </row>
    <row r="408" spans="1:9" x14ac:dyDescent="0.2">
      <c r="I408" s="2"/>
    </row>
    <row r="409" spans="1:9" x14ac:dyDescent="0.2">
      <c r="I409" s="2"/>
    </row>
    <row r="410" spans="1:9" x14ac:dyDescent="0.2">
      <c r="I410" s="2"/>
    </row>
    <row r="411" spans="1:9" x14ac:dyDescent="0.2">
      <c r="I411" s="2"/>
    </row>
    <row r="412" spans="1:9" x14ac:dyDescent="0.2">
      <c r="I412" s="2"/>
    </row>
    <row r="413" spans="1:9" x14ac:dyDescent="0.2">
      <c r="I413" s="2"/>
    </row>
    <row r="414" spans="1:9" x14ac:dyDescent="0.2">
      <c r="I414" s="2"/>
    </row>
    <row r="415" spans="1:9" x14ac:dyDescent="0.2">
      <c r="I415" s="2"/>
    </row>
    <row r="416" spans="1:9" x14ac:dyDescent="0.2">
      <c r="I416" s="2"/>
    </row>
    <row r="417" spans="9:9" x14ac:dyDescent="0.2">
      <c r="I417" s="2"/>
    </row>
    <row r="418" spans="9:9" x14ac:dyDescent="0.2">
      <c r="I418" s="2"/>
    </row>
    <row r="419" spans="9:9" x14ac:dyDescent="0.2">
      <c r="I419" s="2"/>
    </row>
    <row r="420" spans="9:9" x14ac:dyDescent="0.2">
      <c r="I420" s="2"/>
    </row>
    <row r="421" spans="9:9" x14ac:dyDescent="0.2">
      <c r="I421" s="2"/>
    </row>
    <row r="422" spans="9:9" x14ac:dyDescent="0.2">
      <c r="I422" s="2"/>
    </row>
    <row r="423" spans="9:9" x14ac:dyDescent="0.2">
      <c r="I423" s="2"/>
    </row>
    <row r="424" spans="9:9" x14ac:dyDescent="0.2">
      <c r="I424" s="2"/>
    </row>
    <row r="425" spans="9:9" x14ac:dyDescent="0.2">
      <c r="I425" s="2"/>
    </row>
    <row r="426" spans="9:9" x14ac:dyDescent="0.2">
      <c r="I426" s="2"/>
    </row>
    <row r="427" spans="9:9" x14ac:dyDescent="0.2">
      <c r="I427" s="2"/>
    </row>
    <row r="428" spans="9:9" x14ac:dyDescent="0.2">
      <c r="I428" s="2"/>
    </row>
    <row r="429" spans="9:9" x14ac:dyDescent="0.2">
      <c r="I429" s="2"/>
    </row>
    <row r="430" spans="9:9" x14ac:dyDescent="0.2">
      <c r="I430" s="2"/>
    </row>
    <row r="431" spans="9:9" x14ac:dyDescent="0.2">
      <c r="I431" s="2"/>
    </row>
    <row r="432" spans="9:9" x14ac:dyDescent="0.2">
      <c r="I432" s="2"/>
    </row>
    <row r="433" spans="1:9" x14ac:dyDescent="0.2">
      <c r="I433" s="2"/>
    </row>
    <row r="434" spans="1:9" x14ac:dyDescent="0.2">
      <c r="I434" s="2"/>
    </row>
    <row r="435" spans="1:9" x14ac:dyDescent="0.2">
      <c r="I435" s="2"/>
    </row>
    <row r="436" spans="1:9" x14ac:dyDescent="0.2">
      <c r="I436" s="2"/>
    </row>
    <row r="437" spans="1:9" x14ac:dyDescent="0.2">
      <c r="I437" s="2"/>
    </row>
    <row r="438" spans="1:9" x14ac:dyDescent="0.2">
      <c r="A438" s="42"/>
      <c r="B438" s="42"/>
      <c r="C438" s="42"/>
      <c r="D438" s="42"/>
      <c r="E438" s="43"/>
      <c r="F438" s="42"/>
      <c r="G438" s="42"/>
      <c r="H438" s="42"/>
      <c r="I438" s="42"/>
    </row>
    <row r="439" spans="1:9" x14ac:dyDescent="0.2">
      <c r="E439" s="46"/>
      <c r="I439" s="2"/>
    </row>
    <row r="440" spans="1:9" x14ac:dyDescent="0.2">
      <c r="I440" s="2"/>
    </row>
    <row r="441" spans="1:9" x14ac:dyDescent="0.2">
      <c r="I441" s="2"/>
    </row>
    <row r="442" spans="1:9" x14ac:dyDescent="0.2">
      <c r="I442" s="2"/>
    </row>
    <row r="443" spans="1:9" x14ac:dyDescent="0.2">
      <c r="I443" s="2"/>
    </row>
    <row r="444" spans="1:9" x14ac:dyDescent="0.2">
      <c r="I444" s="2"/>
    </row>
    <row r="445" spans="1:9" x14ac:dyDescent="0.2">
      <c r="I445" s="2"/>
    </row>
    <row r="446" spans="1:9" x14ac:dyDescent="0.2">
      <c r="I446" s="2"/>
    </row>
    <row r="447" spans="1:9" x14ac:dyDescent="0.2">
      <c r="I447" s="2"/>
    </row>
    <row r="448" spans="1:9" x14ac:dyDescent="0.2">
      <c r="I448" s="2"/>
    </row>
    <row r="449" spans="9:9" x14ac:dyDescent="0.2">
      <c r="I449" s="2"/>
    </row>
    <row r="450" spans="9:9" x14ac:dyDescent="0.2">
      <c r="I450" s="2"/>
    </row>
    <row r="451" spans="9:9" x14ac:dyDescent="0.2">
      <c r="I451" s="2"/>
    </row>
    <row r="452" spans="9:9" x14ac:dyDescent="0.2">
      <c r="I452" s="2"/>
    </row>
    <row r="453" spans="9:9" x14ac:dyDescent="0.2">
      <c r="I453" s="2"/>
    </row>
    <row r="454" spans="9:9" x14ac:dyDescent="0.2">
      <c r="I454" s="2"/>
    </row>
    <row r="455" spans="9:9" x14ac:dyDescent="0.2">
      <c r="I455" s="2"/>
    </row>
    <row r="456" spans="9:9" x14ac:dyDescent="0.2">
      <c r="I456" s="2"/>
    </row>
    <row r="457" spans="9:9" x14ac:dyDescent="0.2">
      <c r="I457" s="2"/>
    </row>
    <row r="458" spans="9:9" x14ac:dyDescent="0.2">
      <c r="I458" s="2"/>
    </row>
    <row r="459" spans="9:9" x14ac:dyDescent="0.2">
      <c r="I459" s="2"/>
    </row>
    <row r="460" spans="9:9" x14ac:dyDescent="0.2">
      <c r="I460" s="2"/>
    </row>
    <row r="461" spans="9:9" x14ac:dyDescent="0.2">
      <c r="I461" s="2"/>
    </row>
    <row r="462" spans="9:9" x14ac:dyDescent="0.2">
      <c r="I462" s="2"/>
    </row>
    <row r="463" spans="9:9" x14ac:dyDescent="0.2">
      <c r="I463" s="2"/>
    </row>
    <row r="464" spans="9:9" x14ac:dyDescent="0.2">
      <c r="I464" s="2"/>
    </row>
    <row r="465" spans="1:9" x14ac:dyDescent="0.2">
      <c r="I465" s="2"/>
    </row>
    <row r="466" spans="1:9" x14ac:dyDescent="0.2">
      <c r="I466" s="2"/>
    </row>
    <row r="467" spans="1:9" x14ac:dyDescent="0.2">
      <c r="I467" s="2"/>
    </row>
    <row r="468" spans="1:9" x14ac:dyDescent="0.2">
      <c r="I468" s="2"/>
    </row>
    <row r="469" spans="1:9" x14ac:dyDescent="0.2">
      <c r="I469" s="2"/>
    </row>
    <row r="470" spans="1:9" x14ac:dyDescent="0.2">
      <c r="I470" s="2"/>
    </row>
    <row r="471" spans="1:9" x14ac:dyDescent="0.2">
      <c r="A471" s="42"/>
      <c r="B471" s="42"/>
      <c r="C471" s="42"/>
      <c r="D471" s="42"/>
      <c r="E471" s="43"/>
      <c r="F471" s="42"/>
      <c r="G471" s="42"/>
      <c r="H471" s="42"/>
      <c r="I471" s="42"/>
    </row>
    <row r="472" spans="1:9" x14ac:dyDescent="0.2">
      <c r="E472" s="46"/>
      <c r="I472" s="2"/>
    </row>
    <row r="473" spans="1:9" x14ac:dyDescent="0.2">
      <c r="I473" s="2"/>
    </row>
    <row r="474" spans="1:9" x14ac:dyDescent="0.2">
      <c r="I474" s="2"/>
    </row>
    <row r="475" spans="1:9" x14ac:dyDescent="0.2">
      <c r="I475" s="2"/>
    </row>
    <row r="476" spans="1:9" x14ac:dyDescent="0.2">
      <c r="I476" s="2"/>
    </row>
    <row r="477" spans="1:9" x14ac:dyDescent="0.2">
      <c r="I477" s="2"/>
    </row>
    <row r="478" spans="1:9" x14ac:dyDescent="0.2">
      <c r="I478" s="2"/>
    </row>
    <row r="479" spans="1:9" x14ac:dyDescent="0.2">
      <c r="I479" s="2"/>
    </row>
    <row r="480" spans="1:9" x14ac:dyDescent="0.2">
      <c r="I480" s="2"/>
    </row>
    <row r="481" spans="9:9" x14ac:dyDescent="0.2">
      <c r="I481" s="2"/>
    </row>
    <row r="482" spans="9:9" x14ac:dyDescent="0.2">
      <c r="I482" s="2"/>
    </row>
    <row r="483" spans="9:9" x14ac:dyDescent="0.2">
      <c r="I483" s="2"/>
    </row>
    <row r="484" spans="9:9" x14ac:dyDescent="0.2">
      <c r="I484" s="2"/>
    </row>
    <row r="485" spans="9:9" x14ac:dyDescent="0.2">
      <c r="I485" s="2"/>
    </row>
    <row r="486" spans="9:9" x14ac:dyDescent="0.2">
      <c r="I486" s="2"/>
    </row>
    <row r="487" spans="9:9" x14ac:dyDescent="0.2">
      <c r="I487" s="2"/>
    </row>
    <row r="488" spans="9:9" x14ac:dyDescent="0.2">
      <c r="I488" s="2"/>
    </row>
    <row r="489" spans="9:9" x14ac:dyDescent="0.2">
      <c r="I489" s="2"/>
    </row>
    <row r="490" spans="9:9" x14ac:dyDescent="0.2">
      <c r="I490" s="2"/>
    </row>
    <row r="491" spans="9:9" x14ac:dyDescent="0.2">
      <c r="I491" s="2"/>
    </row>
    <row r="492" spans="9:9" x14ac:dyDescent="0.2">
      <c r="I492" s="2"/>
    </row>
    <row r="493" spans="9:9" x14ac:dyDescent="0.2">
      <c r="I493" s="2"/>
    </row>
    <row r="494" spans="9:9" x14ac:dyDescent="0.2">
      <c r="I494" s="2"/>
    </row>
    <row r="495" spans="9:9" x14ac:dyDescent="0.2">
      <c r="I495" s="2"/>
    </row>
    <row r="496" spans="9:9" x14ac:dyDescent="0.2">
      <c r="I496" s="2"/>
    </row>
    <row r="497" spans="1:9" x14ac:dyDescent="0.2">
      <c r="I497" s="2"/>
    </row>
    <row r="498" spans="1:9" x14ac:dyDescent="0.2">
      <c r="I498" s="2"/>
    </row>
    <row r="499" spans="1:9" x14ac:dyDescent="0.2">
      <c r="I499" s="2"/>
    </row>
    <row r="500" spans="1:9" x14ac:dyDescent="0.2">
      <c r="I500" s="2"/>
    </row>
    <row r="501" spans="1:9" x14ac:dyDescent="0.2">
      <c r="I501" s="2"/>
    </row>
    <row r="502" spans="1:9" x14ac:dyDescent="0.2">
      <c r="I502" s="2"/>
    </row>
    <row r="503" spans="1:9" x14ac:dyDescent="0.2">
      <c r="I503" s="2"/>
    </row>
    <row r="504" spans="1:9" x14ac:dyDescent="0.2">
      <c r="A504" s="42"/>
      <c r="B504" s="42"/>
      <c r="C504" s="42"/>
      <c r="D504" s="42"/>
      <c r="E504" s="43"/>
      <c r="F504" s="42"/>
      <c r="G504" s="42"/>
      <c r="H504" s="42"/>
      <c r="I504" s="42"/>
    </row>
    <row r="505" spans="1:9" x14ac:dyDescent="0.2">
      <c r="E505" s="46"/>
      <c r="I505" s="2"/>
    </row>
    <row r="506" spans="1:9" x14ac:dyDescent="0.2">
      <c r="I506" s="2"/>
    </row>
    <row r="507" spans="1:9" x14ac:dyDescent="0.2">
      <c r="I507" s="2"/>
    </row>
    <row r="508" spans="1:9" x14ac:dyDescent="0.2">
      <c r="I508" s="2"/>
    </row>
    <row r="509" spans="1:9" x14ac:dyDescent="0.2">
      <c r="I509" s="2"/>
    </row>
    <row r="510" spans="1:9" x14ac:dyDescent="0.2">
      <c r="I510" s="2"/>
    </row>
    <row r="511" spans="1:9" x14ac:dyDescent="0.2">
      <c r="I511" s="2"/>
    </row>
    <row r="512" spans="1:9" x14ac:dyDescent="0.2">
      <c r="I512" s="2"/>
    </row>
    <row r="513" spans="9:9" x14ac:dyDescent="0.2">
      <c r="I513" s="2"/>
    </row>
    <row r="514" spans="9:9" x14ac:dyDescent="0.2">
      <c r="I514" s="2"/>
    </row>
    <row r="515" spans="9:9" x14ac:dyDescent="0.2">
      <c r="I515" s="2"/>
    </row>
    <row r="516" spans="9:9" x14ac:dyDescent="0.2">
      <c r="I516" s="2"/>
    </row>
    <row r="517" spans="9:9" x14ac:dyDescent="0.2">
      <c r="I517" s="2"/>
    </row>
    <row r="518" spans="9:9" x14ac:dyDescent="0.2">
      <c r="I518" s="2"/>
    </row>
    <row r="519" spans="9:9" x14ac:dyDescent="0.2">
      <c r="I519" s="2"/>
    </row>
    <row r="520" spans="9:9" x14ac:dyDescent="0.2">
      <c r="I520" s="2"/>
    </row>
    <row r="521" spans="9:9" x14ac:dyDescent="0.2">
      <c r="I521" s="2"/>
    </row>
    <row r="522" spans="9:9" x14ac:dyDescent="0.2">
      <c r="I522" s="2"/>
    </row>
    <row r="523" spans="9:9" x14ac:dyDescent="0.2">
      <c r="I523" s="2"/>
    </row>
    <row r="524" spans="9:9" x14ac:dyDescent="0.2">
      <c r="I524" s="2"/>
    </row>
    <row r="525" spans="9:9" x14ac:dyDescent="0.2">
      <c r="I525" s="2"/>
    </row>
    <row r="526" spans="9:9" x14ac:dyDescent="0.2">
      <c r="I526" s="2"/>
    </row>
    <row r="527" spans="9:9" x14ac:dyDescent="0.2">
      <c r="I527" s="2"/>
    </row>
    <row r="528" spans="9:9" x14ac:dyDescent="0.2">
      <c r="I528" s="2"/>
    </row>
    <row r="529" spans="1:9" x14ac:dyDescent="0.2">
      <c r="I529" s="2"/>
    </row>
    <row r="530" spans="1:9" x14ac:dyDescent="0.2">
      <c r="I530" s="2"/>
    </row>
    <row r="531" spans="1:9" x14ac:dyDescent="0.2">
      <c r="I531" s="2"/>
    </row>
    <row r="532" spans="1:9" x14ac:dyDescent="0.2">
      <c r="I532" s="2"/>
    </row>
    <row r="533" spans="1:9" x14ac:dyDescent="0.2">
      <c r="I533" s="2"/>
    </row>
    <row r="534" spans="1:9" x14ac:dyDescent="0.2">
      <c r="I534" s="2"/>
    </row>
    <row r="535" spans="1:9" x14ac:dyDescent="0.2">
      <c r="I535" s="2"/>
    </row>
    <row r="536" spans="1:9" x14ac:dyDescent="0.2">
      <c r="I536" s="2"/>
    </row>
    <row r="537" spans="1:9" x14ac:dyDescent="0.2">
      <c r="A537" s="42"/>
      <c r="B537" s="42"/>
      <c r="C537" s="42"/>
      <c r="D537" s="42"/>
      <c r="E537" s="43"/>
      <c r="F537" s="42"/>
      <c r="G537" s="42"/>
      <c r="H537" s="42"/>
      <c r="I537" s="42"/>
    </row>
    <row r="538" spans="1:9" x14ac:dyDescent="0.2">
      <c r="E538" s="46"/>
      <c r="I538" s="2"/>
    </row>
    <row r="539" spans="1:9" x14ac:dyDescent="0.2">
      <c r="I539" s="2"/>
    </row>
    <row r="540" spans="1:9" x14ac:dyDescent="0.2">
      <c r="I540" s="2"/>
    </row>
    <row r="541" spans="1:9" x14ac:dyDescent="0.2">
      <c r="I541" s="2"/>
    </row>
    <row r="542" spans="1:9" x14ac:dyDescent="0.2">
      <c r="I542" s="2"/>
    </row>
    <row r="543" spans="1:9" x14ac:dyDescent="0.2">
      <c r="I543" s="2"/>
    </row>
    <row r="544" spans="1:9" x14ac:dyDescent="0.2">
      <c r="I544" s="2"/>
    </row>
    <row r="545" spans="9:9" x14ac:dyDescent="0.2">
      <c r="I545" s="2"/>
    </row>
    <row r="546" spans="9:9" x14ac:dyDescent="0.2">
      <c r="I546" s="2"/>
    </row>
    <row r="547" spans="9:9" x14ac:dyDescent="0.2">
      <c r="I547" s="2"/>
    </row>
    <row r="548" spans="9:9" x14ac:dyDescent="0.2">
      <c r="I548" s="2"/>
    </row>
    <row r="549" spans="9:9" x14ac:dyDescent="0.2">
      <c r="I549" s="2"/>
    </row>
    <row r="550" spans="9:9" x14ac:dyDescent="0.2">
      <c r="I550" s="2"/>
    </row>
    <row r="551" spans="9:9" x14ac:dyDescent="0.2">
      <c r="I551" s="2"/>
    </row>
    <row r="552" spans="9:9" x14ac:dyDescent="0.2">
      <c r="I552" s="2"/>
    </row>
    <row r="553" spans="9:9" x14ac:dyDescent="0.2">
      <c r="I553" s="2"/>
    </row>
    <row r="554" spans="9:9" x14ac:dyDescent="0.2">
      <c r="I554" s="2"/>
    </row>
    <row r="555" spans="9:9" x14ac:dyDescent="0.2">
      <c r="I555" s="2"/>
    </row>
    <row r="556" spans="9:9" x14ac:dyDescent="0.2">
      <c r="I556" s="2"/>
    </row>
    <row r="557" spans="9:9" x14ac:dyDescent="0.2">
      <c r="I557" s="2"/>
    </row>
    <row r="558" spans="9:9" x14ac:dyDescent="0.2">
      <c r="I558" s="2"/>
    </row>
    <row r="559" spans="9:9" x14ac:dyDescent="0.2">
      <c r="I559" s="2"/>
    </row>
    <row r="560" spans="9:9" x14ac:dyDescent="0.2">
      <c r="I560" s="2"/>
    </row>
    <row r="561" spans="1:9" x14ac:dyDescent="0.2">
      <c r="I561" s="2"/>
    </row>
    <row r="562" spans="1:9" x14ac:dyDescent="0.2">
      <c r="I562" s="2"/>
    </row>
    <row r="563" spans="1:9" x14ac:dyDescent="0.2">
      <c r="I563" s="2"/>
    </row>
    <row r="564" spans="1:9" x14ac:dyDescent="0.2">
      <c r="I564" s="2"/>
    </row>
    <row r="565" spans="1:9" x14ac:dyDescent="0.2">
      <c r="I565" s="2"/>
    </row>
    <row r="566" spans="1:9" x14ac:dyDescent="0.2">
      <c r="I566" s="2"/>
    </row>
    <row r="567" spans="1:9" x14ac:dyDescent="0.2">
      <c r="I567" s="2"/>
    </row>
    <row r="568" spans="1:9" x14ac:dyDescent="0.2">
      <c r="I568" s="2"/>
    </row>
    <row r="569" spans="1:9" x14ac:dyDescent="0.2">
      <c r="I569" s="2"/>
    </row>
    <row r="570" spans="1:9" x14ac:dyDescent="0.2">
      <c r="A570" s="42"/>
      <c r="B570" s="42"/>
      <c r="C570" s="42"/>
      <c r="D570" s="42"/>
      <c r="E570" s="43"/>
      <c r="F570" s="42"/>
      <c r="G570" s="42"/>
      <c r="H570" s="42"/>
      <c r="I570" s="42"/>
    </row>
    <row r="571" spans="1:9" x14ac:dyDescent="0.2">
      <c r="E571" s="46"/>
      <c r="I571" s="2"/>
    </row>
    <row r="572" spans="1:9" x14ac:dyDescent="0.2">
      <c r="I572" s="2"/>
    </row>
    <row r="573" spans="1:9" x14ac:dyDescent="0.2">
      <c r="I573" s="2"/>
    </row>
    <row r="574" spans="1:9" x14ac:dyDescent="0.2">
      <c r="I574" s="2"/>
    </row>
    <row r="575" spans="1:9" x14ac:dyDescent="0.2">
      <c r="I575" s="2"/>
    </row>
    <row r="576" spans="1:9" x14ac:dyDescent="0.2">
      <c r="I576" s="2"/>
    </row>
    <row r="577" spans="9:9" x14ac:dyDescent="0.2">
      <c r="I577" s="2"/>
    </row>
    <row r="578" spans="9:9" x14ac:dyDescent="0.2">
      <c r="I578" s="2"/>
    </row>
    <row r="579" spans="9:9" x14ac:dyDescent="0.2">
      <c r="I579" s="2"/>
    </row>
    <row r="580" spans="9:9" x14ac:dyDescent="0.2">
      <c r="I580" s="2"/>
    </row>
    <row r="581" spans="9:9" x14ac:dyDescent="0.2">
      <c r="I581" s="2"/>
    </row>
    <row r="582" spans="9:9" x14ac:dyDescent="0.2">
      <c r="I582" s="2"/>
    </row>
    <row r="583" spans="9:9" x14ac:dyDescent="0.2">
      <c r="I583" s="2"/>
    </row>
    <row r="584" spans="9:9" x14ac:dyDescent="0.2">
      <c r="I584" s="2"/>
    </row>
    <row r="585" spans="9:9" x14ac:dyDescent="0.2">
      <c r="I585" s="2"/>
    </row>
    <row r="586" spans="9:9" x14ac:dyDescent="0.2">
      <c r="I586" s="2"/>
    </row>
    <row r="587" spans="9:9" x14ac:dyDescent="0.2">
      <c r="I587" s="2"/>
    </row>
    <row r="588" spans="9:9" x14ac:dyDescent="0.2">
      <c r="I588" s="2"/>
    </row>
    <row r="589" spans="9:9" x14ac:dyDescent="0.2">
      <c r="I589" s="2"/>
    </row>
    <row r="590" spans="9:9" x14ac:dyDescent="0.2">
      <c r="I590" s="2"/>
    </row>
    <row r="591" spans="9:9" x14ac:dyDescent="0.2">
      <c r="I591" s="2"/>
    </row>
    <row r="592" spans="9:9" x14ac:dyDescent="0.2">
      <c r="I592" s="2"/>
    </row>
    <row r="593" spans="1:9" x14ac:dyDescent="0.2">
      <c r="I593" s="2"/>
    </row>
    <row r="594" spans="1:9" x14ac:dyDescent="0.2">
      <c r="I594" s="2"/>
    </row>
    <row r="595" spans="1:9" x14ac:dyDescent="0.2">
      <c r="I595" s="2"/>
    </row>
    <row r="596" spans="1:9" x14ac:dyDescent="0.2">
      <c r="I596" s="2"/>
    </row>
    <row r="597" spans="1:9" x14ac:dyDescent="0.2">
      <c r="I597" s="2"/>
    </row>
    <row r="598" spans="1:9" x14ac:dyDescent="0.2">
      <c r="I598" s="2"/>
    </row>
    <row r="599" spans="1:9" x14ac:dyDescent="0.2">
      <c r="I599" s="2"/>
    </row>
    <row r="600" spans="1:9" x14ac:dyDescent="0.2">
      <c r="I600" s="2"/>
    </row>
    <row r="601" spans="1:9" x14ac:dyDescent="0.2">
      <c r="I601" s="2"/>
    </row>
    <row r="602" spans="1:9" x14ac:dyDescent="0.2">
      <c r="I602" s="2"/>
    </row>
    <row r="603" spans="1:9" x14ac:dyDescent="0.2">
      <c r="A603" s="42"/>
      <c r="B603" s="42"/>
      <c r="C603" s="42"/>
      <c r="D603" s="42"/>
      <c r="E603" s="43"/>
      <c r="F603" s="42"/>
      <c r="G603" s="42"/>
      <c r="H603" s="42"/>
      <c r="I603" s="42"/>
    </row>
    <row r="604" spans="1:9" x14ac:dyDescent="0.2">
      <c r="E604" s="46"/>
      <c r="I604" s="2"/>
    </row>
    <row r="605" spans="1:9" x14ac:dyDescent="0.2">
      <c r="I605" s="2"/>
    </row>
    <row r="606" spans="1:9" x14ac:dyDescent="0.2">
      <c r="I606" s="2"/>
    </row>
    <row r="607" spans="1:9" x14ac:dyDescent="0.2">
      <c r="I607" s="2"/>
    </row>
    <row r="608" spans="1:9" x14ac:dyDescent="0.2">
      <c r="I608" s="2"/>
    </row>
    <row r="609" spans="9:9" x14ac:dyDescent="0.2">
      <c r="I609" s="2"/>
    </row>
    <row r="610" spans="9:9" x14ac:dyDescent="0.2">
      <c r="I610" s="2"/>
    </row>
    <row r="611" spans="9:9" x14ac:dyDescent="0.2">
      <c r="I611" s="2"/>
    </row>
    <row r="612" spans="9:9" x14ac:dyDescent="0.2">
      <c r="I612" s="2"/>
    </row>
    <row r="613" spans="9:9" x14ac:dyDescent="0.2">
      <c r="I613" s="2"/>
    </row>
    <row r="614" spans="9:9" x14ac:dyDescent="0.2">
      <c r="I614" s="2"/>
    </row>
    <row r="615" spans="9:9" x14ac:dyDescent="0.2">
      <c r="I615" s="2"/>
    </row>
    <row r="616" spans="9:9" x14ac:dyDescent="0.2">
      <c r="I616" s="2"/>
    </row>
    <row r="617" spans="9:9" x14ac:dyDescent="0.2">
      <c r="I617" s="2"/>
    </row>
    <row r="618" spans="9:9" x14ac:dyDescent="0.2">
      <c r="I618" s="2"/>
    </row>
    <row r="619" spans="9:9" x14ac:dyDescent="0.2">
      <c r="I619" s="2"/>
    </row>
    <row r="620" spans="9:9" x14ac:dyDescent="0.2">
      <c r="I620" s="2"/>
    </row>
    <row r="621" spans="9:9" x14ac:dyDescent="0.2">
      <c r="I621" s="2"/>
    </row>
    <row r="622" spans="9:9" x14ac:dyDescent="0.2">
      <c r="I622" s="2"/>
    </row>
    <row r="623" spans="9:9" x14ac:dyDescent="0.2">
      <c r="I623" s="2"/>
    </row>
    <row r="624" spans="9:9" x14ac:dyDescent="0.2">
      <c r="I624" s="2"/>
    </row>
    <row r="625" spans="1:9" x14ac:dyDescent="0.2">
      <c r="I625" s="2"/>
    </row>
    <row r="626" spans="1:9" x14ac:dyDescent="0.2">
      <c r="I626" s="2"/>
    </row>
    <row r="627" spans="1:9" x14ac:dyDescent="0.2">
      <c r="I627" s="2"/>
    </row>
    <row r="628" spans="1:9" x14ac:dyDescent="0.2">
      <c r="I628" s="2"/>
    </row>
    <row r="629" spans="1:9" x14ac:dyDescent="0.2">
      <c r="I629" s="2"/>
    </row>
    <row r="630" spans="1:9" x14ac:dyDescent="0.2">
      <c r="I630" s="2"/>
    </row>
    <row r="631" spans="1:9" x14ac:dyDescent="0.2">
      <c r="I631" s="2"/>
    </row>
    <row r="632" spans="1:9" x14ac:dyDescent="0.2">
      <c r="I632" s="2"/>
    </row>
    <row r="633" spans="1:9" x14ac:dyDescent="0.2">
      <c r="I633" s="2"/>
    </row>
    <row r="634" spans="1:9" x14ac:dyDescent="0.2">
      <c r="I634" s="2"/>
    </row>
    <row r="635" spans="1:9" x14ac:dyDescent="0.2">
      <c r="I635" s="2"/>
    </row>
    <row r="636" spans="1:9" x14ac:dyDescent="0.2">
      <c r="I636" s="2"/>
    </row>
    <row r="637" spans="1:9" x14ac:dyDescent="0.2">
      <c r="I637" s="2"/>
    </row>
    <row r="638" spans="1:9" x14ac:dyDescent="0.2">
      <c r="I638" s="2"/>
    </row>
    <row r="639" spans="1:9" x14ac:dyDescent="0.2">
      <c r="I639" s="2"/>
    </row>
    <row r="640" spans="1:9" x14ac:dyDescent="0.2">
      <c r="A640" s="61"/>
      <c r="I640" s="2"/>
    </row>
    <row r="641" spans="1:9" x14ac:dyDescent="0.2">
      <c r="A641" s="42"/>
      <c r="B641" s="42"/>
      <c r="C641" s="42"/>
      <c r="D641" s="42"/>
      <c r="E641" s="43"/>
      <c r="F641" s="42"/>
      <c r="G641" s="42"/>
      <c r="H641" s="42"/>
      <c r="I641" s="42"/>
    </row>
    <row r="642" spans="1:9" x14ac:dyDescent="0.2">
      <c r="E642" s="46"/>
      <c r="I642" s="2"/>
    </row>
    <row r="643" spans="1:9" x14ac:dyDescent="0.2">
      <c r="I643" s="2"/>
    </row>
    <row r="644" spans="1:9" x14ac:dyDescent="0.2">
      <c r="I644" s="2"/>
    </row>
    <row r="645" spans="1:9" x14ac:dyDescent="0.2">
      <c r="I645" s="2"/>
    </row>
    <row r="646" spans="1:9" x14ac:dyDescent="0.2">
      <c r="I646" s="2"/>
    </row>
    <row r="647" spans="1:9" x14ac:dyDescent="0.2">
      <c r="I647" s="2"/>
    </row>
    <row r="648" spans="1:9" x14ac:dyDescent="0.2">
      <c r="I648" s="2"/>
    </row>
    <row r="649" spans="1:9" x14ac:dyDescent="0.2">
      <c r="I649" s="2"/>
    </row>
    <row r="650" spans="1:9" x14ac:dyDescent="0.2">
      <c r="I650" s="2"/>
    </row>
    <row r="651" spans="1:9" x14ac:dyDescent="0.2">
      <c r="I651" s="2"/>
    </row>
    <row r="652" spans="1:9" x14ac:dyDescent="0.2">
      <c r="I652" s="2"/>
    </row>
    <row r="653" spans="1:9" x14ac:dyDescent="0.2">
      <c r="I653" s="2"/>
    </row>
    <row r="654" spans="1:9" x14ac:dyDescent="0.2">
      <c r="I654" s="2"/>
    </row>
    <row r="655" spans="1:9" x14ac:dyDescent="0.2">
      <c r="I655" s="2"/>
    </row>
    <row r="656" spans="1:9" x14ac:dyDescent="0.2">
      <c r="I656" s="2"/>
    </row>
    <row r="657" spans="9:9" x14ac:dyDescent="0.2">
      <c r="I657" s="2"/>
    </row>
    <row r="658" spans="9:9" x14ac:dyDescent="0.2">
      <c r="I658" s="2"/>
    </row>
    <row r="659" spans="9:9" x14ac:dyDescent="0.2">
      <c r="I659" s="2"/>
    </row>
    <row r="660" spans="9:9" x14ac:dyDescent="0.2">
      <c r="I660" s="2"/>
    </row>
    <row r="661" spans="9:9" x14ac:dyDescent="0.2">
      <c r="I661" s="2"/>
    </row>
    <row r="662" spans="9:9" x14ac:dyDescent="0.2">
      <c r="I662" s="2"/>
    </row>
    <row r="663" spans="9:9" x14ac:dyDescent="0.2">
      <c r="I663" s="2"/>
    </row>
    <row r="664" spans="9:9" x14ac:dyDescent="0.2">
      <c r="I664" s="2"/>
    </row>
    <row r="665" spans="9:9" x14ac:dyDescent="0.2">
      <c r="I665" s="2"/>
    </row>
    <row r="666" spans="9:9" x14ac:dyDescent="0.2">
      <c r="I666" s="2"/>
    </row>
    <row r="667" spans="9:9" x14ac:dyDescent="0.2">
      <c r="I667" s="2"/>
    </row>
    <row r="668" spans="9:9" x14ac:dyDescent="0.2">
      <c r="I668" s="2"/>
    </row>
    <row r="669" spans="9:9" x14ac:dyDescent="0.2">
      <c r="I669" s="2"/>
    </row>
    <row r="670" spans="9:9" x14ac:dyDescent="0.2">
      <c r="I670" s="2"/>
    </row>
    <row r="671" spans="9:9" x14ac:dyDescent="0.2">
      <c r="I671" s="2"/>
    </row>
    <row r="672" spans="9:9" x14ac:dyDescent="0.2">
      <c r="I672" s="2"/>
    </row>
    <row r="673" spans="1:9" x14ac:dyDescent="0.2">
      <c r="I673" s="2"/>
    </row>
    <row r="674" spans="1:9" x14ac:dyDescent="0.2">
      <c r="I674" s="2"/>
    </row>
    <row r="675" spans="1:9" x14ac:dyDescent="0.2">
      <c r="A675" s="61"/>
      <c r="I675" s="2"/>
    </row>
    <row r="676" spans="1:9" x14ac:dyDescent="0.2">
      <c r="I676" s="2"/>
    </row>
  </sheetData>
  <dataConsolidate/>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V58"/>
  <sheetViews>
    <sheetView tabSelected="1" topLeftCell="B1" zoomScale="70" zoomScaleNormal="70" workbookViewId="0">
      <selection activeCell="B1" sqref="B1"/>
    </sheetView>
  </sheetViews>
  <sheetFormatPr defaultRowHeight="12.75" x14ac:dyDescent="0.2"/>
  <cols>
    <col min="1" max="1" width="9.140625" style="50" hidden="1" customWidth="1"/>
    <col min="2" max="2" width="23" customWidth="1"/>
    <col min="3" max="3" width="14.5703125" style="80" customWidth="1"/>
    <col min="4" max="4" width="6.7109375" customWidth="1"/>
    <col min="5" max="5" width="5.85546875" customWidth="1"/>
    <col min="6" max="6" width="8" customWidth="1"/>
    <col min="7" max="7" width="6.7109375" customWidth="1"/>
    <col min="8" max="8" width="7.7109375" customWidth="1"/>
    <col min="9" max="9" width="10" customWidth="1"/>
    <col min="10" max="10" width="9.140625" customWidth="1"/>
    <col min="11" max="11" width="11" customWidth="1"/>
    <col min="12" max="12" width="11.140625" customWidth="1"/>
    <col min="13" max="13" width="12.85546875" customWidth="1"/>
    <col min="14" max="15" width="12.5703125" customWidth="1"/>
    <col min="16" max="17" width="12.85546875" customWidth="1"/>
    <col min="18" max="18" width="12.28515625" customWidth="1"/>
    <col min="19" max="20" width="12.85546875" bestFit="1" customWidth="1"/>
    <col min="21" max="22" width="9.140625" customWidth="1"/>
    <col min="23" max="23" width="13.42578125" customWidth="1"/>
    <col min="24" max="24" width="13.28515625" customWidth="1"/>
    <col min="25" max="25" width="78.5703125" customWidth="1"/>
  </cols>
  <sheetData>
    <row r="2" spans="2:22" ht="32.25" customHeight="1" x14ac:dyDescent="0.2">
      <c r="B2" s="95" t="s">
        <v>1486</v>
      </c>
      <c r="C2" s="95"/>
      <c r="D2" s="95"/>
      <c r="E2" s="95"/>
      <c r="F2" s="95"/>
      <c r="G2" s="95"/>
      <c r="H2" s="95"/>
      <c r="I2" s="95"/>
      <c r="J2" s="95"/>
      <c r="K2" s="95"/>
      <c r="L2" s="95"/>
      <c r="M2" s="95"/>
      <c r="N2" s="95"/>
      <c r="O2" s="95"/>
      <c r="P2" s="95"/>
      <c r="Q2" s="95"/>
      <c r="R2" s="95"/>
      <c r="S2" s="95"/>
      <c r="T2" s="95"/>
      <c r="U2" s="95"/>
      <c r="V2" s="95"/>
    </row>
    <row r="4" spans="2:22" ht="12.75" customHeight="1" x14ac:dyDescent="0.2">
      <c r="B4" s="97" t="s">
        <v>201</v>
      </c>
      <c r="C4" s="98"/>
      <c r="E4" s="94" t="s">
        <v>1485</v>
      </c>
      <c r="F4" s="94"/>
      <c r="G4" s="94"/>
      <c r="H4" s="94"/>
      <c r="I4" s="94"/>
      <c r="J4" s="94"/>
      <c r="K4" s="94"/>
      <c r="L4" s="94"/>
      <c r="M4" s="94"/>
      <c r="N4" s="94"/>
      <c r="O4" s="94"/>
      <c r="P4" s="94"/>
      <c r="Q4" s="94"/>
      <c r="R4" s="94"/>
      <c r="S4" s="94"/>
      <c r="T4" s="94"/>
      <c r="U4" s="94"/>
      <c r="V4" s="94"/>
    </row>
    <row r="5" spans="2:22" ht="12.75" customHeight="1" x14ac:dyDescent="0.2">
      <c r="B5" s="77" t="s">
        <v>167</v>
      </c>
      <c r="C5" s="78" t="str">
        <f>'General Results'!B18</f>
        <v>Vessel1</v>
      </c>
      <c r="E5" s="94"/>
      <c r="F5" s="94"/>
      <c r="G5" s="94"/>
      <c r="H5" s="94"/>
      <c r="I5" s="94"/>
      <c r="J5" s="94"/>
      <c r="K5" s="94"/>
      <c r="L5" s="94"/>
      <c r="M5" s="94"/>
      <c r="N5" s="94"/>
      <c r="O5" s="94"/>
      <c r="P5" s="94"/>
      <c r="Q5" s="94"/>
      <c r="R5" s="94"/>
      <c r="S5" s="94"/>
      <c r="T5" s="94"/>
      <c r="U5" s="94"/>
      <c r="V5" s="94"/>
    </row>
    <row r="6" spans="2:22" ht="12.75" customHeight="1" x14ac:dyDescent="0.2">
      <c r="B6" s="77" t="s">
        <v>1321</v>
      </c>
      <c r="C6" s="78" t="str">
        <f>'General Results'!B19</f>
        <v>8" x 14mm Type</v>
      </c>
      <c r="E6" s="94"/>
      <c r="F6" s="94"/>
      <c r="G6" s="94"/>
      <c r="H6" s="94"/>
      <c r="I6" s="94"/>
      <c r="J6" s="94"/>
      <c r="K6" s="94"/>
      <c r="L6" s="94"/>
      <c r="M6" s="94"/>
      <c r="N6" s="94"/>
      <c r="O6" s="94"/>
      <c r="P6" s="94"/>
      <c r="Q6" s="94"/>
      <c r="R6" s="94"/>
      <c r="S6" s="94"/>
      <c r="T6" s="94"/>
      <c r="U6" s="94"/>
      <c r="V6" s="94"/>
    </row>
    <row r="7" spans="2:22" ht="12.75" customHeight="1" x14ac:dyDescent="0.2">
      <c r="B7" s="77" t="s">
        <v>192</v>
      </c>
      <c r="C7" s="78">
        <f>'General Results'!B20-90</f>
        <v>50</v>
      </c>
      <c r="E7" s="94"/>
      <c r="F7" s="94"/>
      <c r="G7" s="94"/>
      <c r="H7" s="94"/>
      <c r="I7" s="94"/>
      <c r="J7" s="94"/>
      <c r="K7" s="94"/>
      <c r="L7" s="94"/>
      <c r="M7" s="94"/>
      <c r="N7" s="94"/>
      <c r="O7" s="94"/>
      <c r="P7" s="94"/>
      <c r="Q7" s="94"/>
      <c r="R7" s="94"/>
      <c r="S7" s="94"/>
      <c r="T7" s="94"/>
      <c r="U7" s="94"/>
      <c r="V7" s="94"/>
    </row>
    <row r="8" spans="2:22" ht="12.75" customHeight="1" x14ac:dyDescent="0.2">
      <c r="B8" s="77" t="s">
        <v>213</v>
      </c>
      <c r="C8" s="78">
        <f>'General Results'!B21</f>
        <v>120</v>
      </c>
      <c r="E8" s="94"/>
      <c r="F8" s="94"/>
      <c r="G8" s="94"/>
      <c r="H8" s="94"/>
      <c r="I8" s="94"/>
      <c r="J8" s="94"/>
      <c r="K8" s="94"/>
      <c r="L8" s="94"/>
      <c r="M8" s="94"/>
      <c r="N8" s="94"/>
      <c r="O8" s="94"/>
      <c r="P8" s="94"/>
      <c r="Q8" s="94"/>
      <c r="R8" s="94"/>
      <c r="S8" s="94"/>
      <c r="T8" s="94"/>
      <c r="U8" s="94"/>
      <c r="V8" s="94"/>
    </row>
    <row r="9" spans="2:22" ht="12.75" customHeight="1" x14ac:dyDescent="0.2">
      <c r="B9" s="77" t="s">
        <v>193</v>
      </c>
      <c r="C9" s="78">
        <f>'General Results'!B22</f>
        <v>0</v>
      </c>
      <c r="E9" s="94"/>
      <c r="F9" s="94"/>
      <c r="G9" s="94"/>
      <c r="H9" s="94"/>
      <c r="I9" s="94"/>
      <c r="J9" s="94"/>
      <c r="K9" s="94"/>
      <c r="L9" s="94"/>
      <c r="M9" s="94"/>
      <c r="N9" s="94"/>
      <c r="O9" s="94"/>
      <c r="P9" s="94"/>
      <c r="Q9" s="94"/>
      <c r="R9" s="94"/>
      <c r="S9" s="94"/>
      <c r="T9" s="94"/>
      <c r="U9" s="94"/>
      <c r="V9" s="94"/>
    </row>
    <row r="10" spans="2:22" ht="12.75" customHeight="1" x14ac:dyDescent="0.2">
      <c r="B10" s="77" t="s">
        <v>194</v>
      </c>
      <c r="C10" s="78">
        <f>'General Results'!B23*'General Results'!B24</f>
        <v>0</v>
      </c>
      <c r="E10" s="94"/>
      <c r="F10" s="94"/>
      <c r="G10" s="94"/>
      <c r="H10" s="94"/>
      <c r="I10" s="94"/>
      <c r="J10" s="94"/>
      <c r="K10" s="94"/>
      <c r="L10" s="94"/>
      <c r="M10" s="94"/>
      <c r="N10" s="94"/>
      <c r="O10" s="94"/>
      <c r="P10" s="94"/>
      <c r="Q10" s="94"/>
      <c r="R10" s="94"/>
      <c r="S10" s="94"/>
      <c r="T10" s="94"/>
      <c r="U10" s="94"/>
      <c r="V10" s="94"/>
    </row>
    <row r="11" spans="2:22" ht="12.75" customHeight="1" x14ac:dyDescent="0.2">
      <c r="B11" s="77" t="s">
        <v>195</v>
      </c>
      <c r="C11" s="78">
        <f>'General Results'!B23*'General Results'!B25</f>
        <v>0</v>
      </c>
      <c r="E11" s="94"/>
      <c r="F11" s="94"/>
      <c r="G11" s="94"/>
      <c r="H11" s="94"/>
      <c r="I11" s="94"/>
      <c r="J11" s="94"/>
      <c r="K11" s="94"/>
      <c r="L11" s="94"/>
      <c r="M11" s="94"/>
      <c r="N11" s="94"/>
      <c r="O11" s="94"/>
      <c r="P11" s="94"/>
      <c r="Q11" s="94"/>
      <c r="R11" s="94"/>
      <c r="S11" s="94"/>
      <c r="T11" s="94"/>
      <c r="U11" s="94"/>
      <c r="V11" s="94"/>
    </row>
    <row r="12" spans="2:22" ht="12.75" customHeight="1" x14ac:dyDescent="0.2">
      <c r="B12" s="77" t="s">
        <v>214</v>
      </c>
      <c r="C12" s="78">
        <f>'General Results'!B26</f>
        <v>180</v>
      </c>
      <c r="E12" s="94"/>
      <c r="F12" s="94"/>
      <c r="G12" s="94"/>
      <c r="H12" s="94"/>
      <c r="I12" s="94"/>
      <c r="J12" s="94"/>
      <c r="K12" s="94"/>
      <c r="L12" s="94"/>
      <c r="M12" s="94"/>
      <c r="N12" s="94"/>
      <c r="O12" s="94"/>
      <c r="P12" s="94"/>
      <c r="Q12" s="94"/>
      <c r="R12" s="94"/>
      <c r="S12" s="94"/>
      <c r="T12" s="94"/>
      <c r="U12" s="94"/>
      <c r="V12" s="94"/>
    </row>
    <row r="13" spans="2:22" ht="12.75" customHeight="1" x14ac:dyDescent="0.2">
      <c r="B13" s="77" t="s">
        <v>1322</v>
      </c>
      <c r="C13" s="86" t="s">
        <v>1323</v>
      </c>
      <c r="E13" s="94"/>
      <c r="F13" s="94"/>
      <c r="G13" s="94"/>
      <c r="H13" s="94"/>
      <c r="I13" s="94"/>
      <c r="J13" s="94"/>
      <c r="K13" s="94"/>
      <c r="L13" s="94"/>
      <c r="M13" s="94"/>
      <c r="N13" s="94"/>
      <c r="O13" s="94"/>
      <c r="P13" s="94"/>
      <c r="Q13" s="94"/>
      <c r="R13" s="94"/>
      <c r="S13" s="94"/>
      <c r="T13" s="94"/>
      <c r="U13" s="94"/>
      <c r="V13" s="94"/>
    </row>
    <row r="14" spans="2:22" ht="12.75" customHeight="1" x14ac:dyDescent="0.2">
      <c r="C14" s="79"/>
      <c r="E14" s="94"/>
      <c r="F14" s="94"/>
      <c r="G14" s="94"/>
      <c r="H14" s="94"/>
      <c r="I14" s="94"/>
      <c r="J14" s="94"/>
      <c r="K14" s="94"/>
      <c r="L14" s="94"/>
      <c r="M14" s="94"/>
      <c r="N14" s="94"/>
      <c r="O14" s="94"/>
      <c r="P14" s="94"/>
      <c r="Q14" s="94"/>
      <c r="R14" s="94"/>
      <c r="S14" s="94"/>
      <c r="T14" s="94"/>
      <c r="U14" s="94"/>
      <c r="V14" s="94"/>
    </row>
    <row r="15" spans="2:22" ht="12.75" customHeight="1" x14ac:dyDescent="0.2">
      <c r="B15" s="97" t="s">
        <v>202</v>
      </c>
      <c r="C15" s="98"/>
      <c r="E15" s="94"/>
      <c r="F15" s="94"/>
      <c r="G15" s="94"/>
      <c r="H15" s="94"/>
      <c r="I15" s="94"/>
      <c r="J15" s="94"/>
      <c r="K15" s="94"/>
      <c r="L15" s="94"/>
      <c r="M15" s="94"/>
      <c r="N15" s="94"/>
      <c r="O15" s="94"/>
      <c r="P15" s="94"/>
      <c r="Q15" s="94"/>
      <c r="R15" s="94"/>
      <c r="S15" s="94"/>
      <c r="T15" s="94"/>
      <c r="U15" s="94"/>
      <c r="V15" s="94"/>
    </row>
    <row r="16" spans="2:22" ht="12.75" customHeight="1" x14ac:dyDescent="0.2">
      <c r="B16" s="76" t="s">
        <v>1327</v>
      </c>
      <c r="C16" s="85">
        <v>250</v>
      </c>
      <c r="E16" s="94"/>
      <c r="F16" s="94"/>
      <c r="G16" s="94"/>
      <c r="H16" s="94"/>
      <c r="I16" s="94"/>
      <c r="J16" s="94"/>
      <c r="K16" s="94"/>
      <c r="L16" s="94"/>
      <c r="M16" s="94"/>
      <c r="N16" s="94"/>
      <c r="O16" s="94"/>
      <c r="P16" s="94"/>
      <c r="Q16" s="94"/>
      <c r="R16" s="94"/>
      <c r="S16" s="94"/>
      <c r="T16" s="94"/>
      <c r="U16" s="94"/>
      <c r="V16" s="94"/>
    </row>
    <row r="17" spans="1:22" ht="12.75" customHeight="1" x14ac:dyDescent="0.2">
      <c r="B17" s="76" t="s">
        <v>1326</v>
      </c>
      <c r="C17" s="85">
        <v>0</v>
      </c>
      <c r="E17" s="94"/>
      <c r="F17" s="94"/>
      <c r="G17" s="94"/>
      <c r="H17" s="94"/>
      <c r="I17" s="94"/>
      <c r="J17" s="94"/>
      <c r="K17" s="94"/>
      <c r="L17" s="94"/>
      <c r="M17" s="94"/>
      <c r="N17" s="94"/>
      <c r="O17" s="94"/>
      <c r="P17" s="94"/>
      <c r="Q17" s="94"/>
      <c r="R17" s="94"/>
      <c r="S17" s="94"/>
      <c r="T17" s="94"/>
      <c r="U17" s="94"/>
      <c r="V17" s="94"/>
    </row>
    <row r="18" spans="1:22" ht="12.75" customHeight="1" x14ac:dyDescent="0.2">
      <c r="B18" s="76" t="s">
        <v>1409</v>
      </c>
      <c r="C18" s="85">
        <v>500</v>
      </c>
      <c r="E18" s="94"/>
      <c r="F18" s="94"/>
      <c r="G18" s="94"/>
      <c r="H18" s="94"/>
      <c r="I18" s="94"/>
      <c r="J18" s="94"/>
      <c r="K18" s="94"/>
      <c r="L18" s="94"/>
      <c r="M18" s="94"/>
      <c r="N18" s="94"/>
      <c r="O18" s="94"/>
      <c r="P18" s="94"/>
      <c r="Q18" s="94"/>
      <c r="R18" s="94"/>
      <c r="S18" s="94"/>
      <c r="T18" s="94"/>
      <c r="U18" s="94"/>
      <c r="V18" s="94"/>
    </row>
    <row r="19" spans="1:22" ht="25.5" x14ac:dyDescent="0.2">
      <c r="B19" s="76" t="s">
        <v>1328</v>
      </c>
      <c r="C19" s="88">
        <f>'General Results'!B27*0.72/1000</f>
        <v>257.76</v>
      </c>
      <c r="E19" s="94"/>
      <c r="F19" s="94"/>
      <c r="G19" s="94"/>
      <c r="H19" s="94"/>
      <c r="I19" s="94"/>
      <c r="J19" s="94"/>
      <c r="K19" s="94"/>
      <c r="L19" s="94"/>
      <c r="M19" s="94"/>
      <c r="N19" s="94"/>
      <c r="O19" s="94"/>
      <c r="P19" s="94"/>
      <c r="Q19" s="94"/>
      <c r="R19" s="94"/>
      <c r="S19" s="94"/>
      <c r="T19" s="94"/>
      <c r="U19" s="94"/>
      <c r="V19" s="94"/>
    </row>
    <row r="20" spans="1:22" ht="25.5" customHeight="1" x14ac:dyDescent="0.2">
      <c r="B20" s="76" t="s">
        <v>1329</v>
      </c>
      <c r="C20" s="88">
        <f>'General Results'!B27*0.96/1000</f>
        <v>343.68</v>
      </c>
      <c r="E20" s="94"/>
      <c r="F20" s="94"/>
      <c r="G20" s="94"/>
      <c r="H20" s="94"/>
      <c r="I20" s="94"/>
      <c r="J20" s="94"/>
      <c r="K20" s="94"/>
      <c r="L20" s="94"/>
      <c r="M20" s="94"/>
      <c r="N20" s="94"/>
      <c r="O20" s="94"/>
      <c r="P20" s="94"/>
      <c r="Q20" s="94"/>
      <c r="R20" s="94"/>
      <c r="S20" s="94"/>
      <c r="T20" s="94"/>
      <c r="U20" s="94"/>
      <c r="V20" s="94"/>
    </row>
    <row r="21" spans="1:22" ht="12.75" customHeight="1" x14ac:dyDescent="0.2">
      <c r="J21" s="39"/>
      <c r="L21" s="39"/>
      <c r="R21" s="66"/>
    </row>
    <row r="22" spans="1:22" x14ac:dyDescent="0.2">
      <c r="J22" s="75"/>
      <c r="K22" s="75"/>
      <c r="R22" s="39"/>
      <c r="T22" s="39"/>
    </row>
    <row r="23" spans="1:22" s="48" customFormat="1" ht="30.75" customHeight="1" x14ac:dyDescent="0.2">
      <c r="A23" s="51"/>
      <c r="B23" s="89" t="s">
        <v>215</v>
      </c>
      <c r="C23" s="89" t="s">
        <v>219</v>
      </c>
      <c r="D23" s="89" t="s">
        <v>111</v>
      </c>
      <c r="E23" s="89"/>
      <c r="F23" s="89"/>
      <c r="G23" s="89"/>
      <c r="H23" s="89"/>
      <c r="I23" s="89" t="s">
        <v>122</v>
      </c>
      <c r="J23" s="89" t="s">
        <v>203</v>
      </c>
      <c r="K23" s="89"/>
      <c r="L23" s="92" t="s">
        <v>1369</v>
      </c>
      <c r="M23" s="89" t="s">
        <v>154</v>
      </c>
      <c r="N23" s="89" t="s">
        <v>155</v>
      </c>
      <c r="O23" s="89" t="s">
        <v>1310</v>
      </c>
      <c r="P23" s="92" t="s">
        <v>1309</v>
      </c>
      <c r="Q23" s="90" t="s">
        <v>206</v>
      </c>
      <c r="R23" s="91"/>
      <c r="S23" s="89" t="s">
        <v>207</v>
      </c>
      <c r="T23" s="92" t="s">
        <v>1311</v>
      </c>
      <c r="U23" s="92" t="s">
        <v>1324</v>
      </c>
      <c r="V23" s="92" t="s">
        <v>1325</v>
      </c>
    </row>
    <row r="24" spans="1:22" s="49" customFormat="1" x14ac:dyDescent="0.2">
      <c r="A24" s="52"/>
      <c r="B24" s="89"/>
      <c r="C24" s="89"/>
      <c r="D24" s="55">
        <v>1</v>
      </c>
      <c r="E24" s="55">
        <v>2</v>
      </c>
      <c r="F24" s="55">
        <v>3</v>
      </c>
      <c r="G24" s="55">
        <v>4</v>
      </c>
      <c r="H24" s="55">
        <v>5</v>
      </c>
      <c r="I24" s="89"/>
      <c r="J24" s="55" t="s">
        <v>204</v>
      </c>
      <c r="K24" s="55" t="s">
        <v>205</v>
      </c>
      <c r="L24" s="93"/>
      <c r="M24" s="89"/>
      <c r="N24" s="89"/>
      <c r="O24" s="89"/>
      <c r="P24" s="93"/>
      <c r="Q24" s="54" t="s">
        <v>216</v>
      </c>
      <c r="R24" s="54" t="s">
        <v>217</v>
      </c>
      <c r="S24" s="89"/>
      <c r="T24" s="93"/>
      <c r="U24" s="96"/>
      <c r="V24" s="96"/>
    </row>
    <row r="25" spans="1:22" s="47" customFormat="1" x14ac:dyDescent="0.2">
      <c r="A25" s="53"/>
      <c r="B25" s="89"/>
      <c r="C25" s="55" t="s">
        <v>208</v>
      </c>
      <c r="D25" s="55" t="s">
        <v>209</v>
      </c>
      <c r="E25" s="55" t="s">
        <v>209</v>
      </c>
      <c r="F25" s="55" t="s">
        <v>209</v>
      </c>
      <c r="G25" s="55" t="s">
        <v>209</v>
      </c>
      <c r="H25" s="55" t="s">
        <v>209</v>
      </c>
      <c r="I25" s="55" t="s">
        <v>208</v>
      </c>
      <c r="J25" s="55" t="s">
        <v>209</v>
      </c>
      <c r="K25" s="55" t="s">
        <v>209</v>
      </c>
      <c r="L25" s="55" t="s">
        <v>209</v>
      </c>
      <c r="M25" s="55" t="s">
        <v>210</v>
      </c>
      <c r="N25" s="55" t="s">
        <v>208</v>
      </c>
      <c r="O25" s="55" t="s">
        <v>208</v>
      </c>
      <c r="P25" s="55" t="s">
        <v>208</v>
      </c>
      <c r="Q25" s="55" t="s">
        <v>211</v>
      </c>
      <c r="R25" s="55" t="s">
        <v>211</v>
      </c>
      <c r="S25" s="55" t="s">
        <v>212</v>
      </c>
      <c r="T25" s="55" t="s">
        <v>208</v>
      </c>
      <c r="U25" s="93"/>
      <c r="V25" s="54" t="s">
        <v>209</v>
      </c>
    </row>
    <row r="26" spans="1:22" s="47" customFormat="1" x14ac:dyDescent="0.2">
      <c r="A26" s="53">
        <v>1</v>
      </c>
      <c r="B26" s="56" t="str">
        <f ca="1">OFFSET('General Results'!$A$1,0,1+($A26-1)*2)</f>
        <v>Case001.sim</v>
      </c>
      <c r="C26" s="57">
        <f ca="1">OFFSET('General Results'!$A$1,1,1+($A26-1)*2)</f>
        <v>-363</v>
      </c>
      <c r="D26" s="58">
        <f ca="1">OFFSET('General Results'!$A$1,2,1+($A26-1)*2)</f>
        <v>0</v>
      </c>
      <c r="E26" s="58">
        <f ca="1">OFFSET('General Results'!$A$1,3,1+($A26-1)*2)</f>
        <v>0</v>
      </c>
      <c r="F26" s="58">
        <f ca="1">OFFSET('General Results'!$A$1,4,1+($A26-1)*2)</f>
        <v>0</v>
      </c>
      <c r="G26" s="58">
        <f ca="1">OFFSET('General Results'!$A$1,5,1+($A26-1)*2)</f>
        <v>0</v>
      </c>
      <c r="H26" s="58">
        <f ca="1">OFFSET('General Results'!$A$1,6,1+($A26-1)*2)</f>
        <v>41.55687230942118</v>
      </c>
      <c r="I26" s="58">
        <f ca="1">OFFSET('General Results'!$A$1,7,1+($A26-1)*2)</f>
        <v>0.51063645039152472</v>
      </c>
      <c r="J26" s="58">
        <f ca="1">OFFSET('General Results'!$A$1,8,1+($A26-1)*2)</f>
        <v>154.03786673492948</v>
      </c>
      <c r="K26" s="58">
        <f ca="1">OFFSET('General Results'!$A$1,9,1+($A26-1)*2)</f>
        <v>62.742975814900532</v>
      </c>
      <c r="L26" s="58">
        <f ca="1">OFFSET('General Results'!B$29,,(A26-1)*2)</f>
        <v>54.346948755378051</v>
      </c>
      <c r="M26" s="58">
        <f ca="1">OFFSET('General Results'!$A$1,10,1+($A26-1)*2)</f>
        <v>0.65884520126561186</v>
      </c>
      <c r="N26" s="87">
        <f ca="1">OFFSET('General Results'!$A$1,11,1+($A26-1)*2)</f>
        <v>234</v>
      </c>
      <c r="O26" s="59">
        <f ca="1">ABS(OFFSET('General Results'!$A$1,12,1+($A26-1)*2))-ABS(OFFSET('General Results'!$A$1,13,1+($A26-1)*2))</f>
        <v>173.47737707719034</v>
      </c>
      <c r="P26" s="59">
        <f ca="1">N26-O26</f>
        <v>60.52262292280966</v>
      </c>
      <c r="Q26" s="81">
        <f t="array" aca="1" ref="Q26" ca="1">IF(SUM($D26:$H26)&gt;0,(MAX(IF((OFFSET('Range Graph Results'!C$4:C$385,,($A26-1)*6)&gt;=0),OFFSET('Range Graph Results'!E$4:E$385,,($A26-1)*6))))/1000,"N/A")</f>
        <v>360.66199454526895</v>
      </c>
      <c r="R26" s="81">
        <f t="array" aca="1" ref="R26" ca="1">(MAX(IF((OFFSET('Range Graph Results'!C$4:C$385,,($A26-1)*6)&lt;0),OFFSET('Range Graph Results'!E$4:E$385,,($A26-1)*6))))/1000</f>
        <v>182.90159119661988</v>
      </c>
      <c r="S26" s="59">
        <f ca="1">(OFFSET('General Results'!$A$1,14,1+($A26-1)*2))-90</f>
        <v>55.229369564689819</v>
      </c>
      <c r="T26" s="59">
        <f ca="1">OFFSET('General Results'!$A$1,15,1+($A26-1)*2)</f>
        <v>1.6506071396060378</v>
      </c>
      <c r="U26" s="74" t="str">
        <f ca="1">IF(OFFSET('General Results'!B$28,,($A26-1)*2)&lt;1,"PASS","FAIL")</f>
        <v>PASS</v>
      </c>
      <c r="V26" s="57">
        <f ca="1">ABS(OFFSET('General Results'!$A$1,16,1+($A26-1)*2))</f>
        <v>96.203827364984491</v>
      </c>
    </row>
    <row r="27" spans="1:22" s="47" customFormat="1" x14ac:dyDescent="0.2">
      <c r="A27" s="53">
        <v>2</v>
      </c>
      <c r="B27" s="56" t="str">
        <f ca="1">OFFSET('General Results'!$A$1,0,1+($A27-1)*2)</f>
        <v>Case002.sim</v>
      </c>
      <c r="C27" s="57">
        <f ca="1">OFFSET('General Results'!$A$1,1,1+($A27-1)*2)</f>
        <v>-364</v>
      </c>
      <c r="D27" s="58">
        <f ca="1">OFFSET('General Results'!$A$1,2,1+($A27-1)*2)</f>
        <v>0</v>
      </c>
      <c r="E27" s="58">
        <f ca="1">OFFSET('General Results'!$A$1,3,1+($A27-1)*2)</f>
        <v>0</v>
      </c>
      <c r="F27" s="58">
        <f ca="1">OFFSET('General Results'!$A$1,4,1+($A27-1)*2)</f>
        <v>0</v>
      </c>
      <c r="G27" s="58">
        <f ca="1">OFFSET('General Results'!$A$1,5,1+($A27-1)*2)</f>
        <v>0</v>
      </c>
      <c r="H27" s="58">
        <f ca="1">OFFSET('General Results'!$A$1,6,1+($A27-1)*2)</f>
        <v>39.702376303917816</v>
      </c>
      <c r="I27" s="58">
        <f ca="1">OFFSET('General Results'!$A$1,7,1+($A27-1)*2)</f>
        <v>0.4952378267741171</v>
      </c>
      <c r="J27" s="58">
        <f ca="1">OFFSET('General Results'!$A$1,8,1+($A27-1)*2)</f>
        <v>157.56665946504168</v>
      </c>
      <c r="K27" s="58">
        <f ca="1">OFFSET('General Results'!$A$1,9,1+($A27-1)*2)</f>
        <v>66.280059204144138</v>
      </c>
      <c r="L27" s="58">
        <f ca="1">OFFSET('General Results'!B$29,,(A27-1)*2)</f>
        <v>57.735303161897178</v>
      </c>
      <c r="M27" s="58">
        <f ca="1">OFFSET('General Results'!$A$1,10,1+($A27-1)*2)</f>
        <v>3.5263795154882862</v>
      </c>
      <c r="N27" s="87">
        <f ca="1">OFFSET('General Results'!$A$1,11,1+($A27-1)*2)</f>
        <v>238</v>
      </c>
      <c r="O27" s="59">
        <f ca="1">ABS(OFFSET('General Results'!$A$1,12,1+($A27-1)*2))-ABS(OFFSET('General Results'!$A$1,13,1+($A27-1)*2))</f>
        <v>178.47713429643278</v>
      </c>
      <c r="P27" s="59">
        <f t="shared" ref="P27:P43" ca="1" si="0">N27-O27</f>
        <v>59.52286570356722</v>
      </c>
      <c r="Q27" s="81">
        <f t="array" aca="1" ref="Q27" ca="1">IF(SUM($D27:$H27)&gt;0,(MAX(IF((OFFSET('Range Graph Results'!C$4:C$385,,($A27-1)*6)&gt;=0),OFFSET('Range Graph Results'!E$4:E$385,,($A27-1)*6))))/1000,"N/A")</f>
        <v>338.22432569859296</v>
      </c>
      <c r="R27" s="81">
        <f t="array" aca="1" ref="R27" ca="1">(MAX(IF((OFFSET('Range Graph Results'!C$4:C$385,,($A27-1)*6)&lt;0),OFFSET('Range Graph Results'!E$4:E$385,,($A27-1)*6))))/1000</f>
        <v>175.59929888073972</v>
      </c>
      <c r="S27" s="59">
        <f ca="1">(OFFSET('General Results'!$A$1,14,1+($A27-1)*2))-90</f>
        <v>54.80422729973904</v>
      </c>
      <c r="T27" s="59">
        <f ca="1">OFFSET('General Results'!$A$1,15,1+($A27-1)*2)</f>
        <v>1.6668381324138373</v>
      </c>
      <c r="U27" s="74" t="str">
        <f ca="1">IF(OFFSET('General Results'!B$28,,($A27-1)*2)&lt;1,"PASS","FAIL")</f>
        <v>PASS</v>
      </c>
      <c r="V27" s="57">
        <f ca="1">ABS(OFFSET('General Results'!$A$1,16,1+($A27-1)*2))</f>
        <v>98.115446610886636</v>
      </c>
    </row>
    <row r="28" spans="1:22" s="47" customFormat="1" x14ac:dyDescent="0.2">
      <c r="A28" s="53">
        <v>3</v>
      </c>
      <c r="B28" s="56" t="str">
        <f ca="1">OFFSET('General Results'!$A$1,0,1+($A28-1)*2)</f>
        <v>Case003.sim</v>
      </c>
      <c r="C28" s="57">
        <f ca="1">OFFSET('General Results'!$A$1,1,1+($A28-1)*2)</f>
        <v>-365</v>
      </c>
      <c r="D28" s="58">
        <f ca="1">OFFSET('General Results'!$A$1,2,1+($A28-1)*2)</f>
        <v>0</v>
      </c>
      <c r="E28" s="58">
        <f ca="1">OFFSET('General Results'!$A$1,3,1+($A28-1)*2)</f>
        <v>0</v>
      </c>
      <c r="F28" s="58">
        <f ca="1">OFFSET('General Results'!$A$1,4,1+($A28-1)*2)</f>
        <v>0</v>
      </c>
      <c r="G28" s="58">
        <f ca="1">OFFSET('General Results'!$A$1,5,1+($A28-1)*2)</f>
        <v>0</v>
      </c>
      <c r="H28" s="58">
        <f ca="1">OFFSET('General Results'!$A$1,6,1+($A28-1)*2)</f>
        <v>37.725757555125973</v>
      </c>
      <c r="I28" s="58">
        <f ca="1">OFFSET('General Results'!$A$1,7,1+($A28-1)*2)</f>
        <v>0.47954527015179288</v>
      </c>
      <c r="J28" s="58">
        <f ca="1">OFFSET('General Results'!$A$1,8,1+($A28-1)*2)</f>
        <v>161.31205917421022</v>
      </c>
      <c r="K28" s="58">
        <f ca="1">OFFSET('General Results'!$A$1,9,1+($A28-1)*2)</f>
        <v>70.028858619167437</v>
      </c>
      <c r="L28" s="58">
        <f ca="1">OFFSET('General Results'!B$29,,(A28-1)*2)</f>
        <v>61.400542320804938</v>
      </c>
      <c r="M28" s="58">
        <f ca="1">OFFSET('General Results'!$A$1,10,1+($A28-1)*2)</f>
        <v>6.4455689411650017</v>
      </c>
      <c r="N28" s="87">
        <f ca="1">OFFSET('General Results'!$A$1,11,1+($A28-1)*2)</f>
        <v>241</v>
      </c>
      <c r="O28" s="59">
        <f ca="1">ABS(OFFSET('General Results'!$A$1,12,1+($A28-1)*2))-ABS(OFFSET('General Results'!$A$1,13,1+($A28-1)*2))</f>
        <v>182.47694347637582</v>
      </c>
      <c r="P28" s="59">
        <f t="shared" ca="1" si="0"/>
        <v>58.523056523624177</v>
      </c>
      <c r="Q28" s="81">
        <f t="array" aca="1" ref="Q28" ca="1">IF(SUM($D28:$H28)&gt;0,(MAX(IF((OFFSET('Range Graph Results'!C$4:C$385,,($A28-1)*6)&gt;=0),OFFSET('Range Graph Results'!E$4:E$385,,($A28-1)*6))))/1000,"N/A")</f>
        <v>315.03318646928403</v>
      </c>
      <c r="R28" s="81">
        <f t="array" aca="1" ref="R28" ca="1">(MAX(IF((OFFSET('Range Graph Results'!C$4:C$385,,($A28-1)*6)&lt;0),OFFSET('Range Graph Results'!E$4:E$385,,($A28-1)*6))))/1000</f>
        <v>168.51093867909532</v>
      </c>
      <c r="S28" s="59">
        <f ca="1">(OFFSET('General Results'!$A$1,14,1+($A28-1)*2))-90</f>
        <v>54.367758157616407</v>
      </c>
      <c r="T28" s="59">
        <f ca="1">OFFSET('General Results'!$A$1,15,1+($A28-1)*2)</f>
        <v>1.6833344673633923</v>
      </c>
      <c r="U28" s="74" t="str">
        <f ca="1">IF(OFFSET('General Results'!B$28,,($A28-1)*2)&lt;1,"PASS","FAIL")</f>
        <v>PASS</v>
      </c>
      <c r="V28" s="57">
        <f ca="1">ABS(OFFSET('General Results'!$A$1,16,1+($A28-1)*2))</f>
        <v>100.15532742367951</v>
      </c>
    </row>
    <row r="29" spans="1:22" s="47" customFormat="1" x14ac:dyDescent="0.2">
      <c r="A29" s="53">
        <v>4</v>
      </c>
      <c r="B29" s="56" t="str">
        <f ca="1">OFFSET('General Results'!$A$1,0,1+($A29-1)*2)</f>
        <v>Case004.sim</v>
      </c>
      <c r="C29" s="57">
        <f ca="1">OFFSET('General Results'!$A$1,1,1+($A29-1)*2)</f>
        <v>-366</v>
      </c>
      <c r="D29" s="58">
        <f ca="1">OFFSET('General Results'!$A$1,2,1+($A29-1)*2)</f>
        <v>1.1306147596640281</v>
      </c>
      <c r="E29" s="58">
        <f ca="1">OFFSET('General Results'!$A$1,3,1+($A29-1)*2)</f>
        <v>0</v>
      </c>
      <c r="F29" s="58">
        <f ca="1">OFFSET('General Results'!$A$1,4,1+($A29-1)*2)</f>
        <v>0</v>
      </c>
      <c r="G29" s="58">
        <f ca="1">OFFSET('General Results'!$A$1,5,1+($A29-1)*2)</f>
        <v>0</v>
      </c>
      <c r="H29" s="58">
        <f ca="1">OFFSET('General Results'!$A$1,6,1+($A29-1)*2)</f>
        <v>35.511886238731584</v>
      </c>
      <c r="I29" s="58">
        <f ca="1">OFFSET('General Results'!$A$1,7,1+($A29-1)*2)</f>
        <v>0.46515911290601497</v>
      </c>
      <c r="J29" s="58">
        <f ca="1">OFFSET('General Results'!$A$1,8,1+($A29-1)*2)</f>
        <v>165.29867166040327</v>
      </c>
      <c r="K29" s="58">
        <f ca="1">OFFSET('General Results'!$A$1,9,1+($A29-1)*2)</f>
        <v>74.020095548539928</v>
      </c>
      <c r="L29" s="58">
        <f ca="1">OFFSET('General Results'!B$29,,(A29-1)*2)</f>
        <v>65.313411042862938</v>
      </c>
      <c r="M29" s="58">
        <f ca="1">OFFSET('General Results'!$A$1,10,1+($A29-1)*2)</f>
        <v>6.0817249185249844</v>
      </c>
      <c r="N29" s="87">
        <f ca="1">OFFSET('General Results'!$A$1,11,1+($A29-1)*2)</f>
        <v>245</v>
      </c>
      <c r="O29" s="59">
        <f ca="1">ABS(OFFSET('General Results'!$A$1,12,1+($A29-1)*2))-ABS(OFFSET('General Results'!$A$1,13,1+($A29-1)*2))</f>
        <v>187.47672076441796</v>
      </c>
      <c r="P29" s="59">
        <f t="shared" ca="1" si="0"/>
        <v>57.523279235582038</v>
      </c>
      <c r="Q29" s="81">
        <f t="array" aca="1" ref="Q29" ca="1">IF(SUM($D29:$H29)&gt;0,(MAX(IF((OFFSET('Range Graph Results'!C$4:C$385,,($A29-1)*6)&gt;=0),OFFSET('Range Graph Results'!E$4:E$385,,($A29-1)*6))))/1000,"N/A")</f>
        <v>290.31171390793571</v>
      </c>
      <c r="R29" s="81">
        <f t="array" aca="1" ref="R29" ca="1">(MAX(IF((OFFSET('Range Graph Results'!C$4:C$385,,($A29-1)*6)&lt;0),OFFSET('Range Graph Results'!E$4:E$385,,($A29-1)*6))))/1000</f>
        <v>161.64612540430656</v>
      </c>
      <c r="S29" s="59">
        <f ca="1">(OFFSET('General Results'!$A$1,14,1+($A29-1)*2))-90</f>
        <v>53.930385594167461</v>
      </c>
      <c r="T29" s="59">
        <f ca="1">OFFSET('General Results'!$A$1,15,1+($A29-1)*2)</f>
        <v>1.6968604884303109</v>
      </c>
      <c r="U29" s="74" t="str">
        <f ca="1">IF(OFFSET('General Results'!B$28,,($A29-1)*2)&lt;1,"PASS","FAIL")</f>
        <v>PASS</v>
      </c>
      <c r="V29" s="57">
        <f ca="1">ABS(OFFSET('General Results'!$A$1,16,1+($A29-1)*2))</f>
        <v>103.12643242554418</v>
      </c>
    </row>
    <row r="30" spans="1:22" s="47" customFormat="1" x14ac:dyDescent="0.2">
      <c r="A30" s="53">
        <v>5</v>
      </c>
      <c r="B30" s="56" t="str">
        <f ca="1">OFFSET('General Results'!$A$1,0,1+($A30-1)*2)</f>
        <v>Case005.sim</v>
      </c>
      <c r="C30" s="57">
        <f ca="1">OFFSET('General Results'!$A$1,1,1+($A30-1)*2)</f>
        <v>-367</v>
      </c>
      <c r="D30" s="58">
        <f ca="1">OFFSET('General Results'!$A$1,2,1+($A30-1)*2)</f>
        <v>2.5834275386615864</v>
      </c>
      <c r="E30" s="58">
        <f ca="1">OFFSET('General Results'!$A$1,3,1+($A30-1)*2)</f>
        <v>0</v>
      </c>
      <c r="F30" s="58">
        <f ca="1">OFFSET('General Results'!$A$1,4,1+($A30-1)*2)</f>
        <v>0</v>
      </c>
      <c r="G30" s="58">
        <f ca="1">OFFSET('General Results'!$A$1,5,1+($A30-1)*2)</f>
        <v>0</v>
      </c>
      <c r="H30" s="58">
        <f ca="1">OFFSET('General Results'!$A$1,6,1+($A30-1)*2)</f>
        <v>33.122942011502005</v>
      </c>
      <c r="I30" s="58">
        <f ca="1">OFFSET('General Results'!$A$1,7,1+($A30-1)*2)</f>
        <v>0.45089760568923076</v>
      </c>
      <c r="J30" s="58">
        <f ca="1">OFFSET('General Results'!$A$1,8,1+($A30-1)*2)</f>
        <v>169.54465909516335</v>
      </c>
      <c r="K30" s="58">
        <f ca="1">OFFSET('General Results'!$A$1,9,1+($A30-1)*2)</f>
        <v>78.267307002388179</v>
      </c>
      <c r="L30" s="58">
        <f ca="1">OFFSET('General Results'!B$29,,(A30-1)*2)</f>
        <v>69.521471037875699</v>
      </c>
      <c r="M30" s="58">
        <f ca="1">OFFSET('General Results'!$A$1,10,1+($A30-1)*2)</f>
        <v>4.8443952122485436</v>
      </c>
      <c r="N30" s="87">
        <f ca="1">OFFSET('General Results'!$A$1,11,1+($A30-1)*2)</f>
        <v>249</v>
      </c>
      <c r="O30" s="59">
        <f ca="1">ABS(OFFSET('General Results'!$A$1,12,1+($A30-1)*2))-ABS(OFFSET('General Results'!$A$1,13,1+($A30-1)*2))</f>
        <v>192.47650966554392</v>
      </c>
      <c r="P30" s="59">
        <f t="shared" ca="1" si="0"/>
        <v>56.523490334456085</v>
      </c>
      <c r="Q30" s="81">
        <f t="array" aca="1" ref="Q30" ca="1">IF(SUM($D30:$H30)&gt;0,(MAX(IF((OFFSET('Range Graph Results'!C$4:C$385,,($A30-1)*6)&gt;=0),OFFSET('Range Graph Results'!E$4:E$385,,($A30-1)*6))))/1000,"N/A")</f>
        <v>264.62194641076508</v>
      </c>
      <c r="R30" s="81">
        <f t="array" aca="1" ref="R30" ca="1">(MAX(IF((OFFSET('Range Graph Results'!C$4:C$385,,($A30-1)*6)&lt;0),OFFSET('Range Graph Results'!E$4:E$385,,($A30-1)*6))))/1000</f>
        <v>154.99957059165146</v>
      </c>
      <c r="S30" s="59">
        <f ca="1">(OFFSET('General Results'!$A$1,14,1+($A30-1)*2))-90</f>
        <v>53.483571663478727</v>
      </c>
      <c r="T30" s="59">
        <f ca="1">OFFSET('General Results'!$A$1,15,1+($A30-1)*2)</f>
        <v>1.7097837602751187</v>
      </c>
      <c r="U30" s="74" t="str">
        <f ca="1">IF(OFFSET('General Results'!B$28,,($A30-1)*2)&lt;1,"PASS","FAIL")</f>
        <v>PASS</v>
      </c>
      <c r="V30" s="57">
        <f ca="1">ABS(OFFSET('General Results'!$A$1,16,1+($A30-1)*2))</f>
        <v>106.47578657347923</v>
      </c>
    </row>
    <row r="31" spans="1:22" s="47" customFormat="1" x14ac:dyDescent="0.2">
      <c r="A31" s="53">
        <v>6</v>
      </c>
      <c r="B31" s="56" t="str">
        <f ca="1">OFFSET('General Results'!$A$1,0,1+($A31-1)*2)</f>
        <v>Case006.sim</v>
      </c>
      <c r="C31" s="57">
        <f ca="1">OFFSET('General Results'!$A$1,1,1+($A31-1)*2)</f>
        <v>-368</v>
      </c>
      <c r="D31" s="58">
        <f ca="1">OFFSET('General Results'!$A$1,2,1+($A31-1)*2)</f>
        <v>4.0710015935752075</v>
      </c>
      <c r="E31" s="58">
        <f ca="1">OFFSET('General Results'!$A$1,3,1+($A31-1)*2)</f>
        <v>0</v>
      </c>
      <c r="F31" s="58">
        <f ca="1">OFFSET('General Results'!$A$1,4,1+($A31-1)*2)</f>
        <v>0</v>
      </c>
      <c r="G31" s="58">
        <f ca="1">OFFSET('General Results'!$A$1,5,1+($A31-1)*2)</f>
        <v>0</v>
      </c>
      <c r="H31" s="58">
        <f ca="1">OFFSET('General Results'!$A$1,6,1+($A31-1)*2)</f>
        <v>30.571047596444355</v>
      </c>
      <c r="I31" s="58">
        <f ca="1">OFFSET('General Results'!$A$1,7,1+($A31-1)*2)</f>
        <v>0.43634558843155957</v>
      </c>
      <c r="J31" s="58">
        <f ca="1">OFFSET('General Results'!$A$1,8,1+($A31-1)*2)</f>
        <v>174.06650413150982</v>
      </c>
      <c r="K31" s="58">
        <f ca="1">OFFSET('General Results'!$A$1,9,1+($A31-1)*2)</f>
        <v>82.789786780204679</v>
      </c>
      <c r="L31" s="58">
        <f ca="1">OFFSET('General Results'!B$29,,(A31-1)*2)</f>
        <v>74.044458570631917</v>
      </c>
      <c r="M31" s="58">
        <f ca="1">OFFSET('General Results'!$A$1,10,1+($A31-1)*2)</f>
        <v>3.5872445514940638</v>
      </c>
      <c r="N31" s="87">
        <f ca="1">OFFSET('General Results'!$A$1,11,1+($A31-1)*2)</f>
        <v>253</v>
      </c>
      <c r="O31" s="59">
        <f ca="1">ABS(OFFSET('General Results'!$A$1,12,1+($A31-1)*2))-ABS(OFFSET('General Results'!$A$1,13,1+($A31-1)*2))</f>
        <v>197.47630679199574</v>
      </c>
      <c r="P31" s="59">
        <f t="shared" ca="1" si="0"/>
        <v>55.523693208004261</v>
      </c>
      <c r="Q31" s="81">
        <f t="array" aca="1" ref="Q31" ca="1">IF(SUM($D31:$H31)&gt;0,(MAX(IF((OFFSET('Range Graph Results'!C$4:C$385,,($A31-1)*6)&gt;=0),OFFSET('Range Graph Results'!E$4:E$385,,($A31-1)*6))))/1000,"N/A")</f>
        <v>238.01145768484389</v>
      </c>
      <c r="R31" s="81">
        <f t="array" aca="1" ref="R31" ca="1">(MAX(IF((OFFSET('Range Graph Results'!C$4:C$385,,($A31-1)*6)&lt;0),OFFSET('Range Graph Results'!E$4:E$385,,($A31-1)*6))))/1000</f>
        <v>148.59053848199454</v>
      </c>
      <c r="S31" s="59">
        <f ca="1">(OFFSET('General Results'!$A$1,14,1+($A31-1)*2))-90</f>
        <v>53.02411971886869</v>
      </c>
      <c r="T31" s="59">
        <f ca="1">OFFSET('General Results'!$A$1,15,1+($A31-1)*2)</f>
        <v>1.7229369817932207</v>
      </c>
      <c r="U31" s="74" t="str">
        <f ca="1">IF(OFFSET('General Results'!B$28,,($A31-1)*2)&lt;1,"PASS","FAIL")</f>
        <v>PASS</v>
      </c>
      <c r="V31" s="57">
        <f ca="1">ABS(OFFSET('General Results'!$A$1,16,1+($A31-1)*2))</f>
        <v>110.01311819047801</v>
      </c>
    </row>
    <row r="32" spans="1:22" s="47" customFormat="1" x14ac:dyDescent="0.2">
      <c r="A32" s="53">
        <v>7</v>
      </c>
      <c r="B32" s="56" t="str">
        <f ca="1">OFFSET('General Results'!$A$1,0,1+($A32-1)*2)</f>
        <v>Case007.sim</v>
      </c>
      <c r="C32" s="57">
        <f ca="1">OFFSET('General Results'!$A$1,1,1+($A32-1)*2)</f>
        <v>-369</v>
      </c>
      <c r="D32" s="58">
        <f ca="1">OFFSET('General Results'!$A$1,2,1+($A32-1)*2)</f>
        <v>5.5939007147381981</v>
      </c>
      <c r="E32" s="58">
        <f ca="1">OFFSET('General Results'!$A$1,3,1+($A32-1)*2)</f>
        <v>0</v>
      </c>
      <c r="F32" s="58">
        <f ca="1">OFFSET('General Results'!$A$1,4,1+($A32-1)*2)</f>
        <v>0</v>
      </c>
      <c r="G32" s="58">
        <f ca="1">OFFSET('General Results'!$A$1,5,1+($A32-1)*2)</f>
        <v>0</v>
      </c>
      <c r="H32" s="58">
        <f ca="1">OFFSET('General Results'!$A$1,6,1+($A32-1)*2)</f>
        <v>27.840759877638117</v>
      </c>
      <c r="I32" s="58">
        <f ca="1">OFFSET('General Results'!$A$1,7,1+($A32-1)*2)</f>
        <v>0.42150258854349287</v>
      </c>
      <c r="J32" s="58">
        <f ca="1">OFFSET('General Results'!$A$1,8,1+($A32-1)*2)</f>
        <v>178.88846484897479</v>
      </c>
      <c r="K32" s="58">
        <f ca="1">OFFSET('General Results'!$A$1,9,1+($A32-1)*2)</f>
        <v>87.612249766803089</v>
      </c>
      <c r="L32" s="58">
        <f ca="1">OFFSET('General Results'!B$29,,(A32-1)*2)</f>
        <v>78.907427599432921</v>
      </c>
      <c r="M32" s="58">
        <f ca="1">OFFSET('General Results'!$A$1,10,1+($A32-1)*2)</f>
        <v>2.3112733368323024</v>
      </c>
      <c r="N32" s="87">
        <f ca="1">OFFSET('General Results'!$A$1,11,1+($A32-1)*2)</f>
        <v>257</v>
      </c>
      <c r="O32" s="59">
        <f ca="1">ABS(OFFSET('General Results'!$A$1,12,1+($A32-1)*2))-ABS(OFFSET('General Results'!$A$1,13,1+($A32-1)*2))</f>
        <v>202.47611149869789</v>
      </c>
      <c r="P32" s="59">
        <f t="shared" ca="1" si="0"/>
        <v>54.52388850130211</v>
      </c>
      <c r="Q32" s="81">
        <f t="array" aca="1" ref="Q32" ca="1">IF(SUM($D32:$H32)&gt;0,(MAX(IF((OFFSET('Range Graph Results'!C$4:C$385,,($A32-1)*6)&gt;=0),OFFSET('Range Graph Results'!E$4:E$385,,($A32-1)*6))))/1000,"N/A")</f>
        <v>210.42665901393292</v>
      </c>
      <c r="R32" s="81">
        <f t="array" aca="1" ref="R32" ca="1">(MAX(IF((OFFSET('Range Graph Results'!C$4:C$385,,($A32-1)*6)&lt;0),OFFSET('Range Graph Results'!E$4:E$385,,($A32-1)*6))))/1000</f>
        <v>142.41438433207563</v>
      </c>
      <c r="S32" s="59">
        <f ca="1">(OFFSET('General Results'!$A$1,14,1+($A32-1)*2))-90</f>
        <v>52.551557903055965</v>
      </c>
      <c r="T32" s="59">
        <f ca="1">OFFSET('General Results'!$A$1,15,1+($A32-1)*2)</f>
        <v>1.7363156759210621</v>
      </c>
      <c r="U32" s="74" t="str">
        <f ca="1">IF(OFFSET('General Results'!B$28,,($A32-1)*2)&lt;1,"PASS","FAIL")</f>
        <v>PASS</v>
      </c>
      <c r="V32" s="57">
        <f ca="1">ABS(OFFSET('General Results'!$A$1,16,1+($A32-1)*2))</f>
        <v>113.75361818853773</v>
      </c>
    </row>
    <row r="33" spans="1:22" s="47" customFormat="1" x14ac:dyDescent="0.2">
      <c r="A33" s="53">
        <v>8</v>
      </c>
      <c r="B33" s="56" t="str">
        <f ca="1">OFFSET('General Results'!$A$1,0,1+($A33-1)*2)</f>
        <v>Case008.sim</v>
      </c>
      <c r="C33" s="57">
        <f ca="1">OFFSET('General Results'!$A$1,1,1+($A33-1)*2)</f>
        <v>-370</v>
      </c>
      <c r="D33" s="58">
        <f ca="1">OFFSET('General Results'!$A$1,2,1+($A33-1)*2)</f>
        <v>5.0513305781269002</v>
      </c>
      <c r="E33" s="58">
        <f ca="1">OFFSET('General Results'!$A$1,3,1+($A33-1)*2)</f>
        <v>1.501764735691302</v>
      </c>
      <c r="F33" s="58">
        <f ca="1">OFFSET('General Results'!$A$1,4,1+($A33-1)*2)</f>
        <v>0</v>
      </c>
      <c r="G33" s="58">
        <f ca="1">OFFSET('General Results'!$A$1,5,1+($A33-1)*2)</f>
        <v>0</v>
      </c>
      <c r="H33" s="58">
        <f ca="1">OFFSET('General Results'!$A$1,6,1+($A33-1)*2)</f>
        <v>24.656665797865291</v>
      </c>
      <c r="I33" s="58">
        <f ca="1">OFFSET('General Results'!$A$1,7,1+($A33-1)*2)</f>
        <v>0.40942509676865968</v>
      </c>
      <c r="J33" s="58">
        <f ca="1">OFFSET('General Results'!$A$1,8,1+($A33-1)*2)</f>
        <v>184.04902380949761</v>
      </c>
      <c r="K33" s="58">
        <f ca="1">OFFSET('General Results'!$A$1,9,1+($A33-1)*2)</f>
        <v>92.773626917834008</v>
      </c>
      <c r="L33" s="58">
        <f ca="1">OFFSET('General Results'!B$29,,(A33-1)*2)</f>
        <v>84.149351619485529</v>
      </c>
      <c r="M33" s="58">
        <f ca="1">OFFSET('General Results'!$A$1,10,1+($A33-1)*2)</f>
        <v>2.2815441214815797</v>
      </c>
      <c r="N33" s="87">
        <f ca="1">OFFSET('General Results'!$A$1,11,1+($A33-1)*2)</f>
        <v>261</v>
      </c>
      <c r="O33" s="59">
        <f ca="1">ABS(OFFSET('General Results'!$A$1,12,1+($A33-1)*2))-ABS(OFFSET('General Results'!$A$1,13,1+($A33-1)*2))</f>
        <v>207.47592526590216</v>
      </c>
      <c r="P33" s="59">
        <f t="shared" ca="1" si="0"/>
        <v>53.524074734097837</v>
      </c>
      <c r="Q33" s="81">
        <f t="array" aca="1" ref="Q33" ca="1">IF(SUM($D33:$H33)&gt;0,(MAX(IF((OFFSET('Range Graph Results'!C$4:C$385,,($A33-1)*6)&gt;=0),OFFSET('Range Graph Results'!E$4:E$385,,($A33-1)*6))))/1000,"N/A")</f>
        <v>180.22193730374769</v>
      </c>
      <c r="R33" s="81">
        <f t="array" aca="1" ref="R33" ca="1">(MAX(IF((OFFSET('Range Graph Results'!C$4:C$385,,($A33-1)*6)&lt;0),OFFSET('Range Graph Results'!E$4:E$385,,($A33-1)*6))))/1000</f>
        <v>136.47421783250871</v>
      </c>
      <c r="S33" s="59">
        <f ca="1">(OFFSET('General Results'!$A$1,14,1+($A33-1)*2))-90</f>
        <v>52.085837539931902</v>
      </c>
      <c r="T33" s="59">
        <f ca="1">OFFSET('General Results'!$A$1,15,1+($A33-1)*2)</f>
        <v>1.7443389430388057</v>
      </c>
      <c r="U33" s="74" t="str">
        <f ca="1">IF(OFFSET('General Results'!B$28,,($A33-1)*2)&lt;1,"PASS","FAIL")</f>
        <v>PASS</v>
      </c>
      <c r="V33" s="57">
        <f ca="1">ABS(OFFSET('General Results'!$A$1,16,1+($A33-1)*2))</f>
        <v>117.0686267408601</v>
      </c>
    </row>
    <row r="34" spans="1:22" s="47" customFormat="1" x14ac:dyDescent="0.2">
      <c r="A34" s="53">
        <v>9</v>
      </c>
      <c r="B34" s="56" t="str">
        <f ca="1">OFFSET('General Results'!$A$1,0,1+($A34-1)*2)</f>
        <v>Case009.sim</v>
      </c>
      <c r="C34" s="57">
        <f ca="1">OFFSET('General Results'!$A$1,1,1+($A34-1)*2)</f>
        <v>-371</v>
      </c>
      <c r="D34" s="58">
        <f ca="1">OFFSET('General Results'!$A$1,2,1+($A34-1)*2)</f>
        <v>4.037257840190378</v>
      </c>
      <c r="E34" s="58">
        <f ca="1">OFFSET('General Results'!$A$1,3,1+($A34-1)*2)</f>
        <v>3.3775932541774139</v>
      </c>
      <c r="F34" s="58">
        <f ca="1">OFFSET('General Results'!$A$1,4,1+($A34-1)*2)</f>
        <v>0</v>
      </c>
      <c r="G34" s="58">
        <f ca="1">OFFSET('General Results'!$A$1,5,1+($A34-1)*2)</f>
        <v>0</v>
      </c>
      <c r="H34" s="58">
        <f ca="1">OFFSET('General Results'!$A$1,6,1+($A34-1)*2)</f>
        <v>21.190795657785031</v>
      </c>
      <c r="I34" s="58">
        <f ca="1">OFFSET('General Results'!$A$1,7,1+($A34-1)*2)</f>
        <v>0.39773812871026137</v>
      </c>
      <c r="J34" s="58">
        <f ca="1">OFFSET('General Results'!$A$1,8,1+($A34-1)*2)</f>
        <v>189.57029015815277</v>
      </c>
      <c r="K34" s="58">
        <f ca="1">OFFSET('General Results'!$A$1,9,1+($A34-1)*2)</f>
        <v>98.296837651045934</v>
      </c>
      <c r="L34" s="58">
        <f ca="1">OFFSET('General Results'!B$29,,(A34-1)*2)</f>
        <v>89.81323563375507</v>
      </c>
      <c r="M34" s="58">
        <f ca="1">OFFSET('General Results'!$A$1,10,1+($A34-1)*2)</f>
        <v>2.5282145216695984</v>
      </c>
      <c r="N34" s="87">
        <f ca="1">OFFSET('General Results'!$A$1,11,1+($A34-1)*2)</f>
        <v>266</v>
      </c>
      <c r="O34" s="59">
        <f ca="1">ABS(OFFSET('General Results'!$A$1,12,1+($A34-1)*2))-ABS(OFFSET('General Results'!$A$1,13,1+($A34-1)*2))</f>
        <v>213.47574002217846</v>
      </c>
      <c r="P34" s="59">
        <f t="shared" ca="1" si="0"/>
        <v>52.524259977821544</v>
      </c>
      <c r="Q34" s="81">
        <f t="array" aca="1" ref="Q34" ca="1">IF(SUM($D34:$H34)&gt;0,(MAX(IF((OFFSET('Range Graph Results'!C$4:C$385,,($A34-1)*6)&gt;=0),OFFSET('Range Graph Results'!E$4:E$385,,($A34-1)*6))))/1000,"N/A")</f>
        <v>148.5257926230305</v>
      </c>
      <c r="R34" s="81">
        <f t="array" aca="1" ref="R34" ca="1">(MAX(IF((OFFSET('Range Graph Results'!C$4:C$385,,($A34-1)*6)&lt;0),OFFSET('Range Graph Results'!E$4:E$385,,($A34-1)*6))))/1000</f>
        <v>130.77105570224285</v>
      </c>
      <c r="S34" s="59">
        <f ca="1">(OFFSET('General Results'!$A$1,14,1+($A34-1)*2))-90</f>
        <v>51.610152351422727</v>
      </c>
      <c r="T34" s="59">
        <f ca="1">OFFSET('General Results'!$A$1,15,1+($A34-1)*2)</f>
        <v>1.7513043177427654</v>
      </c>
      <c r="U34" s="74" t="str">
        <f ca="1">IF(OFFSET('General Results'!B$28,,($A34-1)*2)&lt;1,"PASS","FAIL")</f>
        <v>PASS</v>
      </c>
      <c r="V34" s="57">
        <f ca="1">ABS(OFFSET('General Results'!$A$1,16,1+($A34-1)*2))</f>
        <v>120.47228820434573</v>
      </c>
    </row>
    <row r="35" spans="1:22" s="47" customFormat="1" x14ac:dyDescent="0.2">
      <c r="A35" s="53">
        <v>10</v>
      </c>
      <c r="B35" s="56" t="str">
        <f ca="1">OFFSET('General Results'!$A$1,0,1+($A35-1)*2)</f>
        <v>Case010.sim</v>
      </c>
      <c r="C35" s="57">
        <f ca="1">OFFSET('General Results'!$A$1,1,1+($A35-1)*2)</f>
        <v>-372</v>
      </c>
      <c r="D35" s="58">
        <f ca="1">OFFSET('General Results'!$A$1,2,1+($A35-1)*2)</f>
        <v>3.0677935023282203</v>
      </c>
      <c r="E35" s="58">
        <f ca="1">OFFSET('General Results'!$A$1,3,1+($A35-1)*2)</f>
        <v>5.1487183619092214</v>
      </c>
      <c r="F35" s="58">
        <f ca="1">OFFSET('General Results'!$A$1,4,1+($A35-1)*2)</f>
        <v>0.14303780591973236</v>
      </c>
      <c r="G35" s="58">
        <f ca="1">OFFSET('General Results'!$A$1,5,1+($A35-1)*2)</f>
        <v>0</v>
      </c>
      <c r="H35" s="58">
        <f ca="1">OFFSET('General Results'!$A$1,6,1+($A35-1)*2)</f>
        <v>17.437887112726202</v>
      </c>
      <c r="I35" s="58">
        <f ca="1">OFFSET('General Results'!$A$1,7,1+($A35-1)*2)</f>
        <v>0.38606892806962501</v>
      </c>
      <c r="J35" s="58">
        <f ca="1">OFFSET('General Results'!$A$1,8,1+($A35-1)*2)</f>
        <v>195.48686469164051</v>
      </c>
      <c r="K35" s="58">
        <f ca="1">OFFSET('General Results'!$A$1,9,1+($A35-1)*2)</f>
        <v>104.21496389143795</v>
      </c>
      <c r="L35" s="58">
        <f ca="1">OFFSET('General Results'!B$29,,(A35-1)*2)</f>
        <v>95.927501885748711</v>
      </c>
      <c r="M35" s="58">
        <f ca="1">OFFSET('General Results'!$A$1,10,1+($A35-1)*2)</f>
        <v>2.7635685692151175</v>
      </c>
      <c r="N35" s="87">
        <f ca="1">OFFSET('General Results'!$A$1,11,1+($A35-1)*2)</f>
        <v>271</v>
      </c>
      <c r="O35" s="59">
        <f ca="1">ABS(OFFSET('General Results'!$A$1,12,1+($A35-1)*2))-ABS(OFFSET('General Results'!$A$1,13,1+($A35-1)*2))</f>
        <v>219.47557409494431</v>
      </c>
      <c r="P35" s="59">
        <f t="shared" ca="1" si="0"/>
        <v>51.524425905055693</v>
      </c>
      <c r="Q35" s="81">
        <f t="array" aca="1" ref="Q35" ca="1">IF(SUM($D35:$H35)&gt;0,(MAX(IF((OFFSET('Range Graph Results'!C$4:C$385,,($A35-1)*6)&gt;=0),OFFSET('Range Graph Results'!E$4:E$385,,($A35-1)*6))))/1000,"N/A")</f>
        <v>115.43660426039625</v>
      </c>
      <c r="R35" s="81">
        <f t="array" aca="1" ref="R35" ca="1">(MAX(IF((OFFSET('Range Graph Results'!C$4:C$385,,($A35-1)*6)&lt;0),OFFSET('Range Graph Results'!E$4:E$385,,($A35-1)*6))))/1000</f>
        <v>125.3197233313945</v>
      </c>
      <c r="S35" s="59">
        <f ca="1">(OFFSET('General Results'!$A$1,14,1+($A35-1)*2))-90</f>
        <v>51.121441495245932</v>
      </c>
      <c r="T35" s="59">
        <f ca="1">OFFSET('General Results'!$A$1,15,1+($A35-1)*2)</f>
        <v>1.7580565746206729</v>
      </c>
      <c r="U35" s="74" t="str">
        <f ca="1">IF(OFFSET('General Results'!B$28,,($A35-1)*2)&lt;1,"PASS","FAIL")</f>
        <v>PASS</v>
      </c>
      <c r="V35" s="57">
        <f ca="1">ABS(OFFSET('General Results'!$A$1,16,1+($A35-1)*2))</f>
        <v>124.13647234112122</v>
      </c>
    </row>
    <row r="36" spans="1:22" s="47" customFormat="1" x14ac:dyDescent="0.2">
      <c r="A36" s="53">
        <v>11</v>
      </c>
      <c r="B36" s="56" t="str">
        <f ca="1">OFFSET('General Results'!$A$1,0,1+($A36-1)*2)</f>
        <v>Case011.sim</v>
      </c>
      <c r="C36" s="57">
        <f ca="1">OFFSET('General Results'!$A$1,1,1+($A36-1)*2)</f>
        <v>-373</v>
      </c>
      <c r="D36" s="58">
        <f ca="1">OFFSET('General Results'!$A$1,2,1+($A36-1)*2)</f>
        <v>3.2688897016130976</v>
      </c>
      <c r="E36" s="58">
        <f ca="1">OFFSET('General Results'!$A$1,3,1+($A36-1)*2)</f>
        <v>4.0381661041172245</v>
      </c>
      <c r="F36" s="58">
        <f ca="1">OFFSET('General Results'!$A$1,4,1+($A36-1)*2)</f>
        <v>2.929021010751875</v>
      </c>
      <c r="G36" s="58">
        <f ca="1">OFFSET('General Results'!$A$1,5,1+($A36-1)*2)</f>
        <v>0</v>
      </c>
      <c r="H36" s="58">
        <f ca="1">OFFSET('General Results'!$A$1,6,1+($A36-1)*2)</f>
        <v>12.715838362560293</v>
      </c>
      <c r="I36" s="58">
        <f ca="1">OFFSET('General Results'!$A$1,7,1+($A36-1)*2)</f>
        <v>0.3795091715769997</v>
      </c>
      <c r="J36" s="58">
        <f ca="1">OFFSET('General Results'!$A$1,8,1+($A36-1)*2)</f>
        <v>201.85276873844117</v>
      </c>
      <c r="K36" s="58">
        <f ca="1">OFFSET('General Results'!$A$1,9,1+($A36-1)*2)</f>
        <v>110.58319680238418</v>
      </c>
      <c r="L36" s="58">
        <f ca="1">OFFSET('General Results'!B$29,,(A36-1)*2)</f>
        <v>102.54748001513411</v>
      </c>
      <c r="M36" s="58">
        <f ca="1">OFFSET('General Results'!$A$1,10,1+($A36-1)*2)</f>
        <v>2.7281805136655626</v>
      </c>
      <c r="N36" s="87">
        <f ca="1">OFFSET('General Results'!$A$1,11,1+($A36-1)*2)</f>
        <v>276</v>
      </c>
      <c r="O36" s="59">
        <f ca="1">ABS(OFFSET('General Results'!$A$1,12,1+($A36-1)*2))-ABS(OFFSET('General Results'!$A$1,13,1+($A36-1)*2))</f>
        <v>225.47542556491589</v>
      </c>
      <c r="P36" s="59">
        <f t="shared" ca="1" si="0"/>
        <v>50.524574435084105</v>
      </c>
      <c r="Q36" s="81">
        <f t="array" aca="1" ref="Q36" ca="1">IF(SUM($D36:$H36)&gt;0,(MAX(IF((OFFSET('Range Graph Results'!C$4:C$385,,($A36-1)*6)&gt;=0),OFFSET('Range Graph Results'!E$4:E$385,,($A36-1)*6))))/1000,"N/A")</f>
        <v>77.953350049862934</v>
      </c>
      <c r="R36" s="81">
        <f t="array" aca="1" ref="R36" ca="1">(MAX(IF((OFFSET('Range Graph Results'!C$4:C$385,,($A36-1)*6)&lt;0),OFFSET('Range Graph Results'!E$4:E$385,,($A36-1)*6))))/1000</f>
        <v>120.1040090010343</v>
      </c>
      <c r="S36" s="59">
        <f ca="1">(OFFSET('General Results'!$A$1,14,1+($A36-1)*2))-90</f>
        <v>50.655148865363401</v>
      </c>
      <c r="T36" s="59">
        <f ca="1">OFFSET('General Results'!$A$1,15,1+($A36-1)*2)</f>
        <v>1.7583388530758324</v>
      </c>
      <c r="U36" s="74" t="str">
        <f ca="1">IF(OFFSET('General Results'!B$28,,($A36-1)*2)&lt;1,"PASS","FAIL")</f>
        <v>PASS</v>
      </c>
      <c r="V36" s="57">
        <f ca="1">ABS(OFFSET('General Results'!$A$1,16,1+($A36-1)*2))</f>
        <v>128.24962128685485</v>
      </c>
    </row>
    <row r="37" spans="1:22" s="47" customFormat="1" x14ac:dyDescent="0.2">
      <c r="A37" s="53">
        <v>12</v>
      </c>
      <c r="B37" s="56" t="str">
        <f ca="1">OFFSET('General Results'!$A$1,0,1+($A37-1)*2)</f>
        <v>Case012.sim</v>
      </c>
      <c r="C37" s="57">
        <f ca="1">OFFSET('General Results'!$A$1,1,1+($A37-1)*2)</f>
        <v>-374</v>
      </c>
      <c r="D37" s="58">
        <f ca="1">OFFSET('General Results'!$A$1,2,1+($A37-1)*2)</f>
        <v>3.3493424135477845</v>
      </c>
      <c r="E37" s="58">
        <f ca="1">OFFSET('General Results'!$A$1,3,1+($A37-1)*2)</f>
        <v>3.6199766249006551</v>
      </c>
      <c r="F37" s="58">
        <f ca="1">OFFSET('General Results'!$A$1,4,1+($A37-1)*2)</f>
        <v>3.678670083993584</v>
      </c>
      <c r="G37" s="58">
        <f ca="1">OFFSET('General Results'!$A$1,5,1+($A37-1)*2)</f>
        <v>2.7336229912422461</v>
      </c>
      <c r="H37" s="58">
        <f ca="1">OFFSET('General Results'!$A$1,6,1+($A37-1)*2)</f>
        <v>6.4328379233358222</v>
      </c>
      <c r="I37" s="58">
        <f ca="1">OFFSET('General Results'!$A$1,7,1+($A37-1)*2)</f>
        <v>0.37632597387598304</v>
      </c>
      <c r="J37" s="58">
        <f ca="1">OFFSET('General Results'!$A$1,8,1+($A37-1)*2)</f>
        <v>208.7142677063928</v>
      </c>
      <c r="K37" s="58">
        <f ca="1">OFFSET('General Results'!$A$1,9,1+($A37-1)*2)</f>
        <v>117.44786711149992</v>
      </c>
      <c r="L37" s="58">
        <f ca="1">OFFSET('General Results'!B$29,,(A37-1)*2)</f>
        <v>109.74542153239861</v>
      </c>
      <c r="M37" s="58">
        <f ca="1">OFFSET('General Results'!$A$1,10,1+($A37-1)*2)</f>
        <v>2.7151918595605493</v>
      </c>
      <c r="N37" s="87">
        <f ca="1">OFFSET('General Results'!$A$1,11,1+($A37-1)*2)</f>
        <v>281</v>
      </c>
      <c r="O37" s="59">
        <f ca="1">ABS(OFFSET('General Results'!$A$1,12,1+($A37-1)*2))-ABS(OFFSET('General Results'!$A$1,13,1+($A37-1)*2))</f>
        <v>231.47529548261235</v>
      </c>
      <c r="P37" s="59">
        <f t="shared" ca="1" si="0"/>
        <v>49.524704517387647</v>
      </c>
      <c r="Q37" s="81">
        <f t="array" aca="1" ref="Q37" ca="1">IF(SUM($D37:$H37)&gt;0,(MAX(IF((OFFSET('Range Graph Results'!C$4:C$385,,($A37-1)*6)&gt;=0),OFFSET('Range Graph Results'!E$4:E$385,,($A37-1)*6))))/1000,"N/A")</f>
        <v>36.16085562939292</v>
      </c>
      <c r="R37" s="81">
        <f t="array" aca="1" ref="R37" ca="1">(MAX(IF((OFFSET('Range Graph Results'!C$4:C$385,,($A37-1)*6)&lt;0),OFFSET('Range Graph Results'!E$4:E$385,,($A37-1)*6))))/1000</f>
        <v>115.13584106401647</v>
      </c>
      <c r="S37" s="59">
        <f ca="1">(OFFSET('General Results'!$A$1,14,1+($A37-1)*2))-90</f>
        <v>50.207519775034768</v>
      </c>
      <c r="T37" s="59">
        <f ca="1">OFFSET('General Results'!$A$1,15,1+($A37-1)*2)</f>
        <v>1.75841476939653</v>
      </c>
      <c r="U37" s="74" t="str">
        <f ca="1">IF(OFFSET('General Results'!B$28,,($A37-1)*2)&lt;1,"PASS","FAIL")</f>
        <v>PASS</v>
      </c>
      <c r="V37" s="57">
        <f ca="1">ABS(OFFSET('General Results'!$A$1,16,1+($A37-1)*2))</f>
        <v>132.66732550943306</v>
      </c>
    </row>
    <row r="38" spans="1:22" s="47" customFormat="1" x14ac:dyDescent="0.2">
      <c r="A38" s="53">
        <v>13</v>
      </c>
      <c r="B38" s="56" t="str">
        <f ca="1">OFFSET('General Results'!$A$1,0,1+($A38-1)*2)</f>
        <v>Case013.sim</v>
      </c>
      <c r="C38" s="57">
        <f ca="1">OFFSET('General Results'!$A$1,1,1+($A38-1)*2)</f>
        <v>-375</v>
      </c>
      <c r="D38" s="58">
        <f ca="1">OFFSET('General Results'!$A$1,2,1+($A38-1)*2)</f>
        <v>3.3577157459252489</v>
      </c>
      <c r="E38" s="58">
        <f ca="1">OFFSET('General Results'!$A$1,3,1+($A38-1)*2)</f>
        <v>3.5957954243026613</v>
      </c>
      <c r="F38" s="58">
        <f ca="1">OFFSET('General Results'!$A$1,4,1+($A38-1)*2)</f>
        <v>3.6916617611770781</v>
      </c>
      <c r="G38" s="58">
        <f ca="1">OFFSET('General Results'!$A$1,5,1+($A38-1)*2)</f>
        <v>5.748447400850675</v>
      </c>
      <c r="H38" s="58">
        <f ca="1">OFFSET('General Results'!$A$1,6,1+($A38-1)*2)</f>
        <v>0</v>
      </c>
      <c r="I38" s="58">
        <f ca="1">OFFSET('General Results'!$A$1,7,1+($A38-1)*2)</f>
        <v>0.38274183208224855</v>
      </c>
      <c r="J38" s="58">
        <f ca="1">OFFSET('General Results'!$A$1,8,1+($A38-1)*2)</f>
        <v>216.06517688741798</v>
      </c>
      <c r="K38" s="58">
        <f ca="1">OFFSET('General Results'!$A$1,9,1+($A38-1)*2)</f>
        <v>124.8026689520764</v>
      </c>
      <c r="L38" s="58">
        <f ca="1">OFFSET('General Results'!B$29,,(A38-1)*2)</f>
        <v>117.48855586305424</v>
      </c>
      <c r="M38" s="58">
        <f ca="1">OFFSET('General Results'!$A$1,10,1+($A38-1)*2)</f>
        <v>2.7158620100814916</v>
      </c>
      <c r="N38" s="87">
        <f ca="1">OFFSET('General Results'!$A$1,11,1+($A38-1)*2)</f>
        <v>287</v>
      </c>
      <c r="O38" s="59">
        <f ca="1">ABS(OFFSET('General Results'!$A$1,12,1+($A38-1)*2))-ABS(OFFSET('General Results'!$A$1,13,1+($A38-1)*2))</f>
        <v>238.47520631450124</v>
      </c>
      <c r="P38" s="59">
        <f t="shared" ca="1" si="0"/>
        <v>48.524793685498764</v>
      </c>
      <c r="Q38" s="81">
        <f t="array" aca="1" ref="Q38" ca="1">IF(SUM($D38:$H38)&gt;0,(MAX(IF((OFFSET('Range Graph Results'!C$4:C$385,,($A38-1)*6)&gt;=0),OFFSET('Range Graph Results'!E$4:E$385,,($A38-1)*6))))/1000,"N/A")</f>
        <v>33.337502659178533</v>
      </c>
      <c r="R38" s="81">
        <f t="array" aca="1" ref="R38" ca="1">(MAX(IF((OFFSET('Range Graph Results'!C$4:C$385,,($A38-1)*6)&lt;0),OFFSET('Range Graph Results'!E$4:E$385,,($A38-1)*6))))/1000</f>
        <v>110.45186231833092</v>
      </c>
      <c r="S38" s="59">
        <f ca="1">(OFFSET('General Results'!$A$1,14,1+($A38-1)*2))-90</f>
        <v>49.724733565454471</v>
      </c>
      <c r="T38" s="59">
        <f ca="1">OFFSET('General Results'!$A$1,15,1+($A38-1)*2)</f>
        <v>1.7584161196161838</v>
      </c>
      <c r="U38" s="74" t="str">
        <f ca="1">IF(OFFSET('General Results'!B$28,,($A38-1)*2)&lt;1,"PASS","FAIL")</f>
        <v>PASS</v>
      </c>
      <c r="V38" s="57">
        <f ca="1">ABS(OFFSET('General Results'!$A$1,16,1+($A38-1)*2))</f>
        <v>137.39108039889402</v>
      </c>
    </row>
    <row r="39" spans="1:22" s="47" customFormat="1" x14ac:dyDescent="0.2">
      <c r="A39" s="53">
        <v>14</v>
      </c>
      <c r="B39" s="56" t="str">
        <f ca="1">OFFSET('General Results'!$A$1,0,1+($A39-1)*2)</f>
        <v>Case014.sim</v>
      </c>
      <c r="C39" s="57">
        <f ca="1">OFFSET('General Results'!$A$1,1,1+($A39-1)*2)</f>
        <v>-376</v>
      </c>
      <c r="D39" s="58">
        <f ca="1">OFFSET('General Results'!$A$1,2,1+($A39-1)*2)</f>
        <v>3.2330708385619467</v>
      </c>
      <c r="E39" s="58">
        <f ca="1">OFFSET('General Results'!$A$1,3,1+($A39-1)*2)</f>
        <v>4.161220988415649</v>
      </c>
      <c r="F39" s="58">
        <f ca="1">OFFSET('General Results'!$A$1,4,1+($A39-1)*2)</f>
        <v>5.4563515248823302</v>
      </c>
      <c r="G39" s="58">
        <f ca="1">OFFSET('General Results'!$A$1,5,1+($A39-1)*2)</f>
        <v>0</v>
      </c>
      <c r="H39" s="58">
        <f ca="1">OFFSET('General Results'!$A$1,6,1+($A39-1)*2)</f>
        <v>0</v>
      </c>
      <c r="I39" s="58">
        <f ca="1">OFFSET('General Results'!$A$1,7,1+($A39-1)*2)</f>
        <v>0.4382744342892077</v>
      </c>
      <c r="J39" s="58">
        <f ca="1">OFFSET('General Results'!$A$1,8,1+($A39-1)*2)</f>
        <v>223.63533379999944</v>
      </c>
      <c r="K39" s="58">
        <f ca="1">OFFSET('General Results'!$A$1,9,1+($A39-1)*2)</f>
        <v>132.37274169177277</v>
      </c>
      <c r="L39" s="58">
        <f ca="1">OFFSET('General Results'!B$29,,(A39-1)*2)</f>
        <v>125.52240301826555</v>
      </c>
      <c r="M39" s="58">
        <f ca="1">OFFSET('General Results'!$A$1,10,1+($A39-1)*2)</f>
        <v>2.7432435443709289</v>
      </c>
      <c r="N39" s="87">
        <f ca="1">OFFSET('General Results'!$A$1,11,1+($A39-1)*2)</f>
        <v>293</v>
      </c>
      <c r="O39" s="59">
        <f ca="1">ABS(OFFSET('General Results'!$A$1,12,1+($A39-1)*2))-ABS(OFFSET('General Results'!$A$1,13,1+($A39-1)*2))</f>
        <v>245.47516323266535</v>
      </c>
      <c r="P39" s="59">
        <f t="shared" ca="1" si="0"/>
        <v>47.524836767334648</v>
      </c>
      <c r="Q39" s="81">
        <f t="array" aca="1" ref="Q39" ca="1">IF(SUM($D39:$H39)&gt;0,(MAX(IF((OFFSET('Range Graph Results'!C$4:C$385,,($A39-1)*6)&gt;=0),OFFSET('Range Graph Results'!E$4:E$385,,($A39-1)*6))))/1000,"N/A")</f>
        <v>34.321511858331796</v>
      </c>
      <c r="R39" s="81">
        <f t="array" aca="1" ref="R39" ca="1">(MAX(IF((OFFSET('Range Graph Results'!C$4:C$385,,($A39-1)*6)&lt;0),OFFSET('Range Graph Results'!E$4:E$385,,($A39-1)*6))))/1000</f>
        <v>106.22491776191772</v>
      </c>
      <c r="S39" s="59">
        <f ca="1">(OFFSET('General Results'!$A$1,14,1+($A39-1)*2))-90</f>
        <v>48.953944510776836</v>
      </c>
      <c r="T39" s="59">
        <f ca="1">OFFSET('General Results'!$A$1,15,1+($A39-1)*2)</f>
        <v>1.7585916888480833</v>
      </c>
      <c r="U39" s="74" t="str">
        <f ca="1">IF(OFFSET('General Results'!B$28,,($A39-1)*2)&lt;1,"PASS","FAIL")</f>
        <v>PASS</v>
      </c>
      <c r="V39" s="57">
        <f ca="1">ABS(OFFSET('General Results'!$A$1,16,1+($A39-1)*2))</f>
        <v>142.23940344684158</v>
      </c>
    </row>
    <row r="40" spans="1:22" s="47" customFormat="1" x14ac:dyDescent="0.2">
      <c r="A40" s="53">
        <v>15</v>
      </c>
      <c r="B40" s="56" t="str">
        <f ca="1">OFFSET('General Results'!$A$1,0,1+($A40-1)*2)</f>
        <v>Case015.sim</v>
      </c>
      <c r="C40" s="57">
        <f ca="1">OFFSET('General Results'!$A$1,1,1+($A40-1)*2)</f>
        <v>-377</v>
      </c>
      <c r="D40" s="58">
        <f ca="1">OFFSET('General Results'!$A$1,2,1+($A40-1)*2)</f>
        <v>4.0968013810011019</v>
      </c>
      <c r="E40" s="58">
        <f ca="1">OFFSET('General Results'!$A$1,3,1+($A40-1)*2)</f>
        <v>5.2993335672046893</v>
      </c>
      <c r="F40" s="58">
        <f ca="1">OFFSET('General Results'!$A$1,4,1+($A40-1)*2)</f>
        <v>0</v>
      </c>
      <c r="G40" s="58">
        <f ca="1">OFFSET('General Results'!$A$1,5,1+($A40-1)*2)</f>
        <v>0</v>
      </c>
      <c r="H40" s="58">
        <f ca="1">OFFSET('General Results'!$A$1,6,1+($A40-1)*2)</f>
        <v>0</v>
      </c>
      <c r="I40" s="58">
        <f ca="1">OFFSET('General Results'!$A$1,7,1+($A40-1)*2)</f>
        <v>0.56259812957569899</v>
      </c>
      <c r="J40" s="58">
        <f ca="1">OFFSET('General Results'!$A$1,8,1+($A40-1)*2)</f>
        <v>231.43759173769598</v>
      </c>
      <c r="K40" s="58">
        <f ca="1">OFFSET('General Results'!$A$1,9,1+($A40-1)*2)</f>
        <v>140.1767118755397</v>
      </c>
      <c r="L40" s="58">
        <f ca="1">OFFSET('General Results'!B$29,,(A40-1)*2)</f>
        <v>133.85416520864339</v>
      </c>
      <c r="M40" s="58">
        <f ca="1">OFFSET('General Results'!$A$1,10,1+($A40-1)*2)</f>
        <v>2.5027103686646655</v>
      </c>
      <c r="N40" s="87">
        <f ca="1">OFFSET('General Results'!$A$1,11,1+($A40-1)*2)</f>
        <v>299</v>
      </c>
      <c r="O40" s="59">
        <f ca="1">ABS(OFFSET('General Results'!$A$1,12,1+($A40-1)*2))-ABS(OFFSET('General Results'!$A$1,13,1+($A40-1)*2))</f>
        <v>252.47516701304971</v>
      </c>
      <c r="P40" s="59">
        <f t="shared" ca="1" si="0"/>
        <v>46.524832986950287</v>
      </c>
      <c r="Q40" s="81">
        <f t="array" aca="1" ref="Q40" ca="1">IF(SUM($D40:$H40)&gt;0,(MAX(IF((OFFSET('Range Graph Results'!C$4:C$385,,($A40-1)*6)&gt;=0),OFFSET('Range Graph Results'!E$4:E$385,,($A40-1)*6))))/1000,"N/A")</f>
        <v>34.605931290399539</v>
      </c>
      <c r="R40" s="81">
        <f t="array" aca="1" ref="R40" ca="1">(MAX(IF((OFFSET('Range Graph Results'!C$4:C$385,,($A40-1)*6)&lt;0),OFFSET('Range Graph Results'!E$4:E$385,,($A40-1)*6))))/1000</f>
        <v>102.40347208399398</v>
      </c>
      <c r="S40" s="59">
        <f ca="1">(OFFSET('General Results'!$A$1,14,1+($A40-1)*2))-90</f>
        <v>48.085169565470238</v>
      </c>
      <c r="T40" s="59">
        <f ca="1">OFFSET('General Results'!$A$1,15,1+($A40-1)*2)</f>
        <v>1.7464730250444902</v>
      </c>
      <c r="U40" s="74" t="str">
        <f ca="1">IF(OFFSET('General Results'!B$28,,($A40-1)*2)&lt;1,"PASS","FAIL")</f>
        <v>PASS</v>
      </c>
      <c r="V40" s="57">
        <f ca="1">ABS(OFFSET('General Results'!$A$1,16,1+($A40-1)*2))</f>
        <v>147.39098677709688</v>
      </c>
    </row>
    <row r="41" spans="1:22" s="47" customFormat="1" x14ac:dyDescent="0.2">
      <c r="A41" s="53">
        <v>16</v>
      </c>
      <c r="B41" s="56" t="str">
        <f ca="1">OFFSET('General Results'!$A$1,0,1+($A41-1)*2)</f>
        <v>Case016.sim</v>
      </c>
      <c r="C41" s="57">
        <f ca="1">OFFSET('General Results'!$A$1,1,1+($A41-1)*2)</f>
        <v>-378</v>
      </c>
      <c r="D41" s="58">
        <f ca="1">OFFSET('General Results'!$A$1,2,1+($A41-1)*2)</f>
        <v>4.6228401355197226</v>
      </c>
      <c r="E41" s="58">
        <f ca="1">OFFSET('General Results'!$A$1,3,1+($A41-1)*2)</f>
        <v>0</v>
      </c>
      <c r="F41" s="58">
        <f ca="1">OFFSET('General Results'!$A$1,4,1+($A41-1)*2)</f>
        <v>0</v>
      </c>
      <c r="G41" s="58">
        <f ca="1">OFFSET('General Results'!$A$1,5,1+($A41-1)*2)</f>
        <v>0</v>
      </c>
      <c r="H41" s="58">
        <f ca="1">OFFSET('General Results'!$A$1,6,1+($A41-1)*2)</f>
        <v>0</v>
      </c>
      <c r="I41" s="58">
        <f ca="1">OFFSET('General Results'!$A$1,7,1+($A41-1)*2)</f>
        <v>0.76046680271503675</v>
      </c>
      <c r="J41" s="58">
        <f ca="1">OFFSET('General Results'!$A$1,8,1+($A41-1)*2)</f>
        <v>239.4838929304849</v>
      </c>
      <c r="K41" s="58">
        <f ca="1">OFFSET('General Results'!$A$1,9,1+($A41-1)*2)</f>
        <v>148.22663160487141</v>
      </c>
      <c r="L41" s="58">
        <f ca="1">OFFSET('General Results'!B$29,,(A41-1)*2)</f>
        <v>142.49126928488025</v>
      </c>
      <c r="M41" s="58">
        <f ca="1">OFFSET('General Results'!$A$1,10,1+($A41-1)*2)</f>
        <v>4.1895260869363131</v>
      </c>
      <c r="N41" s="87">
        <f ca="1">OFFSET('General Results'!$A$1,11,1+($A41-1)*2)</f>
        <v>305</v>
      </c>
      <c r="O41" s="59">
        <f ca="1">ABS(OFFSET('General Results'!$A$1,12,1+($A41-1)*2))-ABS(OFFSET('General Results'!$A$1,13,1+($A41-1)*2))</f>
        <v>259.47521935491818</v>
      </c>
      <c r="P41" s="59">
        <f t="shared" ca="1" si="0"/>
        <v>45.524780645081819</v>
      </c>
      <c r="Q41" s="81">
        <f t="array" aca="1" ref="Q41" ca="1">IF(SUM($D41:$H41)&gt;0,(MAX(IF((OFFSET('Range Graph Results'!C$4:C$385,,($A41-1)*6)&gt;=0),OFFSET('Range Graph Results'!E$4:E$385,,($A41-1)*6))))/1000,"N/A")</f>
        <v>40.152740636726811</v>
      </c>
      <c r="R41" s="81">
        <f t="array" aca="1" ref="R41" ca="1">(MAX(IF((OFFSET('Range Graph Results'!C$4:C$385,,($A41-1)*6)&lt;0),OFFSET('Range Graph Results'!E$4:E$385,,($A41-1)*6))))/1000</f>
        <v>98.95025283972582</v>
      </c>
      <c r="S41" s="59">
        <f ca="1">(OFFSET('General Results'!$A$1,14,1+($A41-1)*2))-90</f>
        <v>47.197085682115727</v>
      </c>
      <c r="T41" s="59">
        <f ca="1">OFFSET('General Results'!$A$1,15,1+($A41-1)*2)</f>
        <v>1.6874169754091384</v>
      </c>
      <c r="U41" s="74" t="str">
        <f ca="1">IF(OFFSET('General Results'!B$28,,($A41-1)*2)&lt;1,"PASS","FAIL")</f>
        <v>PASS</v>
      </c>
      <c r="V41" s="57">
        <f ca="1">ABS(OFFSET('General Results'!$A$1,16,1+($A41-1)*2))</f>
        <v>151.77940360530596</v>
      </c>
    </row>
    <row r="42" spans="1:22" s="47" customFormat="1" x14ac:dyDescent="0.2">
      <c r="A42" s="53">
        <v>17</v>
      </c>
      <c r="B42" s="56" t="str">
        <f ca="1">OFFSET('General Results'!$A$1,0,1+($A42-1)*2)</f>
        <v>Case017.sim</v>
      </c>
      <c r="C42" s="57">
        <f ca="1">OFFSET('General Results'!$A$1,1,1+($A42-1)*2)</f>
        <v>-379</v>
      </c>
      <c r="D42" s="58">
        <f ca="1">OFFSET('General Results'!$A$1,2,1+($A42-1)*2)</f>
        <v>0</v>
      </c>
      <c r="E42" s="58">
        <f ca="1">OFFSET('General Results'!$A$1,3,1+($A42-1)*2)</f>
        <v>0</v>
      </c>
      <c r="F42" s="58">
        <f ca="1">OFFSET('General Results'!$A$1,4,1+($A42-1)*2)</f>
        <v>0</v>
      </c>
      <c r="G42" s="58">
        <f ca="1">OFFSET('General Results'!$A$1,5,1+($A42-1)*2)</f>
        <v>0</v>
      </c>
      <c r="H42" s="58">
        <f ca="1">OFFSET('General Results'!$A$1,6,1+($A42-1)*2)</f>
        <v>0</v>
      </c>
      <c r="I42" s="58">
        <f ca="1">OFFSET('General Results'!$A$1,7,1+($A42-1)*2)</f>
        <v>1.0316351639330268</v>
      </c>
      <c r="J42" s="58">
        <f ca="1">OFFSET('General Results'!$A$1,8,1+($A42-1)*2)</f>
        <v>247.78343294461331</v>
      </c>
      <c r="K42" s="58">
        <f ca="1">OFFSET('General Results'!$A$1,9,1+($A42-1)*2)</f>
        <v>156.52733974485136</v>
      </c>
      <c r="L42" s="58">
        <f ca="1">OFFSET('General Results'!B$29,,(A42-1)*2)</f>
        <v>151.42752496106195</v>
      </c>
      <c r="M42" s="58">
        <f ca="1">OFFSET('General Results'!$A$1,10,1+($A42-1)*2)</f>
        <v>2.3938444514206623</v>
      </c>
      <c r="N42" s="87">
        <f ca="1">OFFSET('General Results'!$A$1,11,1+($A42-1)*2)</f>
        <v>311</v>
      </c>
      <c r="O42" s="59">
        <f ca="1">ABS(OFFSET('General Results'!$A$1,12,1+($A42-1)*2))-ABS(OFFSET('General Results'!$A$1,13,1+($A42-1)*2))</f>
        <v>266.47532317941727</v>
      </c>
      <c r="P42" s="59">
        <f t="shared" ca="1" si="0"/>
        <v>44.524676820582727</v>
      </c>
      <c r="Q42" s="81" t="str">
        <f t="array" aca="1" ref="Q42" ca="1">IF(SUM($D42:$H42)&gt;0,(MAX(IF((OFFSET('Range Graph Results'!C$4:C$385,,($A42-1)*6)&gt;=0),OFFSET('Range Graph Results'!E$4:E$385,,($A42-1)*6))))/1000,"N/A")</f>
        <v>N/A</v>
      </c>
      <c r="R42" s="81">
        <f t="array" aca="1" ref="R42" ca="1">(MAX(IF((OFFSET('Range Graph Results'!C$4:C$385,,($A42-1)*6)&lt;0),OFFSET('Range Graph Results'!E$4:E$385,,($A42-1)*6))))/1000</f>
        <v>95.837062292131833</v>
      </c>
      <c r="S42" s="59">
        <f ca="1">(OFFSET('General Results'!$A$1,14,1+($A42-1)*2))-90</f>
        <v>46.322953645242109</v>
      </c>
      <c r="T42" s="59">
        <f ca="1">OFFSET('General Results'!$A$1,15,1+($A42-1)*2)</f>
        <v>1.5616782191787402</v>
      </c>
      <c r="U42" s="74" t="str">
        <f ca="1">IF(OFFSET('General Results'!B$28,,($A42-1)*2)&lt;1,"PASS","FAIL")</f>
        <v>PASS</v>
      </c>
      <c r="V42" s="57">
        <f ca="1">ABS(OFFSET('General Results'!$A$1,16,1+($A42-1)*2))</f>
        <v>156.53640645780706</v>
      </c>
    </row>
    <row r="43" spans="1:22" s="47" customFormat="1" x14ac:dyDescent="0.2">
      <c r="A43" s="53">
        <v>18</v>
      </c>
      <c r="B43" s="56" t="str">
        <f ca="1">OFFSET('General Results'!$A$1,0,1+($A43-1)*2)</f>
        <v>Case018.sim</v>
      </c>
      <c r="C43" s="57">
        <f ca="1">OFFSET('General Results'!$A$1,1,1+($A43-1)*2)</f>
        <v>-380</v>
      </c>
      <c r="D43" s="58">
        <f ca="1">OFFSET('General Results'!$A$1,2,1+($A43-1)*2)</f>
        <v>0</v>
      </c>
      <c r="E43" s="58">
        <f ca="1">OFFSET('General Results'!$A$1,3,1+($A43-1)*2)</f>
        <v>0</v>
      </c>
      <c r="F43" s="58">
        <f ca="1">OFFSET('General Results'!$A$1,4,1+($A43-1)*2)</f>
        <v>0</v>
      </c>
      <c r="G43" s="58">
        <f ca="1">OFFSET('General Results'!$A$1,5,1+($A43-1)*2)</f>
        <v>0</v>
      </c>
      <c r="H43" s="58">
        <f ca="1">OFFSET('General Results'!$A$1,6,1+($A43-1)*2)</f>
        <v>0</v>
      </c>
      <c r="I43" s="58">
        <f ca="1">OFFSET('General Results'!$A$1,7,1+($A43-1)*2)</f>
        <v>1.3336975753412785</v>
      </c>
      <c r="J43" s="58">
        <f ca="1">OFFSET('General Results'!$A$1,8,1+($A43-1)*2)</f>
        <v>256.49743379957135</v>
      </c>
      <c r="K43" s="58">
        <f ca="1">OFFSET('General Results'!$A$1,9,1+($A43-1)*2)</f>
        <v>165.28191588546537</v>
      </c>
      <c r="L43" s="58">
        <f ca="1">OFFSET('General Results'!B$29,,(A43-1)*2)</f>
        <v>160.84384175315827</v>
      </c>
      <c r="M43" s="58">
        <f ca="1">OFFSET('General Results'!$A$1,10,1+($A43-1)*2)</f>
        <v>25.047462846626082</v>
      </c>
      <c r="N43" s="87">
        <f ca="1">OFFSET('General Results'!$A$1,11,1+($A43-1)*2)</f>
        <v>318</v>
      </c>
      <c r="O43" s="59">
        <f ca="1">ABS(OFFSET('General Results'!$A$1,12,1+($A43-1)*2))-ABS(OFFSET('General Results'!$A$1,13,1+($A43-1)*2))</f>
        <v>274.47552962660285</v>
      </c>
      <c r="P43" s="59">
        <f t="shared" ca="1" si="0"/>
        <v>43.524470373397151</v>
      </c>
      <c r="Q43" s="81" t="str">
        <f t="array" aca="1" ref="Q43" ca="1">IF(SUM($D43:$H43)&gt;0,(MAX(IF((OFFSET('Range Graph Results'!C$4:C$385,,($A43-1)*6)&gt;=0),OFFSET('Range Graph Results'!E$4:E$385,,($A43-1)*6))))/1000,"N/A")</f>
        <v>N/A</v>
      </c>
      <c r="R43" s="81">
        <f t="array" aca="1" ref="R43" ca="1">(MAX(IF((OFFSET('Range Graph Results'!C$4:C$385,,($A43-1)*6)&lt;0),OFFSET('Range Graph Results'!E$4:E$385,,($A43-1)*6))))/1000</f>
        <v>98.604387583524215</v>
      </c>
      <c r="S43" s="59">
        <f ca="1">(OFFSET('General Results'!$A$1,14,1+($A43-1)*2))-90</f>
        <v>45.453563827359318</v>
      </c>
      <c r="T43" s="59">
        <f ca="1">OFFSET('General Results'!$A$1,15,1+($A43-1)*2)</f>
        <v>1.4053526868845072</v>
      </c>
      <c r="U43" s="74" t="str">
        <f ca="1">IF(OFFSET('General Results'!B$28,,($A43-1)*2)&lt;1,"PASS","FAIL")</f>
        <v>PASS</v>
      </c>
      <c r="V43" s="57">
        <f ca="1">ABS(OFFSET('General Results'!$A$1,16,1+($A43-1)*2))</f>
        <v>165.29074411790253</v>
      </c>
    </row>
    <row r="46" spans="1:22" x14ac:dyDescent="0.2">
      <c r="B46" s="50"/>
      <c r="P46" s="67"/>
    </row>
    <row r="47" spans="1:22" x14ac:dyDescent="0.2">
      <c r="B47" s="50"/>
    </row>
    <row r="48" spans="1:22" x14ac:dyDescent="0.2">
      <c r="B48" s="50"/>
    </row>
    <row r="49" spans="2:2" x14ac:dyDescent="0.2">
      <c r="B49" s="50"/>
    </row>
    <row r="50" spans="2:2" x14ac:dyDescent="0.2">
      <c r="B50" s="50"/>
    </row>
    <row r="51" spans="2:2" x14ac:dyDescent="0.2">
      <c r="B51" s="50"/>
    </row>
    <row r="52" spans="2:2" x14ac:dyDescent="0.2">
      <c r="B52" s="50"/>
    </row>
    <row r="53" spans="2:2" x14ac:dyDescent="0.2">
      <c r="B53" s="50"/>
    </row>
    <row r="54" spans="2:2" x14ac:dyDescent="0.2">
      <c r="B54" s="50"/>
    </row>
    <row r="55" spans="2:2" x14ac:dyDescent="0.2">
      <c r="B55" s="50"/>
    </row>
    <row r="56" spans="2:2" x14ac:dyDescent="0.2">
      <c r="B56" s="50"/>
    </row>
    <row r="57" spans="2:2" x14ac:dyDescent="0.2">
      <c r="B57" s="50"/>
    </row>
    <row r="58" spans="2:2" x14ac:dyDescent="0.2">
      <c r="B58" s="50"/>
    </row>
  </sheetData>
  <mergeCells count="19">
    <mergeCell ref="E4:V20"/>
    <mergeCell ref="B2:V2"/>
    <mergeCell ref="V23:V24"/>
    <mergeCell ref="B4:C4"/>
    <mergeCell ref="B15:C15"/>
    <mergeCell ref="U23:U25"/>
    <mergeCell ref="B23:B25"/>
    <mergeCell ref="D23:H23"/>
    <mergeCell ref="J23:K23"/>
    <mergeCell ref="C23:C24"/>
    <mergeCell ref="I23:I24"/>
    <mergeCell ref="M23:M24"/>
    <mergeCell ref="T23:T24"/>
    <mergeCell ref="N23:N24"/>
    <mergeCell ref="O23:O24"/>
    <mergeCell ref="S23:S24"/>
    <mergeCell ref="Q23:R23"/>
    <mergeCell ref="P23:P24"/>
    <mergeCell ref="L23:L24"/>
  </mergeCells>
  <conditionalFormatting sqref="J26:J43">
    <cfRule type="expression" dxfId="17" priority="10">
      <formula>$J26&lt;$C$17</formula>
    </cfRule>
    <cfRule type="expression" dxfId="16" priority="11">
      <formula>$J26&gt;$C$16</formula>
    </cfRule>
  </conditionalFormatting>
  <conditionalFormatting sqref="U26:U43">
    <cfRule type="expression" dxfId="15" priority="4">
      <formula>$U26="FAIL"</formula>
    </cfRule>
  </conditionalFormatting>
  <conditionalFormatting sqref="V26:V43">
    <cfRule type="expression" dxfId="14" priority="3">
      <formula>$V26&gt;$C$18</formula>
    </cfRule>
  </conditionalFormatting>
  <conditionalFormatting sqref="T26:T43">
    <cfRule type="expression" dxfId="13" priority="2">
      <formula>$T26&lt;=0</formula>
    </cfRule>
  </conditionalFormatting>
  <conditionalFormatting sqref="B26:V43">
    <cfRule type="containsBlanks" dxfId="12" priority="16">
      <formula>LEN(TRIM(B26))=0</formula>
    </cfRule>
    <cfRule type="expression" dxfId="11" priority="25">
      <formula>NOT(AND($J26&lt;=$C$16,$K26&lt;=$C$16,$J26&gt;=$C$17,$K26&gt;=$C$17,$R26&lt;=$C$19,$U26="PASS",$V26&lt;=$C$18,$T26&gt;0,$L26&gt;=$C$17))</formula>
    </cfRule>
    <cfRule type="expression" dxfId="10" priority="27">
      <formula>NOT(OR($Q26&lt;=$C$20,$Q26="N/A"))</formula>
    </cfRule>
  </conditionalFormatting>
  <conditionalFormatting sqref="Q26:Q43">
    <cfRule type="expression" dxfId="9" priority="18">
      <formula>NOT(OR($Q26&lt;=$C$20,$Q26="N/A"))</formula>
    </cfRule>
    <cfRule type="expression" priority="26">
      <formula>$Q26="N/A"</formula>
    </cfRule>
  </conditionalFormatting>
  <conditionalFormatting sqref="R26:R43">
    <cfRule type="expression" dxfId="8" priority="17">
      <formula>$R26&gt;$C$19</formula>
    </cfRule>
  </conditionalFormatting>
  <conditionalFormatting sqref="L26:L43">
    <cfRule type="expression" dxfId="7" priority="1">
      <formula>$L26&lt;$C$17</formula>
    </cfRule>
  </conditionalFormatting>
  <conditionalFormatting sqref="K26:K43">
    <cfRule type="expression" dxfId="6" priority="8">
      <formula>$K26&lt;$C$17</formula>
    </cfRule>
    <cfRule type="expression" dxfId="5" priority="9">
      <formula>$K26&gt;$C$16</formula>
    </cfRule>
  </conditionalFormatting>
  <pageMargins left="0.70866141732283472" right="0.70866141732283472" top="0.74803149606299213" bottom="0.74803149606299213" header="0.31496062992125984" footer="0.31496062992125984"/>
  <pageSetup paperSize="9" scale="57" orientation="landscape" cellComments="asDisplayed"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X240"/>
  <sheetViews>
    <sheetView workbookViewId="0">
      <selection activeCell="B16" sqref="B16"/>
    </sheetView>
  </sheetViews>
  <sheetFormatPr defaultRowHeight="12.75" x14ac:dyDescent="0.2"/>
  <cols>
    <col min="1" max="1" width="40.28515625" customWidth="1"/>
    <col min="2" max="2" width="24.42578125" bestFit="1" customWidth="1"/>
    <col min="3" max="3" width="21.42578125" bestFit="1" customWidth="1"/>
    <col min="4" max="8" width="24.42578125" bestFit="1" customWidth="1"/>
    <col min="9" max="9" width="20" bestFit="1" customWidth="1"/>
    <col min="10" max="10" width="12.140625" bestFit="1" customWidth="1"/>
    <col min="11" max="11" width="15.28515625" bestFit="1" customWidth="1"/>
    <col min="12" max="12" width="17.85546875" bestFit="1" customWidth="1"/>
    <col min="13" max="13" width="18.28515625" bestFit="1" customWidth="1"/>
    <col min="14" max="14" width="19.7109375" bestFit="1" customWidth="1"/>
    <col min="15" max="15" width="16.42578125" bestFit="1" customWidth="1"/>
    <col min="16" max="16" width="20.5703125" bestFit="1" customWidth="1"/>
    <col min="17" max="17" width="19.5703125" bestFit="1" customWidth="1"/>
    <col min="18" max="22" width="27.5703125" bestFit="1" customWidth="1"/>
    <col min="27" max="27" width="12.7109375" customWidth="1"/>
    <col min="28" max="28" width="29" customWidth="1"/>
    <col min="29" max="29" width="28.42578125" customWidth="1"/>
    <col min="30" max="30" width="26.5703125" customWidth="1"/>
    <col min="32" max="32" width="33.42578125" customWidth="1"/>
    <col min="33" max="33" width="15.28515625" style="39" customWidth="1"/>
    <col min="34" max="34" width="15.7109375" style="39" customWidth="1"/>
    <col min="35" max="35" width="22.28515625" customWidth="1"/>
    <col min="36" max="36" width="19.5703125" customWidth="1"/>
    <col min="68" max="68" width="14.28515625" customWidth="1"/>
    <col min="69" max="69" width="16" customWidth="1"/>
    <col min="70" max="70" width="28.5703125" customWidth="1"/>
    <col min="71" max="71" width="23.5703125" customWidth="1"/>
    <col min="103" max="103" width="13.85546875" customWidth="1"/>
    <col min="104" max="104" width="16.42578125" customWidth="1"/>
    <col min="105" max="105" width="19.28515625" customWidth="1"/>
    <col min="106" max="106" width="18.140625" customWidth="1"/>
    <col min="138" max="138" width="16.42578125" customWidth="1"/>
    <col min="139" max="139" width="15.7109375" customWidth="1"/>
    <col min="140" max="140" width="19.28515625" customWidth="1"/>
    <col min="141" max="141" width="20.5703125" customWidth="1"/>
    <col min="173" max="173" width="19.42578125" customWidth="1"/>
    <col min="174" max="174" width="17.85546875" customWidth="1"/>
    <col min="175" max="175" width="18.42578125" customWidth="1"/>
    <col min="176" max="176" width="20.85546875" customWidth="1"/>
    <col min="208" max="208" width="15.5703125" customWidth="1"/>
    <col min="209" max="209" width="18.28515625" customWidth="1"/>
    <col min="210" max="210" width="20.140625" customWidth="1"/>
    <col min="211" max="211" width="19.7109375" customWidth="1"/>
    <col min="243" max="243" width="13.5703125" customWidth="1"/>
    <col min="244" max="244" width="14" customWidth="1"/>
    <col min="245" max="245" width="16.7109375" customWidth="1"/>
    <col min="246" max="246" width="20.7109375" customWidth="1"/>
    <col min="278" max="278" width="14.85546875" customWidth="1"/>
    <col min="279" max="279" width="11.85546875" customWidth="1"/>
    <col min="280" max="280" width="17.140625" customWidth="1"/>
    <col min="281" max="281" width="17.85546875" customWidth="1"/>
    <col min="313" max="314" width="14.85546875" customWidth="1"/>
    <col min="315" max="315" width="20.42578125" customWidth="1"/>
    <col min="316" max="316" width="18.85546875" customWidth="1"/>
    <col min="348" max="348" width="13.28515625" customWidth="1"/>
    <col min="349" max="349" width="14.28515625" customWidth="1"/>
    <col min="350" max="350" width="15.140625" customWidth="1"/>
    <col min="351" max="351" width="18.5703125" customWidth="1"/>
    <col min="383" max="383" width="16.85546875" customWidth="1"/>
    <col min="384" max="384" width="17.42578125" customWidth="1"/>
    <col min="385" max="385" width="19.140625" customWidth="1"/>
    <col min="386" max="386" width="19.28515625" customWidth="1"/>
    <col min="418" max="418" width="16" bestFit="1" customWidth="1"/>
    <col min="419" max="419" width="15.7109375" bestFit="1" customWidth="1"/>
    <col min="420" max="420" width="22.5703125" customWidth="1"/>
    <col min="421" max="421" width="18.5703125" bestFit="1" customWidth="1"/>
    <col min="453" max="453" width="16" bestFit="1" customWidth="1"/>
    <col min="454" max="454" width="15.7109375" bestFit="1" customWidth="1"/>
    <col min="455" max="455" width="19.85546875" customWidth="1"/>
    <col min="456" max="456" width="18.5703125" bestFit="1" customWidth="1"/>
    <col min="488" max="488" width="16" bestFit="1" customWidth="1"/>
    <col min="489" max="489" width="15.7109375" bestFit="1" customWidth="1"/>
    <col min="490" max="490" width="23.28515625" customWidth="1"/>
    <col min="491" max="491" width="18.5703125" bestFit="1" customWidth="1"/>
    <col min="523" max="523" width="16" bestFit="1" customWidth="1"/>
    <col min="524" max="524" width="15.7109375" bestFit="1" customWidth="1"/>
    <col min="525" max="525" width="19.85546875" customWidth="1"/>
    <col min="526" max="526" width="18.5703125" customWidth="1"/>
    <col min="558" max="558" width="16" bestFit="1" customWidth="1"/>
    <col min="559" max="559" width="15.7109375" bestFit="1" customWidth="1"/>
    <col min="560" max="560" width="21.28515625" customWidth="1"/>
  </cols>
  <sheetData>
    <row r="1" spans="1:700" x14ac:dyDescent="0.2">
      <c r="A1" s="44"/>
      <c r="B1" s="44" t="s">
        <v>272</v>
      </c>
      <c r="C1" s="44"/>
      <c r="D1" s="44" t="s">
        <v>273</v>
      </c>
      <c r="E1" s="44"/>
      <c r="F1" s="44" t="s">
        <v>274</v>
      </c>
      <c r="G1" s="44"/>
      <c r="H1" s="44" t="s">
        <v>275</v>
      </c>
      <c r="I1" s="44"/>
      <c r="J1" s="44" t="s">
        <v>276</v>
      </c>
      <c r="K1" s="44"/>
      <c r="L1" s="44" t="s">
        <v>277</v>
      </c>
      <c r="M1" s="44"/>
      <c r="N1" s="44" t="s">
        <v>278</v>
      </c>
      <c r="O1" s="44"/>
      <c r="P1" s="44" t="s">
        <v>279</v>
      </c>
      <c r="Q1" s="44"/>
      <c r="R1" s="44" t="s">
        <v>280</v>
      </c>
      <c r="S1" s="44"/>
      <c r="T1" s="44" t="s">
        <v>281</v>
      </c>
      <c r="U1" s="44"/>
      <c r="V1" s="44" t="s">
        <v>282</v>
      </c>
      <c r="W1" s="44"/>
      <c r="X1" s="44" t="s">
        <v>283</v>
      </c>
      <c r="Y1" s="44"/>
      <c r="Z1" s="44" t="s">
        <v>284</v>
      </c>
      <c r="AA1" s="44"/>
      <c r="AB1" s="44" t="s">
        <v>285</v>
      </c>
      <c r="AC1" s="44"/>
      <c r="AD1" s="44" t="s">
        <v>286</v>
      </c>
      <c r="AE1" s="44"/>
      <c r="AF1" s="44" t="s">
        <v>287</v>
      </c>
      <c r="AG1" s="44"/>
      <c r="AH1" s="44" t="s">
        <v>288</v>
      </c>
      <c r="AI1" s="44"/>
      <c r="AJ1" s="44" t="s">
        <v>289</v>
      </c>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S1" s="44"/>
      <c r="DT1" s="44"/>
      <c r="DU1" s="44"/>
      <c r="DV1" s="44"/>
      <c r="DW1" s="44"/>
      <c r="DX1" s="44"/>
      <c r="DY1" s="44"/>
      <c r="DZ1" s="44"/>
      <c r="EA1" s="44"/>
      <c r="EB1" s="44"/>
      <c r="EC1" s="44"/>
      <c r="ED1" s="44"/>
      <c r="EE1" s="44"/>
      <c r="EF1" s="44"/>
      <c r="EG1" s="44"/>
      <c r="EH1" s="44"/>
      <c r="EI1" s="44"/>
      <c r="EJ1" s="44"/>
      <c r="EK1" s="44"/>
      <c r="EL1" s="44"/>
      <c r="EM1" s="44"/>
      <c r="EN1" s="44"/>
      <c r="EO1" s="44"/>
      <c r="EP1" s="44"/>
      <c r="EQ1" s="44"/>
      <c r="ER1" s="44"/>
      <c r="ES1" s="44"/>
      <c r="ET1" s="44"/>
      <c r="EU1" s="44"/>
      <c r="EV1" s="44"/>
      <c r="EW1" s="44"/>
      <c r="EX1" s="44"/>
      <c r="EY1" s="44"/>
      <c r="EZ1" s="44"/>
      <c r="FA1" s="44"/>
      <c r="FB1" s="44"/>
      <c r="FC1" s="44"/>
      <c r="FD1" s="44"/>
      <c r="FE1" s="44"/>
      <c r="FF1" s="44"/>
      <c r="FG1" s="44"/>
      <c r="FH1" s="44"/>
      <c r="FI1" s="44"/>
      <c r="FJ1" s="44"/>
      <c r="FK1" s="44"/>
      <c r="FL1" s="44"/>
      <c r="FM1" s="44"/>
      <c r="FN1" s="44"/>
      <c r="FO1" s="44"/>
      <c r="FP1" s="44"/>
      <c r="FQ1" s="44"/>
      <c r="FR1" s="44"/>
      <c r="FS1" s="44"/>
      <c r="FT1" s="44"/>
      <c r="FU1" s="44"/>
      <c r="FV1" s="44"/>
      <c r="FW1" s="44"/>
      <c r="FX1" s="44"/>
      <c r="FY1" s="44"/>
      <c r="FZ1" s="44"/>
      <c r="GA1" s="44"/>
      <c r="GB1" s="44"/>
      <c r="GC1" s="44"/>
      <c r="GD1" s="44"/>
      <c r="GE1" s="44"/>
      <c r="GF1" s="44"/>
      <c r="GG1" s="44"/>
      <c r="GH1" s="44"/>
      <c r="GI1" s="44"/>
      <c r="GJ1" s="44"/>
      <c r="GK1" s="44"/>
      <c r="GL1" s="44"/>
      <c r="GM1" s="44"/>
      <c r="GN1" s="44"/>
      <c r="GO1" s="44"/>
      <c r="GP1" s="44"/>
      <c r="GQ1" s="44"/>
      <c r="GR1" s="44"/>
      <c r="GS1" s="44"/>
      <c r="GT1" s="44"/>
      <c r="GU1" s="44"/>
      <c r="GV1" s="44"/>
      <c r="GW1" s="44"/>
      <c r="GX1" s="44"/>
      <c r="GY1" s="44"/>
      <c r="GZ1" s="44"/>
      <c r="HA1" s="44"/>
      <c r="HB1" s="44"/>
      <c r="HC1" s="44"/>
      <c r="HD1" s="44"/>
      <c r="HE1" s="44"/>
      <c r="HF1" s="44"/>
      <c r="HG1" s="44"/>
      <c r="HH1" s="44"/>
      <c r="HI1" s="44"/>
      <c r="HJ1" s="44"/>
      <c r="HK1" s="44"/>
      <c r="HL1" s="44"/>
      <c r="HM1" s="44"/>
      <c r="HN1" s="44"/>
      <c r="HO1" s="44"/>
      <c r="HP1" s="44"/>
      <c r="HQ1" s="44"/>
      <c r="HR1" s="44"/>
      <c r="HS1" s="44"/>
      <c r="HT1" s="44"/>
      <c r="HU1" s="44"/>
      <c r="HV1" s="44"/>
      <c r="HW1" s="44"/>
      <c r="HX1" s="44"/>
      <c r="HY1" s="44"/>
      <c r="HZ1" s="44"/>
      <c r="IA1" s="44"/>
      <c r="IB1" s="44"/>
      <c r="IC1" s="44"/>
      <c r="ID1" s="44"/>
      <c r="IE1" s="44"/>
      <c r="IF1" s="44"/>
      <c r="IG1" s="44"/>
      <c r="IH1" s="44"/>
      <c r="II1" s="44"/>
      <c r="IJ1" s="44"/>
      <c r="IK1" s="44"/>
      <c r="IL1" s="44"/>
      <c r="IM1" s="44"/>
      <c r="IN1" s="44"/>
      <c r="IO1" s="44"/>
      <c r="IP1" s="44"/>
      <c r="IQ1" s="44"/>
      <c r="IR1" s="44"/>
      <c r="IS1" s="44"/>
      <c r="IT1" s="44"/>
      <c r="IU1" s="44"/>
      <c r="IV1" s="44"/>
      <c r="IW1" s="44"/>
      <c r="IX1" s="44"/>
      <c r="IY1" s="44"/>
      <c r="IZ1" s="44"/>
      <c r="JA1" s="44"/>
      <c r="JB1" s="44"/>
      <c r="JC1" s="44"/>
      <c r="JD1" s="44"/>
      <c r="JE1" s="44"/>
      <c r="JF1" s="44"/>
      <c r="JG1" s="44"/>
      <c r="JH1" s="44"/>
      <c r="JI1" s="44"/>
      <c r="JJ1" s="44"/>
      <c r="JK1" s="44"/>
      <c r="JL1" s="44"/>
      <c r="JM1" s="44"/>
      <c r="JN1" s="44"/>
      <c r="JO1" s="44"/>
      <c r="JP1" s="44"/>
      <c r="JQ1" s="44"/>
      <c r="JR1" s="44"/>
      <c r="JS1" s="44"/>
      <c r="JT1" s="44"/>
      <c r="JU1" s="44"/>
      <c r="JV1" s="44"/>
      <c r="JW1" s="44"/>
      <c r="JX1" s="44"/>
      <c r="JY1" s="44"/>
      <c r="JZ1" s="44"/>
      <c r="KA1" s="44"/>
      <c r="KB1" s="44"/>
      <c r="KC1" s="44"/>
      <c r="KD1" s="44"/>
      <c r="KE1" s="44"/>
      <c r="KF1" s="44"/>
      <c r="KG1" s="44"/>
      <c r="KH1" s="44"/>
      <c r="KI1" s="44"/>
      <c r="KJ1" s="44"/>
      <c r="KK1" s="44"/>
      <c r="KL1" s="44"/>
      <c r="KM1" s="44"/>
      <c r="KN1" s="44"/>
      <c r="KO1" s="44"/>
      <c r="KP1" s="44"/>
      <c r="KQ1" s="44"/>
      <c r="KR1" s="44"/>
      <c r="KS1" s="44"/>
      <c r="KT1" s="44"/>
      <c r="KU1" s="44"/>
      <c r="KV1" s="44"/>
      <c r="KW1" s="44"/>
      <c r="KX1" s="44"/>
      <c r="KY1" s="44"/>
      <c r="KZ1" s="44"/>
      <c r="LA1" s="44"/>
      <c r="LB1" s="44"/>
      <c r="LC1" s="44"/>
      <c r="LD1" s="44"/>
      <c r="LE1" s="44"/>
      <c r="LF1" s="44"/>
      <c r="LG1" s="44"/>
      <c r="LH1" s="44"/>
      <c r="LI1" s="44"/>
      <c r="LJ1" s="44"/>
      <c r="LK1" s="44"/>
      <c r="LL1" s="44"/>
      <c r="LM1" s="44"/>
      <c r="LN1" s="44"/>
      <c r="LO1" s="44"/>
      <c r="LP1" s="44"/>
      <c r="LQ1" s="44"/>
      <c r="LR1" s="44"/>
      <c r="LS1" s="44"/>
      <c r="LT1" s="44"/>
      <c r="LU1" s="44"/>
      <c r="LV1" s="44"/>
      <c r="LW1" s="44"/>
      <c r="LX1" s="44"/>
      <c r="LY1" s="44"/>
      <c r="LZ1" s="44"/>
      <c r="MA1" s="44"/>
      <c r="MB1" s="44"/>
      <c r="MC1" s="44"/>
      <c r="MD1" s="44"/>
      <c r="ME1" s="44"/>
      <c r="MF1" s="44"/>
      <c r="MG1" s="44"/>
      <c r="MH1" s="44"/>
      <c r="MI1" s="44"/>
      <c r="MJ1" s="44"/>
      <c r="MK1" s="44"/>
      <c r="ML1" s="44"/>
      <c r="MM1" s="44"/>
      <c r="MN1" s="44"/>
      <c r="MO1" s="44"/>
      <c r="MP1" s="44"/>
      <c r="MQ1" s="44"/>
      <c r="MR1" s="44"/>
      <c r="MS1" s="44"/>
      <c r="MT1" s="44"/>
      <c r="MU1" s="44"/>
      <c r="MV1" s="44"/>
      <c r="MW1" s="44"/>
      <c r="MX1" s="44"/>
      <c r="MY1" s="44"/>
      <c r="MZ1" s="44"/>
      <c r="NA1" s="44"/>
      <c r="NB1" s="44"/>
      <c r="NC1" s="44"/>
      <c r="ND1" s="44"/>
      <c r="NE1" s="44"/>
      <c r="NF1" s="44"/>
      <c r="NG1" s="44"/>
      <c r="NH1" s="44"/>
      <c r="NI1" s="44"/>
      <c r="NJ1" s="44"/>
      <c r="NK1" s="44"/>
      <c r="NL1" s="44"/>
      <c r="NM1" s="44"/>
      <c r="NN1" s="44"/>
      <c r="NO1" s="44"/>
      <c r="NP1" s="44"/>
      <c r="NQ1" s="44"/>
      <c r="NR1" s="44"/>
      <c r="NS1" s="44"/>
      <c r="NT1" s="44"/>
      <c r="NU1" s="44"/>
      <c r="NV1" s="44"/>
      <c r="NW1" s="44"/>
      <c r="NX1" s="44"/>
      <c r="NY1" s="44"/>
      <c r="NZ1" s="44"/>
      <c r="OA1" s="44"/>
      <c r="OB1" s="44"/>
      <c r="OC1" s="44"/>
      <c r="OD1" s="44"/>
      <c r="OE1" s="44"/>
      <c r="OF1" s="44"/>
      <c r="OG1" s="44"/>
      <c r="OH1" s="44"/>
      <c r="OI1" s="44"/>
      <c r="OJ1" s="44"/>
      <c r="OK1" s="44"/>
      <c r="OL1" s="44"/>
      <c r="OM1" s="44"/>
      <c r="ON1" s="44"/>
      <c r="OO1" s="44"/>
      <c r="OP1" s="44"/>
      <c r="OQ1" s="44"/>
      <c r="OR1" s="44"/>
      <c r="OS1" s="44"/>
      <c r="OT1" s="44"/>
      <c r="OU1" s="44"/>
      <c r="OV1" s="44"/>
      <c r="OW1" s="44"/>
      <c r="OX1" s="44"/>
      <c r="OY1" s="44"/>
      <c r="OZ1" s="44"/>
      <c r="PA1" s="44"/>
      <c r="PB1" s="44"/>
      <c r="PC1" s="44"/>
      <c r="PD1" s="44"/>
      <c r="PE1" s="44"/>
      <c r="PF1" s="44"/>
      <c r="PG1" s="44"/>
      <c r="PH1" s="44"/>
      <c r="PI1" s="44"/>
      <c r="PJ1" s="44"/>
      <c r="PK1" s="44"/>
      <c r="PL1" s="44"/>
      <c r="PM1" s="44"/>
      <c r="PN1" s="44"/>
      <c r="PO1" s="44"/>
      <c r="PP1" s="44"/>
      <c r="PQ1" s="44"/>
      <c r="PR1" s="44"/>
      <c r="PS1" s="44"/>
      <c r="PT1" s="44"/>
      <c r="PU1" s="44"/>
      <c r="PV1" s="44"/>
      <c r="PW1" s="44"/>
      <c r="PX1" s="44"/>
      <c r="PY1" s="44"/>
      <c r="PZ1" s="44"/>
      <c r="QA1" s="44"/>
      <c r="QB1" s="44"/>
      <c r="QC1" s="44"/>
      <c r="QD1" s="44"/>
      <c r="QE1" s="44"/>
      <c r="QF1" s="44"/>
      <c r="QG1" s="44"/>
      <c r="QH1" s="44"/>
      <c r="QI1" s="44"/>
      <c r="QJ1" s="44"/>
      <c r="QK1" s="44"/>
      <c r="QL1" s="44"/>
      <c r="QM1" s="44"/>
      <c r="QN1" s="44"/>
      <c r="QO1" s="44"/>
      <c r="QP1" s="44"/>
      <c r="QQ1" s="44"/>
      <c r="QR1" s="44"/>
      <c r="QS1" s="44"/>
      <c r="QT1" s="44"/>
      <c r="QU1" s="44"/>
      <c r="QV1" s="44"/>
      <c r="QW1" s="44"/>
      <c r="QX1" s="44"/>
      <c r="QY1" s="44"/>
      <c r="QZ1" s="44"/>
      <c r="RA1" s="44"/>
      <c r="RB1" s="44"/>
      <c r="RC1" s="44"/>
      <c r="RD1" s="44"/>
      <c r="RE1" s="44"/>
      <c r="RF1" s="44"/>
      <c r="RG1" s="44"/>
      <c r="RH1" s="44"/>
      <c r="RI1" s="44"/>
      <c r="RJ1" s="44"/>
      <c r="RK1" s="44"/>
      <c r="RL1" s="44"/>
      <c r="RM1" s="44"/>
      <c r="RN1" s="44"/>
      <c r="RO1" s="44"/>
      <c r="RP1" s="44"/>
      <c r="RQ1" s="44"/>
      <c r="RR1" s="44"/>
      <c r="RS1" s="44"/>
      <c r="RT1" s="44"/>
      <c r="RU1" s="44"/>
      <c r="RV1" s="44"/>
      <c r="RW1" s="44"/>
      <c r="RX1" s="44"/>
      <c r="RY1" s="44"/>
      <c r="RZ1" s="44"/>
      <c r="SA1" s="44"/>
      <c r="SB1" s="44"/>
      <c r="SC1" s="44"/>
      <c r="SD1" s="44"/>
      <c r="SE1" s="44"/>
      <c r="SF1" s="44"/>
      <c r="SG1" s="44"/>
      <c r="SH1" s="44"/>
      <c r="SI1" s="44"/>
      <c r="SJ1" s="44"/>
      <c r="SK1" s="44"/>
      <c r="SL1" s="44"/>
      <c r="SM1" s="44"/>
      <c r="SN1" s="44"/>
      <c r="SO1" s="44"/>
      <c r="SP1" s="44"/>
      <c r="SQ1" s="44"/>
      <c r="SR1" s="44"/>
      <c r="SS1" s="44"/>
      <c r="ST1" s="44"/>
      <c r="SU1" s="44"/>
      <c r="SV1" s="44"/>
      <c r="SW1" s="44"/>
      <c r="SX1" s="44"/>
      <c r="SY1" s="44"/>
      <c r="SZ1" s="44"/>
      <c r="TA1" s="44"/>
      <c r="TB1" s="44"/>
      <c r="TC1" s="44"/>
      <c r="TD1" s="44"/>
      <c r="TE1" s="44"/>
      <c r="TF1" s="44"/>
      <c r="TG1" s="44"/>
      <c r="TH1" s="44"/>
      <c r="TI1" s="44"/>
      <c r="TJ1" s="44"/>
      <c r="TK1" s="44"/>
      <c r="TL1" s="44"/>
      <c r="TM1" s="44"/>
      <c r="TN1" s="44"/>
      <c r="TO1" s="44"/>
      <c r="TP1" s="44"/>
      <c r="TQ1" s="44"/>
      <c r="TR1" s="44"/>
      <c r="TS1" s="44"/>
      <c r="TT1" s="44"/>
      <c r="TU1" s="44"/>
      <c r="TV1" s="44"/>
      <c r="TW1" s="44"/>
      <c r="TX1" s="44"/>
      <c r="TY1" s="44"/>
      <c r="TZ1" s="44"/>
      <c r="UA1" s="44"/>
      <c r="UB1" s="44"/>
      <c r="UC1" s="44"/>
      <c r="UD1" s="44"/>
      <c r="UE1" s="44"/>
      <c r="UF1" s="44"/>
      <c r="UG1" s="44"/>
      <c r="UH1" s="44"/>
      <c r="UI1" s="44"/>
      <c r="UJ1" s="44"/>
      <c r="UK1" s="44"/>
      <c r="UL1" s="44"/>
      <c r="UM1" s="44"/>
      <c r="UN1" s="44"/>
      <c r="UO1" s="44"/>
      <c r="UP1" s="44"/>
      <c r="UQ1" s="44"/>
      <c r="UR1" s="44"/>
      <c r="US1" s="44"/>
      <c r="UT1" s="44"/>
      <c r="UU1" s="44"/>
      <c r="UV1" s="44"/>
      <c r="UW1" s="44"/>
      <c r="UX1" s="44"/>
      <c r="UY1" s="44"/>
      <c r="UZ1" s="44"/>
      <c r="VA1" s="44"/>
      <c r="VB1" s="44"/>
      <c r="VC1" s="44"/>
      <c r="VD1" s="44"/>
      <c r="VE1" s="44"/>
      <c r="VF1" s="44"/>
      <c r="VG1" s="44"/>
      <c r="VH1" s="44"/>
      <c r="VI1" s="44"/>
      <c r="VJ1" s="44"/>
      <c r="VK1" s="44"/>
      <c r="VL1" s="44"/>
      <c r="VM1" s="44"/>
      <c r="VN1" s="44"/>
      <c r="VO1" s="44"/>
      <c r="VP1" s="44"/>
      <c r="VQ1" s="44"/>
      <c r="VR1" s="44"/>
      <c r="VS1" s="44"/>
      <c r="VT1" s="44"/>
      <c r="VU1" s="44"/>
      <c r="VV1" s="44"/>
      <c r="VX1" s="44"/>
      <c r="VY1" s="44"/>
      <c r="VZ1" s="44"/>
      <c r="WA1" s="44"/>
      <c r="WB1" s="44"/>
      <c r="WC1" s="44"/>
      <c r="WD1" s="44"/>
      <c r="WE1" s="44"/>
      <c r="WF1" s="44"/>
      <c r="WG1" s="44"/>
      <c r="WH1" s="44"/>
      <c r="WI1" s="44"/>
      <c r="WJ1" s="44"/>
      <c r="WK1" s="44"/>
      <c r="WL1" s="44"/>
      <c r="WM1" s="44"/>
      <c r="WN1" s="44"/>
      <c r="WO1" s="44"/>
      <c r="WP1" s="44"/>
      <c r="WQ1" s="44"/>
      <c r="WR1" s="44"/>
      <c r="WS1" s="44"/>
      <c r="WT1" s="44"/>
      <c r="WU1" s="44"/>
      <c r="WV1" s="44"/>
      <c r="WW1" s="44"/>
      <c r="WX1" s="44"/>
      <c r="WY1" s="44"/>
      <c r="WZ1" s="44"/>
      <c r="XA1" s="44"/>
      <c r="XB1" s="44"/>
      <c r="XC1" s="44"/>
      <c r="XD1" s="44"/>
      <c r="XE1" s="44"/>
      <c r="XG1" s="44"/>
      <c r="XH1" s="44"/>
      <c r="XI1" s="44"/>
      <c r="XJ1" s="44"/>
      <c r="XK1" s="44"/>
      <c r="XL1" s="44"/>
      <c r="XM1" s="44"/>
      <c r="XN1" s="44"/>
      <c r="XO1" s="44"/>
      <c r="XP1" s="44"/>
      <c r="XQ1" s="44"/>
      <c r="XR1" s="44"/>
      <c r="XS1" s="44"/>
      <c r="XT1" s="44"/>
      <c r="XU1" s="44"/>
      <c r="XV1" s="44"/>
      <c r="XW1" s="44"/>
      <c r="XX1" s="44"/>
      <c r="XY1" s="44"/>
      <c r="XZ1" s="44"/>
      <c r="YA1" s="44"/>
      <c r="YB1" s="44"/>
      <c r="YC1" s="44"/>
      <c r="YD1" s="44"/>
      <c r="YE1" s="44"/>
      <c r="YF1" s="44"/>
      <c r="YG1" s="44"/>
      <c r="YH1" s="44"/>
      <c r="YI1" s="44"/>
      <c r="YJ1" s="44"/>
      <c r="YK1" s="44"/>
      <c r="YL1" s="44"/>
      <c r="YM1" s="44"/>
      <c r="YN1" s="44"/>
      <c r="YP1" s="44"/>
      <c r="YQ1" s="44"/>
      <c r="YR1" s="44"/>
      <c r="YS1" s="44"/>
      <c r="YT1" s="44"/>
      <c r="YU1" s="44"/>
      <c r="YV1" s="44"/>
      <c r="YW1" s="44"/>
      <c r="YX1" s="44"/>
      <c r="YY1" s="44"/>
      <c r="YZ1" s="44"/>
      <c r="ZA1" s="44"/>
      <c r="ZB1" s="44"/>
      <c r="ZC1" s="44"/>
      <c r="ZD1" s="44"/>
      <c r="ZE1" s="44"/>
      <c r="ZF1" s="44"/>
      <c r="ZG1" s="44"/>
      <c r="ZH1" s="44"/>
      <c r="ZI1" s="44"/>
      <c r="ZJ1" s="44"/>
      <c r="ZK1" s="44"/>
      <c r="ZL1" s="44"/>
      <c r="ZM1" s="44"/>
      <c r="ZN1" s="44"/>
      <c r="ZO1" s="44"/>
      <c r="ZP1" s="44"/>
      <c r="ZQ1" s="44"/>
      <c r="ZR1" s="44"/>
      <c r="ZS1" s="44"/>
      <c r="ZT1" s="44"/>
      <c r="ZU1" s="44"/>
      <c r="ZV1" s="44"/>
      <c r="ZW1" s="44"/>
    </row>
    <row r="2" spans="1:700" x14ac:dyDescent="0.2">
      <c r="A2" s="44" t="s">
        <v>147</v>
      </c>
      <c r="B2" s="44">
        <v>-363</v>
      </c>
      <c r="C2" s="45" t="s">
        <v>147</v>
      </c>
      <c r="D2" s="45">
        <v>-364</v>
      </c>
      <c r="E2" s="44" t="s">
        <v>147</v>
      </c>
      <c r="F2" s="44">
        <v>-365</v>
      </c>
      <c r="G2" s="44" t="s">
        <v>147</v>
      </c>
      <c r="H2" s="44">
        <v>-366</v>
      </c>
      <c r="I2" s="44" t="s">
        <v>147</v>
      </c>
      <c r="J2" s="44">
        <v>-367</v>
      </c>
      <c r="K2" s="44" t="s">
        <v>147</v>
      </c>
      <c r="L2" s="44">
        <v>-368</v>
      </c>
      <c r="M2" s="44" t="s">
        <v>147</v>
      </c>
      <c r="N2" s="44">
        <v>-369</v>
      </c>
      <c r="O2" s="44" t="s">
        <v>147</v>
      </c>
      <c r="P2" s="44">
        <v>-370</v>
      </c>
      <c r="Q2" s="44" t="s">
        <v>147</v>
      </c>
      <c r="R2" s="44">
        <v>-371</v>
      </c>
      <c r="S2" s="44" t="s">
        <v>147</v>
      </c>
      <c r="T2" s="44">
        <v>-372</v>
      </c>
      <c r="U2" s="44" t="s">
        <v>147</v>
      </c>
      <c r="V2" s="39">
        <v>-373</v>
      </c>
      <c r="W2" s="71" t="s">
        <v>147</v>
      </c>
      <c r="X2" s="39">
        <v>-374</v>
      </c>
      <c r="Y2" s="44" t="s">
        <v>147</v>
      </c>
      <c r="Z2" s="39">
        <v>-375</v>
      </c>
      <c r="AA2" s="44" t="s">
        <v>147</v>
      </c>
      <c r="AB2" s="39">
        <v>-376</v>
      </c>
      <c r="AC2" s="44" t="s">
        <v>147</v>
      </c>
      <c r="AD2" s="39">
        <v>-377</v>
      </c>
      <c r="AE2" s="44" t="s">
        <v>147</v>
      </c>
      <c r="AF2" s="44">
        <v>-378</v>
      </c>
      <c r="AG2" s="44" t="s">
        <v>147</v>
      </c>
      <c r="AH2" s="44">
        <v>-379</v>
      </c>
      <c r="AI2" s="44" t="s">
        <v>147</v>
      </c>
      <c r="AJ2">
        <v>-380</v>
      </c>
      <c r="AK2" s="44"/>
      <c r="AL2" s="39"/>
      <c r="AM2" s="44"/>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44"/>
      <c r="BP2" s="39"/>
      <c r="BQ2" s="44"/>
      <c r="BR2" s="44"/>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44"/>
      <c r="CY2" s="39"/>
      <c r="CZ2" s="44"/>
      <c r="DA2" s="44"/>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39"/>
      <c r="ED2" s="39"/>
      <c r="EE2" s="39"/>
      <c r="EF2" s="39"/>
      <c r="EG2" s="44"/>
      <c r="EH2" s="39"/>
      <c r="EI2" s="44"/>
      <c r="EJ2" s="44"/>
      <c r="EL2" s="39"/>
      <c r="EM2" s="39"/>
      <c r="EN2" s="39"/>
      <c r="EO2" s="39"/>
      <c r="EP2" s="39"/>
      <c r="EQ2" s="39"/>
      <c r="ER2" s="39"/>
      <c r="ES2" s="39"/>
      <c r="ET2" s="39"/>
      <c r="EU2" s="39"/>
      <c r="EV2" s="39"/>
      <c r="EW2" s="39"/>
      <c r="EX2" s="39"/>
      <c r="EY2" s="39"/>
      <c r="EZ2" s="39"/>
      <c r="FA2" s="39"/>
      <c r="FB2" s="39"/>
      <c r="FC2" s="39"/>
      <c r="FD2" s="39"/>
      <c r="FE2" s="39"/>
      <c r="FF2" s="39"/>
      <c r="FG2" s="39"/>
      <c r="FH2" s="39"/>
      <c r="FI2" s="39"/>
      <c r="FJ2" s="39"/>
      <c r="FK2" s="39"/>
      <c r="FL2" s="39"/>
      <c r="FM2" s="39"/>
      <c r="FN2" s="39"/>
      <c r="FO2" s="39"/>
      <c r="FP2" s="44"/>
      <c r="FQ2" s="39"/>
      <c r="FR2" s="44"/>
      <c r="FS2" s="44"/>
      <c r="FU2" s="39"/>
      <c r="FV2" s="39"/>
      <c r="FW2" s="39"/>
      <c r="FX2" s="39"/>
      <c r="FY2" s="39"/>
      <c r="FZ2" s="39"/>
      <c r="GA2" s="39"/>
      <c r="GB2" s="39"/>
      <c r="GC2" s="39"/>
      <c r="GD2" s="39"/>
      <c r="GE2" s="39"/>
      <c r="GF2" s="39"/>
      <c r="GG2" s="39"/>
      <c r="GH2" s="39"/>
      <c r="GI2" s="39"/>
      <c r="GJ2" s="39"/>
      <c r="GK2" s="39"/>
      <c r="GL2" s="39"/>
      <c r="GM2" s="39"/>
      <c r="GN2" s="39"/>
      <c r="GO2" s="39"/>
      <c r="GP2" s="39"/>
      <c r="GQ2" s="39"/>
      <c r="GR2" s="39"/>
      <c r="GS2" s="39"/>
      <c r="GT2" s="39"/>
      <c r="GU2" s="39"/>
      <c r="GV2" s="39"/>
      <c r="GW2" s="39"/>
      <c r="GX2" s="39"/>
      <c r="GY2" s="44"/>
      <c r="GZ2" s="39"/>
      <c r="HA2" s="44"/>
      <c r="HB2" s="44"/>
      <c r="HD2" s="39"/>
      <c r="HE2" s="39"/>
      <c r="HF2" s="39"/>
      <c r="HG2" s="39"/>
      <c r="HH2" s="39"/>
      <c r="HI2" s="39"/>
      <c r="HJ2" s="39"/>
      <c r="HK2" s="39"/>
      <c r="HL2" s="39"/>
      <c r="HM2" s="39"/>
      <c r="HN2" s="39"/>
      <c r="HO2" s="39"/>
      <c r="HP2" s="39"/>
      <c r="HQ2" s="39"/>
      <c r="HR2" s="39"/>
      <c r="HS2" s="39"/>
      <c r="HT2" s="39"/>
      <c r="HU2" s="39"/>
      <c r="HV2" s="39"/>
      <c r="HW2" s="39"/>
      <c r="HX2" s="39"/>
      <c r="HY2" s="39"/>
      <c r="HZ2" s="39"/>
      <c r="IA2" s="39"/>
      <c r="IB2" s="39"/>
      <c r="IC2" s="39"/>
      <c r="ID2" s="39"/>
      <c r="IE2" s="39"/>
      <c r="IF2" s="39"/>
      <c r="IG2" s="39"/>
      <c r="IH2" s="44"/>
      <c r="II2" s="39"/>
      <c r="IJ2" s="44"/>
      <c r="IK2" s="44"/>
      <c r="IM2" s="39"/>
      <c r="IN2" s="39"/>
      <c r="IO2" s="39"/>
      <c r="IP2" s="39"/>
      <c r="IQ2" s="39"/>
      <c r="IR2" s="39"/>
      <c r="IS2" s="39"/>
      <c r="IT2" s="39"/>
      <c r="IU2" s="39"/>
      <c r="IV2" s="39"/>
      <c r="IW2" s="39"/>
      <c r="IX2" s="39"/>
      <c r="IY2" s="39"/>
      <c r="IZ2" s="39"/>
      <c r="JA2" s="39"/>
      <c r="JB2" s="39"/>
      <c r="JC2" s="39"/>
      <c r="JD2" s="39"/>
      <c r="JE2" s="39"/>
      <c r="JF2" s="39"/>
      <c r="JG2" s="39"/>
      <c r="JH2" s="39"/>
      <c r="JI2" s="39"/>
      <c r="JJ2" s="39"/>
      <c r="JK2" s="39"/>
      <c r="JL2" s="39"/>
      <c r="JM2" s="39"/>
      <c r="JN2" s="39"/>
      <c r="JO2" s="39"/>
      <c r="JP2" s="39"/>
      <c r="JQ2" s="44"/>
      <c r="JR2" s="39"/>
      <c r="JS2" s="44"/>
      <c r="JT2" s="44"/>
      <c r="JV2" s="39"/>
      <c r="JW2" s="39"/>
      <c r="JX2" s="39"/>
      <c r="JY2" s="39"/>
      <c r="JZ2" s="39"/>
      <c r="KA2" s="39"/>
      <c r="KB2" s="39"/>
      <c r="KC2" s="39"/>
      <c r="KD2" s="39"/>
      <c r="KE2" s="39"/>
      <c r="KF2" s="39"/>
      <c r="KG2" s="39"/>
      <c r="KH2" s="39"/>
      <c r="KI2" s="39"/>
      <c r="KJ2" s="39"/>
      <c r="KK2" s="39"/>
      <c r="KL2" s="39"/>
      <c r="KM2" s="39"/>
      <c r="KN2" s="39"/>
      <c r="KO2" s="39"/>
      <c r="KP2" s="39"/>
      <c r="KQ2" s="39"/>
      <c r="KR2" s="39"/>
      <c r="KS2" s="39"/>
      <c r="KT2" s="39"/>
      <c r="KU2" s="39"/>
      <c r="KV2" s="39"/>
      <c r="KW2" s="39"/>
      <c r="KX2" s="39"/>
      <c r="KY2" s="39"/>
      <c r="KZ2" s="44"/>
      <c r="LA2" s="39"/>
      <c r="LB2" s="44"/>
      <c r="LC2" s="44"/>
      <c r="LE2" s="39"/>
      <c r="LF2" s="39"/>
      <c r="LG2" s="39"/>
      <c r="LH2" s="39"/>
      <c r="LI2" s="39"/>
      <c r="LJ2" s="39"/>
      <c r="LK2" s="39"/>
      <c r="LL2" s="39"/>
      <c r="LM2" s="39"/>
      <c r="LN2" s="39"/>
      <c r="LO2" s="39"/>
      <c r="LP2" s="39"/>
      <c r="LQ2" s="39"/>
      <c r="LR2" s="39"/>
      <c r="LS2" s="39"/>
      <c r="LT2" s="39"/>
      <c r="LU2" s="39"/>
      <c r="LV2" s="39"/>
      <c r="LW2" s="39"/>
      <c r="LX2" s="39"/>
      <c r="LY2" s="39"/>
      <c r="LZ2" s="39"/>
      <c r="MA2" s="39"/>
      <c r="MB2" s="39"/>
      <c r="MC2" s="39"/>
      <c r="MD2" s="39"/>
      <c r="ME2" s="39"/>
      <c r="MF2" s="39"/>
      <c r="MG2" s="39"/>
      <c r="MH2" s="39"/>
      <c r="MI2" s="44"/>
      <c r="MJ2" s="39"/>
      <c r="MK2" s="44"/>
      <c r="ML2" s="44"/>
      <c r="MN2" s="39"/>
      <c r="MO2" s="39"/>
      <c r="MP2" s="39"/>
      <c r="MQ2" s="39"/>
      <c r="MR2" s="39"/>
      <c r="MS2" s="39"/>
      <c r="MT2" s="39"/>
      <c r="MU2" s="39"/>
      <c r="MV2" s="39"/>
      <c r="MW2" s="39"/>
      <c r="MX2" s="39"/>
      <c r="MY2" s="39"/>
      <c r="MZ2" s="39"/>
      <c r="NA2" s="39"/>
      <c r="NB2" s="39"/>
      <c r="NC2" s="39"/>
      <c r="ND2" s="39"/>
      <c r="NE2" s="39"/>
      <c r="NF2" s="39"/>
      <c r="NG2" s="39"/>
      <c r="NH2" s="39"/>
      <c r="NI2" s="39"/>
      <c r="NJ2" s="39"/>
      <c r="NK2" s="39"/>
      <c r="NL2" s="39"/>
      <c r="NM2" s="39"/>
      <c r="NN2" s="39"/>
      <c r="NO2" s="39"/>
      <c r="NP2" s="39"/>
      <c r="NQ2" s="39"/>
      <c r="NR2" s="44"/>
      <c r="NS2" s="39"/>
      <c r="NT2" s="44"/>
      <c r="NU2" s="44"/>
      <c r="NW2" s="39"/>
      <c r="NX2" s="39"/>
      <c r="NY2" s="39"/>
      <c r="NZ2" s="39"/>
      <c r="OA2" s="39"/>
      <c r="OB2" s="39"/>
      <c r="OC2" s="39"/>
      <c r="OD2" s="39"/>
      <c r="OE2" s="39"/>
      <c r="OF2" s="39"/>
      <c r="OG2" s="39"/>
      <c r="OH2" s="39"/>
      <c r="OI2" s="39"/>
      <c r="OJ2" s="39"/>
      <c r="OK2" s="39"/>
      <c r="OL2" s="39"/>
      <c r="OM2" s="39"/>
      <c r="ON2" s="39"/>
      <c r="OO2" s="39"/>
      <c r="OP2" s="39"/>
      <c r="OQ2" s="39"/>
      <c r="OR2" s="39"/>
      <c r="OS2" s="39"/>
      <c r="OT2" s="39"/>
      <c r="OU2" s="39"/>
      <c r="OV2" s="39"/>
      <c r="OW2" s="39"/>
      <c r="OX2" s="39"/>
      <c r="OY2" s="39"/>
      <c r="OZ2" s="39"/>
      <c r="PA2" s="44"/>
      <c r="PB2" s="39"/>
      <c r="PC2" s="44"/>
      <c r="PD2" s="44"/>
      <c r="PF2" s="39"/>
      <c r="PG2" s="39"/>
      <c r="PH2" s="39"/>
      <c r="PI2" s="39"/>
      <c r="PJ2" s="39"/>
      <c r="PK2" s="39"/>
      <c r="PL2" s="39"/>
      <c r="PM2" s="39"/>
      <c r="PN2" s="39"/>
      <c r="PO2" s="39"/>
      <c r="PP2" s="39"/>
      <c r="PQ2" s="39"/>
      <c r="PR2" s="39"/>
      <c r="PS2" s="39"/>
      <c r="PT2" s="39"/>
      <c r="PU2" s="39"/>
      <c r="PV2" s="39"/>
      <c r="PW2" s="39"/>
      <c r="PX2" s="39"/>
      <c r="PY2" s="39"/>
      <c r="PZ2" s="39"/>
      <c r="QA2" s="39"/>
      <c r="QB2" s="39"/>
      <c r="QC2" s="39"/>
      <c r="QD2" s="39"/>
      <c r="QE2" s="39"/>
      <c r="QF2" s="39"/>
      <c r="QG2" s="39"/>
      <c r="QH2" s="39"/>
      <c r="QI2" s="39"/>
      <c r="QJ2" s="44"/>
      <c r="QK2" s="39"/>
      <c r="QL2" s="44"/>
      <c r="QM2" s="44"/>
      <c r="QO2" s="39"/>
      <c r="QP2" s="39"/>
      <c r="QQ2" s="39"/>
      <c r="QR2" s="39"/>
      <c r="QS2" s="39"/>
      <c r="QT2" s="39"/>
      <c r="QU2" s="39"/>
      <c r="QV2" s="39"/>
      <c r="QW2" s="39"/>
      <c r="QX2" s="39"/>
      <c r="QY2" s="39"/>
      <c r="QZ2" s="39"/>
      <c r="RA2" s="39"/>
      <c r="RB2" s="39"/>
      <c r="RC2" s="39"/>
      <c r="RD2" s="39"/>
      <c r="RE2" s="39"/>
      <c r="RF2" s="39"/>
      <c r="RG2" s="39"/>
      <c r="RH2" s="39"/>
      <c r="RI2" s="39"/>
      <c r="RJ2" s="39"/>
      <c r="RK2" s="39"/>
      <c r="RL2" s="39"/>
      <c r="RM2" s="39"/>
      <c r="RN2" s="39"/>
      <c r="RO2" s="39"/>
      <c r="RP2" s="39"/>
      <c r="RQ2" s="39"/>
      <c r="RR2" s="39"/>
      <c r="RS2" s="44"/>
      <c r="RT2" s="39"/>
      <c r="RU2" s="44"/>
      <c r="RV2" s="44"/>
      <c r="RX2" s="39"/>
      <c r="RY2" s="39"/>
      <c r="RZ2" s="39"/>
      <c r="SA2" s="39"/>
      <c r="SB2" s="39"/>
      <c r="SC2" s="39"/>
      <c r="SD2" s="39"/>
      <c r="SE2" s="39"/>
      <c r="SF2" s="39"/>
      <c r="SG2" s="39"/>
      <c r="SH2" s="39"/>
      <c r="SI2" s="39"/>
      <c r="SJ2" s="39"/>
      <c r="SK2" s="39"/>
      <c r="SL2" s="39"/>
      <c r="SM2" s="39"/>
      <c r="SN2" s="39"/>
      <c r="SO2" s="39"/>
      <c r="SP2" s="39"/>
      <c r="SQ2" s="39"/>
      <c r="SR2" s="39"/>
      <c r="SS2" s="39"/>
      <c r="ST2" s="39"/>
      <c r="SU2" s="39"/>
      <c r="SV2" s="39"/>
      <c r="SW2" s="39"/>
      <c r="SX2" s="39"/>
      <c r="SY2" s="39"/>
      <c r="SZ2" s="39"/>
      <c r="TA2" s="39"/>
      <c r="TB2" s="44"/>
      <c r="TC2" s="39"/>
      <c r="TD2" s="44"/>
      <c r="TE2" s="44"/>
      <c r="TG2" s="39"/>
      <c r="TH2" s="39"/>
      <c r="TI2" s="39"/>
      <c r="TJ2" s="39"/>
      <c r="TK2" s="39"/>
      <c r="TL2" s="39"/>
      <c r="TM2" s="39"/>
      <c r="TN2" s="39"/>
      <c r="TO2" s="39"/>
      <c r="TP2" s="39"/>
      <c r="TQ2" s="39"/>
      <c r="TR2" s="39"/>
      <c r="TS2" s="39"/>
      <c r="TT2" s="39"/>
      <c r="TU2" s="39"/>
      <c r="TV2" s="39"/>
      <c r="TW2" s="39"/>
      <c r="TX2" s="39"/>
      <c r="TY2" s="39"/>
      <c r="TZ2" s="39"/>
      <c r="UA2" s="39"/>
      <c r="UB2" s="39"/>
      <c r="UC2" s="39"/>
      <c r="UD2" s="39"/>
      <c r="UE2" s="39"/>
      <c r="UF2" s="39"/>
      <c r="UG2" s="39"/>
      <c r="UH2" s="39"/>
      <c r="UI2" s="39"/>
      <c r="UJ2" s="39"/>
      <c r="UK2" s="44"/>
      <c r="UL2" s="39"/>
      <c r="UM2" s="44"/>
      <c r="UN2" s="44"/>
      <c r="UP2" s="39"/>
      <c r="UQ2" s="39"/>
      <c r="UR2" s="39"/>
      <c r="US2" s="39"/>
      <c r="UT2" s="39"/>
      <c r="UU2" s="39"/>
      <c r="UV2" s="39"/>
      <c r="UW2" s="39"/>
      <c r="UX2" s="39"/>
      <c r="UY2" s="39"/>
      <c r="UZ2" s="39"/>
      <c r="VA2" s="39"/>
      <c r="VB2" s="39"/>
      <c r="VC2" s="39"/>
      <c r="VD2" s="39"/>
      <c r="VE2" s="39"/>
      <c r="VF2" s="39"/>
      <c r="VG2" s="39"/>
      <c r="VH2" s="39"/>
      <c r="VI2" s="39"/>
      <c r="VJ2" s="39"/>
      <c r="VK2" s="39"/>
      <c r="VL2" s="39"/>
      <c r="VM2" s="39"/>
      <c r="VN2" s="39"/>
      <c r="VO2" s="39"/>
      <c r="VP2" s="39"/>
      <c r="VQ2" s="39"/>
      <c r="VR2" s="39"/>
      <c r="VS2" s="39"/>
      <c r="VT2" s="44"/>
      <c r="VU2" s="39"/>
      <c r="VV2" s="44"/>
      <c r="VW2" s="44"/>
      <c r="VY2" s="39"/>
      <c r="VZ2" s="39"/>
      <c r="WA2" s="39"/>
      <c r="WB2" s="39"/>
      <c r="WC2" s="39"/>
      <c r="WD2" s="39"/>
      <c r="WE2" s="39"/>
      <c r="WF2" s="39"/>
      <c r="WG2" s="39"/>
      <c r="WH2" s="39"/>
      <c r="WI2" s="39"/>
      <c r="WJ2" s="39"/>
      <c r="WK2" s="39"/>
      <c r="WL2" s="39"/>
      <c r="WM2" s="39"/>
      <c r="WN2" s="39"/>
      <c r="WO2" s="39"/>
      <c r="WP2" s="39"/>
      <c r="WQ2" s="39"/>
      <c r="WR2" s="39"/>
      <c r="WS2" s="39"/>
      <c r="WT2" s="39"/>
      <c r="WU2" s="39"/>
      <c r="WV2" s="39"/>
      <c r="WW2" s="39"/>
      <c r="WX2" s="39"/>
      <c r="WY2" s="39"/>
      <c r="WZ2" s="39"/>
      <c r="XA2" s="39"/>
      <c r="XB2" s="39"/>
      <c r="XC2" s="44"/>
      <c r="XD2" s="39"/>
      <c r="XE2" s="44"/>
      <c r="XF2" s="44"/>
      <c r="XH2" s="39"/>
      <c r="XI2" s="39"/>
      <c r="XJ2" s="39"/>
      <c r="XK2" s="39"/>
      <c r="XL2" s="39"/>
      <c r="XM2" s="39"/>
      <c r="XN2" s="39"/>
      <c r="XO2" s="39"/>
      <c r="XP2" s="39"/>
      <c r="XQ2" s="39"/>
      <c r="XR2" s="39"/>
      <c r="XS2" s="39"/>
      <c r="XT2" s="39"/>
      <c r="XU2" s="39"/>
      <c r="XV2" s="39"/>
      <c r="XW2" s="39"/>
      <c r="XX2" s="39"/>
      <c r="XY2" s="39"/>
      <c r="XZ2" s="39"/>
      <c r="YA2" s="39"/>
      <c r="YB2" s="39"/>
      <c r="YC2" s="39"/>
      <c r="YD2" s="39"/>
      <c r="YE2" s="39"/>
      <c r="YF2" s="39"/>
      <c r="YG2" s="39"/>
      <c r="YH2" s="39"/>
      <c r="YI2" s="39"/>
      <c r="YJ2" s="39"/>
      <c r="YK2" s="39"/>
      <c r="YL2" s="44"/>
      <c r="YM2" s="39"/>
      <c r="YN2" s="44"/>
      <c r="YO2" s="44"/>
      <c r="YQ2" s="39"/>
      <c r="YR2" s="39"/>
      <c r="YS2" s="39"/>
      <c r="YT2" s="39"/>
      <c r="YU2" s="39"/>
      <c r="YV2" s="39"/>
      <c r="YW2" s="39"/>
      <c r="YX2" s="39"/>
      <c r="YY2" s="39"/>
      <c r="YZ2" s="39"/>
      <c r="ZA2" s="39"/>
      <c r="ZB2" s="39"/>
      <c r="ZC2" s="39"/>
      <c r="ZD2" s="39"/>
      <c r="ZE2" s="39"/>
      <c r="ZF2" s="39"/>
      <c r="ZG2" s="39"/>
      <c r="ZH2" s="39"/>
      <c r="ZI2" s="39"/>
      <c r="ZJ2" s="39"/>
      <c r="ZK2" s="39"/>
      <c r="ZL2" s="39"/>
      <c r="ZM2" s="39"/>
      <c r="ZN2" s="39"/>
      <c r="ZO2" s="39"/>
      <c r="ZP2" s="39"/>
      <c r="ZQ2" s="39"/>
      <c r="ZR2" s="39"/>
      <c r="ZS2" s="39"/>
      <c r="ZT2" s="39"/>
      <c r="ZU2" s="44"/>
      <c r="ZV2" s="39"/>
      <c r="ZW2" s="44"/>
      <c r="ZX2" s="44"/>
    </row>
    <row r="3" spans="1:700" x14ac:dyDescent="0.2">
      <c r="A3" s="44" t="s">
        <v>148</v>
      </c>
      <c r="B3" s="44">
        <v>0</v>
      </c>
      <c r="C3" s="45" t="s">
        <v>148</v>
      </c>
      <c r="D3" s="45">
        <v>0</v>
      </c>
      <c r="E3" s="44" t="s">
        <v>148</v>
      </c>
      <c r="F3" s="44">
        <v>0</v>
      </c>
      <c r="G3" s="44" t="s">
        <v>148</v>
      </c>
      <c r="H3" s="44">
        <v>1.1306147596640281</v>
      </c>
      <c r="I3" s="44" t="s">
        <v>148</v>
      </c>
      <c r="J3" s="44">
        <v>2.5834275386615864</v>
      </c>
      <c r="K3" s="44" t="s">
        <v>148</v>
      </c>
      <c r="L3" s="44">
        <v>4.0710015935752075</v>
      </c>
      <c r="M3" s="44" t="s">
        <v>148</v>
      </c>
      <c r="N3" s="44">
        <v>5.5939007147381981</v>
      </c>
      <c r="O3" s="44" t="s">
        <v>148</v>
      </c>
      <c r="P3" s="44">
        <v>5.0513305781269002</v>
      </c>
      <c r="Q3" s="44" t="s">
        <v>148</v>
      </c>
      <c r="R3" s="44">
        <v>4.037257840190378</v>
      </c>
      <c r="S3" s="44" t="s">
        <v>148</v>
      </c>
      <c r="T3" s="44">
        <v>3.0677935023282203</v>
      </c>
      <c r="U3" s="44" t="s">
        <v>148</v>
      </c>
      <c r="V3" s="44">
        <v>3.2688897016130976</v>
      </c>
      <c r="W3" s="44" t="s">
        <v>148</v>
      </c>
      <c r="X3" s="44">
        <v>3.3493424135477845</v>
      </c>
      <c r="Y3" s="44" t="s">
        <v>148</v>
      </c>
      <c r="Z3" s="44">
        <v>3.3577157459252489</v>
      </c>
      <c r="AA3" s="44" t="s">
        <v>148</v>
      </c>
      <c r="AB3" s="44">
        <v>3.2330708385619467</v>
      </c>
      <c r="AC3" s="44" t="s">
        <v>148</v>
      </c>
      <c r="AD3" s="44">
        <v>4.0968013810011019</v>
      </c>
      <c r="AE3" s="44" t="s">
        <v>148</v>
      </c>
      <c r="AF3" s="44">
        <v>4.6228401355197226</v>
      </c>
      <c r="AG3" s="44" t="s">
        <v>148</v>
      </c>
      <c r="AH3" s="39">
        <v>0</v>
      </c>
      <c r="AI3" s="44" t="s">
        <v>148</v>
      </c>
      <c r="AJ3">
        <v>0</v>
      </c>
      <c r="AK3" s="44"/>
      <c r="AL3" s="39"/>
      <c r="AM3" s="44"/>
      <c r="AN3" s="39"/>
      <c r="RV3" s="63"/>
      <c r="TE3" s="64"/>
      <c r="UN3" s="64"/>
    </row>
    <row r="4" spans="1:700" x14ac:dyDescent="0.2">
      <c r="A4" s="44" t="s">
        <v>149</v>
      </c>
      <c r="B4" s="44">
        <v>0</v>
      </c>
      <c r="C4" s="45" t="s">
        <v>149</v>
      </c>
      <c r="D4" s="44">
        <v>0</v>
      </c>
      <c r="E4" s="45" t="s">
        <v>149</v>
      </c>
      <c r="F4" s="44">
        <v>0</v>
      </c>
      <c r="G4" s="45" t="s">
        <v>149</v>
      </c>
      <c r="H4" s="44">
        <v>0</v>
      </c>
      <c r="I4" s="45" t="s">
        <v>149</v>
      </c>
      <c r="J4" s="44">
        <v>0</v>
      </c>
      <c r="K4" s="45" t="s">
        <v>149</v>
      </c>
      <c r="L4" s="44">
        <v>0</v>
      </c>
      <c r="M4" s="45" t="s">
        <v>149</v>
      </c>
      <c r="N4" s="44">
        <v>0</v>
      </c>
      <c r="O4" s="45" t="s">
        <v>149</v>
      </c>
      <c r="P4" s="44">
        <v>1.501764735691302</v>
      </c>
      <c r="Q4" s="45" t="s">
        <v>149</v>
      </c>
      <c r="R4" s="44">
        <v>3.3775932541774139</v>
      </c>
      <c r="S4" s="45" t="s">
        <v>149</v>
      </c>
      <c r="T4" s="44">
        <v>5.1487183619092214</v>
      </c>
      <c r="U4" s="45" t="s">
        <v>149</v>
      </c>
      <c r="V4" s="39">
        <v>4.0381661041172245</v>
      </c>
      <c r="W4" s="45" t="s">
        <v>149</v>
      </c>
      <c r="X4" s="39">
        <v>3.6199766249006551</v>
      </c>
      <c r="Y4" s="45" t="s">
        <v>149</v>
      </c>
      <c r="Z4" s="39">
        <v>3.5957954243026613</v>
      </c>
      <c r="AA4" s="45" t="s">
        <v>149</v>
      </c>
      <c r="AB4" s="39">
        <v>4.161220988415649</v>
      </c>
      <c r="AC4" s="45" t="s">
        <v>149</v>
      </c>
      <c r="AD4" s="39">
        <v>5.2993335672046893</v>
      </c>
      <c r="AE4" s="44" t="s">
        <v>149</v>
      </c>
      <c r="AF4" s="39">
        <v>0</v>
      </c>
      <c r="AG4" s="44" t="s">
        <v>149</v>
      </c>
      <c r="AH4" s="39">
        <v>0</v>
      </c>
      <c r="AI4" s="44" t="s">
        <v>149</v>
      </c>
      <c r="AJ4">
        <v>0</v>
      </c>
      <c r="AK4" s="44"/>
      <c r="AL4" s="39"/>
      <c r="AM4" s="44"/>
      <c r="AN4" s="39"/>
    </row>
    <row r="5" spans="1:700" x14ac:dyDescent="0.2">
      <c r="A5" s="44" t="s">
        <v>150</v>
      </c>
      <c r="B5" s="44">
        <v>0</v>
      </c>
      <c r="C5" s="45" t="s">
        <v>150</v>
      </c>
      <c r="D5" s="45">
        <v>0</v>
      </c>
      <c r="E5" s="44" t="s">
        <v>150</v>
      </c>
      <c r="F5" s="44">
        <v>0</v>
      </c>
      <c r="G5" s="44" t="s">
        <v>150</v>
      </c>
      <c r="H5" s="44">
        <v>0</v>
      </c>
      <c r="I5" s="44" t="s">
        <v>150</v>
      </c>
      <c r="J5" s="44">
        <v>0</v>
      </c>
      <c r="K5" s="44" t="s">
        <v>150</v>
      </c>
      <c r="L5" s="44">
        <v>0</v>
      </c>
      <c r="M5" s="44" t="s">
        <v>150</v>
      </c>
      <c r="N5" s="44">
        <v>0</v>
      </c>
      <c r="O5" s="44" t="s">
        <v>150</v>
      </c>
      <c r="P5" s="44">
        <v>0</v>
      </c>
      <c r="Q5" s="44" t="s">
        <v>150</v>
      </c>
      <c r="R5" s="44">
        <v>0</v>
      </c>
      <c r="S5" s="44" t="s">
        <v>150</v>
      </c>
      <c r="T5" s="44">
        <v>0.14303780591973236</v>
      </c>
      <c r="U5" s="44" t="s">
        <v>150</v>
      </c>
      <c r="V5" s="44">
        <v>2.929021010751875</v>
      </c>
      <c r="W5" s="44" t="s">
        <v>150</v>
      </c>
      <c r="X5" s="44">
        <v>3.678670083993584</v>
      </c>
      <c r="Y5" s="44" t="s">
        <v>150</v>
      </c>
      <c r="Z5" s="44">
        <v>3.6916617611770781</v>
      </c>
      <c r="AA5" s="44" t="s">
        <v>150</v>
      </c>
      <c r="AB5" s="44">
        <v>5.4563515248823302</v>
      </c>
      <c r="AC5" s="44" t="s">
        <v>150</v>
      </c>
      <c r="AD5" s="44">
        <v>0</v>
      </c>
      <c r="AE5" s="44" t="s">
        <v>150</v>
      </c>
      <c r="AF5" s="44">
        <v>0</v>
      </c>
      <c r="AG5" s="44" t="s">
        <v>150</v>
      </c>
      <c r="AH5" s="39">
        <v>0</v>
      </c>
      <c r="AI5" s="44" t="s">
        <v>150</v>
      </c>
      <c r="AJ5">
        <v>0</v>
      </c>
      <c r="AK5" s="44"/>
      <c r="AL5" s="39"/>
      <c r="AM5" s="44"/>
      <c r="AN5" s="39"/>
    </row>
    <row r="6" spans="1:700" x14ac:dyDescent="0.2">
      <c r="A6" s="44" t="s">
        <v>151</v>
      </c>
      <c r="B6" s="44">
        <v>0</v>
      </c>
      <c r="C6" s="45" t="s">
        <v>151</v>
      </c>
      <c r="D6" s="45">
        <v>0</v>
      </c>
      <c r="E6" s="44" t="s">
        <v>151</v>
      </c>
      <c r="F6" s="44">
        <v>0</v>
      </c>
      <c r="G6" s="44" t="s">
        <v>151</v>
      </c>
      <c r="H6" s="44">
        <v>0</v>
      </c>
      <c r="I6" s="44" t="s">
        <v>151</v>
      </c>
      <c r="J6" s="44">
        <v>0</v>
      </c>
      <c r="K6" s="44" t="s">
        <v>151</v>
      </c>
      <c r="L6" s="44">
        <v>0</v>
      </c>
      <c r="M6" s="44" t="s">
        <v>151</v>
      </c>
      <c r="N6" s="44">
        <v>0</v>
      </c>
      <c r="O6" s="44" t="s">
        <v>151</v>
      </c>
      <c r="P6" s="44">
        <v>0</v>
      </c>
      <c r="Q6" s="44" t="s">
        <v>151</v>
      </c>
      <c r="R6" s="44">
        <v>0</v>
      </c>
      <c r="S6" s="44" t="s">
        <v>151</v>
      </c>
      <c r="T6" s="44">
        <v>0</v>
      </c>
      <c r="U6" s="44" t="s">
        <v>151</v>
      </c>
      <c r="V6" s="39">
        <v>0</v>
      </c>
      <c r="W6" s="44" t="s">
        <v>151</v>
      </c>
      <c r="X6" s="39">
        <v>2.7336229912422461</v>
      </c>
      <c r="Y6" s="44" t="s">
        <v>151</v>
      </c>
      <c r="Z6" s="39">
        <v>5.748447400850675</v>
      </c>
      <c r="AA6" s="44" t="s">
        <v>151</v>
      </c>
      <c r="AB6" s="39">
        <v>0</v>
      </c>
      <c r="AC6" s="44" t="s">
        <v>151</v>
      </c>
      <c r="AD6" s="39">
        <v>0</v>
      </c>
      <c r="AE6" s="44" t="s">
        <v>151</v>
      </c>
      <c r="AF6" s="39">
        <v>0</v>
      </c>
      <c r="AG6" s="44" t="s">
        <v>151</v>
      </c>
      <c r="AH6" s="39">
        <v>0</v>
      </c>
      <c r="AI6" s="44" t="s">
        <v>151</v>
      </c>
      <c r="AJ6">
        <v>0</v>
      </c>
      <c r="AK6" s="44"/>
      <c r="AL6" s="39"/>
      <c r="AM6" s="44"/>
      <c r="AN6" s="39"/>
    </row>
    <row r="7" spans="1:700" x14ac:dyDescent="0.2">
      <c r="A7" s="44" t="s">
        <v>152</v>
      </c>
      <c r="B7" s="44">
        <v>41.55687230942118</v>
      </c>
      <c r="C7" s="45" t="s">
        <v>152</v>
      </c>
      <c r="D7" s="45">
        <v>39.702376303917816</v>
      </c>
      <c r="E7" s="44" t="s">
        <v>152</v>
      </c>
      <c r="F7" s="44">
        <v>37.725757555125973</v>
      </c>
      <c r="G7" s="44" t="s">
        <v>152</v>
      </c>
      <c r="H7" s="44">
        <v>35.511886238731584</v>
      </c>
      <c r="I7" s="44" t="s">
        <v>152</v>
      </c>
      <c r="J7" s="44">
        <v>33.122942011502005</v>
      </c>
      <c r="K7" s="44" t="s">
        <v>152</v>
      </c>
      <c r="L7" s="44">
        <v>30.571047596444355</v>
      </c>
      <c r="M7" s="44" t="s">
        <v>152</v>
      </c>
      <c r="N7" s="44">
        <v>27.840759877638117</v>
      </c>
      <c r="O7" s="44" t="s">
        <v>152</v>
      </c>
      <c r="P7" s="44">
        <v>24.656665797865291</v>
      </c>
      <c r="Q7" s="44" t="s">
        <v>152</v>
      </c>
      <c r="R7" s="44">
        <v>21.190795657785031</v>
      </c>
      <c r="S7" s="44" t="s">
        <v>152</v>
      </c>
      <c r="T7" s="44">
        <v>17.437887112726202</v>
      </c>
      <c r="U7" s="44" t="s">
        <v>152</v>
      </c>
      <c r="V7" s="44">
        <v>12.715838362560293</v>
      </c>
      <c r="W7" s="44" t="s">
        <v>152</v>
      </c>
      <c r="X7" s="44">
        <v>6.4328379233358222</v>
      </c>
      <c r="Y7" s="44" t="s">
        <v>152</v>
      </c>
      <c r="Z7" s="44">
        <v>0</v>
      </c>
      <c r="AA7" s="44" t="s">
        <v>152</v>
      </c>
      <c r="AB7" s="44">
        <v>0</v>
      </c>
      <c r="AC7" s="44" t="s">
        <v>152</v>
      </c>
      <c r="AD7" s="44">
        <v>0</v>
      </c>
      <c r="AE7" s="44" t="s">
        <v>152</v>
      </c>
      <c r="AF7" s="44">
        <v>0</v>
      </c>
      <c r="AG7" s="44" t="s">
        <v>152</v>
      </c>
      <c r="AH7" s="39">
        <v>0</v>
      </c>
      <c r="AI7" s="44" t="s">
        <v>152</v>
      </c>
      <c r="AJ7">
        <v>0</v>
      </c>
      <c r="AK7" s="44"/>
      <c r="AL7" s="39"/>
      <c r="AM7" s="44"/>
      <c r="AN7" s="39"/>
    </row>
    <row r="8" spans="1:700" x14ac:dyDescent="0.2">
      <c r="A8" s="44" t="s">
        <v>122</v>
      </c>
      <c r="B8" s="44">
        <v>0.51063645039152472</v>
      </c>
      <c r="C8" s="45" t="s">
        <v>122</v>
      </c>
      <c r="D8" s="45">
        <v>0.4952378267741171</v>
      </c>
      <c r="E8" s="44" t="s">
        <v>122</v>
      </c>
      <c r="F8" s="44">
        <v>0.47954527015179288</v>
      </c>
      <c r="G8" s="44" t="s">
        <v>122</v>
      </c>
      <c r="H8" s="44">
        <v>0.46515911290601497</v>
      </c>
      <c r="I8" s="44" t="s">
        <v>122</v>
      </c>
      <c r="J8" s="44">
        <v>0.45089760568923076</v>
      </c>
      <c r="K8" s="44" t="s">
        <v>122</v>
      </c>
      <c r="L8" s="44">
        <v>0.43634558843155957</v>
      </c>
      <c r="M8" s="44" t="s">
        <v>122</v>
      </c>
      <c r="N8" s="44">
        <v>0.42150258854349287</v>
      </c>
      <c r="O8" s="44" t="s">
        <v>122</v>
      </c>
      <c r="P8" s="44">
        <v>0.40942509676865968</v>
      </c>
      <c r="Q8" s="44" t="s">
        <v>122</v>
      </c>
      <c r="R8" s="44">
        <v>0.39773812871026137</v>
      </c>
      <c r="S8" s="44" t="s">
        <v>122</v>
      </c>
      <c r="T8" s="44">
        <v>0.38606892806962501</v>
      </c>
      <c r="U8" s="44" t="s">
        <v>122</v>
      </c>
      <c r="V8" s="39">
        <v>0.3795091715769997</v>
      </c>
      <c r="W8" s="44" t="s">
        <v>122</v>
      </c>
      <c r="X8" s="39">
        <v>0.37632597387598304</v>
      </c>
      <c r="Y8" s="44" t="s">
        <v>122</v>
      </c>
      <c r="Z8" s="39">
        <v>0.38274183208224855</v>
      </c>
      <c r="AA8" s="44" t="s">
        <v>122</v>
      </c>
      <c r="AB8" s="39">
        <v>0.4382744342892077</v>
      </c>
      <c r="AC8" s="44" t="s">
        <v>122</v>
      </c>
      <c r="AD8" s="39">
        <v>0.56259812957569899</v>
      </c>
      <c r="AE8" s="44" t="s">
        <v>122</v>
      </c>
      <c r="AF8" s="39">
        <v>0.76046680271503675</v>
      </c>
      <c r="AG8" s="44" t="s">
        <v>122</v>
      </c>
      <c r="AH8" s="39">
        <v>1.0316351639330268</v>
      </c>
      <c r="AI8" s="44" t="s">
        <v>122</v>
      </c>
      <c r="AJ8">
        <v>1.3336975753412785</v>
      </c>
      <c r="AK8" s="44"/>
      <c r="AL8" s="39"/>
      <c r="AM8" s="44"/>
      <c r="AN8" s="39"/>
    </row>
    <row r="9" spans="1:700" x14ac:dyDescent="0.2">
      <c r="A9" s="44" t="s">
        <v>153</v>
      </c>
      <c r="B9" s="44">
        <v>154.03786673492948</v>
      </c>
      <c r="C9" s="45" t="s">
        <v>153</v>
      </c>
      <c r="D9" s="45">
        <v>157.56665946504168</v>
      </c>
      <c r="E9" s="44" t="s">
        <v>153</v>
      </c>
      <c r="F9" s="44">
        <v>161.31205917421022</v>
      </c>
      <c r="G9" s="44" t="s">
        <v>153</v>
      </c>
      <c r="H9" s="44">
        <v>165.29867166040327</v>
      </c>
      <c r="I9" s="44" t="s">
        <v>153</v>
      </c>
      <c r="J9" s="44">
        <v>169.54465909516335</v>
      </c>
      <c r="K9" s="44" t="s">
        <v>153</v>
      </c>
      <c r="L9" s="44">
        <v>174.06650413150982</v>
      </c>
      <c r="M9" s="44" t="s">
        <v>153</v>
      </c>
      <c r="N9" s="44">
        <v>178.88846484897479</v>
      </c>
      <c r="O9" s="44" t="s">
        <v>153</v>
      </c>
      <c r="P9" s="44">
        <v>184.04902380949761</v>
      </c>
      <c r="Q9" s="44" t="s">
        <v>153</v>
      </c>
      <c r="R9" s="44">
        <v>189.57029015815277</v>
      </c>
      <c r="S9" s="44" t="s">
        <v>153</v>
      </c>
      <c r="T9" s="44">
        <v>195.48686469164051</v>
      </c>
      <c r="U9" s="44" t="s">
        <v>153</v>
      </c>
      <c r="V9" s="44">
        <v>201.85276873844117</v>
      </c>
      <c r="W9" s="44" t="s">
        <v>153</v>
      </c>
      <c r="X9" s="44">
        <v>208.7142677063928</v>
      </c>
      <c r="Y9" s="44" t="s">
        <v>153</v>
      </c>
      <c r="Z9" s="44">
        <v>216.06517688741798</v>
      </c>
      <c r="AA9" s="44" t="s">
        <v>153</v>
      </c>
      <c r="AB9" s="44">
        <v>223.63533379999944</v>
      </c>
      <c r="AC9" s="44" t="s">
        <v>153</v>
      </c>
      <c r="AD9" s="44">
        <v>231.43759173769598</v>
      </c>
      <c r="AE9" s="44" t="s">
        <v>153</v>
      </c>
      <c r="AF9" s="44">
        <v>239.4838929304849</v>
      </c>
      <c r="AG9" s="44" t="s">
        <v>153</v>
      </c>
      <c r="AH9" s="39">
        <v>247.78343294461331</v>
      </c>
      <c r="AI9" s="44" t="s">
        <v>153</v>
      </c>
      <c r="AJ9">
        <v>256.49743379957135</v>
      </c>
      <c r="AK9" s="44"/>
      <c r="AL9" s="39"/>
      <c r="AM9" s="44"/>
      <c r="AN9" s="39"/>
    </row>
    <row r="10" spans="1:700" x14ac:dyDescent="0.2">
      <c r="A10" s="44" t="s">
        <v>1308</v>
      </c>
      <c r="B10" s="44">
        <v>62.742975814900532</v>
      </c>
      <c r="C10" s="45" t="s">
        <v>1308</v>
      </c>
      <c r="D10" s="45">
        <v>66.280059204144138</v>
      </c>
      <c r="E10" s="44" t="s">
        <v>1308</v>
      </c>
      <c r="F10" s="44">
        <v>70.028858619167437</v>
      </c>
      <c r="G10" s="44" t="s">
        <v>1308</v>
      </c>
      <c r="H10" s="44">
        <v>74.020095548539928</v>
      </c>
      <c r="I10" s="44" t="s">
        <v>1308</v>
      </c>
      <c r="J10" s="44">
        <v>78.267307002388179</v>
      </c>
      <c r="K10" s="44" t="s">
        <v>1308</v>
      </c>
      <c r="L10" s="44">
        <v>82.789786780204679</v>
      </c>
      <c r="M10" s="44" t="s">
        <v>1308</v>
      </c>
      <c r="N10" s="44">
        <v>87.612249766803089</v>
      </c>
      <c r="O10" s="44" t="s">
        <v>1308</v>
      </c>
      <c r="P10" s="44">
        <v>92.773626917834008</v>
      </c>
      <c r="Q10" s="44" t="s">
        <v>1308</v>
      </c>
      <c r="R10" s="44">
        <v>98.296837651045934</v>
      </c>
      <c r="S10" s="44" t="s">
        <v>1308</v>
      </c>
      <c r="T10" s="44">
        <v>104.21496389143795</v>
      </c>
      <c r="U10" s="44" t="s">
        <v>1308</v>
      </c>
      <c r="V10" s="39">
        <v>110.58319680238418</v>
      </c>
      <c r="W10" s="44" t="s">
        <v>1308</v>
      </c>
      <c r="X10" s="39">
        <v>117.44786711149992</v>
      </c>
      <c r="Y10" s="44" t="s">
        <v>1308</v>
      </c>
      <c r="Z10" s="39">
        <v>124.8026689520764</v>
      </c>
      <c r="AA10" s="44" t="s">
        <v>1308</v>
      </c>
      <c r="AB10" s="39">
        <v>132.37274169177277</v>
      </c>
      <c r="AC10" s="44" t="s">
        <v>1308</v>
      </c>
      <c r="AD10" s="39">
        <v>140.1767118755397</v>
      </c>
      <c r="AE10" s="44" t="s">
        <v>1308</v>
      </c>
      <c r="AF10" s="39">
        <v>148.22663160487141</v>
      </c>
      <c r="AG10" s="44" t="s">
        <v>1308</v>
      </c>
      <c r="AH10" s="39">
        <v>156.52733974485136</v>
      </c>
      <c r="AI10" s="44" t="s">
        <v>1308</v>
      </c>
      <c r="AJ10">
        <v>165.28191588546537</v>
      </c>
      <c r="AK10" s="44"/>
      <c r="AL10" s="39"/>
      <c r="AM10" s="44"/>
      <c r="AN10" s="39"/>
    </row>
    <row r="11" spans="1:700" x14ac:dyDescent="0.2">
      <c r="A11" s="44" t="s">
        <v>154</v>
      </c>
      <c r="B11" s="44">
        <v>0.65884520126561186</v>
      </c>
      <c r="C11" s="45" t="s">
        <v>154</v>
      </c>
      <c r="D11" s="45">
        <v>3.5263795154882862</v>
      </c>
      <c r="E11" s="44" t="s">
        <v>154</v>
      </c>
      <c r="F11" s="44">
        <v>6.4455689411650017</v>
      </c>
      <c r="G11" s="44" t="s">
        <v>154</v>
      </c>
      <c r="H11" s="44">
        <v>6.0817249185249844</v>
      </c>
      <c r="I11" s="44" t="s">
        <v>154</v>
      </c>
      <c r="J11" s="44">
        <v>4.8443952122485436</v>
      </c>
      <c r="K11" s="44" t="s">
        <v>154</v>
      </c>
      <c r="L11" s="44">
        <v>3.5872445514940638</v>
      </c>
      <c r="M11" s="44" t="s">
        <v>154</v>
      </c>
      <c r="N11" s="44">
        <v>2.3112733368323024</v>
      </c>
      <c r="O11" s="44" t="s">
        <v>154</v>
      </c>
      <c r="P11" s="44">
        <v>2.2815441214815797</v>
      </c>
      <c r="Q11" s="44" t="s">
        <v>154</v>
      </c>
      <c r="R11" s="44">
        <v>2.5282145216695984</v>
      </c>
      <c r="S11" s="44" t="s">
        <v>154</v>
      </c>
      <c r="T11" s="44">
        <v>2.7635685692151175</v>
      </c>
      <c r="U11" s="44" t="s">
        <v>154</v>
      </c>
      <c r="V11" s="44">
        <v>2.7281805136655626</v>
      </c>
      <c r="W11" s="44" t="s">
        <v>154</v>
      </c>
      <c r="X11" s="44">
        <v>2.7151918595605493</v>
      </c>
      <c r="Y11" s="44" t="s">
        <v>154</v>
      </c>
      <c r="Z11" s="44">
        <v>2.7158620100814916</v>
      </c>
      <c r="AA11" s="44" t="s">
        <v>154</v>
      </c>
      <c r="AB11" s="44">
        <v>2.7432435443709289</v>
      </c>
      <c r="AC11" s="44" t="s">
        <v>154</v>
      </c>
      <c r="AD11" s="44">
        <v>2.5027103686646655</v>
      </c>
      <c r="AE11" s="44" t="s">
        <v>154</v>
      </c>
      <c r="AF11" s="44">
        <v>4.1895260869363131</v>
      </c>
      <c r="AG11" s="44" t="s">
        <v>154</v>
      </c>
      <c r="AH11" s="39">
        <v>2.3938444514206623</v>
      </c>
      <c r="AI11" s="44" t="s">
        <v>154</v>
      </c>
      <c r="AJ11">
        <v>25.047462846626082</v>
      </c>
      <c r="AK11" s="44"/>
      <c r="AL11" s="39"/>
      <c r="AM11" s="44"/>
      <c r="AN11" s="39"/>
    </row>
    <row r="12" spans="1:700" x14ac:dyDescent="0.2">
      <c r="A12" s="44" t="s">
        <v>155</v>
      </c>
      <c r="B12" s="44">
        <v>234</v>
      </c>
      <c r="C12" s="45" t="s">
        <v>155</v>
      </c>
      <c r="D12" s="45">
        <v>238</v>
      </c>
      <c r="E12" s="44" t="s">
        <v>155</v>
      </c>
      <c r="F12" s="44">
        <v>241</v>
      </c>
      <c r="G12" s="44" t="s">
        <v>155</v>
      </c>
      <c r="H12" s="44">
        <v>245</v>
      </c>
      <c r="I12" s="44" t="s">
        <v>155</v>
      </c>
      <c r="J12" s="44">
        <v>249</v>
      </c>
      <c r="K12" s="44" t="s">
        <v>155</v>
      </c>
      <c r="L12" s="44">
        <v>253</v>
      </c>
      <c r="M12" s="44" t="s">
        <v>155</v>
      </c>
      <c r="N12" s="44">
        <v>257</v>
      </c>
      <c r="O12" s="44" t="s">
        <v>155</v>
      </c>
      <c r="P12" s="44">
        <v>261</v>
      </c>
      <c r="Q12" s="44" t="s">
        <v>155</v>
      </c>
      <c r="R12" s="44">
        <v>266</v>
      </c>
      <c r="S12" s="44" t="s">
        <v>155</v>
      </c>
      <c r="T12" s="44">
        <v>271</v>
      </c>
      <c r="U12" s="44" t="s">
        <v>155</v>
      </c>
      <c r="V12" s="39">
        <v>276</v>
      </c>
      <c r="W12" s="44" t="s">
        <v>155</v>
      </c>
      <c r="X12" s="39">
        <v>281</v>
      </c>
      <c r="Y12" s="44" t="s">
        <v>155</v>
      </c>
      <c r="Z12" s="39">
        <v>287</v>
      </c>
      <c r="AA12" s="44" t="s">
        <v>155</v>
      </c>
      <c r="AB12" s="39">
        <v>293</v>
      </c>
      <c r="AC12" s="44" t="s">
        <v>155</v>
      </c>
      <c r="AD12" s="39">
        <v>299</v>
      </c>
      <c r="AE12" s="44" t="s">
        <v>155</v>
      </c>
      <c r="AF12" s="39">
        <v>305</v>
      </c>
      <c r="AG12" s="44" t="s">
        <v>155</v>
      </c>
      <c r="AH12" s="39">
        <v>311</v>
      </c>
      <c r="AI12" s="44" t="s">
        <v>155</v>
      </c>
      <c r="AJ12">
        <v>318</v>
      </c>
      <c r="AK12" s="44"/>
      <c r="AL12" s="39"/>
      <c r="AM12" s="44"/>
      <c r="AN12" s="39"/>
    </row>
    <row r="13" spans="1:700" x14ac:dyDescent="0.2">
      <c r="A13" s="44" t="s">
        <v>156</v>
      </c>
      <c r="B13" s="44">
        <v>-216.99672193086704</v>
      </c>
      <c r="C13" s="44" t="s">
        <v>156</v>
      </c>
      <c r="D13" s="44">
        <v>-221.99647915010945</v>
      </c>
      <c r="E13" s="44" t="s">
        <v>156</v>
      </c>
      <c r="F13" s="44">
        <v>-225.99628833005252</v>
      </c>
      <c r="G13" s="44" t="s">
        <v>156</v>
      </c>
      <c r="H13" s="44">
        <v>-230.99606561809463</v>
      </c>
      <c r="I13" s="44" t="s">
        <v>156</v>
      </c>
      <c r="J13" s="44">
        <v>-235.99585451922061</v>
      </c>
      <c r="K13" s="44" t="s">
        <v>156</v>
      </c>
      <c r="L13" s="44">
        <v>-240.99565164567241</v>
      </c>
      <c r="M13" s="44" t="s">
        <v>156</v>
      </c>
      <c r="N13" s="44">
        <v>-245.99545635237456</v>
      </c>
      <c r="O13" s="44" t="s">
        <v>156</v>
      </c>
      <c r="P13" s="44">
        <v>-250.99527011957886</v>
      </c>
      <c r="Q13" s="44" t="s">
        <v>156</v>
      </c>
      <c r="R13" s="44">
        <v>-256.99508487585513</v>
      </c>
      <c r="S13" s="44" t="s">
        <v>156</v>
      </c>
      <c r="T13" s="44">
        <v>-262.99491894862098</v>
      </c>
      <c r="U13" s="44" t="s">
        <v>156</v>
      </c>
      <c r="V13" s="44">
        <v>-268.99477041859257</v>
      </c>
      <c r="W13" s="44" t="s">
        <v>156</v>
      </c>
      <c r="X13" s="44">
        <v>-274.99464033628902</v>
      </c>
      <c r="Y13" s="44" t="s">
        <v>156</v>
      </c>
      <c r="Z13" s="44">
        <v>-281.99455116817791</v>
      </c>
      <c r="AA13" s="44" t="s">
        <v>156</v>
      </c>
      <c r="AB13" s="44">
        <v>-288.99450808634202</v>
      </c>
      <c r="AC13" s="44" t="s">
        <v>156</v>
      </c>
      <c r="AD13" s="44">
        <v>-295.99451186672638</v>
      </c>
      <c r="AE13" s="44" t="s">
        <v>156</v>
      </c>
      <c r="AF13" s="44">
        <v>-302.99456420859485</v>
      </c>
      <c r="AG13" s="44" t="s">
        <v>156</v>
      </c>
      <c r="AH13" s="39">
        <v>-309.99466803309394</v>
      </c>
      <c r="AI13" s="44" t="s">
        <v>156</v>
      </c>
      <c r="AJ13">
        <v>-317.99487448027952</v>
      </c>
      <c r="AK13" s="44"/>
      <c r="AL13" s="39"/>
      <c r="AM13" s="44"/>
      <c r="AN13" s="39"/>
    </row>
    <row r="14" spans="1:700" x14ac:dyDescent="0.2">
      <c r="A14" s="44" t="s">
        <v>157</v>
      </c>
      <c r="B14" s="44">
        <v>-43.519344853676685</v>
      </c>
      <c r="C14" s="44" t="s">
        <v>157</v>
      </c>
      <c r="D14" s="44">
        <v>-43.519344853676685</v>
      </c>
      <c r="E14" s="44" t="s">
        <v>157</v>
      </c>
      <c r="F14" s="44">
        <v>-43.519344853676685</v>
      </c>
      <c r="G14" s="44" t="s">
        <v>157</v>
      </c>
      <c r="H14" s="44">
        <v>-43.519344853676685</v>
      </c>
      <c r="I14" s="44" t="s">
        <v>157</v>
      </c>
      <c r="J14" s="44">
        <v>-43.519344853676685</v>
      </c>
      <c r="K14" s="44" t="s">
        <v>157</v>
      </c>
      <c r="L14" s="44">
        <v>-43.519344853676685</v>
      </c>
      <c r="M14" s="44" t="s">
        <v>157</v>
      </c>
      <c r="N14" s="44">
        <v>-43.519344853676685</v>
      </c>
      <c r="O14" s="44" t="s">
        <v>157</v>
      </c>
      <c r="P14" s="44">
        <v>-43.519344853676685</v>
      </c>
      <c r="Q14" s="44" t="s">
        <v>157</v>
      </c>
      <c r="R14" s="44">
        <v>-43.519344853676685</v>
      </c>
      <c r="S14" s="44" t="s">
        <v>157</v>
      </c>
      <c r="T14" s="44">
        <v>-43.519344853676685</v>
      </c>
      <c r="U14" s="44" t="s">
        <v>157</v>
      </c>
      <c r="V14" s="39">
        <v>-43.519344853676685</v>
      </c>
      <c r="W14" s="44" t="s">
        <v>157</v>
      </c>
      <c r="X14" s="39">
        <v>-43.519344853676685</v>
      </c>
      <c r="Y14" s="44" t="s">
        <v>157</v>
      </c>
      <c r="Z14" s="39">
        <v>-43.519344853676685</v>
      </c>
      <c r="AA14" s="44" t="s">
        <v>157</v>
      </c>
      <c r="AB14" s="39">
        <v>-43.519344853676685</v>
      </c>
      <c r="AC14" s="44" t="s">
        <v>157</v>
      </c>
      <c r="AD14" s="39">
        <v>-43.519344853676685</v>
      </c>
      <c r="AE14" s="44" t="s">
        <v>157</v>
      </c>
      <c r="AF14" s="39">
        <v>-43.519344853676685</v>
      </c>
      <c r="AG14" s="44" t="s">
        <v>157</v>
      </c>
      <c r="AH14" s="39">
        <v>-43.519344853676685</v>
      </c>
      <c r="AI14" s="44" t="s">
        <v>157</v>
      </c>
      <c r="AJ14">
        <v>-43.519344853676685</v>
      </c>
      <c r="AK14" s="44"/>
      <c r="AL14" s="39"/>
      <c r="AM14" s="44"/>
      <c r="AN14" s="39"/>
    </row>
    <row r="15" spans="1:700" x14ac:dyDescent="0.2">
      <c r="A15" s="44" t="s">
        <v>158</v>
      </c>
      <c r="B15" s="44">
        <v>145.22936956468982</v>
      </c>
      <c r="C15" s="44" t="s">
        <v>158</v>
      </c>
      <c r="D15" s="44">
        <v>144.80422729973904</v>
      </c>
      <c r="E15" s="44" t="s">
        <v>158</v>
      </c>
      <c r="F15" s="44">
        <v>144.36775815761641</v>
      </c>
      <c r="G15" s="44" t="s">
        <v>158</v>
      </c>
      <c r="H15" s="44">
        <v>143.93038559416746</v>
      </c>
      <c r="I15" s="44" t="s">
        <v>158</v>
      </c>
      <c r="J15" s="44">
        <v>143.48357166347873</v>
      </c>
      <c r="K15" s="44" t="s">
        <v>158</v>
      </c>
      <c r="L15" s="44">
        <v>143.02411971886869</v>
      </c>
      <c r="M15" s="44" t="s">
        <v>158</v>
      </c>
      <c r="N15" s="44">
        <v>142.55155790305596</v>
      </c>
      <c r="O15" s="44" t="s">
        <v>158</v>
      </c>
      <c r="P15" s="44">
        <v>142.0858375399319</v>
      </c>
      <c r="Q15" s="44" t="s">
        <v>158</v>
      </c>
      <c r="R15" s="44">
        <v>141.61015235142273</v>
      </c>
      <c r="S15" s="44" t="s">
        <v>158</v>
      </c>
      <c r="T15" s="44">
        <v>141.12144149524593</v>
      </c>
      <c r="U15" s="44" t="s">
        <v>158</v>
      </c>
      <c r="V15" s="44">
        <v>140.6551488653634</v>
      </c>
      <c r="W15" s="44" t="s">
        <v>158</v>
      </c>
      <c r="X15" s="44">
        <v>140.20751977503477</v>
      </c>
      <c r="Y15" s="44" t="s">
        <v>158</v>
      </c>
      <c r="Z15" s="44">
        <v>139.72473356545447</v>
      </c>
      <c r="AA15" s="44" t="s">
        <v>158</v>
      </c>
      <c r="AB15" s="44">
        <v>138.95394451077684</v>
      </c>
      <c r="AC15" s="44" t="s">
        <v>158</v>
      </c>
      <c r="AD15" s="44">
        <v>138.08516956547024</v>
      </c>
      <c r="AE15" s="44" t="s">
        <v>158</v>
      </c>
      <c r="AF15" s="44">
        <v>137.19708568211573</v>
      </c>
      <c r="AG15" s="44" t="s">
        <v>158</v>
      </c>
      <c r="AH15" s="39">
        <v>136.32295364524211</v>
      </c>
      <c r="AI15" s="44" t="s">
        <v>158</v>
      </c>
      <c r="AJ15">
        <v>135.45356382735932</v>
      </c>
      <c r="AK15" s="44"/>
      <c r="AL15" s="39"/>
      <c r="AM15" s="44"/>
      <c r="AN15" s="39"/>
    </row>
    <row r="16" spans="1:700" x14ac:dyDescent="0.2">
      <c r="A16" s="44" t="s">
        <v>1313</v>
      </c>
      <c r="B16" s="39">
        <v>1.6506071396060378</v>
      </c>
      <c r="C16" s="44" t="s">
        <v>1313</v>
      </c>
      <c r="D16" s="39">
        <v>1.6668381324138373</v>
      </c>
      <c r="E16" s="44" t="s">
        <v>1313</v>
      </c>
      <c r="F16" s="39">
        <v>1.6833344673633923</v>
      </c>
      <c r="G16" s="44" t="s">
        <v>1313</v>
      </c>
      <c r="H16" s="39">
        <v>1.6968604884303109</v>
      </c>
      <c r="I16" s="44" t="s">
        <v>1313</v>
      </c>
      <c r="J16" s="39">
        <v>1.7097837602751187</v>
      </c>
      <c r="K16" s="44" t="s">
        <v>1313</v>
      </c>
      <c r="L16" s="39">
        <v>1.7229369817932207</v>
      </c>
      <c r="M16" s="44" t="s">
        <v>1313</v>
      </c>
      <c r="N16" s="39">
        <v>1.7363156759210621</v>
      </c>
      <c r="O16" s="44" t="s">
        <v>1313</v>
      </c>
      <c r="P16" s="39">
        <v>1.7443389430388057</v>
      </c>
      <c r="Q16" s="44" t="s">
        <v>1313</v>
      </c>
      <c r="R16" s="39">
        <v>1.7513043177427654</v>
      </c>
      <c r="S16" s="44" t="s">
        <v>1313</v>
      </c>
      <c r="T16" s="39">
        <v>1.7580565746206729</v>
      </c>
      <c r="U16" s="44" t="s">
        <v>1313</v>
      </c>
      <c r="V16" s="39">
        <v>1.7583388530758324</v>
      </c>
      <c r="W16" s="44" t="s">
        <v>1313</v>
      </c>
      <c r="X16" s="39">
        <v>1.75841476939653</v>
      </c>
      <c r="Y16" s="44" t="s">
        <v>1313</v>
      </c>
      <c r="Z16" s="39">
        <v>1.7584161196161838</v>
      </c>
      <c r="AA16" s="44" t="s">
        <v>1313</v>
      </c>
      <c r="AB16" s="39">
        <v>1.7585916888480833</v>
      </c>
      <c r="AC16" s="44" t="s">
        <v>1313</v>
      </c>
      <c r="AD16" s="39">
        <v>1.7464730250444902</v>
      </c>
      <c r="AE16" s="44" t="s">
        <v>1313</v>
      </c>
      <c r="AF16" s="39">
        <v>1.6874169754091384</v>
      </c>
      <c r="AG16" s="44" t="s">
        <v>1313</v>
      </c>
      <c r="AH16" s="39">
        <v>1.5616782191787402</v>
      </c>
      <c r="AI16" s="44" t="s">
        <v>1313</v>
      </c>
      <c r="AJ16" s="39">
        <v>1.4053526868845072</v>
      </c>
      <c r="AK16" s="44"/>
      <c r="AL16" s="39"/>
      <c r="AM16" s="44"/>
      <c r="AN16" s="39"/>
    </row>
    <row r="17" spans="1:40" x14ac:dyDescent="0.2">
      <c r="A17" s="44" t="s">
        <v>1315</v>
      </c>
      <c r="B17" s="44">
        <v>-96.203827364984491</v>
      </c>
      <c r="C17" s="44" t="s">
        <v>1315</v>
      </c>
      <c r="D17" s="44">
        <v>-98.115446610886636</v>
      </c>
      <c r="E17" s="44" t="s">
        <v>1315</v>
      </c>
      <c r="F17" s="44">
        <v>-100.15532742367951</v>
      </c>
      <c r="G17" s="44" t="s">
        <v>1315</v>
      </c>
      <c r="H17" s="44">
        <v>-103.12643242554418</v>
      </c>
      <c r="I17" s="44" t="s">
        <v>1315</v>
      </c>
      <c r="J17" s="44">
        <v>-106.47578657347923</v>
      </c>
      <c r="K17" s="44" t="s">
        <v>1315</v>
      </c>
      <c r="L17" s="44">
        <v>-110.01311819047801</v>
      </c>
      <c r="M17" s="44" t="s">
        <v>1315</v>
      </c>
      <c r="N17" s="44">
        <v>-113.75361818853773</v>
      </c>
      <c r="O17" s="44" t="s">
        <v>1315</v>
      </c>
      <c r="P17" s="44">
        <v>-117.0686267408601</v>
      </c>
      <c r="Q17" s="44" t="s">
        <v>1315</v>
      </c>
      <c r="R17" s="44">
        <v>-120.47228820434573</v>
      </c>
      <c r="S17" s="44" t="s">
        <v>1315</v>
      </c>
      <c r="T17" s="44">
        <v>-124.13647234112122</v>
      </c>
      <c r="U17" s="44" t="s">
        <v>1315</v>
      </c>
      <c r="V17" s="44">
        <v>-128.24962128685485</v>
      </c>
      <c r="W17" s="44" t="s">
        <v>1315</v>
      </c>
      <c r="X17" s="44">
        <v>-132.66732550943306</v>
      </c>
      <c r="Y17" s="44" t="s">
        <v>1315</v>
      </c>
      <c r="Z17" s="44">
        <v>-137.39108039889402</v>
      </c>
      <c r="AA17" s="44" t="s">
        <v>1315</v>
      </c>
      <c r="AB17" s="44">
        <v>-142.23940344684158</v>
      </c>
      <c r="AC17" s="44" t="s">
        <v>1315</v>
      </c>
      <c r="AD17" s="44">
        <v>-147.39098677709688</v>
      </c>
      <c r="AE17" s="44" t="s">
        <v>1315</v>
      </c>
      <c r="AF17" s="44">
        <v>-151.77940360530596</v>
      </c>
      <c r="AG17" s="44" t="s">
        <v>1315</v>
      </c>
      <c r="AH17" s="39">
        <v>-156.53640645780706</v>
      </c>
      <c r="AI17" s="44" t="s">
        <v>1315</v>
      </c>
      <c r="AJ17">
        <v>-165.29074411790253</v>
      </c>
      <c r="AK17" s="44"/>
      <c r="AL17" s="39"/>
      <c r="AM17" s="44"/>
      <c r="AN17" s="39"/>
    </row>
    <row r="18" spans="1:40" x14ac:dyDescent="0.2">
      <c r="A18" s="44" t="s">
        <v>168</v>
      </c>
      <c r="B18" s="39" t="s">
        <v>109</v>
      </c>
      <c r="C18" s="44" t="s">
        <v>168</v>
      </c>
      <c r="D18" s="39" t="s">
        <v>109</v>
      </c>
      <c r="E18" s="44" t="s">
        <v>168</v>
      </c>
      <c r="F18" s="39" t="s">
        <v>109</v>
      </c>
      <c r="G18" s="44" t="s">
        <v>168</v>
      </c>
      <c r="H18" s="39" t="s">
        <v>109</v>
      </c>
      <c r="I18" s="44" t="s">
        <v>168</v>
      </c>
      <c r="J18" s="39" t="s">
        <v>109</v>
      </c>
      <c r="K18" s="44" t="s">
        <v>168</v>
      </c>
      <c r="L18" s="39" t="s">
        <v>109</v>
      </c>
      <c r="M18" s="44" t="s">
        <v>168</v>
      </c>
      <c r="N18" s="39" t="s">
        <v>109</v>
      </c>
      <c r="O18" s="44" t="s">
        <v>168</v>
      </c>
      <c r="P18" s="39" t="s">
        <v>109</v>
      </c>
      <c r="Q18" s="44" t="s">
        <v>168</v>
      </c>
      <c r="R18" s="39" t="s">
        <v>109</v>
      </c>
      <c r="S18" s="44" t="s">
        <v>168</v>
      </c>
      <c r="T18" s="39" t="s">
        <v>109</v>
      </c>
      <c r="U18" s="44" t="s">
        <v>168</v>
      </c>
      <c r="V18" s="39" t="s">
        <v>109</v>
      </c>
      <c r="W18" s="44" t="s">
        <v>168</v>
      </c>
      <c r="X18" s="39" t="s">
        <v>109</v>
      </c>
      <c r="Y18" s="44" t="s">
        <v>168</v>
      </c>
      <c r="Z18" s="39" t="s">
        <v>109</v>
      </c>
      <c r="AA18" s="44" t="s">
        <v>168</v>
      </c>
      <c r="AB18" s="39" t="s">
        <v>109</v>
      </c>
      <c r="AC18" s="44" t="s">
        <v>168</v>
      </c>
      <c r="AD18" s="39" t="s">
        <v>109</v>
      </c>
      <c r="AE18" s="44" t="s">
        <v>168</v>
      </c>
      <c r="AF18" s="39" t="s">
        <v>109</v>
      </c>
      <c r="AG18" s="44" t="s">
        <v>168</v>
      </c>
      <c r="AH18" s="39" t="s">
        <v>109</v>
      </c>
      <c r="AI18" s="44" t="s">
        <v>168</v>
      </c>
      <c r="AJ18" s="39" t="s">
        <v>109</v>
      </c>
      <c r="AK18" s="44"/>
      <c r="AL18" s="39"/>
      <c r="AM18" s="44"/>
      <c r="AN18" s="39"/>
    </row>
    <row r="19" spans="1:40" x14ac:dyDescent="0.2">
      <c r="A19" s="44" t="s">
        <v>169</v>
      </c>
      <c r="B19" s="39" t="s">
        <v>171</v>
      </c>
      <c r="C19" s="44" t="s">
        <v>169</v>
      </c>
      <c r="D19" s="39" t="s">
        <v>171</v>
      </c>
      <c r="E19" s="44" t="s">
        <v>169</v>
      </c>
      <c r="F19" s="39" t="s">
        <v>171</v>
      </c>
      <c r="G19" s="44" t="s">
        <v>169</v>
      </c>
      <c r="H19" s="39" t="s">
        <v>171</v>
      </c>
      <c r="I19" s="44" t="s">
        <v>169</v>
      </c>
      <c r="J19" s="39" t="s">
        <v>171</v>
      </c>
      <c r="K19" s="44" t="s">
        <v>169</v>
      </c>
      <c r="L19" s="39" t="s">
        <v>171</v>
      </c>
      <c r="M19" s="44" t="s">
        <v>169</v>
      </c>
      <c r="N19" s="39" t="s">
        <v>171</v>
      </c>
      <c r="O19" s="44" t="s">
        <v>169</v>
      </c>
      <c r="P19" s="39" t="s">
        <v>171</v>
      </c>
      <c r="Q19" s="44" t="s">
        <v>169</v>
      </c>
      <c r="R19" s="39" t="s">
        <v>171</v>
      </c>
      <c r="S19" s="44" t="s">
        <v>169</v>
      </c>
      <c r="T19" s="39" t="s">
        <v>171</v>
      </c>
      <c r="U19" s="44" t="s">
        <v>169</v>
      </c>
      <c r="V19" s="39" t="s">
        <v>171</v>
      </c>
      <c r="W19" s="44" t="s">
        <v>169</v>
      </c>
      <c r="X19" s="39" t="s">
        <v>171</v>
      </c>
      <c r="Y19" s="44" t="s">
        <v>169</v>
      </c>
      <c r="Z19" s="39" t="s">
        <v>171</v>
      </c>
      <c r="AA19" s="44" t="s">
        <v>169</v>
      </c>
      <c r="AB19" s="39" t="s">
        <v>171</v>
      </c>
      <c r="AC19" s="44" t="s">
        <v>169</v>
      </c>
      <c r="AD19" s="39" t="s">
        <v>171</v>
      </c>
      <c r="AE19" s="44" t="s">
        <v>169</v>
      </c>
      <c r="AF19" s="39" t="s">
        <v>171</v>
      </c>
      <c r="AG19" s="44" t="s">
        <v>169</v>
      </c>
      <c r="AH19" s="39" t="s">
        <v>171</v>
      </c>
      <c r="AI19" s="44" t="s">
        <v>169</v>
      </c>
      <c r="AJ19" s="39" t="s">
        <v>171</v>
      </c>
      <c r="AK19" s="44"/>
      <c r="AL19" s="39"/>
      <c r="AM19" s="44"/>
      <c r="AN19" s="39"/>
    </row>
    <row r="20" spans="1:40" x14ac:dyDescent="0.2">
      <c r="A20" s="44" t="s">
        <v>158</v>
      </c>
      <c r="B20" s="39">
        <v>140</v>
      </c>
      <c r="C20" s="44" t="s">
        <v>158</v>
      </c>
      <c r="D20" s="44">
        <v>140</v>
      </c>
      <c r="E20" s="44" t="s">
        <v>158</v>
      </c>
      <c r="F20" s="44">
        <v>140</v>
      </c>
      <c r="G20" s="44" t="s">
        <v>158</v>
      </c>
      <c r="H20" s="44">
        <v>140</v>
      </c>
      <c r="I20" s="44" t="s">
        <v>158</v>
      </c>
      <c r="J20" s="44">
        <v>140</v>
      </c>
      <c r="K20" s="44" t="s">
        <v>158</v>
      </c>
      <c r="L20" s="44">
        <v>140</v>
      </c>
      <c r="M20" s="44" t="s">
        <v>158</v>
      </c>
      <c r="N20" s="44">
        <v>140</v>
      </c>
      <c r="O20" s="44" t="s">
        <v>158</v>
      </c>
      <c r="P20" s="44">
        <v>140</v>
      </c>
      <c r="Q20" s="44" t="s">
        <v>158</v>
      </c>
      <c r="R20" s="44">
        <v>140</v>
      </c>
      <c r="S20" s="44" t="s">
        <v>158</v>
      </c>
      <c r="T20" s="44">
        <v>140</v>
      </c>
      <c r="U20" s="44" t="s">
        <v>158</v>
      </c>
      <c r="V20" s="39">
        <v>140</v>
      </c>
      <c r="W20" s="44" t="s">
        <v>158</v>
      </c>
      <c r="X20" s="39">
        <v>140</v>
      </c>
      <c r="Y20" s="44" t="s">
        <v>158</v>
      </c>
      <c r="Z20" s="39">
        <v>140</v>
      </c>
      <c r="AA20" s="44" t="s">
        <v>158</v>
      </c>
      <c r="AB20" s="39">
        <v>140</v>
      </c>
      <c r="AC20" s="44" t="s">
        <v>158</v>
      </c>
      <c r="AD20" s="39">
        <v>140</v>
      </c>
      <c r="AE20" s="44" t="s">
        <v>158</v>
      </c>
      <c r="AF20" s="39">
        <v>140</v>
      </c>
      <c r="AG20" s="44" t="s">
        <v>158</v>
      </c>
      <c r="AH20" s="39">
        <v>140</v>
      </c>
      <c r="AI20" s="44" t="s">
        <v>158</v>
      </c>
      <c r="AJ20">
        <v>140</v>
      </c>
      <c r="AK20" s="44"/>
      <c r="AL20" s="39"/>
      <c r="AM20" s="44"/>
      <c r="AN20" s="39"/>
    </row>
    <row r="21" spans="1:40" x14ac:dyDescent="0.2">
      <c r="A21" s="44" t="s">
        <v>173</v>
      </c>
      <c r="B21" s="72">
        <v>120</v>
      </c>
      <c r="C21" s="44" t="s">
        <v>173</v>
      </c>
      <c r="D21" s="39">
        <v>120</v>
      </c>
      <c r="E21" s="44" t="s">
        <v>173</v>
      </c>
      <c r="F21" s="39">
        <v>120</v>
      </c>
      <c r="G21" s="44" t="s">
        <v>173</v>
      </c>
      <c r="H21" s="39">
        <v>120</v>
      </c>
      <c r="I21" s="44" t="s">
        <v>173</v>
      </c>
      <c r="J21" s="39">
        <v>120</v>
      </c>
      <c r="K21" s="44" t="s">
        <v>173</v>
      </c>
      <c r="L21" s="39">
        <v>120</v>
      </c>
      <c r="M21" s="44" t="s">
        <v>173</v>
      </c>
      <c r="N21" s="39">
        <v>120</v>
      </c>
      <c r="O21" s="44" t="s">
        <v>173</v>
      </c>
      <c r="P21" s="72">
        <v>120</v>
      </c>
      <c r="Q21" s="44" t="s">
        <v>173</v>
      </c>
      <c r="R21" s="73">
        <v>120</v>
      </c>
      <c r="S21" s="44" t="s">
        <v>173</v>
      </c>
      <c r="T21" s="39">
        <v>120</v>
      </c>
      <c r="U21" s="44" t="s">
        <v>173</v>
      </c>
      <c r="V21" s="39">
        <v>120</v>
      </c>
      <c r="W21" s="44" t="s">
        <v>173</v>
      </c>
      <c r="X21" s="39">
        <v>120</v>
      </c>
      <c r="Y21" s="44" t="s">
        <v>173</v>
      </c>
      <c r="Z21" s="39">
        <v>120</v>
      </c>
      <c r="AA21" s="44" t="s">
        <v>173</v>
      </c>
      <c r="AB21" s="39">
        <v>120</v>
      </c>
      <c r="AC21" s="44" t="s">
        <v>173</v>
      </c>
      <c r="AD21" s="39">
        <v>120</v>
      </c>
      <c r="AE21" s="44" t="s">
        <v>173</v>
      </c>
      <c r="AF21" s="39">
        <v>120</v>
      </c>
      <c r="AG21" s="44" t="s">
        <v>173</v>
      </c>
      <c r="AH21" s="39">
        <v>120</v>
      </c>
      <c r="AI21" s="44" t="s">
        <v>173</v>
      </c>
      <c r="AJ21" s="39">
        <v>120</v>
      </c>
      <c r="AK21" s="44"/>
      <c r="AL21" s="39"/>
      <c r="AM21" s="44"/>
      <c r="AN21" s="39"/>
    </row>
    <row r="22" spans="1:40" x14ac:dyDescent="0.2">
      <c r="A22" s="44" t="s">
        <v>177</v>
      </c>
      <c r="B22" s="39">
        <v>0</v>
      </c>
      <c r="C22" s="44" t="s">
        <v>177</v>
      </c>
      <c r="D22" s="39">
        <v>0</v>
      </c>
      <c r="E22" s="44" t="s">
        <v>177</v>
      </c>
      <c r="F22" s="39">
        <v>0</v>
      </c>
      <c r="G22" s="44" t="s">
        <v>177</v>
      </c>
      <c r="H22" s="39">
        <v>0</v>
      </c>
      <c r="I22" s="44" t="s">
        <v>177</v>
      </c>
      <c r="J22" s="39">
        <v>0</v>
      </c>
      <c r="K22" s="44" t="s">
        <v>177</v>
      </c>
      <c r="L22" s="39">
        <v>0</v>
      </c>
      <c r="M22" s="44" t="s">
        <v>177</v>
      </c>
      <c r="N22" s="39">
        <v>0</v>
      </c>
      <c r="O22" s="44" t="s">
        <v>177</v>
      </c>
      <c r="P22" s="39">
        <v>0</v>
      </c>
      <c r="Q22" s="44" t="s">
        <v>177</v>
      </c>
      <c r="R22" s="39">
        <v>0</v>
      </c>
      <c r="S22" s="44" t="s">
        <v>177</v>
      </c>
      <c r="T22" s="39">
        <v>0</v>
      </c>
      <c r="U22" s="44" t="s">
        <v>177</v>
      </c>
      <c r="V22" s="39">
        <v>0</v>
      </c>
      <c r="W22" s="44" t="s">
        <v>177</v>
      </c>
      <c r="X22" s="39">
        <v>0</v>
      </c>
      <c r="Y22" s="44" t="s">
        <v>177</v>
      </c>
      <c r="Z22" s="39">
        <v>0</v>
      </c>
      <c r="AA22" s="44" t="s">
        <v>177</v>
      </c>
      <c r="AB22" s="39">
        <v>0</v>
      </c>
      <c r="AC22" s="44" t="s">
        <v>177</v>
      </c>
      <c r="AD22" s="39">
        <v>0</v>
      </c>
      <c r="AE22" s="44" t="s">
        <v>177</v>
      </c>
      <c r="AF22" s="39">
        <v>0</v>
      </c>
      <c r="AG22" s="44" t="s">
        <v>177</v>
      </c>
      <c r="AH22" s="39">
        <v>0</v>
      </c>
      <c r="AI22" s="44" t="s">
        <v>177</v>
      </c>
      <c r="AJ22" s="39">
        <v>0</v>
      </c>
      <c r="AK22" s="44"/>
      <c r="AL22" s="39"/>
      <c r="AM22" s="44"/>
      <c r="AN22" s="39"/>
    </row>
    <row r="23" spans="1:40" x14ac:dyDescent="0.2">
      <c r="A23" s="44" t="s">
        <v>181</v>
      </c>
      <c r="B23" s="39">
        <v>0</v>
      </c>
      <c r="C23" s="44" t="s">
        <v>181</v>
      </c>
      <c r="D23" s="39">
        <v>0</v>
      </c>
      <c r="E23" s="44" t="s">
        <v>181</v>
      </c>
      <c r="F23" s="39">
        <v>0</v>
      </c>
      <c r="G23" s="44" t="s">
        <v>181</v>
      </c>
      <c r="H23" s="39">
        <v>0</v>
      </c>
      <c r="I23" s="44" t="s">
        <v>181</v>
      </c>
      <c r="J23" s="39">
        <v>0</v>
      </c>
      <c r="K23" s="44" t="s">
        <v>181</v>
      </c>
      <c r="L23" s="39">
        <v>0</v>
      </c>
      <c r="M23" s="44" t="s">
        <v>181</v>
      </c>
      <c r="N23" s="39">
        <v>0</v>
      </c>
      <c r="O23" s="44" t="s">
        <v>181</v>
      </c>
      <c r="P23" s="39">
        <v>0</v>
      </c>
      <c r="Q23" s="44" t="s">
        <v>181</v>
      </c>
      <c r="R23" s="39">
        <v>0</v>
      </c>
      <c r="S23" s="44" t="s">
        <v>181</v>
      </c>
      <c r="T23" s="39">
        <v>0</v>
      </c>
      <c r="U23" s="44" t="s">
        <v>181</v>
      </c>
      <c r="V23" s="39">
        <v>0</v>
      </c>
      <c r="W23" s="44" t="s">
        <v>181</v>
      </c>
      <c r="X23" s="39">
        <v>0</v>
      </c>
      <c r="Y23" s="44" t="s">
        <v>181</v>
      </c>
      <c r="Z23" s="39">
        <v>0</v>
      </c>
      <c r="AA23" s="44" t="s">
        <v>181</v>
      </c>
      <c r="AB23" s="39">
        <v>0</v>
      </c>
      <c r="AC23" s="44" t="s">
        <v>181</v>
      </c>
      <c r="AD23" s="39">
        <v>0</v>
      </c>
      <c r="AE23" s="44" t="s">
        <v>181</v>
      </c>
      <c r="AF23" s="39">
        <v>0</v>
      </c>
      <c r="AG23" s="44" t="s">
        <v>181</v>
      </c>
      <c r="AH23" s="39">
        <v>0</v>
      </c>
      <c r="AI23" s="44" t="s">
        <v>181</v>
      </c>
      <c r="AJ23" s="39">
        <v>0</v>
      </c>
      <c r="AK23" s="44"/>
      <c r="AL23" s="39"/>
      <c r="AM23" s="44"/>
      <c r="AN23" s="39"/>
    </row>
    <row r="24" spans="1:40" x14ac:dyDescent="0.2">
      <c r="A24" s="44" t="s">
        <v>196</v>
      </c>
      <c r="B24" s="39">
        <v>1</v>
      </c>
      <c r="C24" s="44" t="s">
        <v>196</v>
      </c>
      <c r="D24" s="39">
        <v>1</v>
      </c>
      <c r="E24" s="44" t="s">
        <v>196</v>
      </c>
      <c r="F24" s="39">
        <v>1</v>
      </c>
      <c r="G24" s="44" t="s">
        <v>196</v>
      </c>
      <c r="H24" s="39">
        <v>1</v>
      </c>
      <c r="I24" s="44" t="s">
        <v>196</v>
      </c>
      <c r="J24" s="39">
        <v>1</v>
      </c>
      <c r="K24" s="44" t="s">
        <v>196</v>
      </c>
      <c r="L24" s="39">
        <v>1</v>
      </c>
      <c r="M24" s="44" t="s">
        <v>196</v>
      </c>
      <c r="N24" s="39">
        <v>1</v>
      </c>
      <c r="O24" s="44" t="s">
        <v>196</v>
      </c>
      <c r="P24" s="39">
        <v>1</v>
      </c>
      <c r="Q24" s="44" t="s">
        <v>196</v>
      </c>
      <c r="R24" s="39">
        <v>1</v>
      </c>
      <c r="S24" s="44" t="s">
        <v>196</v>
      </c>
      <c r="T24" s="39">
        <v>1</v>
      </c>
      <c r="U24" s="44" t="s">
        <v>196</v>
      </c>
      <c r="V24" s="39">
        <v>1</v>
      </c>
      <c r="W24" s="44" t="s">
        <v>196</v>
      </c>
      <c r="X24" s="39">
        <v>1</v>
      </c>
      <c r="Y24" s="44" t="s">
        <v>196</v>
      </c>
      <c r="Z24" s="39">
        <v>1</v>
      </c>
      <c r="AA24" s="44" t="s">
        <v>196</v>
      </c>
      <c r="AB24" s="39">
        <v>1</v>
      </c>
      <c r="AC24" s="44" t="s">
        <v>196</v>
      </c>
      <c r="AD24" s="39">
        <v>1</v>
      </c>
      <c r="AE24" s="44" t="s">
        <v>196</v>
      </c>
      <c r="AF24" s="39">
        <v>1</v>
      </c>
      <c r="AG24" s="44" t="s">
        <v>196</v>
      </c>
      <c r="AH24" s="39">
        <v>1</v>
      </c>
      <c r="AI24" s="44" t="s">
        <v>196</v>
      </c>
      <c r="AJ24" s="39">
        <v>1</v>
      </c>
      <c r="AK24" s="44"/>
      <c r="AL24" s="39"/>
      <c r="AM24" s="44"/>
      <c r="AN24" s="39"/>
    </row>
    <row r="25" spans="1:40" x14ac:dyDescent="0.2">
      <c r="A25" s="44" t="s">
        <v>198</v>
      </c>
      <c r="B25" s="39">
        <v>1</v>
      </c>
      <c r="C25" s="44" t="s">
        <v>198</v>
      </c>
      <c r="D25" s="39">
        <v>1</v>
      </c>
      <c r="E25" s="44" t="s">
        <v>198</v>
      </c>
      <c r="F25" s="39">
        <v>1</v>
      </c>
      <c r="G25" s="44" t="s">
        <v>198</v>
      </c>
      <c r="H25" s="39">
        <v>1</v>
      </c>
      <c r="I25" s="44" t="s">
        <v>198</v>
      </c>
      <c r="J25" s="39">
        <v>1</v>
      </c>
      <c r="K25" s="44" t="s">
        <v>198</v>
      </c>
      <c r="L25" s="39">
        <v>1</v>
      </c>
      <c r="M25" s="44" t="s">
        <v>198</v>
      </c>
      <c r="N25" s="39">
        <v>1</v>
      </c>
      <c r="O25" s="44" t="s">
        <v>198</v>
      </c>
      <c r="P25" s="39">
        <v>1</v>
      </c>
      <c r="Q25" s="44" t="s">
        <v>198</v>
      </c>
      <c r="R25" s="39">
        <v>1</v>
      </c>
      <c r="S25" s="44" t="s">
        <v>198</v>
      </c>
      <c r="T25" s="39">
        <v>1</v>
      </c>
      <c r="U25" s="44" t="s">
        <v>198</v>
      </c>
      <c r="V25" s="39">
        <v>1</v>
      </c>
      <c r="W25" s="44" t="s">
        <v>198</v>
      </c>
      <c r="X25" s="39">
        <v>1</v>
      </c>
      <c r="Y25" s="44" t="s">
        <v>198</v>
      </c>
      <c r="Z25" s="39">
        <v>1</v>
      </c>
      <c r="AA25" s="44" t="s">
        <v>198</v>
      </c>
      <c r="AB25" s="39">
        <v>1</v>
      </c>
      <c r="AC25" s="44" t="s">
        <v>198</v>
      </c>
      <c r="AD25" s="39">
        <v>1</v>
      </c>
      <c r="AE25" s="44" t="s">
        <v>198</v>
      </c>
      <c r="AF25" s="39">
        <v>1</v>
      </c>
      <c r="AG25" s="44" t="s">
        <v>198</v>
      </c>
      <c r="AH25" s="39">
        <v>1</v>
      </c>
      <c r="AI25" s="44" t="s">
        <v>198</v>
      </c>
      <c r="AJ25" s="39">
        <v>1</v>
      </c>
      <c r="AK25" s="44"/>
      <c r="AL25" s="39"/>
      <c r="AM25" s="44"/>
      <c r="AN25" s="39"/>
    </row>
    <row r="26" spans="1:40" x14ac:dyDescent="0.2">
      <c r="A26" s="44" t="s">
        <v>184</v>
      </c>
      <c r="B26" s="39">
        <v>180</v>
      </c>
      <c r="C26" s="44" t="s">
        <v>184</v>
      </c>
      <c r="D26" s="39">
        <v>180</v>
      </c>
      <c r="E26" s="44" t="s">
        <v>184</v>
      </c>
      <c r="F26" s="39">
        <v>180</v>
      </c>
      <c r="G26" s="44" t="s">
        <v>184</v>
      </c>
      <c r="H26" s="39">
        <v>180</v>
      </c>
      <c r="I26" s="44" t="s">
        <v>184</v>
      </c>
      <c r="J26" s="39">
        <v>180</v>
      </c>
      <c r="K26" s="44" t="s">
        <v>184</v>
      </c>
      <c r="L26" s="39">
        <v>180</v>
      </c>
      <c r="M26" s="44" t="s">
        <v>184</v>
      </c>
      <c r="N26" s="39">
        <v>180</v>
      </c>
      <c r="O26" s="44" t="s">
        <v>184</v>
      </c>
      <c r="P26" s="39">
        <v>180</v>
      </c>
      <c r="Q26" s="44" t="s">
        <v>184</v>
      </c>
      <c r="R26" s="39">
        <v>180</v>
      </c>
      <c r="S26" s="44" t="s">
        <v>184</v>
      </c>
      <c r="T26" s="39">
        <v>180</v>
      </c>
      <c r="U26" s="44" t="s">
        <v>184</v>
      </c>
      <c r="V26" s="39">
        <v>180</v>
      </c>
      <c r="W26" s="44" t="s">
        <v>184</v>
      </c>
      <c r="X26" s="39">
        <v>180</v>
      </c>
      <c r="Y26" s="44" t="s">
        <v>184</v>
      </c>
      <c r="Z26" s="39">
        <v>180</v>
      </c>
      <c r="AA26" s="44" t="s">
        <v>184</v>
      </c>
      <c r="AB26" s="39">
        <v>180</v>
      </c>
      <c r="AC26" s="44" t="s">
        <v>184</v>
      </c>
      <c r="AD26" s="39">
        <v>180</v>
      </c>
      <c r="AE26" s="44" t="s">
        <v>184</v>
      </c>
      <c r="AF26" s="39">
        <v>180</v>
      </c>
      <c r="AG26" s="44" t="s">
        <v>184</v>
      </c>
      <c r="AH26" s="39">
        <v>180</v>
      </c>
      <c r="AI26" s="44" t="s">
        <v>184</v>
      </c>
      <c r="AJ26" s="39">
        <v>180</v>
      </c>
      <c r="AK26" s="44"/>
      <c r="AL26" s="39"/>
      <c r="AM26" s="44"/>
      <c r="AN26" s="39"/>
    </row>
    <row r="27" spans="1:40" x14ac:dyDescent="0.2">
      <c r="A27" s="44" t="s">
        <v>1319</v>
      </c>
      <c r="B27" s="39">
        <v>358000</v>
      </c>
      <c r="C27" s="44" t="s">
        <v>1319</v>
      </c>
      <c r="D27" s="39">
        <v>358000</v>
      </c>
      <c r="E27" s="44" t="s">
        <v>1319</v>
      </c>
      <c r="F27" s="39">
        <v>358000</v>
      </c>
      <c r="G27" s="44" t="s">
        <v>1319</v>
      </c>
      <c r="H27" s="39">
        <v>358000</v>
      </c>
      <c r="I27" s="44" t="s">
        <v>1319</v>
      </c>
      <c r="J27" s="39">
        <v>358000</v>
      </c>
      <c r="K27" s="44" t="s">
        <v>1319</v>
      </c>
      <c r="L27" s="39">
        <v>358000</v>
      </c>
      <c r="M27" s="44" t="s">
        <v>1319</v>
      </c>
      <c r="N27" s="39">
        <v>358000</v>
      </c>
      <c r="O27" s="44" t="s">
        <v>1319</v>
      </c>
      <c r="P27" s="39">
        <v>358000</v>
      </c>
      <c r="Q27" s="44" t="s">
        <v>1319</v>
      </c>
      <c r="R27" s="39">
        <v>358000</v>
      </c>
      <c r="S27" s="44" t="s">
        <v>1319</v>
      </c>
      <c r="T27" s="39">
        <v>358000</v>
      </c>
      <c r="U27" s="44" t="s">
        <v>1319</v>
      </c>
      <c r="V27" s="39">
        <v>358000</v>
      </c>
      <c r="W27" s="44" t="s">
        <v>1319</v>
      </c>
      <c r="X27" s="39">
        <v>358000</v>
      </c>
      <c r="Y27" s="44" t="s">
        <v>1319</v>
      </c>
      <c r="Z27" s="39">
        <v>358000</v>
      </c>
      <c r="AA27" s="44" t="s">
        <v>1319</v>
      </c>
      <c r="AB27" s="39">
        <v>358000</v>
      </c>
      <c r="AC27" s="44" t="s">
        <v>1319</v>
      </c>
      <c r="AD27" s="39">
        <v>358000</v>
      </c>
      <c r="AE27" s="44" t="s">
        <v>1319</v>
      </c>
      <c r="AF27" s="39">
        <v>358000</v>
      </c>
      <c r="AG27" s="44" t="s">
        <v>1319</v>
      </c>
      <c r="AH27" s="39">
        <v>358000</v>
      </c>
      <c r="AI27" s="44" t="s">
        <v>1319</v>
      </c>
      <c r="AJ27" s="39">
        <v>358000</v>
      </c>
      <c r="AK27" s="44"/>
      <c r="AL27" s="39"/>
      <c r="AM27" s="44"/>
      <c r="AN27" s="39"/>
    </row>
    <row r="28" spans="1:40" x14ac:dyDescent="0.2">
      <c r="A28" s="44" t="s">
        <v>1317</v>
      </c>
      <c r="B28" s="39">
        <v>0.10007656960862486</v>
      </c>
      <c r="C28" s="44" t="s">
        <v>1317</v>
      </c>
      <c r="D28" s="39">
        <v>9.3435552939518607E-2</v>
      </c>
      <c r="E28" s="44" t="s">
        <v>1317</v>
      </c>
      <c r="F28" s="39">
        <v>9.0247154531407511E-2</v>
      </c>
      <c r="G28" s="44" t="s">
        <v>1317</v>
      </c>
      <c r="H28" s="39">
        <v>9.2477492640908404E-2</v>
      </c>
      <c r="I28" s="44" t="s">
        <v>1317</v>
      </c>
      <c r="J28" s="39">
        <v>9.4852939871108224E-2</v>
      </c>
      <c r="K28" s="44" t="s">
        <v>1317</v>
      </c>
      <c r="L28" s="39">
        <v>9.7382717556988019E-2</v>
      </c>
      <c r="M28" s="44" t="s">
        <v>1317</v>
      </c>
      <c r="N28" s="39">
        <v>0.10008039705002253</v>
      </c>
      <c r="O28" s="44" t="s">
        <v>1317</v>
      </c>
      <c r="P28" s="39">
        <v>0.10296750768739762</v>
      </c>
      <c r="Q28" s="44" t="s">
        <v>1317</v>
      </c>
      <c r="R28" s="39">
        <v>0.10605641858424522</v>
      </c>
      <c r="S28" s="44" t="s">
        <v>1317</v>
      </c>
      <c r="T28" s="39">
        <v>0.10936648739716398</v>
      </c>
      <c r="U28" s="44" t="s">
        <v>1317</v>
      </c>
      <c r="V28" s="39">
        <v>0.11292793673445929</v>
      </c>
      <c r="W28" s="44" t="s">
        <v>1317</v>
      </c>
      <c r="X28" s="39">
        <v>0.11676665010063782</v>
      </c>
      <c r="Y28" s="44" t="s">
        <v>1317</v>
      </c>
      <c r="Z28" s="39">
        <v>0.12087916741770882</v>
      </c>
      <c r="AA28" s="44" t="s">
        <v>1317</v>
      </c>
      <c r="AB28" s="39">
        <v>0.12511434440456343</v>
      </c>
      <c r="AC28" s="44" t="s">
        <v>1317</v>
      </c>
      <c r="AD28" s="39">
        <v>0.12947937192576547</v>
      </c>
      <c r="AE28" s="44" t="s">
        <v>1317</v>
      </c>
      <c r="AF28" s="39">
        <v>0.13398093114501547</v>
      </c>
      <c r="AG28" s="44" t="s">
        <v>1317</v>
      </c>
      <c r="AH28" s="39">
        <v>0.13862416658586835</v>
      </c>
      <c r="AI28" s="44" t="s">
        <v>1317</v>
      </c>
      <c r="AJ28" s="39">
        <v>0.14349927502952736</v>
      </c>
      <c r="AK28" s="44"/>
      <c r="AL28" s="39"/>
      <c r="AM28" s="44"/>
      <c r="AN28" s="39"/>
    </row>
    <row r="29" spans="1:40" x14ac:dyDescent="0.2">
      <c r="A29" s="44" t="s">
        <v>1371</v>
      </c>
      <c r="B29" s="39">
        <v>54.346948755378051</v>
      </c>
      <c r="C29" s="44" t="s">
        <v>1371</v>
      </c>
      <c r="D29" s="39">
        <v>57.735303161897178</v>
      </c>
      <c r="E29" s="44" t="s">
        <v>1371</v>
      </c>
      <c r="F29" s="39">
        <v>61.400542320804938</v>
      </c>
      <c r="G29" s="44" t="s">
        <v>1371</v>
      </c>
      <c r="H29" s="39">
        <v>65.313411042862938</v>
      </c>
      <c r="I29" s="44" t="s">
        <v>1371</v>
      </c>
      <c r="J29" s="39">
        <v>69.521471037875699</v>
      </c>
      <c r="K29" s="44" t="s">
        <v>1371</v>
      </c>
      <c r="L29" s="39">
        <v>74.044458570631917</v>
      </c>
      <c r="M29" s="44" t="s">
        <v>1371</v>
      </c>
      <c r="N29" s="39">
        <v>78.907427599432921</v>
      </c>
      <c r="O29" s="44" t="s">
        <v>1371</v>
      </c>
      <c r="P29" s="39">
        <v>84.149351619485529</v>
      </c>
      <c r="Q29" s="44" t="s">
        <v>1371</v>
      </c>
      <c r="R29" s="39">
        <v>89.81323563375507</v>
      </c>
      <c r="S29" s="44" t="s">
        <v>1371</v>
      </c>
      <c r="T29" s="39">
        <v>95.927501885748711</v>
      </c>
      <c r="U29" s="44" t="s">
        <v>1371</v>
      </c>
      <c r="V29" s="39">
        <v>102.54748001513411</v>
      </c>
      <c r="W29" s="44" t="s">
        <v>1371</v>
      </c>
      <c r="X29" s="39">
        <v>109.74542153239861</v>
      </c>
      <c r="Y29" s="44" t="s">
        <v>1371</v>
      </c>
      <c r="Z29" s="39">
        <v>117.48855586305424</v>
      </c>
      <c r="AA29" s="44" t="s">
        <v>1371</v>
      </c>
      <c r="AB29" s="39">
        <v>125.52240301826555</v>
      </c>
      <c r="AC29" s="44" t="s">
        <v>1371</v>
      </c>
      <c r="AD29" s="39">
        <v>133.85416520864339</v>
      </c>
      <c r="AE29" s="44" t="s">
        <v>1371</v>
      </c>
      <c r="AF29" s="39">
        <v>142.49126928488025</v>
      </c>
      <c r="AG29" s="44" t="s">
        <v>1371</v>
      </c>
      <c r="AH29" s="39">
        <v>151.42752496106195</v>
      </c>
      <c r="AI29" s="44" t="s">
        <v>1371</v>
      </c>
      <c r="AJ29" s="39">
        <v>160.84384175315827</v>
      </c>
      <c r="AK29" s="44"/>
      <c r="AL29" s="39"/>
      <c r="AM29" s="44"/>
      <c r="AN29" s="39"/>
    </row>
    <row r="30" spans="1:40" x14ac:dyDescent="0.2">
      <c r="A30" s="44"/>
      <c r="B30" s="39"/>
      <c r="C30" s="44"/>
      <c r="D30" s="39"/>
      <c r="E30" s="44"/>
      <c r="F30" s="39"/>
      <c r="G30" s="44"/>
      <c r="H30" s="39"/>
      <c r="I30" s="44"/>
      <c r="J30" s="39"/>
      <c r="K30" s="44"/>
      <c r="L30" s="39"/>
      <c r="M30" s="44"/>
      <c r="N30" s="39"/>
      <c r="O30" s="44"/>
      <c r="P30" s="39"/>
      <c r="Q30" s="44"/>
      <c r="R30" s="39"/>
      <c r="S30" s="44"/>
      <c r="T30" s="39"/>
      <c r="U30" s="44"/>
      <c r="V30" s="39"/>
      <c r="W30" s="44"/>
      <c r="X30" s="39"/>
      <c r="Y30" s="44"/>
      <c r="Z30" s="39"/>
      <c r="AA30" s="44"/>
      <c r="AB30" s="39"/>
      <c r="AC30" s="44"/>
      <c r="AD30" s="39"/>
      <c r="AE30" s="44"/>
      <c r="AF30" s="39"/>
      <c r="AG30" s="44"/>
      <c r="AI30" s="44"/>
      <c r="AJ30" s="39"/>
      <c r="AK30" s="44"/>
      <c r="AL30" s="39"/>
      <c r="AM30" s="44"/>
      <c r="AN30" s="39"/>
    </row>
    <row r="31" spans="1:40" x14ac:dyDescent="0.2">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row>
    <row r="32" spans="1:40" x14ac:dyDescent="0.2">
      <c r="A32" s="44"/>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row>
    <row r="33" spans="1:5" x14ac:dyDescent="0.2">
      <c r="A33" s="44"/>
      <c r="B33" s="44"/>
    </row>
    <row r="34" spans="1:5" x14ac:dyDescent="0.2">
      <c r="A34" s="44"/>
      <c r="B34" s="39"/>
    </row>
    <row r="35" spans="1:5" x14ac:dyDescent="0.2">
      <c r="A35" s="44"/>
      <c r="B35" s="44"/>
    </row>
    <row r="36" spans="1:5" x14ac:dyDescent="0.2">
      <c r="A36" s="44"/>
      <c r="B36" s="39"/>
    </row>
    <row r="37" spans="1:5" x14ac:dyDescent="0.2">
      <c r="A37" s="44"/>
      <c r="B37" s="44"/>
    </row>
    <row r="38" spans="1:5" x14ac:dyDescent="0.2">
      <c r="A38" s="44"/>
      <c r="B38" s="39"/>
      <c r="C38" s="39"/>
      <c r="D38" s="39"/>
      <c r="E38" s="39"/>
    </row>
    <row r="39" spans="1:5" x14ac:dyDescent="0.2">
      <c r="A39" s="44"/>
      <c r="B39" s="44"/>
    </row>
    <row r="40" spans="1:5" x14ac:dyDescent="0.2">
      <c r="A40" s="44"/>
      <c r="B40" s="39"/>
    </row>
    <row r="41" spans="1:5" x14ac:dyDescent="0.2">
      <c r="A41" s="44"/>
      <c r="B41" s="39"/>
    </row>
    <row r="42" spans="1:5" x14ac:dyDescent="0.2">
      <c r="A42" s="44"/>
      <c r="B42" s="39"/>
    </row>
    <row r="43" spans="1:5" x14ac:dyDescent="0.2">
      <c r="A43" s="44"/>
      <c r="B43" s="39"/>
    </row>
    <row r="44" spans="1:5" x14ac:dyDescent="0.2">
      <c r="A44" s="44"/>
      <c r="B44" s="39"/>
      <c r="C44" s="39"/>
      <c r="D44" s="39"/>
      <c r="E44" s="39"/>
    </row>
    <row r="45" spans="1:5" x14ac:dyDescent="0.2">
      <c r="A45" s="44"/>
      <c r="B45" s="39"/>
    </row>
    <row r="46" spans="1:5" x14ac:dyDescent="0.2">
      <c r="A46" s="44"/>
      <c r="B46" s="39"/>
    </row>
    <row r="47" spans="1:5" x14ac:dyDescent="0.2">
      <c r="A47" s="44"/>
      <c r="B47" s="39"/>
    </row>
    <row r="48" spans="1:5" x14ac:dyDescent="0.2">
      <c r="A48" s="44"/>
      <c r="B48" s="39"/>
    </row>
    <row r="49" spans="1:5" x14ac:dyDescent="0.2">
      <c r="A49" s="44"/>
      <c r="B49" s="39"/>
    </row>
    <row r="50" spans="1:5" x14ac:dyDescent="0.2">
      <c r="A50" s="44"/>
      <c r="B50" s="39"/>
      <c r="C50" s="39"/>
      <c r="D50" s="39"/>
      <c r="E50" s="39"/>
    </row>
    <row r="51" spans="1:5" x14ac:dyDescent="0.2">
      <c r="A51" s="44"/>
      <c r="B51" s="39"/>
    </row>
    <row r="52" spans="1:5" x14ac:dyDescent="0.2">
      <c r="A52" s="44"/>
      <c r="B52" s="39"/>
    </row>
    <row r="53" spans="1:5" x14ac:dyDescent="0.2">
      <c r="A53" s="44"/>
      <c r="B53" s="39"/>
    </row>
    <row r="54" spans="1:5" x14ac:dyDescent="0.2">
      <c r="A54" s="44"/>
      <c r="B54" s="39"/>
    </row>
    <row r="55" spans="1:5" x14ac:dyDescent="0.2">
      <c r="A55" s="44"/>
      <c r="B55" s="39"/>
    </row>
    <row r="56" spans="1:5" x14ac:dyDescent="0.2">
      <c r="A56" s="44"/>
      <c r="B56" s="39"/>
      <c r="C56" s="39"/>
      <c r="D56" s="39"/>
      <c r="E56" s="39"/>
    </row>
    <row r="57" spans="1:5" x14ac:dyDescent="0.2">
      <c r="A57" s="44"/>
      <c r="B57" s="39"/>
    </row>
    <row r="58" spans="1:5" x14ac:dyDescent="0.2">
      <c r="A58" s="44"/>
      <c r="B58" s="39"/>
    </row>
    <row r="59" spans="1:5" x14ac:dyDescent="0.2">
      <c r="A59" s="44"/>
      <c r="B59" s="39"/>
    </row>
    <row r="60" spans="1:5" x14ac:dyDescent="0.2">
      <c r="A60" s="44"/>
      <c r="B60" s="39"/>
    </row>
    <row r="61" spans="1:5" x14ac:dyDescent="0.2">
      <c r="A61" s="44"/>
      <c r="B61" s="39"/>
    </row>
    <row r="62" spans="1:5" x14ac:dyDescent="0.2">
      <c r="A62" s="44"/>
      <c r="B62" s="39"/>
      <c r="C62" s="39"/>
      <c r="D62" s="39"/>
      <c r="E62" s="39"/>
    </row>
    <row r="63" spans="1:5" x14ac:dyDescent="0.2">
      <c r="A63" s="44"/>
      <c r="B63" s="39"/>
    </row>
    <row r="64" spans="1:5" x14ac:dyDescent="0.2">
      <c r="A64" s="44"/>
      <c r="B64" s="39"/>
    </row>
    <row r="65" spans="1:2" x14ac:dyDescent="0.2">
      <c r="A65" s="44"/>
      <c r="B65" s="39"/>
    </row>
    <row r="66" spans="1:2" x14ac:dyDescent="0.2">
      <c r="A66" s="44"/>
      <c r="B66" s="39"/>
    </row>
    <row r="67" spans="1:2" x14ac:dyDescent="0.2">
      <c r="A67" s="44"/>
      <c r="B67" s="39"/>
    </row>
    <row r="68" spans="1:2" x14ac:dyDescent="0.2">
      <c r="A68" s="44"/>
      <c r="B68" s="39"/>
    </row>
    <row r="240" spans="69:69" x14ac:dyDescent="0.2">
      <c r="BQ240" s="62"/>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K385"/>
  <sheetViews>
    <sheetView zoomScaleNormal="100" workbookViewId="0">
      <selection activeCell="DM7" sqref="DM7"/>
    </sheetView>
  </sheetViews>
  <sheetFormatPr defaultRowHeight="12.75" x14ac:dyDescent="0.2"/>
  <cols>
    <col min="1" max="1" width="17.5703125" bestFit="1" customWidth="1"/>
    <col min="2" max="2" width="13.140625" bestFit="1" customWidth="1"/>
    <col min="3" max="3" width="21.140625" style="82" bestFit="1" customWidth="1"/>
    <col min="4" max="4" width="20.85546875" bestFit="1" customWidth="1"/>
    <col min="5" max="5" width="20.5703125" bestFit="1" customWidth="1"/>
    <col min="6" max="6" width="16.28515625" bestFit="1" customWidth="1"/>
    <col min="7" max="7" width="19.42578125" customWidth="1"/>
    <col min="8" max="8" width="12" customWidth="1"/>
    <col min="9" max="9" width="21.140625" style="82" bestFit="1" customWidth="1"/>
    <col min="10" max="10" width="20.85546875" bestFit="1" customWidth="1"/>
    <col min="11" max="11" width="20.5703125" bestFit="1" customWidth="1"/>
    <col min="12" max="12" width="16.28515625" bestFit="1" customWidth="1"/>
    <col min="13" max="13" width="20.5703125" bestFit="1" customWidth="1"/>
    <col min="14" max="14" width="17.5703125" bestFit="1" customWidth="1"/>
    <col min="15" max="15" width="21.140625" style="82" bestFit="1" customWidth="1"/>
    <col min="16" max="16" width="20.85546875" bestFit="1" customWidth="1"/>
    <col min="17" max="17" width="20.5703125" bestFit="1" customWidth="1"/>
    <col min="18" max="18" width="16.28515625" bestFit="1" customWidth="1"/>
    <col min="19" max="19" width="13.140625" bestFit="1" customWidth="1"/>
    <col min="20" max="20" width="17.5703125" bestFit="1" customWidth="1"/>
    <col min="21" max="21" width="21.140625" style="82" bestFit="1" customWidth="1"/>
    <col min="22" max="22" width="20.85546875" bestFit="1" customWidth="1"/>
    <col min="23" max="23" width="20.5703125" bestFit="1" customWidth="1"/>
    <col min="24" max="24" width="16.28515625" bestFit="1" customWidth="1"/>
    <col min="25" max="25" width="20.5703125" bestFit="1" customWidth="1"/>
    <col min="26" max="26" width="17.5703125" bestFit="1" customWidth="1"/>
    <col min="27" max="27" width="21.140625" style="82" bestFit="1" customWidth="1"/>
    <col min="28" max="28" width="20.85546875" bestFit="1" customWidth="1"/>
    <col min="29" max="29" width="20.5703125" bestFit="1" customWidth="1"/>
    <col min="30" max="30" width="16.28515625" bestFit="1" customWidth="1"/>
    <col min="31" max="31" width="13.140625" bestFit="1" customWidth="1"/>
    <col min="32" max="32" width="17.5703125" bestFit="1" customWidth="1"/>
    <col min="33" max="33" width="21.140625" style="82" bestFit="1" customWidth="1"/>
    <col min="34" max="34" width="20.85546875" bestFit="1" customWidth="1"/>
    <col min="35" max="35" width="20.5703125" bestFit="1" customWidth="1"/>
    <col min="36" max="36" width="16.28515625" bestFit="1" customWidth="1"/>
    <col min="37" max="37" width="20.5703125" bestFit="1" customWidth="1"/>
    <col min="38" max="38" width="17.5703125" bestFit="1" customWidth="1"/>
    <col min="39" max="39" width="21.140625" style="82" bestFit="1" customWidth="1"/>
    <col min="40" max="40" width="20.85546875" bestFit="1" customWidth="1"/>
    <col min="41" max="41" width="20.5703125" bestFit="1" customWidth="1"/>
    <col min="42" max="42" width="16.28515625" bestFit="1" customWidth="1"/>
    <col min="43" max="43" width="13.140625" bestFit="1" customWidth="1"/>
    <col min="44" max="44" width="17.5703125" bestFit="1" customWidth="1"/>
    <col min="45" max="45" width="21.140625" style="82" bestFit="1" customWidth="1"/>
    <col min="46" max="46" width="20.85546875" bestFit="1" customWidth="1"/>
    <col min="47" max="47" width="20.5703125" bestFit="1" customWidth="1"/>
    <col min="48" max="48" width="16.28515625" bestFit="1" customWidth="1"/>
    <col min="49" max="49" width="20.5703125" bestFit="1" customWidth="1"/>
    <col min="50" max="50" width="17.5703125" bestFit="1" customWidth="1"/>
    <col min="51" max="51" width="21.140625" style="82" bestFit="1" customWidth="1"/>
    <col min="52" max="52" width="20.85546875" bestFit="1" customWidth="1"/>
    <col min="53" max="53" width="20.5703125" bestFit="1" customWidth="1"/>
    <col min="54" max="54" width="16.28515625" bestFit="1" customWidth="1"/>
    <col min="55" max="55" width="13.140625" bestFit="1" customWidth="1"/>
    <col min="56" max="56" width="17.5703125" bestFit="1" customWidth="1"/>
    <col min="57" max="57" width="21.140625" style="82" bestFit="1" customWidth="1"/>
    <col min="58" max="58" width="20.85546875" bestFit="1" customWidth="1"/>
    <col min="59" max="59" width="20.5703125" bestFit="1" customWidth="1"/>
    <col min="60" max="60" width="16.28515625" bestFit="1" customWidth="1"/>
    <col min="61" max="61" width="20.5703125" bestFit="1" customWidth="1"/>
    <col min="62" max="62" width="17.5703125" bestFit="1" customWidth="1"/>
    <col min="63" max="63" width="21.140625" style="82" bestFit="1" customWidth="1"/>
    <col min="64" max="64" width="20.85546875" bestFit="1" customWidth="1"/>
    <col min="65" max="65" width="20.5703125" bestFit="1" customWidth="1"/>
    <col min="66" max="66" width="16.28515625" bestFit="1" customWidth="1"/>
    <col min="67" max="67" width="13.140625" bestFit="1" customWidth="1"/>
    <col min="68" max="68" width="17.5703125" bestFit="1" customWidth="1"/>
    <col min="69" max="69" width="21.140625" style="82" bestFit="1" customWidth="1"/>
    <col min="70" max="70" width="20.85546875" bestFit="1" customWidth="1"/>
    <col min="71" max="71" width="20.5703125" bestFit="1" customWidth="1"/>
    <col min="72" max="72" width="16.28515625" bestFit="1" customWidth="1"/>
    <col min="73" max="73" width="20.5703125" bestFit="1" customWidth="1"/>
    <col min="74" max="74" width="17.5703125" bestFit="1" customWidth="1"/>
    <col min="75" max="75" width="21.140625" style="82" bestFit="1" customWidth="1"/>
    <col min="76" max="76" width="20.85546875" bestFit="1" customWidth="1"/>
    <col min="77" max="77" width="20.5703125" bestFit="1" customWidth="1"/>
    <col min="78" max="78" width="16.28515625" bestFit="1" customWidth="1"/>
    <col min="79" max="79" width="13.140625" bestFit="1" customWidth="1"/>
    <col min="80" max="80" width="17.5703125" bestFit="1" customWidth="1"/>
    <col min="81" max="81" width="21.140625" style="82" bestFit="1" customWidth="1"/>
    <col min="82" max="82" width="20.85546875" bestFit="1" customWidth="1"/>
    <col min="83" max="83" width="20.5703125" bestFit="1" customWidth="1"/>
    <col min="84" max="84" width="16.28515625" bestFit="1" customWidth="1"/>
    <col min="86" max="86" width="17.5703125" bestFit="1" customWidth="1"/>
    <col min="87" max="87" width="21.140625" style="82" bestFit="1" customWidth="1"/>
    <col min="88" max="88" width="20.85546875" bestFit="1" customWidth="1"/>
    <col min="89" max="89" width="20.5703125" bestFit="1" customWidth="1"/>
    <col min="90" max="90" width="16.28515625" bestFit="1" customWidth="1"/>
    <col min="92" max="92" width="17.5703125" bestFit="1" customWidth="1"/>
    <col min="93" max="93" width="21.140625" style="82" bestFit="1" customWidth="1"/>
    <col min="94" max="94" width="20.85546875" bestFit="1" customWidth="1"/>
    <col min="95" max="95" width="20.5703125" bestFit="1" customWidth="1"/>
    <col min="96" max="96" width="16.28515625" bestFit="1" customWidth="1"/>
    <col min="98" max="98" width="17.5703125" bestFit="1" customWidth="1"/>
    <col min="99" max="99" width="21.140625" style="82" bestFit="1" customWidth="1"/>
    <col min="100" max="100" width="20.85546875" bestFit="1" customWidth="1"/>
    <col min="101" max="101" width="20.5703125" bestFit="1" customWidth="1"/>
    <col min="102" max="102" width="16.28515625" bestFit="1" customWidth="1"/>
    <col min="104" max="104" width="17.5703125" bestFit="1" customWidth="1"/>
    <col min="105" max="105" width="21.140625" style="82" bestFit="1" customWidth="1"/>
    <col min="106" max="106" width="20.85546875" bestFit="1" customWidth="1"/>
    <col min="107" max="107" width="20.5703125" bestFit="1" customWidth="1"/>
    <col min="108" max="108" width="16.28515625" bestFit="1" customWidth="1"/>
    <col min="110" max="110" width="17.5703125" bestFit="1" customWidth="1"/>
    <col min="111" max="111" width="21.140625" style="82" bestFit="1" customWidth="1"/>
    <col min="112" max="112" width="20.85546875" bestFit="1" customWidth="1"/>
    <col min="113" max="113" width="20.5703125" bestFit="1" customWidth="1"/>
    <col min="114" max="114" width="16.28515625" bestFit="1" customWidth="1"/>
    <col min="116" max="116" width="17.5703125" bestFit="1" customWidth="1"/>
    <col min="117" max="117" width="21.140625" style="82" bestFit="1" customWidth="1"/>
    <col min="118" max="118" width="20.85546875" bestFit="1" customWidth="1"/>
    <col min="119" max="119" width="20.5703125" bestFit="1" customWidth="1"/>
    <col min="120" max="120" width="16.28515625" bestFit="1" customWidth="1"/>
  </cols>
  <sheetData>
    <row r="1" spans="1:141" x14ac:dyDescent="0.2">
      <c r="A1" s="44" t="s">
        <v>251</v>
      </c>
      <c r="D1" s="44"/>
      <c r="F1" s="44"/>
      <c r="G1" s="44" t="s">
        <v>252</v>
      </c>
      <c r="H1" s="44"/>
      <c r="J1" s="44"/>
      <c r="L1" s="44"/>
      <c r="M1" s="44" t="s">
        <v>253</v>
      </c>
      <c r="N1" s="44"/>
      <c r="P1" s="44"/>
      <c r="Q1" s="44"/>
      <c r="R1" s="44"/>
      <c r="S1" s="44" t="s">
        <v>254</v>
      </c>
      <c r="T1" s="44"/>
      <c r="V1" s="44"/>
      <c r="W1" s="44"/>
      <c r="X1" s="44"/>
      <c r="Y1" s="44" t="s">
        <v>255</v>
      </c>
      <c r="Z1" s="44"/>
      <c r="AB1" s="44"/>
      <c r="AD1" s="44"/>
      <c r="AE1" s="44" t="s">
        <v>256</v>
      </c>
      <c r="AF1" s="44"/>
      <c r="AH1" s="44"/>
      <c r="AJ1" s="44"/>
      <c r="AK1" s="44" t="s">
        <v>257</v>
      </c>
      <c r="AL1" s="44"/>
      <c r="AN1" s="44"/>
      <c r="AP1" s="44"/>
      <c r="AQ1" s="44" t="s">
        <v>258</v>
      </c>
      <c r="AR1" s="44"/>
      <c r="AT1" s="44"/>
      <c r="AU1" s="44"/>
      <c r="AV1" s="44"/>
      <c r="AW1" s="44" t="s">
        <v>259</v>
      </c>
      <c r="AX1" s="44"/>
      <c r="AZ1" s="44"/>
      <c r="BB1" s="44"/>
      <c r="BC1" s="44" t="s">
        <v>260</v>
      </c>
      <c r="BD1" s="44"/>
      <c r="BF1" s="44"/>
      <c r="BH1" s="44"/>
      <c r="BI1" s="44" t="s">
        <v>261</v>
      </c>
      <c r="BJ1" s="44"/>
      <c r="BL1" s="44"/>
      <c r="BM1" s="44"/>
      <c r="BN1" s="44"/>
      <c r="BO1" s="44" t="s">
        <v>262</v>
      </c>
      <c r="BP1" s="44"/>
      <c r="BR1" s="44"/>
      <c r="BT1" s="44"/>
      <c r="BU1" s="44" t="s">
        <v>263</v>
      </c>
      <c r="BV1" s="44"/>
      <c r="BX1" s="44"/>
      <c r="BY1" s="44"/>
      <c r="BZ1" s="44"/>
      <c r="CA1" s="44" t="s">
        <v>264</v>
      </c>
      <c r="CB1" s="44"/>
      <c r="CD1" s="44"/>
      <c r="CG1" s="44" t="s">
        <v>265</v>
      </c>
      <c r="CH1" s="44"/>
      <c r="CM1" s="44" t="s">
        <v>266</v>
      </c>
      <c r="CN1" s="44"/>
      <c r="CS1" s="44" t="s">
        <v>267</v>
      </c>
      <c r="CT1" s="44"/>
      <c r="CV1" s="44"/>
      <c r="CY1" s="44" t="s">
        <v>268</v>
      </c>
      <c r="CZ1" s="44"/>
      <c r="DC1" s="44"/>
      <c r="DF1" s="44"/>
      <c r="DJ1" s="44"/>
      <c r="DL1" s="44"/>
      <c r="DQ1" s="44"/>
      <c r="DX1" s="44"/>
      <c r="EE1" s="44"/>
    </row>
    <row r="2" spans="1:141" x14ac:dyDescent="0.2">
      <c r="A2" s="44" t="s">
        <v>1330</v>
      </c>
      <c r="B2" s="44"/>
      <c r="C2" s="83"/>
      <c r="D2" s="44" t="s">
        <v>221</v>
      </c>
      <c r="E2" s="44"/>
      <c r="F2" s="44"/>
      <c r="G2" s="44" t="s">
        <v>1330</v>
      </c>
      <c r="H2" s="44"/>
      <c r="I2" s="83"/>
      <c r="J2" s="44" t="s">
        <v>221</v>
      </c>
      <c r="K2" s="44"/>
      <c r="L2" s="44"/>
      <c r="M2" s="44" t="s">
        <v>1330</v>
      </c>
      <c r="N2" s="44"/>
      <c r="O2" s="83"/>
      <c r="P2" s="44" t="s">
        <v>221</v>
      </c>
      <c r="Q2" s="44"/>
      <c r="R2" s="44"/>
      <c r="S2" s="44" t="s">
        <v>1330</v>
      </c>
      <c r="T2" s="44"/>
      <c r="U2" s="83"/>
      <c r="V2" s="44" t="s">
        <v>221</v>
      </c>
      <c r="W2" s="44"/>
      <c r="X2" s="44"/>
      <c r="Y2" s="44" t="s">
        <v>1330</v>
      </c>
      <c r="Z2" s="44"/>
      <c r="AA2" s="83"/>
      <c r="AB2" s="44" t="s">
        <v>221</v>
      </c>
      <c r="AC2" s="44"/>
      <c r="AD2" s="44"/>
      <c r="AE2" s="44" t="s">
        <v>1330</v>
      </c>
      <c r="AF2" s="44"/>
      <c r="AG2" s="83"/>
      <c r="AH2" s="44" t="s">
        <v>221</v>
      </c>
      <c r="AI2" s="44"/>
      <c r="AJ2" s="44"/>
      <c r="AK2" s="44" t="s">
        <v>1330</v>
      </c>
      <c r="AL2" s="44"/>
      <c r="AM2" s="83"/>
      <c r="AN2" s="44" t="s">
        <v>221</v>
      </c>
      <c r="AO2" s="44"/>
      <c r="AP2" s="44"/>
      <c r="AQ2" s="44" t="s">
        <v>1330</v>
      </c>
      <c r="AR2" s="44"/>
      <c r="AS2" s="83"/>
      <c r="AT2" s="44" t="s">
        <v>221</v>
      </c>
      <c r="AU2" s="44"/>
      <c r="AV2" s="44"/>
      <c r="AW2" s="44" t="s">
        <v>1330</v>
      </c>
      <c r="AX2" s="44"/>
      <c r="AY2" s="83"/>
      <c r="AZ2" s="44" t="s">
        <v>221</v>
      </c>
      <c r="BA2" s="44"/>
      <c r="BB2" s="44"/>
      <c r="BC2" s="44" t="s">
        <v>1330</v>
      </c>
      <c r="BD2" s="44"/>
      <c r="BE2" s="83"/>
      <c r="BF2" s="44" t="s">
        <v>221</v>
      </c>
      <c r="BG2" s="44"/>
      <c r="BH2" s="44"/>
      <c r="BI2" s="44" t="s">
        <v>1330</v>
      </c>
      <c r="BJ2" s="44"/>
      <c r="BK2" s="83"/>
      <c r="BL2" s="44" t="s">
        <v>221</v>
      </c>
      <c r="BM2" s="44"/>
      <c r="BN2" s="44"/>
      <c r="BO2" s="44" t="s">
        <v>1330</v>
      </c>
      <c r="BP2" s="44"/>
      <c r="BQ2" s="83"/>
      <c r="BR2" s="44" t="s">
        <v>221</v>
      </c>
      <c r="BS2" s="44"/>
      <c r="BT2" s="44"/>
      <c r="BU2" s="44" t="s">
        <v>1330</v>
      </c>
      <c r="BV2" s="44"/>
      <c r="BW2" s="83"/>
      <c r="BX2" s="44" t="s">
        <v>221</v>
      </c>
      <c r="BY2" s="44"/>
      <c r="BZ2" s="44"/>
      <c r="CA2" s="44" t="s">
        <v>1330</v>
      </c>
      <c r="CB2" s="44"/>
      <c r="CC2" s="83"/>
      <c r="CD2" s="44" t="s">
        <v>221</v>
      </c>
      <c r="CE2" s="44"/>
      <c r="CF2" s="44"/>
      <c r="CG2" s="44" t="s">
        <v>1330</v>
      </c>
      <c r="CH2" s="44"/>
      <c r="CI2" s="83"/>
      <c r="CJ2" s="44" t="s">
        <v>221</v>
      </c>
      <c r="CK2" s="44"/>
      <c r="CL2" s="44"/>
      <c r="CM2" s="44" t="s">
        <v>1330</v>
      </c>
      <c r="CN2" s="44"/>
      <c r="CO2" s="83"/>
      <c r="CP2" s="44" t="s">
        <v>221</v>
      </c>
      <c r="CQ2" s="44"/>
      <c r="CS2" s="44" t="s">
        <v>1330</v>
      </c>
      <c r="CT2" s="44"/>
      <c r="CU2" s="83"/>
      <c r="CV2" s="44" t="s">
        <v>221</v>
      </c>
      <c r="CX2" s="44"/>
      <c r="CY2" s="44" t="s">
        <v>1330</v>
      </c>
      <c r="CZ2" s="44"/>
      <c r="DA2" s="83"/>
      <c r="DB2" s="44" t="s">
        <v>221</v>
      </c>
      <c r="DC2" s="44"/>
      <c r="DE2" s="44"/>
      <c r="DF2" s="44"/>
      <c r="DG2" s="83"/>
      <c r="DH2" s="44"/>
      <c r="DJ2" s="44"/>
      <c r="DL2" s="44"/>
      <c r="DM2" s="83"/>
      <c r="DN2" s="44"/>
      <c r="DQ2" s="44"/>
      <c r="DS2" s="44"/>
      <c r="DU2" s="44"/>
      <c r="DX2" s="44"/>
      <c r="DZ2" s="44"/>
      <c r="EB2" s="44"/>
      <c r="EE2" s="44"/>
      <c r="EG2" s="44"/>
      <c r="EI2" s="44"/>
    </row>
    <row r="3" spans="1:141" ht="25.5" customHeight="1" x14ac:dyDescent="0.2">
      <c r="A3" s="44" t="s">
        <v>128</v>
      </c>
      <c r="B3" s="44" t="s">
        <v>132</v>
      </c>
      <c r="C3" s="84" t="s">
        <v>1413</v>
      </c>
      <c r="D3" s="44" t="s">
        <v>128</v>
      </c>
      <c r="E3" s="44" t="s">
        <v>100</v>
      </c>
      <c r="F3" s="44" t="s">
        <v>1368</v>
      </c>
      <c r="G3" s="44" t="s">
        <v>128</v>
      </c>
      <c r="H3" s="44" t="s">
        <v>132</v>
      </c>
      <c r="I3" s="84" t="s">
        <v>1413</v>
      </c>
      <c r="J3" s="44" t="s">
        <v>128</v>
      </c>
      <c r="K3" s="44" t="s">
        <v>100</v>
      </c>
      <c r="L3" s="44" t="s">
        <v>1368</v>
      </c>
      <c r="M3" s="44" t="s">
        <v>128</v>
      </c>
      <c r="N3" s="44" t="s">
        <v>132</v>
      </c>
      <c r="O3" s="84" t="s">
        <v>1413</v>
      </c>
      <c r="P3" s="44" t="s">
        <v>128</v>
      </c>
      <c r="Q3" s="44" t="s">
        <v>100</v>
      </c>
      <c r="R3" s="44" t="s">
        <v>1368</v>
      </c>
      <c r="S3" s="44" t="s">
        <v>128</v>
      </c>
      <c r="T3" s="44" t="s">
        <v>132</v>
      </c>
      <c r="U3" s="84" t="s">
        <v>1413</v>
      </c>
      <c r="V3" s="44" t="s">
        <v>128</v>
      </c>
      <c r="W3" s="44" t="s">
        <v>100</v>
      </c>
      <c r="X3" s="44" t="s">
        <v>1368</v>
      </c>
      <c r="Y3" s="44" t="s">
        <v>128</v>
      </c>
      <c r="Z3" s="44" t="s">
        <v>132</v>
      </c>
      <c r="AA3" s="84" t="s">
        <v>1413</v>
      </c>
      <c r="AB3" s="44" t="s">
        <v>128</v>
      </c>
      <c r="AC3" s="44" t="s">
        <v>100</v>
      </c>
      <c r="AD3" s="44" t="s">
        <v>1368</v>
      </c>
      <c r="AE3" s="44" t="s">
        <v>128</v>
      </c>
      <c r="AF3" s="44" t="s">
        <v>132</v>
      </c>
      <c r="AG3" s="84" t="s">
        <v>1413</v>
      </c>
      <c r="AH3" s="44" t="s">
        <v>128</v>
      </c>
      <c r="AI3" s="44" t="s">
        <v>100</v>
      </c>
      <c r="AJ3" s="44" t="s">
        <v>1368</v>
      </c>
      <c r="AK3" s="44" t="s">
        <v>128</v>
      </c>
      <c r="AL3" s="44" t="s">
        <v>132</v>
      </c>
      <c r="AM3" s="84" t="s">
        <v>1413</v>
      </c>
      <c r="AN3" s="44" t="s">
        <v>128</v>
      </c>
      <c r="AO3" s="44" t="s">
        <v>100</v>
      </c>
      <c r="AP3" s="44" t="s">
        <v>1368</v>
      </c>
      <c r="AQ3" s="44" t="s">
        <v>128</v>
      </c>
      <c r="AR3" s="44" t="s">
        <v>132</v>
      </c>
      <c r="AS3" s="84" t="s">
        <v>1413</v>
      </c>
      <c r="AT3" s="44" t="s">
        <v>128</v>
      </c>
      <c r="AU3" s="44" t="s">
        <v>100</v>
      </c>
      <c r="AV3" s="44" t="s">
        <v>1368</v>
      </c>
      <c r="AW3" s="44" t="s">
        <v>128</v>
      </c>
      <c r="AX3" s="44" t="s">
        <v>132</v>
      </c>
      <c r="AY3" s="84" t="s">
        <v>1413</v>
      </c>
      <c r="AZ3" s="44" t="s">
        <v>128</v>
      </c>
      <c r="BA3" s="44" t="s">
        <v>100</v>
      </c>
      <c r="BB3" s="44" t="s">
        <v>1368</v>
      </c>
      <c r="BC3" s="44" t="s">
        <v>128</v>
      </c>
      <c r="BD3" s="44" t="s">
        <v>132</v>
      </c>
      <c r="BE3" s="84" t="s">
        <v>1413</v>
      </c>
      <c r="BF3" s="44" t="s">
        <v>128</v>
      </c>
      <c r="BG3" s="44" t="s">
        <v>100</v>
      </c>
      <c r="BH3" s="44" t="s">
        <v>1368</v>
      </c>
      <c r="BI3" s="44" t="s">
        <v>128</v>
      </c>
      <c r="BJ3" s="44" t="s">
        <v>132</v>
      </c>
      <c r="BK3" s="84" t="s">
        <v>1413</v>
      </c>
      <c r="BL3" s="44" t="s">
        <v>128</v>
      </c>
      <c r="BM3" s="44" t="s">
        <v>100</v>
      </c>
      <c r="BN3" s="44" t="s">
        <v>1368</v>
      </c>
      <c r="BO3" s="44" t="s">
        <v>128</v>
      </c>
      <c r="BP3" s="44" t="s">
        <v>132</v>
      </c>
      <c r="BQ3" s="84" t="s">
        <v>1413</v>
      </c>
      <c r="BR3" s="44" t="s">
        <v>128</v>
      </c>
      <c r="BS3" s="44" t="s">
        <v>100</v>
      </c>
      <c r="BT3" s="44" t="s">
        <v>1368</v>
      </c>
      <c r="BU3" s="44" t="s">
        <v>128</v>
      </c>
      <c r="BV3" s="44" t="s">
        <v>132</v>
      </c>
      <c r="BW3" s="84" t="s">
        <v>1413</v>
      </c>
      <c r="BX3" s="44" t="s">
        <v>128</v>
      </c>
      <c r="BY3" s="44" t="s">
        <v>100</v>
      </c>
      <c r="BZ3" s="44" t="s">
        <v>1368</v>
      </c>
      <c r="CA3" s="44" t="s">
        <v>128</v>
      </c>
      <c r="CB3" s="44" t="s">
        <v>132</v>
      </c>
      <c r="CC3" s="84" t="s">
        <v>1413</v>
      </c>
      <c r="CD3" s="44" t="s">
        <v>128</v>
      </c>
      <c r="CE3" s="44" t="s">
        <v>100</v>
      </c>
      <c r="CF3" s="44" t="s">
        <v>1368</v>
      </c>
      <c r="CG3" s="44" t="s">
        <v>128</v>
      </c>
      <c r="CH3" s="44" t="s">
        <v>132</v>
      </c>
      <c r="CI3" s="84" t="s">
        <v>1413</v>
      </c>
      <c r="CJ3" s="44" t="s">
        <v>128</v>
      </c>
      <c r="CK3" s="44" t="s">
        <v>100</v>
      </c>
      <c r="CL3" s="44" t="s">
        <v>1368</v>
      </c>
      <c r="CM3" s="44" t="s">
        <v>128</v>
      </c>
      <c r="CN3" s="44" t="s">
        <v>132</v>
      </c>
      <c r="CO3" s="84" t="s">
        <v>1413</v>
      </c>
      <c r="CP3" s="44" t="s">
        <v>128</v>
      </c>
      <c r="CQ3" s="44" t="s">
        <v>100</v>
      </c>
      <c r="CR3" s="44" t="s">
        <v>1368</v>
      </c>
      <c r="CS3" s="44" t="s">
        <v>128</v>
      </c>
      <c r="CT3" s="44" t="s">
        <v>132</v>
      </c>
      <c r="CU3" s="84" t="s">
        <v>1413</v>
      </c>
      <c r="CV3" s="44" t="s">
        <v>128</v>
      </c>
      <c r="CW3" s="44" t="s">
        <v>100</v>
      </c>
      <c r="CX3" s="44" t="s">
        <v>1368</v>
      </c>
      <c r="CY3" s="44" t="s">
        <v>128</v>
      </c>
      <c r="CZ3" s="44" t="s">
        <v>132</v>
      </c>
      <c r="DA3" s="84" t="s">
        <v>1413</v>
      </c>
      <c r="DB3" s="44" t="s">
        <v>128</v>
      </c>
      <c r="DC3" s="44" t="s">
        <v>100</v>
      </c>
      <c r="DD3" s="44" t="s">
        <v>1368</v>
      </c>
      <c r="DE3" s="44"/>
      <c r="DF3" s="44"/>
      <c r="DG3" s="84" t="s">
        <v>1413</v>
      </c>
      <c r="DH3" s="44"/>
      <c r="DI3" s="44"/>
      <c r="DJ3" s="44"/>
      <c r="DK3" s="44"/>
      <c r="DL3" s="44"/>
      <c r="DM3" s="84" t="s">
        <v>1413</v>
      </c>
      <c r="DN3" s="44"/>
      <c r="DO3" s="44"/>
      <c r="DP3" s="44"/>
      <c r="DQ3" s="44"/>
      <c r="DR3" s="44"/>
      <c r="DS3" s="44"/>
      <c r="DT3" s="44"/>
      <c r="DU3" s="44"/>
      <c r="DV3" s="44"/>
      <c r="DW3" s="44"/>
      <c r="DX3" s="44"/>
      <c r="DY3" s="44"/>
      <c r="DZ3" s="44"/>
      <c r="EA3" s="44"/>
      <c r="EB3" s="44"/>
      <c r="EC3" s="44"/>
      <c r="ED3" s="44"/>
      <c r="EE3" s="44"/>
      <c r="EF3" s="44"/>
      <c r="EG3" s="44"/>
      <c r="EH3" s="44"/>
      <c r="EI3" s="44"/>
      <c r="EJ3" s="44"/>
      <c r="EK3" s="44"/>
    </row>
    <row r="4" spans="1:141" x14ac:dyDescent="0.2">
      <c r="A4">
        <v>0</v>
      </c>
      <c r="B4">
        <v>140</v>
      </c>
      <c r="C4" s="82">
        <v>0</v>
      </c>
      <c r="D4">
        <v>0</v>
      </c>
      <c r="E4">
        <v>20313.236966798755</v>
      </c>
      <c r="F4" t="s">
        <v>82</v>
      </c>
      <c r="G4">
        <v>0</v>
      </c>
      <c r="H4">
        <v>140</v>
      </c>
      <c r="I4" s="82">
        <v>0</v>
      </c>
      <c r="J4">
        <v>0</v>
      </c>
      <c r="K4">
        <v>28517.717214315959</v>
      </c>
      <c r="L4" t="s">
        <v>82</v>
      </c>
      <c r="M4">
        <v>0</v>
      </c>
      <c r="N4">
        <v>140</v>
      </c>
      <c r="O4" s="82">
        <v>0</v>
      </c>
      <c r="P4">
        <v>0</v>
      </c>
      <c r="Q4">
        <v>36889.296365142109</v>
      </c>
      <c r="R4" t="s">
        <v>82</v>
      </c>
      <c r="S4">
        <v>0</v>
      </c>
      <c r="T4">
        <v>140</v>
      </c>
      <c r="U4" s="82">
        <v>0</v>
      </c>
      <c r="V4">
        <v>0</v>
      </c>
      <c r="W4">
        <v>36378.402634342652</v>
      </c>
      <c r="X4" t="s">
        <v>82</v>
      </c>
      <c r="Y4">
        <v>0</v>
      </c>
      <c r="Z4">
        <v>140</v>
      </c>
      <c r="AA4" s="82">
        <v>0</v>
      </c>
      <c r="AB4">
        <v>0</v>
      </c>
      <c r="AC4">
        <v>33527.834466025306</v>
      </c>
      <c r="AD4" t="s">
        <v>82</v>
      </c>
      <c r="AE4">
        <v>0</v>
      </c>
      <c r="AF4">
        <v>140</v>
      </c>
      <c r="AG4" s="82">
        <v>0</v>
      </c>
      <c r="AH4">
        <v>0</v>
      </c>
      <c r="AI4">
        <v>30656.949559035224</v>
      </c>
      <c r="AJ4" t="s">
        <v>82</v>
      </c>
      <c r="AK4">
        <v>0</v>
      </c>
      <c r="AL4">
        <v>140</v>
      </c>
      <c r="AM4" s="82">
        <v>0</v>
      </c>
      <c r="AN4">
        <v>0</v>
      </c>
      <c r="AO4">
        <v>27771.526431538434</v>
      </c>
      <c r="AP4" t="s">
        <v>82</v>
      </c>
      <c r="AQ4">
        <v>0</v>
      </c>
      <c r="AR4">
        <v>140</v>
      </c>
      <c r="AS4" s="82">
        <v>0</v>
      </c>
      <c r="AT4">
        <v>0</v>
      </c>
      <c r="AU4">
        <v>28310.968255669934</v>
      </c>
      <c r="AV4" t="s">
        <v>82</v>
      </c>
      <c r="AW4">
        <v>0</v>
      </c>
      <c r="AX4">
        <v>140</v>
      </c>
      <c r="AY4" s="82">
        <v>0</v>
      </c>
      <c r="AZ4">
        <v>0</v>
      </c>
      <c r="BA4">
        <v>29644.253914838788</v>
      </c>
      <c r="BB4" t="s">
        <v>82</v>
      </c>
      <c r="BC4">
        <v>0</v>
      </c>
      <c r="BD4">
        <v>140</v>
      </c>
      <c r="BE4" s="82">
        <v>0</v>
      </c>
      <c r="BF4">
        <v>0</v>
      </c>
      <c r="BG4">
        <v>30994.326937998427</v>
      </c>
      <c r="BH4" t="s">
        <v>82</v>
      </c>
      <c r="BI4">
        <v>0</v>
      </c>
      <c r="BJ4">
        <v>140</v>
      </c>
      <c r="BK4" s="82">
        <v>0</v>
      </c>
      <c r="BL4">
        <v>0</v>
      </c>
      <c r="BM4">
        <v>31663.15883087882</v>
      </c>
      <c r="BN4" t="s">
        <v>82</v>
      </c>
      <c r="BO4">
        <v>0</v>
      </c>
      <c r="BP4">
        <v>140</v>
      </c>
      <c r="BQ4" s="82">
        <v>0</v>
      </c>
      <c r="BR4">
        <v>0</v>
      </c>
      <c r="BS4">
        <v>32452.378157411065</v>
      </c>
      <c r="BT4" t="s">
        <v>82</v>
      </c>
      <c r="BU4">
        <v>0</v>
      </c>
      <c r="BV4">
        <v>140</v>
      </c>
      <c r="BW4" s="82">
        <v>0</v>
      </c>
      <c r="BX4">
        <v>0</v>
      </c>
      <c r="BY4">
        <v>33337.502659178535</v>
      </c>
      <c r="BZ4" t="s">
        <v>82</v>
      </c>
      <c r="CA4">
        <v>0</v>
      </c>
      <c r="CB4">
        <v>140</v>
      </c>
      <c r="CC4" s="82">
        <v>0</v>
      </c>
      <c r="CD4">
        <v>0</v>
      </c>
      <c r="CE4">
        <v>34321.511858331796</v>
      </c>
      <c r="CF4" t="s">
        <v>82</v>
      </c>
      <c r="CG4">
        <v>0</v>
      </c>
      <c r="CH4">
        <v>140</v>
      </c>
      <c r="CI4" s="82">
        <v>0</v>
      </c>
      <c r="CJ4">
        <v>0</v>
      </c>
      <c r="CK4">
        <v>34605.931290399538</v>
      </c>
      <c r="CL4" t="s">
        <v>82</v>
      </c>
      <c r="CM4">
        <v>0</v>
      </c>
      <c r="CN4">
        <v>140</v>
      </c>
      <c r="CO4" s="82">
        <v>0</v>
      </c>
      <c r="CP4">
        <v>0</v>
      </c>
      <c r="CQ4">
        <v>40152.740636726812</v>
      </c>
      <c r="CR4" t="s">
        <v>82</v>
      </c>
      <c r="CS4">
        <v>0</v>
      </c>
      <c r="CT4">
        <v>140</v>
      </c>
      <c r="CU4" s="82">
        <v>0</v>
      </c>
      <c r="CV4">
        <v>0</v>
      </c>
      <c r="CW4">
        <v>36280.398579058972</v>
      </c>
      <c r="CX4" t="s">
        <v>82</v>
      </c>
      <c r="CY4">
        <v>0</v>
      </c>
      <c r="CZ4">
        <v>140</v>
      </c>
      <c r="DA4" s="82">
        <v>0</v>
      </c>
      <c r="DB4">
        <v>0</v>
      </c>
      <c r="DC4">
        <v>98796.436243935023</v>
      </c>
      <c r="DD4" t="s">
        <v>82</v>
      </c>
      <c r="DG4" s="82">
        <v>0</v>
      </c>
      <c r="DM4" s="82">
        <v>0</v>
      </c>
    </row>
    <row r="5" spans="1:141" x14ac:dyDescent="0.2">
      <c r="A5">
        <v>0.125</v>
      </c>
      <c r="B5">
        <v>140.00060016958355</v>
      </c>
      <c r="C5" s="82">
        <f>B5-B4</f>
        <v>6.0016958354935923E-4</v>
      </c>
      <c r="D5">
        <v>0.125</v>
      </c>
      <c r="E5">
        <v>19086.647528385813</v>
      </c>
      <c r="F5" t="s">
        <v>82</v>
      </c>
      <c r="G5">
        <v>0.125</v>
      </c>
      <c r="H5">
        <v>140.00321232623571</v>
      </c>
      <c r="I5" s="82">
        <f>H5-H4</f>
        <v>3.212326235711771E-3</v>
      </c>
      <c r="J5">
        <v>0.125</v>
      </c>
      <c r="K5">
        <v>27135.494503211856</v>
      </c>
      <c r="L5" t="s">
        <v>82</v>
      </c>
      <c r="M5">
        <v>0.125</v>
      </c>
      <c r="N5">
        <v>140.00587153768416</v>
      </c>
      <c r="O5" s="82">
        <f>N5-N4</f>
        <v>5.8715376841576017E-3</v>
      </c>
      <c r="P5">
        <v>0.125</v>
      </c>
      <c r="Q5">
        <v>35346.836418055813</v>
      </c>
      <c r="R5" t="s">
        <v>82</v>
      </c>
      <c r="S5">
        <v>0.125</v>
      </c>
      <c r="T5">
        <v>140.00554009698286</v>
      </c>
      <c r="U5" s="82">
        <f>T5-T4</f>
        <v>5.5400969828554025E-3</v>
      </c>
      <c r="V5">
        <v>0.125</v>
      </c>
      <c r="W5">
        <v>35016.58522737051</v>
      </c>
      <c r="X5" t="s">
        <v>82</v>
      </c>
      <c r="Y5">
        <v>0.125</v>
      </c>
      <c r="Z5">
        <v>140.00441296172696</v>
      </c>
      <c r="AA5" s="82">
        <f>Z5-Z4</f>
        <v>4.412961726956155E-3</v>
      </c>
      <c r="AB5">
        <v>0.125</v>
      </c>
      <c r="AC5">
        <v>32439.547385811435</v>
      </c>
      <c r="AD5" t="s">
        <v>82</v>
      </c>
      <c r="AE5">
        <v>0.125</v>
      </c>
      <c r="AF5">
        <v>140.00326777073656</v>
      </c>
      <c r="AG5" s="82">
        <f>AF5-AF4</f>
        <v>3.2677707365564856E-3</v>
      </c>
      <c r="AH5">
        <v>0.125</v>
      </c>
      <c r="AI5">
        <v>29846.895092336013</v>
      </c>
      <c r="AJ5" t="s">
        <v>82</v>
      </c>
      <c r="AK5">
        <v>0.125</v>
      </c>
      <c r="AL5">
        <v>140.00210543531833</v>
      </c>
      <c r="AM5" s="82">
        <f>AL5-AL4</f>
        <v>2.1054353183274088E-3</v>
      </c>
      <c r="AN5">
        <v>0.125</v>
      </c>
      <c r="AO5">
        <v>27244.230083701736</v>
      </c>
      <c r="AP5" t="s">
        <v>82</v>
      </c>
      <c r="AQ5">
        <v>0.125</v>
      </c>
      <c r="AR5">
        <v>140.00207835373567</v>
      </c>
      <c r="AS5" s="82">
        <f>AR5-AR4</f>
        <v>2.078353735669225E-3</v>
      </c>
      <c r="AT5">
        <v>0.125</v>
      </c>
      <c r="AU5">
        <v>27782.762273491171</v>
      </c>
      <c r="AV5" t="s">
        <v>82</v>
      </c>
      <c r="AW5">
        <v>0.125</v>
      </c>
      <c r="AX5">
        <v>140.00230305609531</v>
      </c>
      <c r="AY5" s="82">
        <f>AX5-AX4</f>
        <v>2.3030560953145596E-3</v>
      </c>
      <c r="AZ5">
        <v>0.125</v>
      </c>
      <c r="BA5">
        <v>29051.993197863248</v>
      </c>
      <c r="BB5" t="s">
        <v>82</v>
      </c>
      <c r="BC5">
        <v>0.125</v>
      </c>
      <c r="BD5">
        <v>140.00251744991712</v>
      </c>
      <c r="BE5" s="82">
        <f>BD5-BD4</f>
        <v>2.5174499171214393E-3</v>
      </c>
      <c r="BF5">
        <v>0.125</v>
      </c>
      <c r="BG5">
        <v>30340.867060776945</v>
      </c>
      <c r="BH5" t="s">
        <v>82</v>
      </c>
      <c r="BI5">
        <v>0.125</v>
      </c>
      <c r="BJ5">
        <v>140.0024852134608</v>
      </c>
      <c r="BK5" s="82">
        <f>BJ5-BJ4</f>
        <v>2.4852134608011056E-3</v>
      </c>
      <c r="BL5">
        <v>0.125</v>
      </c>
      <c r="BM5">
        <v>31019.156663271879</v>
      </c>
      <c r="BN5" t="s">
        <v>82</v>
      </c>
      <c r="BO5">
        <v>0.125</v>
      </c>
      <c r="BP5">
        <v>140.00247338155384</v>
      </c>
      <c r="BQ5" s="82">
        <f>BP5-BP4</f>
        <v>2.4733815538411363E-3</v>
      </c>
      <c r="BR5">
        <v>0.125</v>
      </c>
      <c r="BS5">
        <v>31811.659819682533</v>
      </c>
      <c r="BT5" t="s">
        <v>82</v>
      </c>
      <c r="BU5">
        <v>0.125</v>
      </c>
      <c r="BV5">
        <v>140.00247399202192</v>
      </c>
      <c r="BW5" s="82">
        <f>BV5-BV4</f>
        <v>2.4739920219190026E-3</v>
      </c>
      <c r="BX5">
        <v>0.125</v>
      </c>
      <c r="BY5">
        <v>32696.309345309368</v>
      </c>
      <c r="BZ5" t="s">
        <v>82</v>
      </c>
      <c r="CA5">
        <v>0.125</v>
      </c>
      <c r="CB5">
        <v>140.00249893500396</v>
      </c>
      <c r="CC5" s="82">
        <f>CB5-CB4</f>
        <v>2.4989350039561486E-3</v>
      </c>
      <c r="CD5">
        <v>0.125</v>
      </c>
      <c r="CE5">
        <v>33672.63192436847</v>
      </c>
      <c r="CF5" t="s">
        <v>82</v>
      </c>
      <c r="CG5">
        <v>0.125</v>
      </c>
      <c r="CH5">
        <v>140.00227982329818</v>
      </c>
      <c r="CI5" s="82">
        <f>CH5-CH4</f>
        <v>2.2798232981813271E-3</v>
      </c>
      <c r="CJ5">
        <v>0.125</v>
      </c>
      <c r="CK5">
        <v>34017.278725961558</v>
      </c>
      <c r="CL5" t="s">
        <v>82</v>
      </c>
      <c r="CM5">
        <v>0.125</v>
      </c>
      <c r="CN5">
        <v>140.00381641411687</v>
      </c>
      <c r="CO5" s="82">
        <f>CN5-CN4</f>
        <v>3.8164141168692822E-3</v>
      </c>
      <c r="CP5">
        <v>0.125</v>
      </c>
      <c r="CQ5">
        <v>39219.290940898623</v>
      </c>
      <c r="CR5" t="s">
        <v>82</v>
      </c>
      <c r="CS5">
        <v>0.125</v>
      </c>
      <c r="CT5">
        <v>139.99781934720815</v>
      </c>
      <c r="CU5" s="82">
        <f>CT5-CT4</f>
        <v>-2.1806527918499796E-3</v>
      </c>
      <c r="CV5">
        <v>0.125</v>
      </c>
      <c r="CW5">
        <v>37452.760451162998</v>
      </c>
      <c r="CX5" t="s">
        <v>82</v>
      </c>
      <c r="CY5">
        <v>0.125</v>
      </c>
      <c r="CZ5">
        <v>139.97718322100974</v>
      </c>
      <c r="DA5" s="82">
        <f>CZ5-CZ4</f>
        <v>-2.2816778990261355E-2</v>
      </c>
      <c r="DB5">
        <v>0.125</v>
      </c>
      <c r="DC5">
        <v>98604.387583524222</v>
      </c>
      <c r="DD5" t="s">
        <v>82</v>
      </c>
      <c r="DG5" s="82">
        <f>DF5-DF4</f>
        <v>0</v>
      </c>
      <c r="DM5" s="82">
        <f>DL5-DL4</f>
        <v>0</v>
      </c>
    </row>
    <row r="6" spans="1:141" x14ac:dyDescent="0.2">
      <c r="A6">
        <v>0.375</v>
      </c>
      <c r="B6">
        <v>140.00016998184213</v>
      </c>
      <c r="C6" s="82">
        <f t="shared" ref="C6:C69" si="0">B6-B5</f>
        <v>-4.3018774141501126E-4</v>
      </c>
      <c r="D6">
        <v>0.375</v>
      </c>
      <c r="E6">
        <v>20282.720817176149</v>
      </c>
      <c r="F6" t="s">
        <v>82</v>
      </c>
      <c r="G6">
        <v>0.375</v>
      </c>
      <c r="H6">
        <v>140.00779766410358</v>
      </c>
      <c r="I6" s="82">
        <f t="shared" ref="I6:I69" si="1">H6-H5</f>
        <v>4.5853378678657464E-3</v>
      </c>
      <c r="J6">
        <v>0.375</v>
      </c>
      <c r="K6">
        <v>24434.233084546522</v>
      </c>
      <c r="L6" t="s">
        <v>82</v>
      </c>
      <c r="M6">
        <v>0.375</v>
      </c>
      <c r="N6">
        <v>140.01556020305082</v>
      </c>
      <c r="O6" s="82">
        <f t="shared" ref="O6:O69" si="2">N6-N5</f>
        <v>9.6886653666672373E-3</v>
      </c>
      <c r="P6">
        <v>0.375</v>
      </c>
      <c r="Q6">
        <v>32330.036133865444</v>
      </c>
      <c r="R6" t="s">
        <v>82</v>
      </c>
      <c r="S6">
        <v>0.375</v>
      </c>
      <c r="T6">
        <v>140.01480856951392</v>
      </c>
      <c r="U6" s="82">
        <f t="shared" ref="U6:U69" si="3">T6-T5</f>
        <v>9.2684725310618887E-3</v>
      </c>
      <c r="V6">
        <v>0.375</v>
      </c>
      <c r="W6">
        <v>32360.869637653039</v>
      </c>
      <c r="X6" t="s">
        <v>82</v>
      </c>
      <c r="Y6">
        <v>0.375</v>
      </c>
      <c r="Z6">
        <v>140.01179455138566</v>
      </c>
      <c r="AA6" s="82">
        <f t="shared" ref="AA6:AA69" si="4">Z6-Z5</f>
        <v>7.3815896587063889E-3</v>
      </c>
      <c r="AB6">
        <v>0.375</v>
      </c>
      <c r="AC6">
        <v>30329.230125488331</v>
      </c>
      <c r="AD6" t="s">
        <v>82</v>
      </c>
      <c r="AE6">
        <v>0.375</v>
      </c>
      <c r="AF6">
        <v>140.00873261238306</v>
      </c>
      <c r="AG6" s="82">
        <f t="shared" ref="AG6:AG69" si="5">AF6-AF5</f>
        <v>5.4648416464999627E-3</v>
      </c>
      <c r="AH6">
        <v>0.375</v>
      </c>
      <c r="AI6">
        <v>28291.278700051666</v>
      </c>
      <c r="AJ6" t="s">
        <v>82</v>
      </c>
      <c r="AK6">
        <v>0.375</v>
      </c>
      <c r="AL6">
        <v>140.00562523988788</v>
      </c>
      <c r="AM6" s="82">
        <f t="shared" ref="AM6:AM69" si="6">AL6-AL5</f>
        <v>3.5198045695494784E-3</v>
      </c>
      <c r="AN6">
        <v>0.375</v>
      </c>
      <c r="AO6">
        <v>26252.248810446239</v>
      </c>
      <c r="AP6" t="s">
        <v>82</v>
      </c>
      <c r="AQ6">
        <v>0.375</v>
      </c>
      <c r="AR6">
        <v>140.00554277044014</v>
      </c>
      <c r="AS6" s="82">
        <f t="shared" ref="AS6:AS69" si="7">AR6-AR5</f>
        <v>3.4644167044746155E-3</v>
      </c>
      <c r="AT6">
        <v>0.375</v>
      </c>
      <c r="AU6">
        <v>26789.009393485172</v>
      </c>
      <c r="AV6" t="s">
        <v>82</v>
      </c>
      <c r="AW6">
        <v>0.375</v>
      </c>
      <c r="AX6">
        <v>140.00613088006006</v>
      </c>
      <c r="AY6" s="82">
        <f t="shared" ref="AY6:AY69" si="8">AX6-AX5</f>
        <v>3.8278239647411283E-3</v>
      </c>
      <c r="AZ6">
        <v>0.375</v>
      </c>
      <c r="BA6">
        <v>27930.647394089377</v>
      </c>
      <c r="BB6" t="s">
        <v>82</v>
      </c>
      <c r="BC6">
        <v>0.375</v>
      </c>
      <c r="BD6">
        <v>140.00669189464787</v>
      </c>
      <c r="BE6" s="82">
        <f t="shared" ref="BE6:BE69" si="9">BD6-BD5</f>
        <v>4.1744447307507926E-3</v>
      </c>
      <c r="BF6">
        <v>0.375</v>
      </c>
      <c r="BG6">
        <v>29097.65432776996</v>
      </c>
      <c r="BH6" t="s">
        <v>82</v>
      </c>
      <c r="BI6">
        <v>0.375</v>
      </c>
      <c r="BJ6">
        <v>140.00660787898209</v>
      </c>
      <c r="BK6" s="82">
        <f t="shared" ref="BK6:BK69" si="10">BJ6-BJ5</f>
        <v>4.1226655212938113E-3</v>
      </c>
      <c r="BL6">
        <v>0.375</v>
      </c>
      <c r="BM6">
        <v>29794.956262921594</v>
      </c>
      <c r="BN6" t="s">
        <v>82</v>
      </c>
      <c r="BO6">
        <v>0.375</v>
      </c>
      <c r="BP6">
        <v>140.00657678785933</v>
      </c>
      <c r="BQ6" s="82">
        <f t="shared" ref="BQ6:BQ69" si="11">BP6-BP5</f>
        <v>4.1034063054894432E-3</v>
      </c>
      <c r="BR6">
        <v>0.375</v>
      </c>
      <c r="BS6">
        <v>30594.171763833572</v>
      </c>
      <c r="BT6" t="s">
        <v>82</v>
      </c>
      <c r="BU6">
        <v>0.375</v>
      </c>
      <c r="BV6">
        <v>140.00657797730099</v>
      </c>
      <c r="BW6" s="82">
        <f t="shared" ref="BW6:BW69" si="12">BV6-BV5</f>
        <v>4.1039852790731857E-3</v>
      </c>
      <c r="BX6">
        <v>0.375</v>
      </c>
      <c r="BY6">
        <v>31478.051423125136</v>
      </c>
      <c r="BZ6" t="s">
        <v>82</v>
      </c>
      <c r="CA6">
        <v>0.375</v>
      </c>
      <c r="CB6">
        <v>140.00664248237891</v>
      </c>
      <c r="CC6" s="82">
        <f t="shared" ref="CC6:CC69" si="13">CB6-CB5</f>
        <v>4.143547374951595E-3</v>
      </c>
      <c r="CD6">
        <v>0.375</v>
      </c>
      <c r="CE6">
        <v>32439.237374230594</v>
      </c>
      <c r="CF6" t="s">
        <v>82</v>
      </c>
      <c r="CG6">
        <v>0.375</v>
      </c>
      <c r="CH6">
        <v>140.00606599945016</v>
      </c>
      <c r="CI6" s="82">
        <f t="shared" ref="CI6:CI69" si="14">CH6-CH5</f>
        <v>3.7861761519764059E-3</v>
      </c>
      <c r="CJ6">
        <v>0.375</v>
      </c>
      <c r="CK6">
        <v>32904.045070007414</v>
      </c>
      <c r="CL6" t="s">
        <v>82</v>
      </c>
      <c r="CM6">
        <v>0.375</v>
      </c>
      <c r="CN6">
        <v>140.01021283858154</v>
      </c>
      <c r="CO6" s="82">
        <f t="shared" ref="CO6:CO69" si="15">CN6-CN5</f>
        <v>6.396424464668371E-3</v>
      </c>
      <c r="CP6">
        <v>0.375</v>
      </c>
      <c r="CQ6">
        <v>37420.325418044376</v>
      </c>
      <c r="CR6" t="s">
        <v>82</v>
      </c>
      <c r="CS6">
        <v>0.375</v>
      </c>
      <c r="CT6">
        <v>139.99186645727954</v>
      </c>
      <c r="CU6" s="82">
        <f t="shared" ref="CU6:CU69" si="16">CT6-CT5</f>
        <v>-5.952889928607874E-3</v>
      </c>
      <c r="CV6">
        <v>0.375</v>
      </c>
      <c r="CW6">
        <v>39747.481168205493</v>
      </c>
      <c r="CX6" t="s">
        <v>82</v>
      </c>
      <c r="CY6">
        <v>0.375</v>
      </c>
      <c r="CZ6">
        <v>139.93179087406088</v>
      </c>
      <c r="DA6" s="82">
        <f t="shared" ref="DA6:DA69" si="17">CZ6-CZ5</f>
        <v>-4.5392346948858631E-2</v>
      </c>
      <c r="DB6">
        <v>0.375</v>
      </c>
      <c r="DC6">
        <v>98230.254415932708</v>
      </c>
      <c r="DD6" t="s">
        <v>82</v>
      </c>
      <c r="DG6" s="82">
        <f t="shared" ref="DG6:DG69" si="18">DF6-DF5</f>
        <v>0</v>
      </c>
      <c r="DM6" s="82">
        <f t="shared" ref="DM6:DM69" si="19">DL6-DL5</f>
        <v>0</v>
      </c>
    </row>
    <row r="7" spans="1:141" x14ac:dyDescent="0.2">
      <c r="A7">
        <v>0.625</v>
      </c>
      <c r="B7">
        <v>139.99818779143993</v>
      </c>
      <c r="C7" s="82">
        <f t="shared" si="0"/>
        <v>-1.9821904022023773E-3</v>
      </c>
      <c r="D7">
        <v>0.625</v>
      </c>
      <c r="E7">
        <v>22510.236945937704</v>
      </c>
      <c r="F7" t="s">
        <v>82</v>
      </c>
      <c r="G7">
        <v>0.625</v>
      </c>
      <c r="H7">
        <v>140.01062846594456</v>
      </c>
      <c r="I7" s="82">
        <f t="shared" si="1"/>
        <v>2.8308018409859415E-3</v>
      </c>
      <c r="J7">
        <v>0.625</v>
      </c>
      <c r="K7">
        <v>21857.654536847134</v>
      </c>
      <c r="L7" t="s">
        <v>82</v>
      </c>
      <c r="M7">
        <v>0.625</v>
      </c>
      <c r="N7">
        <v>140.02328590165763</v>
      </c>
      <c r="O7" s="82">
        <f t="shared" si="2"/>
        <v>7.7256986068050537E-3</v>
      </c>
      <c r="P7">
        <v>0.625</v>
      </c>
      <c r="Q7">
        <v>29447.558189695144</v>
      </c>
      <c r="R7" t="s">
        <v>82</v>
      </c>
      <c r="S7">
        <v>0.625</v>
      </c>
      <c r="T7">
        <v>140.02235652050501</v>
      </c>
      <c r="U7" s="82">
        <f t="shared" si="3"/>
        <v>7.5479509910962861E-3</v>
      </c>
      <c r="V7">
        <v>0.625</v>
      </c>
      <c r="W7">
        <v>29839.278426418638</v>
      </c>
      <c r="X7" t="s">
        <v>82</v>
      </c>
      <c r="Y7">
        <v>0.625</v>
      </c>
      <c r="Z7">
        <v>140.01782078327</v>
      </c>
      <c r="AA7" s="82">
        <f t="shared" si="4"/>
        <v>6.0262318843342655E-3</v>
      </c>
      <c r="AB7">
        <v>0.625</v>
      </c>
      <c r="AC7">
        <v>28350.047458287707</v>
      </c>
      <c r="AD7" t="s">
        <v>82</v>
      </c>
      <c r="AE7">
        <v>0.625</v>
      </c>
      <c r="AF7">
        <v>140.01321334984357</v>
      </c>
      <c r="AG7" s="82">
        <f t="shared" si="5"/>
        <v>4.4807374605113637E-3</v>
      </c>
      <c r="AH7">
        <v>0.625</v>
      </c>
      <c r="AI7">
        <v>26863.618978639668</v>
      </c>
      <c r="AJ7" t="s">
        <v>82</v>
      </c>
      <c r="AK7">
        <v>0.625</v>
      </c>
      <c r="AL7">
        <v>140.00853802416282</v>
      </c>
      <c r="AM7" s="82">
        <f t="shared" si="6"/>
        <v>2.9127842749403499E-3</v>
      </c>
      <c r="AN7">
        <v>0.625</v>
      </c>
      <c r="AO7">
        <v>25384.830669999472</v>
      </c>
      <c r="AP7" t="s">
        <v>82</v>
      </c>
      <c r="AQ7">
        <v>0.625</v>
      </c>
      <c r="AR7">
        <v>140.00839900594781</v>
      </c>
      <c r="AS7" s="82">
        <f t="shared" si="7"/>
        <v>2.8562355076644508E-3</v>
      </c>
      <c r="AT7">
        <v>0.625</v>
      </c>
      <c r="AU7">
        <v>25919.89509861041</v>
      </c>
      <c r="AV7" t="s">
        <v>82</v>
      </c>
      <c r="AW7">
        <v>0.625</v>
      </c>
      <c r="AX7">
        <v>140.00926522415821</v>
      </c>
      <c r="AY7" s="82">
        <f t="shared" si="8"/>
        <v>3.1343440981572712E-3</v>
      </c>
      <c r="AZ7">
        <v>0.625</v>
      </c>
      <c r="BA7">
        <v>26934.858564198512</v>
      </c>
      <c r="BB7" t="s">
        <v>82</v>
      </c>
      <c r="BC7">
        <v>0.625</v>
      </c>
      <c r="BD7">
        <v>140.01009141048172</v>
      </c>
      <c r="BE7" s="82">
        <f t="shared" si="9"/>
        <v>3.3995158338484543E-3</v>
      </c>
      <c r="BF7">
        <v>0.625</v>
      </c>
      <c r="BG7">
        <v>27980.943272777353</v>
      </c>
      <c r="BH7" t="s">
        <v>82</v>
      </c>
      <c r="BI7">
        <v>0.625</v>
      </c>
      <c r="BJ7">
        <v>140.00996843800266</v>
      </c>
      <c r="BK7" s="82">
        <f t="shared" si="10"/>
        <v>3.3605590205638691E-3</v>
      </c>
      <c r="BL7">
        <v>0.625</v>
      </c>
      <c r="BM7">
        <v>28697.436990420287</v>
      </c>
      <c r="BN7" t="s">
        <v>82</v>
      </c>
      <c r="BO7">
        <v>0.625</v>
      </c>
      <c r="BP7">
        <v>140.00992268560026</v>
      </c>
      <c r="BQ7" s="82">
        <f t="shared" si="11"/>
        <v>3.3458977409281943E-3</v>
      </c>
      <c r="BR7">
        <v>0.625</v>
      </c>
      <c r="BS7">
        <v>29503.628538149118</v>
      </c>
      <c r="BT7" t="s">
        <v>82</v>
      </c>
      <c r="BU7">
        <v>0.625</v>
      </c>
      <c r="BV7">
        <v>140.00992405322035</v>
      </c>
      <c r="BW7" s="82">
        <f t="shared" si="12"/>
        <v>3.3460759193530976E-3</v>
      </c>
      <c r="BX7">
        <v>0.625</v>
      </c>
      <c r="BY7">
        <v>30387.064662347468</v>
      </c>
      <c r="BZ7" t="s">
        <v>82</v>
      </c>
      <c r="CA7">
        <v>0.625</v>
      </c>
      <c r="CB7">
        <v>140.01001811410765</v>
      </c>
      <c r="CC7" s="82">
        <f t="shared" si="13"/>
        <v>3.3756317287441107E-3</v>
      </c>
      <c r="CD7">
        <v>0.625</v>
      </c>
      <c r="CE7">
        <v>31333.53972024117</v>
      </c>
      <c r="CF7" t="s">
        <v>82</v>
      </c>
      <c r="CG7">
        <v>0.625</v>
      </c>
      <c r="CH7">
        <v>140.0091647132123</v>
      </c>
      <c r="CI7" s="82">
        <f t="shared" si="14"/>
        <v>3.0987137621423244E-3</v>
      </c>
      <c r="CJ7">
        <v>0.625</v>
      </c>
      <c r="CK7">
        <v>31917.994546141468</v>
      </c>
      <c r="CL7" t="s">
        <v>82</v>
      </c>
      <c r="CM7">
        <v>0.625</v>
      </c>
      <c r="CN7">
        <v>140.01546407102759</v>
      </c>
      <c r="CO7" s="82">
        <f t="shared" si="15"/>
        <v>5.2512324460565196E-3</v>
      </c>
      <c r="CP7">
        <v>0.625</v>
      </c>
      <c r="CQ7">
        <v>35755.584813470181</v>
      </c>
      <c r="CR7" t="s">
        <v>82</v>
      </c>
      <c r="CS7">
        <v>0.625</v>
      </c>
      <c r="CT7">
        <v>139.98438932731881</v>
      </c>
      <c r="CU7" s="82">
        <f t="shared" si="16"/>
        <v>-7.477129960733464E-3</v>
      </c>
      <c r="CV7">
        <v>0.625</v>
      </c>
      <c r="CW7">
        <v>41944.274345186182</v>
      </c>
      <c r="CX7" t="s">
        <v>82</v>
      </c>
      <c r="CY7">
        <v>0.625</v>
      </c>
      <c r="CZ7">
        <v>139.88662637345331</v>
      </c>
      <c r="DA7" s="82">
        <f t="shared" si="17"/>
        <v>-4.516450060756938E-2</v>
      </c>
      <c r="DB7">
        <v>0.625</v>
      </c>
      <c r="DC7">
        <v>97875.58623100043</v>
      </c>
      <c r="DD7" t="s">
        <v>82</v>
      </c>
      <c r="DG7" s="82">
        <f t="shared" si="18"/>
        <v>0</v>
      </c>
      <c r="DM7" s="82">
        <f t="shared" si="19"/>
        <v>0</v>
      </c>
    </row>
    <row r="8" spans="1:141" x14ac:dyDescent="0.2">
      <c r="A8">
        <v>0.875</v>
      </c>
      <c r="B8">
        <v>139.99473022977642</v>
      </c>
      <c r="C8" s="82">
        <f t="shared" si="0"/>
        <v>-3.457561663509523E-3</v>
      </c>
      <c r="D8">
        <v>0.875</v>
      </c>
      <c r="E8">
        <v>24625.45824052842</v>
      </c>
      <c r="F8" t="s">
        <v>82</v>
      </c>
      <c r="G8">
        <v>0.875</v>
      </c>
      <c r="H8">
        <v>140.01178730456365</v>
      </c>
      <c r="I8" s="82">
        <f t="shared" si="1"/>
        <v>1.1588386190908295E-3</v>
      </c>
      <c r="J8">
        <v>0.875</v>
      </c>
      <c r="K8">
        <v>19402.574383050018</v>
      </c>
      <c r="L8" t="s">
        <v>82</v>
      </c>
      <c r="M8">
        <v>0.875</v>
      </c>
      <c r="N8">
        <v>140.02913753551059</v>
      </c>
      <c r="O8" s="82">
        <f t="shared" si="2"/>
        <v>5.8516338529557288E-3</v>
      </c>
      <c r="P8">
        <v>0.875</v>
      </c>
      <c r="Q8">
        <v>26695.717071717918</v>
      </c>
      <c r="R8" t="s">
        <v>82</v>
      </c>
      <c r="S8">
        <v>0.875</v>
      </c>
      <c r="T8">
        <v>140.02827286546776</v>
      </c>
      <c r="U8" s="82">
        <f t="shared" si="3"/>
        <v>5.9163449627419595E-3</v>
      </c>
      <c r="V8">
        <v>0.875</v>
      </c>
      <c r="W8">
        <v>27448.503004895192</v>
      </c>
      <c r="X8" t="s">
        <v>82</v>
      </c>
      <c r="Y8">
        <v>0.875</v>
      </c>
      <c r="Z8">
        <v>140.02257878777954</v>
      </c>
      <c r="AA8" s="82">
        <f t="shared" si="4"/>
        <v>4.7580045095401147E-3</v>
      </c>
      <c r="AB8">
        <v>0.875</v>
      </c>
      <c r="AC8">
        <v>26499.343727071671</v>
      </c>
      <c r="AD8" t="s">
        <v>82</v>
      </c>
      <c r="AE8">
        <v>0.875</v>
      </c>
      <c r="AF8">
        <v>140.01679520293862</v>
      </c>
      <c r="AG8" s="82">
        <f t="shared" si="5"/>
        <v>3.5818530950564309E-3</v>
      </c>
      <c r="AH8">
        <v>0.875</v>
      </c>
      <c r="AI8">
        <v>25561.962601002033</v>
      </c>
      <c r="AJ8" t="s">
        <v>82</v>
      </c>
      <c r="AK8">
        <v>0.875</v>
      </c>
      <c r="AL8">
        <v>140.01092696151082</v>
      </c>
      <c r="AM8" s="82">
        <f t="shared" si="6"/>
        <v>2.3889373480017184E-3</v>
      </c>
      <c r="AN8">
        <v>0.875</v>
      </c>
      <c r="AO8">
        <v>24640.772815203742</v>
      </c>
      <c r="AP8" t="s">
        <v>82</v>
      </c>
      <c r="AQ8">
        <v>0.875</v>
      </c>
      <c r="AR8">
        <v>140.0107302709946</v>
      </c>
      <c r="AS8" s="82">
        <f t="shared" si="7"/>
        <v>2.3312650467914864E-3</v>
      </c>
      <c r="AT8">
        <v>0.875</v>
      </c>
      <c r="AU8">
        <v>25174.17951710544</v>
      </c>
      <c r="AV8" t="s">
        <v>82</v>
      </c>
      <c r="AW8">
        <v>0.875</v>
      </c>
      <c r="AX8">
        <v>140.01178984182505</v>
      </c>
      <c r="AY8" s="82">
        <f t="shared" si="8"/>
        <v>2.5246176668360931E-3</v>
      </c>
      <c r="AZ8">
        <v>0.875</v>
      </c>
      <c r="BA8">
        <v>26063.157676603849</v>
      </c>
      <c r="BB8" t="s">
        <v>82</v>
      </c>
      <c r="BC8">
        <v>0.875</v>
      </c>
      <c r="BD8">
        <v>140.01280030869202</v>
      </c>
      <c r="BE8" s="82">
        <f t="shared" si="9"/>
        <v>2.7088982103009585E-3</v>
      </c>
      <c r="BF8">
        <v>0.875</v>
      </c>
      <c r="BG8">
        <v>26989.029975271853</v>
      </c>
      <c r="BH8" t="s">
        <v>82</v>
      </c>
      <c r="BI8">
        <v>0.875</v>
      </c>
      <c r="BJ8">
        <v>140.01265131193128</v>
      </c>
      <c r="BK8" s="82">
        <f t="shared" si="10"/>
        <v>2.6828739286202108E-3</v>
      </c>
      <c r="BL8">
        <v>0.875</v>
      </c>
      <c r="BM8">
        <v>27724.870410554518</v>
      </c>
      <c r="BN8" t="s">
        <v>82</v>
      </c>
      <c r="BO8">
        <v>0.875</v>
      </c>
      <c r="BP8">
        <v>140.01259565563197</v>
      </c>
      <c r="BQ8" s="82">
        <f t="shared" si="11"/>
        <v>2.6729700317105198E-3</v>
      </c>
      <c r="BR8">
        <v>0.875</v>
      </c>
      <c r="BS8">
        <v>28538.254579739663</v>
      </c>
      <c r="BT8" t="s">
        <v>82</v>
      </c>
      <c r="BU8">
        <v>0.875</v>
      </c>
      <c r="BV8">
        <v>140.01259699684016</v>
      </c>
      <c r="BW8" s="82">
        <f t="shared" si="12"/>
        <v>2.6729436198138501E-3</v>
      </c>
      <c r="BX8">
        <v>0.875</v>
      </c>
      <c r="BY8">
        <v>29421.51021111264</v>
      </c>
      <c r="BZ8" t="s">
        <v>82</v>
      </c>
      <c r="CA8">
        <v>0.875</v>
      </c>
      <c r="CB8">
        <v>140.01271086132738</v>
      </c>
      <c r="CC8" s="82">
        <f t="shared" si="13"/>
        <v>2.6927472197257885E-3</v>
      </c>
      <c r="CD8">
        <v>0.875</v>
      </c>
      <c r="CE8">
        <v>30353.609433670325</v>
      </c>
      <c r="CF8" t="s">
        <v>82</v>
      </c>
      <c r="CG8">
        <v>0.875</v>
      </c>
      <c r="CH8">
        <v>140.01166069802943</v>
      </c>
      <c r="CI8" s="82">
        <f t="shared" si="14"/>
        <v>2.4959848171306476E-3</v>
      </c>
      <c r="CJ8">
        <v>0.875</v>
      </c>
      <c r="CK8">
        <v>31057.351428305377</v>
      </c>
      <c r="CL8" t="s">
        <v>82</v>
      </c>
      <c r="CM8">
        <v>0.875</v>
      </c>
      <c r="CN8">
        <v>140.01965912638971</v>
      </c>
      <c r="CO8" s="82">
        <f t="shared" si="15"/>
        <v>4.1950553621177278E-3</v>
      </c>
      <c r="CP8">
        <v>0.875</v>
      </c>
      <c r="CQ8">
        <v>34221.93038404017</v>
      </c>
      <c r="CR8" t="s">
        <v>82</v>
      </c>
      <c r="CS8">
        <v>0.875</v>
      </c>
      <c r="CT8">
        <v>139.97545232096957</v>
      </c>
      <c r="CU8" s="82">
        <f t="shared" si="16"/>
        <v>-8.9370063492424379E-3</v>
      </c>
      <c r="CV8">
        <v>0.875</v>
      </c>
      <c r="CW8">
        <v>44047.445559469161</v>
      </c>
      <c r="CX8" t="s">
        <v>82</v>
      </c>
      <c r="CY8">
        <v>0.875</v>
      </c>
      <c r="CZ8">
        <v>139.8416769672136</v>
      </c>
      <c r="DA8" s="82">
        <f t="shared" si="17"/>
        <v>-4.4949406239709333E-2</v>
      </c>
      <c r="DB8">
        <v>0.875</v>
      </c>
      <c r="DC8">
        <v>97539.490615306902</v>
      </c>
      <c r="DD8" t="s">
        <v>82</v>
      </c>
      <c r="DG8" s="82">
        <f t="shared" si="18"/>
        <v>0</v>
      </c>
      <c r="DM8" s="82">
        <f t="shared" si="19"/>
        <v>0</v>
      </c>
    </row>
    <row r="9" spans="1:141" x14ac:dyDescent="0.2">
      <c r="A9">
        <v>1.125</v>
      </c>
      <c r="B9">
        <v>139.98987213646663</v>
      </c>
      <c r="C9" s="82">
        <f t="shared" si="0"/>
        <v>-4.8580933097923662E-3</v>
      </c>
      <c r="D9">
        <v>1.125</v>
      </c>
      <c r="E9">
        <v>26630.830030163252</v>
      </c>
      <c r="F9" t="s">
        <v>82</v>
      </c>
      <c r="G9">
        <v>1.125</v>
      </c>
      <c r="H9">
        <v>140.011354658622</v>
      </c>
      <c r="I9" s="82">
        <f t="shared" si="1"/>
        <v>-4.3264594165748349E-4</v>
      </c>
      <c r="J9">
        <v>1.125</v>
      </c>
      <c r="K9">
        <v>20606.103631313053</v>
      </c>
      <c r="L9" t="s">
        <v>82</v>
      </c>
      <c r="M9">
        <v>1.125</v>
      </c>
      <c r="N9">
        <v>140.03320158855851</v>
      </c>
      <c r="O9" s="82">
        <f t="shared" si="2"/>
        <v>4.0640530479265635E-3</v>
      </c>
      <c r="P9">
        <v>1.125</v>
      </c>
      <c r="Q9">
        <v>24071.009308009736</v>
      </c>
      <c r="R9" t="s">
        <v>82</v>
      </c>
      <c r="S9">
        <v>1.125</v>
      </c>
      <c r="T9">
        <v>140.03264436032501</v>
      </c>
      <c r="U9" s="82">
        <f t="shared" si="3"/>
        <v>4.3714948572528556E-3</v>
      </c>
      <c r="V9">
        <v>1.125</v>
      </c>
      <c r="W9">
        <v>25185.417685864239</v>
      </c>
      <c r="X9" t="s">
        <v>82</v>
      </c>
      <c r="Y9">
        <v>1.125</v>
      </c>
      <c r="Z9">
        <v>140.02615397330308</v>
      </c>
      <c r="AA9" s="82">
        <f t="shared" si="4"/>
        <v>3.5751855235446328E-3</v>
      </c>
      <c r="AB9">
        <v>1.125</v>
      </c>
      <c r="AC9">
        <v>24774.645449331547</v>
      </c>
      <c r="AD9" t="s">
        <v>82</v>
      </c>
      <c r="AE9">
        <v>1.125</v>
      </c>
      <c r="AF9">
        <v>140.01956213796532</v>
      </c>
      <c r="AG9" s="82">
        <f t="shared" si="5"/>
        <v>2.7669350266990023E-3</v>
      </c>
      <c r="AH9">
        <v>1.125</v>
      </c>
      <c r="AI9">
        <v>24384.537373781124</v>
      </c>
      <c r="AJ9" t="s">
        <v>82</v>
      </c>
      <c r="AK9">
        <v>1.125</v>
      </c>
      <c r="AL9">
        <v>140.01287447368659</v>
      </c>
      <c r="AM9" s="82">
        <f t="shared" si="6"/>
        <v>1.9475121757750458E-3</v>
      </c>
      <c r="AN9">
        <v>1.125</v>
      </c>
      <c r="AO9">
        <v>24019.051045105505</v>
      </c>
      <c r="AP9" t="s">
        <v>82</v>
      </c>
      <c r="AQ9">
        <v>1.125</v>
      </c>
      <c r="AR9">
        <v>140.01261900177369</v>
      </c>
      <c r="AS9" s="82">
        <f t="shared" si="7"/>
        <v>1.8887307790862451E-3</v>
      </c>
      <c r="AT9">
        <v>1.125</v>
      </c>
      <c r="AU9">
        <v>24550.806541227183</v>
      </c>
      <c r="AV9" t="s">
        <v>82</v>
      </c>
      <c r="AW9">
        <v>1.125</v>
      </c>
      <c r="AX9">
        <v>140.0137875607214</v>
      </c>
      <c r="AY9" s="82">
        <f t="shared" si="8"/>
        <v>1.997718896348033E-3</v>
      </c>
      <c r="AZ9">
        <v>1.125</v>
      </c>
      <c r="BA9">
        <v>25314.266780407412</v>
      </c>
      <c r="BB9" t="s">
        <v>82</v>
      </c>
      <c r="BC9">
        <v>1.125</v>
      </c>
      <c r="BD9">
        <v>140.01490181996436</v>
      </c>
      <c r="BE9" s="82">
        <f t="shared" si="9"/>
        <v>2.1015112723432594E-3</v>
      </c>
      <c r="BF9">
        <v>1.125</v>
      </c>
      <c r="BG9">
        <v>26120.409283242592</v>
      </c>
      <c r="BH9" t="s">
        <v>82</v>
      </c>
      <c r="BI9">
        <v>1.125</v>
      </c>
      <c r="BJ9">
        <v>140.01473982746259</v>
      </c>
      <c r="BK9" s="82">
        <f t="shared" si="10"/>
        <v>2.088515531312396E-3</v>
      </c>
      <c r="BL9">
        <v>1.125</v>
      </c>
      <c r="BM9">
        <v>26875.733219541096</v>
      </c>
      <c r="BN9" t="s">
        <v>82</v>
      </c>
      <c r="BO9">
        <v>1.125</v>
      </c>
      <c r="BP9">
        <v>140.01467915501945</v>
      </c>
      <c r="BQ9" s="82">
        <f t="shared" si="11"/>
        <v>2.0834993874814245E-3</v>
      </c>
      <c r="BR9">
        <v>1.125</v>
      </c>
      <c r="BS9">
        <v>27696.486542165821</v>
      </c>
      <c r="BT9" t="s">
        <v>82</v>
      </c>
      <c r="BU9">
        <v>1.125</v>
      </c>
      <c r="BV9">
        <v>140.01468042174398</v>
      </c>
      <c r="BW9" s="82">
        <f t="shared" si="12"/>
        <v>2.0834249038159669E-3</v>
      </c>
      <c r="BX9">
        <v>1.125</v>
      </c>
      <c r="BY9">
        <v>28579.769159803414</v>
      </c>
      <c r="BZ9" t="s">
        <v>82</v>
      </c>
      <c r="CA9">
        <v>1.125</v>
      </c>
      <c r="CB9">
        <v>140.01480453380623</v>
      </c>
      <c r="CC9" s="82">
        <f t="shared" si="13"/>
        <v>2.0936724788498395E-3</v>
      </c>
      <c r="CD9">
        <v>1.125</v>
      </c>
      <c r="CE9">
        <v>29497.745143925993</v>
      </c>
      <c r="CF9" t="s">
        <v>82</v>
      </c>
      <c r="CG9">
        <v>1.125</v>
      </c>
      <c r="CH9">
        <v>140.01363757155747</v>
      </c>
      <c r="CI9" s="82">
        <f t="shared" si="14"/>
        <v>1.976873528036549E-3</v>
      </c>
      <c r="CJ9">
        <v>1.125</v>
      </c>
      <c r="CK9">
        <v>30320.57451118399</v>
      </c>
      <c r="CL9" t="s">
        <v>82</v>
      </c>
      <c r="CM9">
        <v>1.125</v>
      </c>
      <c r="CN9">
        <v>140.02288499739134</v>
      </c>
      <c r="CO9" s="82">
        <f t="shared" si="15"/>
        <v>3.2258710016321857E-3</v>
      </c>
      <c r="CP9">
        <v>1.125</v>
      </c>
      <c r="CQ9">
        <v>32816.480389579905</v>
      </c>
      <c r="CR9" t="s">
        <v>82</v>
      </c>
      <c r="CS9">
        <v>1.125</v>
      </c>
      <c r="CT9">
        <v>139.96511695419221</v>
      </c>
      <c r="CU9" s="82">
        <f t="shared" si="16"/>
        <v>-1.0335366777354693E-2</v>
      </c>
      <c r="CV9">
        <v>1.125</v>
      </c>
      <c r="CW9">
        <v>46061.114116328703</v>
      </c>
      <c r="CX9" t="s">
        <v>82</v>
      </c>
      <c r="CY9">
        <v>1.125</v>
      </c>
      <c r="CZ9">
        <v>139.7969304889281</v>
      </c>
      <c r="DA9" s="82">
        <f t="shared" si="17"/>
        <v>-4.4746478285503599E-2</v>
      </c>
      <c r="DB9">
        <v>1.125</v>
      </c>
      <c r="DC9">
        <v>97221.114681809049</v>
      </c>
      <c r="DD9" t="s">
        <v>82</v>
      </c>
      <c r="DG9" s="82">
        <f t="shared" si="18"/>
        <v>0</v>
      </c>
      <c r="DM9" s="82">
        <f t="shared" si="19"/>
        <v>0</v>
      </c>
    </row>
    <row r="10" spans="1:141" x14ac:dyDescent="0.2">
      <c r="A10">
        <v>1.375</v>
      </c>
      <c r="B10">
        <v>139.98368665772651</v>
      </c>
      <c r="C10" s="82">
        <f t="shared" si="0"/>
        <v>-6.1854787401216527E-3</v>
      </c>
      <c r="D10">
        <v>1.375</v>
      </c>
      <c r="E10">
        <v>28528.706359763881</v>
      </c>
      <c r="F10" t="s">
        <v>82</v>
      </c>
      <c r="G10">
        <v>1.375</v>
      </c>
      <c r="H10">
        <v>140.00940902108127</v>
      </c>
      <c r="I10" s="82">
        <f t="shared" si="1"/>
        <v>-1.9456375407287396E-3</v>
      </c>
      <c r="J10">
        <v>1.375</v>
      </c>
      <c r="K10">
        <v>22775.684381510724</v>
      </c>
      <c r="L10" t="s">
        <v>82</v>
      </c>
      <c r="M10">
        <v>1.375</v>
      </c>
      <c r="N10">
        <v>140.03556224618418</v>
      </c>
      <c r="O10" s="82">
        <f t="shared" si="2"/>
        <v>2.360657625672502E-3</v>
      </c>
      <c r="P10">
        <v>1.375</v>
      </c>
      <c r="Q10">
        <v>21570.108882458921</v>
      </c>
      <c r="R10" t="s">
        <v>82</v>
      </c>
      <c r="S10">
        <v>1.375</v>
      </c>
      <c r="T10">
        <v>140.03555572274172</v>
      </c>
      <c r="U10" s="82">
        <f t="shared" si="3"/>
        <v>2.911362416710972E-3</v>
      </c>
      <c r="V10">
        <v>1.375</v>
      </c>
      <c r="W10">
        <v>23047.074799572256</v>
      </c>
      <c r="X10" t="s">
        <v>82</v>
      </c>
      <c r="Y10">
        <v>1.375</v>
      </c>
      <c r="Z10">
        <v>140.02863014695285</v>
      </c>
      <c r="AA10" s="82">
        <f t="shared" si="4"/>
        <v>2.4761736497680431E-3</v>
      </c>
      <c r="AB10">
        <v>1.375</v>
      </c>
      <c r="AC10">
        <v>23173.657335134194</v>
      </c>
      <c r="AD10" t="s">
        <v>82</v>
      </c>
      <c r="AE10">
        <v>1.375</v>
      </c>
      <c r="AF10">
        <v>140.02159698770456</v>
      </c>
      <c r="AG10" s="82">
        <f t="shared" si="5"/>
        <v>2.0348497392319587E-3</v>
      </c>
      <c r="AH10">
        <v>1.375</v>
      </c>
      <c r="AI10">
        <v>23329.749010229505</v>
      </c>
      <c r="AJ10" t="s">
        <v>82</v>
      </c>
      <c r="AK10">
        <v>1.375</v>
      </c>
      <c r="AL10">
        <v>140.01446235004107</v>
      </c>
      <c r="AM10" s="82">
        <f t="shared" si="6"/>
        <v>1.5878763544776575E-3</v>
      </c>
      <c r="AN10">
        <v>1.375</v>
      </c>
      <c r="AO10">
        <v>23518.817264533907</v>
      </c>
      <c r="AP10" t="s">
        <v>82</v>
      </c>
      <c r="AQ10">
        <v>1.375</v>
      </c>
      <c r="AR10">
        <v>140.01414698251673</v>
      </c>
      <c r="AS10" s="82">
        <f t="shared" si="7"/>
        <v>1.527980743048829E-3</v>
      </c>
      <c r="AT10">
        <v>1.375</v>
      </c>
      <c r="AU10">
        <v>24048.901197267434</v>
      </c>
      <c r="AV10" t="s">
        <v>82</v>
      </c>
      <c r="AW10">
        <v>1.375</v>
      </c>
      <c r="AX10">
        <v>140.01534040997541</v>
      </c>
      <c r="AY10" s="82">
        <f t="shared" si="8"/>
        <v>1.5528492540113348E-3</v>
      </c>
      <c r="AZ10">
        <v>1.375</v>
      </c>
      <c r="BA10">
        <v>24687.096013455328</v>
      </c>
      <c r="BB10" t="s">
        <v>82</v>
      </c>
      <c r="BC10">
        <v>1.375</v>
      </c>
      <c r="BD10">
        <v>140.01647822656759</v>
      </c>
      <c r="BE10" s="82">
        <f t="shared" si="9"/>
        <v>1.5764066032204482E-3</v>
      </c>
      <c r="BF10">
        <v>1.375</v>
      </c>
      <c r="BG10">
        <v>25373.771439670196</v>
      </c>
      <c r="BH10" t="s">
        <v>82</v>
      </c>
      <c r="BI10">
        <v>1.375</v>
      </c>
      <c r="BJ10">
        <v>140.01631635301067</v>
      </c>
      <c r="BK10" s="82">
        <f t="shared" si="10"/>
        <v>1.5765255480744145E-3</v>
      </c>
      <c r="BL10">
        <v>1.375</v>
      </c>
      <c r="BM10">
        <v>26148.703830832299</v>
      </c>
      <c r="BN10" t="s">
        <v>82</v>
      </c>
      <c r="BO10">
        <v>1.375</v>
      </c>
      <c r="BP10">
        <v>140.01625565823937</v>
      </c>
      <c r="BQ10" s="82">
        <f t="shared" si="11"/>
        <v>1.5765032199226425E-3</v>
      </c>
      <c r="BR10">
        <v>1.375</v>
      </c>
      <c r="BS10">
        <v>26976.969745233648</v>
      </c>
      <c r="BT10" t="s">
        <v>82</v>
      </c>
      <c r="BU10">
        <v>1.375</v>
      </c>
      <c r="BV10">
        <v>140.0162569243918</v>
      </c>
      <c r="BW10" s="82">
        <f t="shared" si="12"/>
        <v>1.5765026478220534E-3</v>
      </c>
      <c r="BX10">
        <v>1.375</v>
      </c>
      <c r="BY10">
        <v>27860.438825066816</v>
      </c>
      <c r="BZ10" t="s">
        <v>82</v>
      </c>
      <c r="CA10">
        <v>1.375</v>
      </c>
      <c r="CB10">
        <v>140.01638187171062</v>
      </c>
      <c r="CC10" s="82">
        <f t="shared" si="13"/>
        <v>1.5773379043935165E-3</v>
      </c>
      <c r="CD10">
        <v>1.375</v>
      </c>
      <c r="CE10">
        <v>28764.469653446962</v>
      </c>
      <c r="CF10" t="s">
        <v>82</v>
      </c>
      <c r="CG10">
        <v>1.375</v>
      </c>
      <c r="CH10">
        <v>140.01517799186982</v>
      </c>
      <c r="CI10" s="82">
        <f t="shared" si="14"/>
        <v>1.540420312352353E-3</v>
      </c>
      <c r="CJ10">
        <v>1.375</v>
      </c>
      <c r="CK10">
        <v>29706.353320930848</v>
      </c>
      <c r="CL10" t="s">
        <v>82</v>
      </c>
      <c r="CM10">
        <v>1.375</v>
      </c>
      <c r="CN10">
        <v>140.0252268247537</v>
      </c>
      <c r="CO10" s="82">
        <f t="shared" si="15"/>
        <v>2.3418273623576624E-3</v>
      </c>
      <c r="CP10">
        <v>1.375</v>
      </c>
      <c r="CQ10">
        <v>31536.603822058452</v>
      </c>
      <c r="CR10" t="s">
        <v>82</v>
      </c>
      <c r="CS10">
        <v>1.375</v>
      </c>
      <c r="CT10">
        <v>139.95344202333371</v>
      </c>
      <c r="CU10" s="82">
        <f t="shared" si="16"/>
        <v>-1.167493085850424E-2</v>
      </c>
      <c r="CV10">
        <v>1.375</v>
      </c>
      <c r="CW10">
        <v>47989.218609773379</v>
      </c>
      <c r="CX10" t="s">
        <v>82</v>
      </c>
      <c r="CY10">
        <v>1.375</v>
      </c>
      <c r="CZ10">
        <v>139.7523753318851</v>
      </c>
      <c r="DA10" s="82">
        <f t="shared" si="17"/>
        <v>-4.4555157042992732E-2</v>
      </c>
      <c r="DB10">
        <v>1.375</v>
      </c>
      <c r="DC10">
        <v>96919.643132376063</v>
      </c>
      <c r="DD10" t="s">
        <v>82</v>
      </c>
      <c r="DG10" s="82">
        <f t="shared" si="18"/>
        <v>0</v>
      </c>
      <c r="DM10" s="82">
        <f t="shared" si="19"/>
        <v>0</v>
      </c>
    </row>
    <row r="11" spans="1:141" x14ac:dyDescent="0.2">
      <c r="A11">
        <v>1.625</v>
      </c>
      <c r="B11">
        <v>139.97624534219486</v>
      </c>
      <c r="C11" s="82">
        <f t="shared" si="0"/>
        <v>-7.4413155316506163E-3</v>
      </c>
      <c r="D11">
        <v>1.625</v>
      </c>
      <c r="E11">
        <v>30321.33218917418</v>
      </c>
      <c r="F11" t="s">
        <v>82</v>
      </c>
      <c r="G11">
        <v>1.625</v>
      </c>
      <c r="H11">
        <v>140.00602700469062</v>
      </c>
      <c r="I11" s="82">
        <f t="shared" si="1"/>
        <v>-3.3820163906455036E-3</v>
      </c>
      <c r="J11">
        <v>1.625</v>
      </c>
      <c r="K11">
        <v>24832.941503119328</v>
      </c>
      <c r="L11" t="s">
        <v>82</v>
      </c>
      <c r="M11">
        <v>1.625</v>
      </c>
      <c r="N11">
        <v>140.03630151121783</v>
      </c>
      <c r="O11" s="82">
        <f t="shared" si="2"/>
        <v>7.392650336441875E-4</v>
      </c>
      <c r="P11">
        <v>1.625</v>
      </c>
      <c r="Q11">
        <v>19283.535948471228</v>
      </c>
      <c r="R11" t="s">
        <v>82</v>
      </c>
      <c r="S11">
        <v>1.625</v>
      </c>
      <c r="T11">
        <v>140.03708975027914</v>
      </c>
      <c r="U11" s="82">
        <f t="shared" si="3"/>
        <v>1.5340275374171597E-3</v>
      </c>
      <c r="V11">
        <v>1.625</v>
      </c>
      <c r="W11">
        <v>21030.699896866721</v>
      </c>
      <c r="X11" t="s">
        <v>82</v>
      </c>
      <c r="Y11">
        <v>1.625</v>
      </c>
      <c r="Z11">
        <v>140.03008963262482</v>
      </c>
      <c r="AA11" s="82">
        <f t="shared" si="4"/>
        <v>1.4594856719725158E-3</v>
      </c>
      <c r="AB11">
        <v>1.625</v>
      </c>
      <c r="AC11">
        <v>21694.258534109264</v>
      </c>
      <c r="AD11" t="s">
        <v>82</v>
      </c>
      <c r="AE11">
        <v>1.625</v>
      </c>
      <c r="AF11">
        <v>140.02298156932233</v>
      </c>
      <c r="AG11" s="82">
        <f t="shared" si="5"/>
        <v>1.3845816177706638E-3</v>
      </c>
      <c r="AH11">
        <v>1.625</v>
      </c>
      <c r="AI11">
        <v>22396.178034815799</v>
      </c>
      <c r="AJ11" t="s">
        <v>82</v>
      </c>
      <c r="AK11">
        <v>1.625</v>
      </c>
      <c r="AL11">
        <v>140.015771865267</v>
      </c>
      <c r="AM11" s="82">
        <f t="shared" si="6"/>
        <v>1.3095152259268161E-3</v>
      </c>
      <c r="AN11">
        <v>1.625</v>
      </c>
      <c r="AO11">
        <v>23139.397147406402</v>
      </c>
      <c r="AP11" t="s">
        <v>82</v>
      </c>
      <c r="AQ11">
        <v>1.625</v>
      </c>
      <c r="AR11">
        <v>140.01539546662983</v>
      </c>
      <c r="AS11" s="82">
        <f t="shared" si="7"/>
        <v>1.2484841130913082E-3</v>
      </c>
      <c r="AT11">
        <v>1.625</v>
      </c>
      <c r="AU11">
        <v>23667.767285144295</v>
      </c>
      <c r="AV11" t="s">
        <v>82</v>
      </c>
      <c r="AW11">
        <v>1.625</v>
      </c>
      <c r="AX11">
        <v>140.01652974566269</v>
      </c>
      <c r="AY11" s="82">
        <f t="shared" si="8"/>
        <v>1.189335687286075E-3</v>
      </c>
      <c r="AZ11">
        <v>1.625</v>
      </c>
      <c r="BA11">
        <v>24180.740929896238</v>
      </c>
      <c r="BB11" t="s">
        <v>82</v>
      </c>
      <c r="BC11">
        <v>1.625</v>
      </c>
      <c r="BD11">
        <v>140.01761099246815</v>
      </c>
      <c r="BE11" s="82">
        <f t="shared" si="9"/>
        <v>1.1327659005644364E-3</v>
      </c>
      <c r="BF11">
        <v>1.625</v>
      </c>
      <c r="BG11">
        <v>24747.999115697756</v>
      </c>
      <c r="BH11" t="s">
        <v>82</v>
      </c>
      <c r="BI11">
        <v>1.625</v>
      </c>
      <c r="BJ11">
        <v>140.01746243308574</v>
      </c>
      <c r="BK11" s="82">
        <f t="shared" si="10"/>
        <v>1.1460800750739963E-3</v>
      </c>
      <c r="BL11">
        <v>1.625</v>
      </c>
      <c r="BM11">
        <v>25542.659253554506</v>
      </c>
      <c r="BN11" t="s">
        <v>82</v>
      </c>
      <c r="BO11">
        <v>1.625</v>
      </c>
      <c r="BP11">
        <v>140.017406796182</v>
      </c>
      <c r="BQ11" s="82">
        <f t="shared" si="11"/>
        <v>1.151137942628111E-3</v>
      </c>
      <c r="BR11">
        <v>1.625</v>
      </c>
      <c r="BS11">
        <v>26378.554947910925</v>
      </c>
      <c r="BT11" t="s">
        <v>82</v>
      </c>
      <c r="BU11">
        <v>1.625</v>
      </c>
      <c r="BV11">
        <v>140.01740822815188</v>
      </c>
      <c r="BW11" s="82">
        <f t="shared" si="12"/>
        <v>1.1513037600821008E-3</v>
      </c>
      <c r="BX11">
        <v>1.625</v>
      </c>
      <c r="BY11">
        <v>27262.329320997505</v>
      </c>
      <c r="BZ11" t="s">
        <v>82</v>
      </c>
      <c r="CA11">
        <v>1.625</v>
      </c>
      <c r="CB11">
        <v>140.01752469492607</v>
      </c>
      <c r="CC11" s="82">
        <f t="shared" si="13"/>
        <v>1.1428232154457874E-3</v>
      </c>
      <c r="CD11">
        <v>1.625</v>
      </c>
      <c r="CE11">
        <v>28152.526328671731</v>
      </c>
      <c r="CF11" t="s">
        <v>82</v>
      </c>
      <c r="CG11">
        <v>1.625</v>
      </c>
      <c r="CH11">
        <v>140.01636381136962</v>
      </c>
      <c r="CI11" s="82">
        <f t="shared" si="14"/>
        <v>1.1858194997955707E-3</v>
      </c>
      <c r="CJ11">
        <v>1.625</v>
      </c>
      <c r="CK11">
        <v>29213.604770470814</v>
      </c>
      <c r="CL11" t="s">
        <v>82</v>
      </c>
      <c r="CM11">
        <v>1.625</v>
      </c>
      <c r="CN11">
        <v>140.02676806331303</v>
      </c>
      <c r="CO11" s="82">
        <f t="shared" si="15"/>
        <v>1.5412385593265299E-3</v>
      </c>
      <c r="CP11">
        <v>1.625</v>
      </c>
      <c r="CQ11">
        <v>30379.914537994151</v>
      </c>
      <c r="CR11" t="s">
        <v>82</v>
      </c>
      <c r="CS11">
        <v>1.625</v>
      </c>
      <c r="CT11">
        <v>139.94048372822883</v>
      </c>
      <c r="CU11" s="82">
        <f t="shared" si="16"/>
        <v>-1.2958295104880335E-2</v>
      </c>
      <c r="CV11">
        <v>1.625</v>
      </c>
      <c r="CW11">
        <v>49835.52301774954</v>
      </c>
      <c r="CX11" t="s">
        <v>82</v>
      </c>
      <c r="CY11">
        <v>1.625</v>
      </c>
      <c r="CZ11">
        <v>139.70800042441863</v>
      </c>
      <c r="DA11" s="82">
        <f t="shared" si="17"/>
        <v>-4.4374907466476543E-2</v>
      </c>
      <c r="DB11">
        <v>1.625</v>
      </c>
      <c r="DC11">
        <v>96634.296542933691</v>
      </c>
      <c r="DD11" t="s">
        <v>82</v>
      </c>
      <c r="DG11" s="82">
        <f t="shared" si="18"/>
        <v>0</v>
      </c>
      <c r="DM11" s="82">
        <f t="shared" si="19"/>
        <v>0</v>
      </c>
    </row>
    <row r="12" spans="1:141" x14ac:dyDescent="0.2">
      <c r="A12">
        <v>1.875</v>
      </c>
      <c r="B12">
        <v>139.96761823435102</v>
      </c>
      <c r="C12" s="82">
        <f t="shared" si="0"/>
        <v>-8.6271078438358018E-3</v>
      </c>
      <c r="D12">
        <v>1.875</v>
      </c>
      <c r="E12">
        <v>32010.834940277946</v>
      </c>
      <c r="F12" t="s">
        <v>82</v>
      </c>
      <c r="G12">
        <v>1.875</v>
      </c>
      <c r="H12">
        <v>140.00128344459969</v>
      </c>
      <c r="I12" s="82">
        <f t="shared" si="1"/>
        <v>-4.7435600909295772E-3</v>
      </c>
      <c r="J12">
        <v>1.875</v>
      </c>
      <c r="K12">
        <v>26780.314524663485</v>
      </c>
      <c r="L12" t="s">
        <v>82</v>
      </c>
      <c r="M12">
        <v>1.875</v>
      </c>
      <c r="N12">
        <v>140.03549931663872</v>
      </c>
      <c r="O12" s="82">
        <f t="shared" si="2"/>
        <v>-8.0219457910857273E-4</v>
      </c>
      <c r="P12">
        <v>1.875</v>
      </c>
      <c r="Q12">
        <v>21494.185386424688</v>
      </c>
      <c r="R12" t="s">
        <v>82</v>
      </c>
      <c r="S12">
        <v>1.875</v>
      </c>
      <c r="T12">
        <v>140.03732743547243</v>
      </c>
      <c r="U12" s="82">
        <f t="shared" si="3"/>
        <v>2.376851932979207E-4</v>
      </c>
      <c r="V12">
        <v>1.875</v>
      </c>
      <c r="W12">
        <v>20237.991959293417</v>
      </c>
      <c r="X12" t="s">
        <v>82</v>
      </c>
      <c r="Y12">
        <v>1.875</v>
      </c>
      <c r="Z12">
        <v>140.03061338648888</v>
      </c>
      <c r="AA12" s="82">
        <f t="shared" si="4"/>
        <v>5.2375386405856261E-4</v>
      </c>
      <c r="AB12">
        <v>1.875</v>
      </c>
      <c r="AC12">
        <v>20334.49921337542</v>
      </c>
      <c r="AD12" t="s">
        <v>82</v>
      </c>
      <c r="AE12">
        <v>1.875</v>
      </c>
      <c r="AF12">
        <v>140.02379680032831</v>
      </c>
      <c r="AG12" s="82">
        <f t="shared" si="5"/>
        <v>8.1523100598701603E-4</v>
      </c>
      <c r="AH12">
        <v>1.875</v>
      </c>
      <c r="AI12">
        <v>21582.576933765999</v>
      </c>
      <c r="AJ12" t="s">
        <v>82</v>
      </c>
      <c r="AK12">
        <v>1.875</v>
      </c>
      <c r="AL12">
        <v>140.01688389590578</v>
      </c>
      <c r="AM12" s="82">
        <f t="shared" si="6"/>
        <v>1.1120306387795154E-3</v>
      </c>
      <c r="AN12">
        <v>1.875</v>
      </c>
      <c r="AO12">
        <v>22880.288095296841</v>
      </c>
      <c r="AP12" t="s">
        <v>82</v>
      </c>
      <c r="AQ12">
        <v>1.875</v>
      </c>
      <c r="AR12">
        <v>140.01644529648499</v>
      </c>
      <c r="AS12" s="82">
        <f t="shared" si="7"/>
        <v>1.049829855162443E-3</v>
      </c>
      <c r="AT12">
        <v>1.875</v>
      </c>
      <c r="AU12">
        <v>23406.885235235241</v>
      </c>
      <c r="AV12" t="s">
        <v>82</v>
      </c>
      <c r="AW12">
        <v>1.875</v>
      </c>
      <c r="AX12">
        <v>140.01743637474911</v>
      </c>
      <c r="AY12" s="82">
        <f t="shared" si="8"/>
        <v>9.0662908641547801E-4</v>
      </c>
      <c r="AZ12">
        <v>1.875</v>
      </c>
      <c r="BA12">
        <v>23794.480049554302</v>
      </c>
      <c r="BB12" t="s">
        <v>82</v>
      </c>
      <c r="BC12">
        <v>1.875</v>
      </c>
      <c r="BD12">
        <v>140.01838089166921</v>
      </c>
      <c r="BE12" s="82">
        <f t="shared" si="9"/>
        <v>7.6989920106029786E-4</v>
      </c>
      <c r="BF12">
        <v>1.875</v>
      </c>
      <c r="BG12">
        <v>24242.164545251078</v>
      </c>
      <c r="BH12" t="s">
        <v>82</v>
      </c>
      <c r="BI12">
        <v>1.875</v>
      </c>
      <c r="BJ12">
        <v>140.0182589208099</v>
      </c>
      <c r="BK12" s="82">
        <f t="shared" si="10"/>
        <v>7.9648772415907843E-4</v>
      </c>
      <c r="BL12">
        <v>1.875</v>
      </c>
      <c r="BM12">
        <v>25056.672288695288</v>
      </c>
      <c r="BN12" t="s">
        <v>82</v>
      </c>
      <c r="BO12">
        <v>1.875</v>
      </c>
      <c r="BP12">
        <v>140.01821349324882</v>
      </c>
      <c r="BQ12" s="82">
        <f t="shared" si="11"/>
        <v>8.0669706682101605E-4</v>
      </c>
      <c r="BR12">
        <v>1.875</v>
      </c>
      <c r="BS12">
        <v>25900.295399472514</v>
      </c>
      <c r="BT12" t="s">
        <v>82</v>
      </c>
      <c r="BU12">
        <v>1.875</v>
      </c>
      <c r="BV12">
        <v>140.01821532531761</v>
      </c>
      <c r="BW12" s="82">
        <f t="shared" si="12"/>
        <v>8.0709716573323931E-4</v>
      </c>
      <c r="BX12">
        <v>1.875</v>
      </c>
      <c r="BY12">
        <v>26784.460604133372</v>
      </c>
      <c r="BZ12" t="s">
        <v>82</v>
      </c>
      <c r="CA12">
        <v>1.875</v>
      </c>
      <c r="CB12">
        <v>140.01831405019223</v>
      </c>
      <c r="CC12" s="82">
        <f t="shared" si="13"/>
        <v>7.8935526616419338E-4</v>
      </c>
      <c r="CD12">
        <v>1.875</v>
      </c>
      <c r="CE12">
        <v>27660.875967699871</v>
      </c>
      <c r="CF12" t="s">
        <v>82</v>
      </c>
      <c r="CG12">
        <v>1.875</v>
      </c>
      <c r="CH12">
        <v>140.01727622868631</v>
      </c>
      <c r="CI12" s="82">
        <f t="shared" si="14"/>
        <v>9.1241731669811088E-4</v>
      </c>
      <c r="CJ12">
        <v>1.875</v>
      </c>
      <c r="CK12">
        <v>28841.47019206129</v>
      </c>
      <c r="CL12" t="s">
        <v>82</v>
      </c>
      <c r="CM12">
        <v>1.875</v>
      </c>
      <c r="CN12">
        <v>140.02759064438652</v>
      </c>
      <c r="CO12" s="82">
        <f t="shared" si="15"/>
        <v>8.2258107349275633E-4</v>
      </c>
      <c r="CP12">
        <v>1.875</v>
      </c>
      <c r="CQ12">
        <v>29344.265898019155</v>
      </c>
      <c r="CR12" t="s">
        <v>82</v>
      </c>
      <c r="CS12">
        <v>1.875</v>
      </c>
      <c r="CT12">
        <v>139.92629579027221</v>
      </c>
      <c r="CU12" s="82">
        <f t="shared" si="16"/>
        <v>-1.4187937956620544E-2</v>
      </c>
      <c r="CV12">
        <v>1.875</v>
      </c>
      <c r="CW12">
        <v>51603.62310913187</v>
      </c>
      <c r="CX12" t="s">
        <v>82</v>
      </c>
      <c r="CY12">
        <v>1.875</v>
      </c>
      <c r="CZ12">
        <v>139.66379520641505</v>
      </c>
      <c r="DA12" s="82">
        <f t="shared" si="17"/>
        <v>-4.4205218003583013E-2</v>
      </c>
      <c r="DB12">
        <v>1.875</v>
      </c>
      <c r="DC12">
        <v>96364.329636713592</v>
      </c>
      <c r="DD12" t="s">
        <v>82</v>
      </c>
      <c r="DG12" s="82">
        <f t="shared" si="18"/>
        <v>0</v>
      </c>
      <c r="DM12" s="82">
        <f t="shared" si="19"/>
        <v>0</v>
      </c>
    </row>
    <row r="13" spans="1:141" x14ac:dyDescent="0.2">
      <c r="A13">
        <v>2.125</v>
      </c>
      <c r="B13">
        <v>139.9578739656194</v>
      </c>
      <c r="C13" s="82">
        <f t="shared" si="0"/>
        <v>-9.7442687316231513E-3</v>
      </c>
      <c r="D13">
        <v>2.125</v>
      </c>
      <c r="E13">
        <v>33599.220895495411</v>
      </c>
      <c r="F13" t="s">
        <v>82</v>
      </c>
      <c r="G13">
        <v>2.125</v>
      </c>
      <c r="H13">
        <v>139.99525149827895</v>
      </c>
      <c r="I13" s="82">
        <f t="shared" si="1"/>
        <v>-6.0319463207463286E-3</v>
      </c>
      <c r="J13">
        <v>2.125</v>
      </c>
      <c r="K13">
        <v>28620.142653169751</v>
      </c>
      <c r="L13" t="s">
        <v>82</v>
      </c>
      <c r="M13">
        <v>2.125</v>
      </c>
      <c r="N13">
        <v>140.03323363508699</v>
      </c>
      <c r="O13" s="82">
        <f t="shared" si="2"/>
        <v>-2.2656815517336781E-3</v>
      </c>
      <c r="P13">
        <v>2.125</v>
      </c>
      <c r="Q13">
        <v>23590.640873098222</v>
      </c>
      <c r="R13" t="s">
        <v>82</v>
      </c>
      <c r="S13">
        <v>2.125</v>
      </c>
      <c r="T13">
        <v>140.03634807806543</v>
      </c>
      <c r="U13" s="82">
        <f t="shared" si="3"/>
        <v>-9.7935740700449969E-4</v>
      </c>
      <c r="V13">
        <v>2.125</v>
      </c>
      <c r="W13">
        <v>21966.592147365598</v>
      </c>
      <c r="X13" t="s">
        <v>82</v>
      </c>
      <c r="Y13">
        <v>2.125</v>
      </c>
      <c r="Z13">
        <v>140.03028111013367</v>
      </c>
      <c r="AA13" s="82">
        <f t="shared" si="4"/>
        <v>-3.322763552091601E-4</v>
      </c>
      <c r="AB13">
        <v>2.125</v>
      </c>
      <c r="AC13">
        <v>21240.208042162209</v>
      </c>
      <c r="AD13" t="s">
        <v>82</v>
      </c>
      <c r="AE13">
        <v>2.125</v>
      </c>
      <c r="AF13">
        <v>140.02412281276636</v>
      </c>
      <c r="AG13" s="82">
        <f t="shared" si="5"/>
        <v>3.2601243805174818E-4</v>
      </c>
      <c r="AH13">
        <v>2.125</v>
      </c>
      <c r="AI13">
        <v>20887.86737991796</v>
      </c>
      <c r="AJ13" t="s">
        <v>82</v>
      </c>
      <c r="AK13">
        <v>2.125</v>
      </c>
      <c r="AL13">
        <v>140.01787903574174</v>
      </c>
      <c r="AM13" s="82">
        <f t="shared" si="6"/>
        <v>9.951398359646646E-4</v>
      </c>
      <c r="AN13">
        <v>2.125</v>
      </c>
      <c r="AO13">
        <v>22741.157400297634</v>
      </c>
      <c r="AP13" t="s">
        <v>82</v>
      </c>
      <c r="AQ13">
        <v>2.125</v>
      </c>
      <c r="AR13">
        <v>140.01737702210266</v>
      </c>
      <c r="AS13" s="82">
        <f t="shared" si="7"/>
        <v>9.3172561767573825E-4</v>
      </c>
      <c r="AT13">
        <v>2.125</v>
      </c>
      <c r="AU13">
        <v>23265.910336850582</v>
      </c>
      <c r="AV13" t="s">
        <v>82</v>
      </c>
      <c r="AW13">
        <v>2.125</v>
      </c>
      <c r="AX13">
        <v>140.01814067767978</v>
      </c>
      <c r="AY13" s="82">
        <f t="shared" si="8"/>
        <v>7.0430293067147431E-4</v>
      </c>
      <c r="AZ13">
        <v>2.125</v>
      </c>
      <c r="BA13">
        <v>23527.772699502479</v>
      </c>
      <c r="BB13" t="s">
        <v>82</v>
      </c>
      <c r="BC13">
        <v>2.125</v>
      </c>
      <c r="BD13">
        <v>140.01886813493272</v>
      </c>
      <c r="BE13" s="82">
        <f t="shared" si="9"/>
        <v>4.8724326350679803E-4</v>
      </c>
      <c r="BF13">
        <v>2.125</v>
      </c>
      <c r="BG13">
        <v>23855.527117053833</v>
      </c>
      <c r="BH13" t="s">
        <v>82</v>
      </c>
      <c r="BI13">
        <v>2.125</v>
      </c>
      <c r="BJ13">
        <v>140.0187861088053</v>
      </c>
      <c r="BK13" s="82">
        <f t="shared" si="10"/>
        <v>5.2718799540230066E-4</v>
      </c>
      <c r="BL13">
        <v>2.125</v>
      </c>
      <c r="BM13">
        <v>24690.008967013524</v>
      </c>
      <c r="BN13" t="s">
        <v>82</v>
      </c>
      <c r="BO13">
        <v>2.125</v>
      </c>
      <c r="BP13">
        <v>140.01875610272276</v>
      </c>
      <c r="BQ13" s="82">
        <f t="shared" si="11"/>
        <v>5.4260947393913739E-4</v>
      </c>
      <c r="BR13">
        <v>2.125</v>
      </c>
      <c r="BS13">
        <v>25541.444310120391</v>
      </c>
      <c r="BT13" t="s">
        <v>82</v>
      </c>
      <c r="BU13">
        <v>2.125</v>
      </c>
      <c r="BV13">
        <v>140.01875861734518</v>
      </c>
      <c r="BW13" s="82">
        <f t="shared" si="12"/>
        <v>5.4329202757230632E-4</v>
      </c>
      <c r="BX13">
        <v>2.125</v>
      </c>
      <c r="BY13">
        <v>26426.059724245973</v>
      </c>
      <c r="BZ13" t="s">
        <v>82</v>
      </c>
      <c r="CA13">
        <v>2.125</v>
      </c>
      <c r="CB13">
        <v>140.01883035637331</v>
      </c>
      <c r="CC13" s="82">
        <f t="shared" si="13"/>
        <v>5.1630618108333692E-4</v>
      </c>
      <c r="CD13">
        <v>2.125</v>
      </c>
      <c r="CE13">
        <v>27288.693918656605</v>
      </c>
      <c r="CF13" t="s">
        <v>82</v>
      </c>
      <c r="CG13">
        <v>2.125</v>
      </c>
      <c r="CH13">
        <v>140.01799593882185</v>
      </c>
      <c r="CI13" s="82">
        <f t="shared" si="14"/>
        <v>7.19710135541618E-4</v>
      </c>
      <c r="CJ13">
        <v>2.125</v>
      </c>
      <c r="CK13">
        <v>28589.312826916008</v>
      </c>
      <c r="CL13" t="s">
        <v>82</v>
      </c>
      <c r="CM13">
        <v>2.125</v>
      </c>
      <c r="CN13">
        <v>140.02777513472304</v>
      </c>
      <c r="CO13" s="82">
        <f t="shared" si="15"/>
        <v>1.8449033652245816E-4</v>
      </c>
      <c r="CP13">
        <v>2.125</v>
      </c>
      <c r="CQ13">
        <v>28710.376662408482</v>
      </c>
      <c r="CR13" t="s">
        <v>82</v>
      </c>
      <c r="CS13">
        <v>2.125</v>
      </c>
      <c r="CT13">
        <v>139.91092956541084</v>
      </c>
      <c r="CU13" s="82">
        <f t="shared" si="16"/>
        <v>-1.5366224861367073E-2</v>
      </c>
      <c r="CV13">
        <v>2.125</v>
      </c>
      <c r="CW13">
        <v>53296.953112214083</v>
      </c>
      <c r="CX13" t="s">
        <v>82</v>
      </c>
      <c r="CY13">
        <v>2.125</v>
      </c>
      <c r="CZ13">
        <v>139.61974960694445</v>
      </c>
      <c r="DA13" s="82">
        <f t="shared" si="17"/>
        <v>-4.4045599470592833E-2</v>
      </c>
      <c r="DB13">
        <v>2.125</v>
      </c>
      <c r="DC13">
        <v>96109.029681742468</v>
      </c>
      <c r="DD13" t="s">
        <v>82</v>
      </c>
      <c r="DG13" s="82">
        <f t="shared" si="18"/>
        <v>0</v>
      </c>
      <c r="DM13" s="82">
        <f t="shared" si="19"/>
        <v>0</v>
      </c>
    </row>
    <row r="14" spans="1:141" x14ac:dyDescent="0.2">
      <c r="A14">
        <v>2.375</v>
      </c>
      <c r="B14">
        <v>139.94707984331959</v>
      </c>
      <c r="C14" s="82">
        <f t="shared" si="0"/>
        <v>-1.079412229981358E-2</v>
      </c>
      <c r="D14">
        <v>2.375</v>
      </c>
      <c r="E14">
        <v>35088.374127176197</v>
      </c>
      <c r="F14" t="s">
        <v>82</v>
      </c>
      <c r="G14">
        <v>2.375</v>
      </c>
      <c r="H14">
        <v>139.98800274285477</v>
      </c>
      <c r="I14" s="82">
        <f t="shared" si="1"/>
        <v>-7.2487554241718044E-3</v>
      </c>
      <c r="J14">
        <v>2.375</v>
      </c>
      <c r="K14">
        <v>30354.650088812959</v>
      </c>
      <c r="L14" t="s">
        <v>82</v>
      </c>
      <c r="M14">
        <v>2.375</v>
      </c>
      <c r="N14">
        <v>140.02958058540017</v>
      </c>
      <c r="O14" s="82">
        <f t="shared" si="2"/>
        <v>-3.6530496868181217E-3</v>
      </c>
      <c r="P14">
        <v>2.375</v>
      </c>
      <c r="Q14">
        <v>25575.415905920843</v>
      </c>
      <c r="R14" t="s">
        <v>82</v>
      </c>
      <c r="S14">
        <v>2.375</v>
      </c>
      <c r="T14">
        <v>140.03422939455481</v>
      </c>
      <c r="U14" s="82">
        <f t="shared" si="3"/>
        <v>-2.1186835106163926E-3</v>
      </c>
      <c r="V14">
        <v>2.375</v>
      </c>
      <c r="W14">
        <v>23580.831578526278</v>
      </c>
      <c r="X14" t="s">
        <v>82</v>
      </c>
      <c r="Y14">
        <v>2.375</v>
      </c>
      <c r="Z14">
        <v>140.02917136150961</v>
      </c>
      <c r="AA14" s="82">
        <f t="shared" si="4"/>
        <v>-1.1097486240601029E-3</v>
      </c>
      <c r="AB14">
        <v>2.375</v>
      </c>
      <c r="AC14">
        <v>22314.995032678205</v>
      </c>
      <c r="AD14" t="s">
        <v>82</v>
      </c>
      <c r="AE14">
        <v>2.375</v>
      </c>
      <c r="AF14">
        <v>140.02403906579838</v>
      </c>
      <c r="AG14" s="82">
        <f t="shared" si="5"/>
        <v>-8.3746967987963217E-5</v>
      </c>
      <c r="AH14">
        <v>2.375</v>
      </c>
      <c r="AI14">
        <v>21053.435854051397</v>
      </c>
      <c r="AJ14" t="s">
        <v>82</v>
      </c>
      <c r="AK14">
        <v>2.375</v>
      </c>
      <c r="AL14">
        <v>140.01883771027028</v>
      </c>
      <c r="AM14" s="82">
        <f t="shared" si="6"/>
        <v>9.586745285332654E-4</v>
      </c>
      <c r="AN14">
        <v>2.375</v>
      </c>
      <c r="AO14">
        <v>22721.840823440212</v>
      </c>
      <c r="AP14" t="s">
        <v>82</v>
      </c>
      <c r="AQ14">
        <v>2.375</v>
      </c>
      <c r="AR14">
        <v>140.01827101885942</v>
      </c>
      <c r="AS14" s="82">
        <f t="shared" si="7"/>
        <v>8.9399675675849721E-4</v>
      </c>
      <c r="AT14">
        <v>2.375</v>
      </c>
      <c r="AU14">
        <v>23244.671215997245</v>
      </c>
      <c r="AV14" t="s">
        <v>82</v>
      </c>
      <c r="AW14">
        <v>2.375</v>
      </c>
      <c r="AX14">
        <v>140.01872272978281</v>
      </c>
      <c r="AY14" s="82">
        <f t="shared" si="8"/>
        <v>5.8205210302730848E-4</v>
      </c>
      <c r="AZ14">
        <v>2.375</v>
      </c>
      <c r="BA14">
        <v>23380.257172793459</v>
      </c>
      <c r="BB14" t="s">
        <v>82</v>
      </c>
      <c r="BC14">
        <v>2.375</v>
      </c>
      <c r="BD14">
        <v>140.01915249511637</v>
      </c>
      <c r="BE14" s="82">
        <f t="shared" si="9"/>
        <v>2.8436018365596283E-4</v>
      </c>
      <c r="BF14">
        <v>2.375</v>
      </c>
      <c r="BG14">
        <v>23587.531118794235</v>
      </c>
      <c r="BH14" t="s">
        <v>82</v>
      </c>
      <c r="BI14">
        <v>2.375</v>
      </c>
      <c r="BJ14">
        <v>140.01912385863145</v>
      </c>
      <c r="BK14" s="82">
        <f t="shared" si="10"/>
        <v>3.3774982614431792E-4</v>
      </c>
      <c r="BL14">
        <v>2.375</v>
      </c>
      <c r="BM14">
        <v>24442.126395788502</v>
      </c>
      <c r="BN14" t="s">
        <v>82</v>
      </c>
      <c r="BO14">
        <v>2.375</v>
      </c>
      <c r="BP14">
        <v>140.01911454069588</v>
      </c>
      <c r="BQ14" s="82">
        <f t="shared" si="11"/>
        <v>3.5843797311940762E-4</v>
      </c>
      <c r="BR14">
        <v>2.375</v>
      </c>
      <c r="BS14">
        <v>25301.452582670943</v>
      </c>
      <c r="BT14" t="s">
        <v>82</v>
      </c>
      <c r="BU14">
        <v>2.375</v>
      </c>
      <c r="BV14">
        <v>140.01911805352321</v>
      </c>
      <c r="BW14" s="82">
        <f t="shared" si="12"/>
        <v>3.5943617803013694E-4</v>
      </c>
      <c r="BX14">
        <v>2.375</v>
      </c>
      <c r="BY14">
        <v>26186.558584089966</v>
      </c>
      <c r="BZ14" t="s">
        <v>82</v>
      </c>
      <c r="CA14">
        <v>2.375</v>
      </c>
      <c r="CB14">
        <v>140.01915354804322</v>
      </c>
      <c r="CC14" s="82">
        <f t="shared" si="13"/>
        <v>3.2319166990646409E-4</v>
      </c>
      <c r="CD14">
        <v>2.375</v>
      </c>
      <c r="CE14">
        <v>27035.367689752242</v>
      </c>
      <c r="CF14" t="s">
        <v>82</v>
      </c>
      <c r="CG14">
        <v>2.375</v>
      </c>
      <c r="CH14">
        <v>140.0186032818647</v>
      </c>
      <c r="CI14" s="82">
        <f t="shared" si="14"/>
        <v>6.0734304284437712E-4</v>
      </c>
      <c r="CJ14">
        <v>2.375</v>
      </c>
      <c r="CK14">
        <v>28456.715759383955</v>
      </c>
      <c r="CL14" t="s">
        <v>82</v>
      </c>
      <c r="CM14">
        <v>2.375</v>
      </c>
      <c r="CN14">
        <v>140.02740089231506</v>
      </c>
      <c r="CO14" s="82">
        <f t="shared" si="15"/>
        <v>-3.7424240798600295E-4</v>
      </c>
      <c r="CP14">
        <v>2.375</v>
      </c>
      <c r="CQ14">
        <v>29459.128993894174</v>
      </c>
      <c r="CR14" t="s">
        <v>82</v>
      </c>
      <c r="CS14">
        <v>2.375</v>
      </c>
      <c r="CT14">
        <v>139.89443415211147</v>
      </c>
      <c r="CU14" s="82">
        <f t="shared" si="16"/>
        <v>-1.6495413299367101E-2</v>
      </c>
      <c r="CV14">
        <v>2.375</v>
      </c>
      <c r="CW14">
        <v>54918.792415943572</v>
      </c>
      <c r="CX14" t="s">
        <v>82</v>
      </c>
      <c r="CY14">
        <v>2.375</v>
      </c>
      <c r="CZ14">
        <v>139.57585402293</v>
      </c>
      <c r="DA14" s="82">
        <f t="shared" si="17"/>
        <v>-4.3895584014450151E-2</v>
      </c>
      <c r="DB14">
        <v>2.375</v>
      </c>
      <c r="DC14">
        <v>95867.714963630002</v>
      </c>
      <c r="DD14" t="s">
        <v>82</v>
      </c>
      <c r="DG14" s="82">
        <f t="shared" si="18"/>
        <v>0</v>
      </c>
      <c r="DM14" s="82">
        <f t="shared" si="19"/>
        <v>0</v>
      </c>
    </row>
    <row r="15" spans="1:141" x14ac:dyDescent="0.2">
      <c r="A15">
        <v>2.625</v>
      </c>
      <c r="B15">
        <v>139.93530193754387</v>
      </c>
      <c r="C15" s="82">
        <f t="shared" si="0"/>
        <v>-1.1777905775716135E-2</v>
      </c>
      <c r="D15">
        <v>2.625</v>
      </c>
      <c r="E15">
        <v>36480.056759390034</v>
      </c>
      <c r="F15" t="s">
        <v>82</v>
      </c>
      <c r="G15">
        <v>2.625</v>
      </c>
      <c r="H15">
        <v>139.97960727002618</v>
      </c>
      <c r="I15" s="82">
        <f t="shared" si="1"/>
        <v>-8.3954728285959845E-3</v>
      </c>
      <c r="J15">
        <v>2.625</v>
      </c>
      <c r="K15">
        <v>31985.939156586257</v>
      </c>
      <c r="L15" t="s">
        <v>82</v>
      </c>
      <c r="M15">
        <v>2.625</v>
      </c>
      <c r="N15">
        <v>140.02461453625389</v>
      </c>
      <c r="O15" s="82">
        <f t="shared" si="2"/>
        <v>-4.9660491462759637E-3</v>
      </c>
      <c r="P15">
        <v>2.625</v>
      </c>
      <c r="Q15">
        <v>27450.933730836143</v>
      </c>
      <c r="R15" t="s">
        <v>82</v>
      </c>
      <c r="S15">
        <v>2.625</v>
      </c>
      <c r="T15">
        <v>140.03104762514809</v>
      </c>
      <c r="U15" s="82">
        <f t="shared" si="3"/>
        <v>-3.1817694067228786E-3</v>
      </c>
      <c r="V15">
        <v>2.625</v>
      </c>
      <c r="W15">
        <v>25082.753892949051</v>
      </c>
      <c r="X15" t="s">
        <v>82</v>
      </c>
      <c r="Y15">
        <v>2.625</v>
      </c>
      <c r="Z15">
        <v>140.02736166380751</v>
      </c>
      <c r="AA15" s="82">
        <f t="shared" si="4"/>
        <v>-1.8096977021002658E-3</v>
      </c>
      <c r="AB15">
        <v>2.625</v>
      </c>
      <c r="AC15">
        <v>23275.12814170944</v>
      </c>
      <c r="AD15" t="s">
        <v>82</v>
      </c>
      <c r="AE15">
        <v>2.625</v>
      </c>
      <c r="AF15">
        <v>140.02362445684187</v>
      </c>
      <c r="AG15" s="82">
        <f t="shared" si="5"/>
        <v>-4.1460895650402563E-4</v>
      </c>
      <c r="AH15">
        <v>2.625</v>
      </c>
      <c r="AI15">
        <v>21462.746244081391</v>
      </c>
      <c r="AJ15" t="s">
        <v>82</v>
      </c>
      <c r="AK15">
        <v>2.625</v>
      </c>
      <c r="AL15">
        <v>140.01984029040744</v>
      </c>
      <c r="AM15" s="82">
        <f t="shared" si="6"/>
        <v>1.0025801371682519E-3</v>
      </c>
      <c r="AN15">
        <v>2.625</v>
      </c>
      <c r="AO15">
        <v>22822.341381212736</v>
      </c>
      <c r="AP15" t="s">
        <v>82</v>
      </c>
      <c r="AQ15">
        <v>2.625</v>
      </c>
      <c r="AR15">
        <v>140.01920760443645</v>
      </c>
      <c r="AS15" s="82">
        <f t="shared" si="7"/>
        <v>9.3658557702269718E-4</v>
      </c>
      <c r="AT15">
        <v>2.625</v>
      </c>
      <c r="AU15">
        <v>23343.168691542152</v>
      </c>
      <c r="AV15" t="s">
        <v>82</v>
      </c>
      <c r="AW15">
        <v>2.625</v>
      </c>
      <c r="AX15">
        <v>140.0192624217195</v>
      </c>
      <c r="AY15" s="82">
        <f t="shared" si="8"/>
        <v>5.3969193669445303E-4</v>
      </c>
      <c r="AZ15">
        <v>2.625</v>
      </c>
      <c r="BA15">
        <v>23351.749184709086</v>
      </c>
      <c r="BB15" t="s">
        <v>82</v>
      </c>
      <c r="BC15">
        <v>2.625</v>
      </c>
      <c r="BD15">
        <v>140.0193134313065</v>
      </c>
      <c r="BE15" s="82">
        <f t="shared" si="9"/>
        <v>1.6093619012735871E-4</v>
      </c>
      <c r="BF15">
        <v>2.625</v>
      </c>
      <c r="BG15">
        <v>23437.803855366095</v>
      </c>
      <c r="BH15" t="s">
        <v>82</v>
      </c>
      <c r="BI15">
        <v>2.625</v>
      </c>
      <c r="BJ15">
        <v>140.01935172905596</v>
      </c>
      <c r="BK15" s="82">
        <f t="shared" si="10"/>
        <v>2.2787042451000161E-4</v>
      </c>
      <c r="BL15">
        <v>2.625</v>
      </c>
      <c r="BM15">
        <v>24312.670863769799</v>
      </c>
      <c r="BN15" t="s">
        <v>82</v>
      </c>
      <c r="BO15">
        <v>2.625</v>
      </c>
      <c r="BP15">
        <v>140.01936841871722</v>
      </c>
      <c r="BQ15" s="82">
        <f t="shared" si="11"/>
        <v>2.5387802133991499E-4</v>
      </c>
      <c r="BR15">
        <v>2.625</v>
      </c>
      <c r="BS15">
        <v>25179.966952232076</v>
      </c>
      <c r="BT15" t="s">
        <v>82</v>
      </c>
      <c r="BU15">
        <v>2.625</v>
      </c>
      <c r="BV15">
        <v>140.01937326838708</v>
      </c>
      <c r="BW15" s="82">
        <f t="shared" si="12"/>
        <v>2.5521486386992365E-4</v>
      </c>
      <c r="BX15">
        <v>2.625</v>
      </c>
      <c r="BY15">
        <v>26065.591994035953</v>
      </c>
      <c r="BZ15" t="s">
        <v>82</v>
      </c>
      <c r="CA15">
        <v>2.625</v>
      </c>
      <c r="CB15">
        <v>140.01936321771669</v>
      </c>
      <c r="CC15" s="82">
        <f t="shared" si="13"/>
        <v>2.0966967346680576E-4</v>
      </c>
      <c r="CD15">
        <v>2.625</v>
      </c>
      <c r="CE15">
        <v>26900.494948149655</v>
      </c>
      <c r="CF15" t="s">
        <v>82</v>
      </c>
      <c r="CG15">
        <v>2.625</v>
      </c>
      <c r="CH15">
        <v>140.01917839051001</v>
      </c>
      <c r="CI15" s="82">
        <f t="shared" si="14"/>
        <v>5.7510864530740946E-4</v>
      </c>
      <c r="CJ15">
        <v>2.625</v>
      </c>
      <c r="CK15">
        <v>28443.480218653043</v>
      </c>
      <c r="CL15" t="s">
        <v>82</v>
      </c>
      <c r="CM15">
        <v>2.625</v>
      </c>
      <c r="CN15">
        <v>140.02654621941332</v>
      </c>
      <c r="CO15" s="82">
        <f t="shared" si="15"/>
        <v>-8.546729017382404E-4</v>
      </c>
      <c r="CP15">
        <v>2.625</v>
      </c>
      <c r="CQ15">
        <v>30091.983845767641</v>
      </c>
      <c r="CR15" t="s">
        <v>82</v>
      </c>
      <c r="CS15">
        <v>2.625</v>
      </c>
      <c r="CT15">
        <v>139.87685649437191</v>
      </c>
      <c r="CU15" s="82">
        <f t="shared" si="16"/>
        <v>-1.7577657739565211E-2</v>
      </c>
      <c r="CV15">
        <v>2.625</v>
      </c>
      <c r="CW15">
        <v>56472.272236135279</v>
      </c>
      <c r="CX15" t="s">
        <v>82</v>
      </c>
      <c r="CY15">
        <v>2.625</v>
      </c>
      <c r="CZ15">
        <v>139.53209929885028</v>
      </c>
      <c r="DA15" s="82">
        <f t="shared" si="17"/>
        <v>-4.3754724079718699E-2</v>
      </c>
      <c r="DB15">
        <v>2.625</v>
      </c>
      <c r="DC15">
        <v>95639.733260479581</v>
      </c>
      <c r="DD15" t="s">
        <v>82</v>
      </c>
      <c r="DG15" s="82">
        <f t="shared" si="18"/>
        <v>0</v>
      </c>
      <c r="DM15" s="82">
        <f t="shared" si="19"/>
        <v>0</v>
      </c>
    </row>
    <row r="16" spans="1:141" x14ac:dyDescent="0.2">
      <c r="A16">
        <v>2.875</v>
      </c>
      <c r="B16">
        <v>139.92260516610887</v>
      </c>
      <c r="C16" s="82">
        <f t="shared" si="0"/>
        <v>-1.2696771435003029E-2</v>
      </c>
      <c r="D16">
        <v>2.875</v>
      </c>
      <c r="E16">
        <v>37775.910028767728</v>
      </c>
      <c r="F16" t="s">
        <v>82</v>
      </c>
      <c r="G16">
        <v>2.875</v>
      </c>
      <c r="H16">
        <v>139.97013377865431</v>
      </c>
      <c r="I16" s="82">
        <f t="shared" si="1"/>
        <v>-9.4734913718639291E-3</v>
      </c>
      <c r="J16">
        <v>2.875</v>
      </c>
      <c r="K16">
        <v>33515.987531948143</v>
      </c>
      <c r="L16" t="s">
        <v>82</v>
      </c>
      <c r="M16">
        <v>2.875</v>
      </c>
      <c r="N16">
        <v>140.01840820711934</v>
      </c>
      <c r="O16" s="82">
        <f t="shared" si="2"/>
        <v>-6.206329134556654E-3</v>
      </c>
      <c r="P16">
        <v>2.875</v>
      </c>
      <c r="Q16">
        <v>29219.505558950324</v>
      </c>
      <c r="R16" t="s">
        <v>82</v>
      </c>
      <c r="S16">
        <v>2.875</v>
      </c>
      <c r="T16">
        <v>140.02687763832731</v>
      </c>
      <c r="U16" s="82">
        <f t="shared" si="3"/>
        <v>-4.1699868207842883E-3</v>
      </c>
      <c r="V16">
        <v>2.875</v>
      </c>
      <c r="W16">
        <v>26474.273689740654</v>
      </c>
      <c r="X16" t="s">
        <v>82</v>
      </c>
      <c r="Y16">
        <v>2.875</v>
      </c>
      <c r="Z16">
        <v>140.02492861246063</v>
      </c>
      <c r="AA16" s="82">
        <f t="shared" si="4"/>
        <v>-2.4330513468839854E-3</v>
      </c>
      <c r="AB16">
        <v>2.875</v>
      </c>
      <c r="AC16">
        <v>24121.886102675246</v>
      </c>
      <c r="AD16" t="s">
        <v>82</v>
      </c>
      <c r="AE16">
        <v>2.875</v>
      </c>
      <c r="AF16">
        <v>140.02295743141156</v>
      </c>
      <c r="AG16" s="82">
        <f t="shared" si="5"/>
        <v>-6.670254303173806E-4</v>
      </c>
      <c r="AH16">
        <v>2.875</v>
      </c>
      <c r="AI16">
        <v>21755.533899883914</v>
      </c>
      <c r="AJ16" t="s">
        <v>82</v>
      </c>
      <c r="AK16">
        <v>2.875</v>
      </c>
      <c r="AL16">
        <v>140.02096720557452</v>
      </c>
      <c r="AM16" s="82">
        <f t="shared" si="6"/>
        <v>1.1269151670774136E-3</v>
      </c>
      <c r="AN16">
        <v>2.875</v>
      </c>
      <c r="AO16">
        <v>23042.828624128371</v>
      </c>
      <c r="AP16" t="s">
        <v>82</v>
      </c>
      <c r="AQ16">
        <v>2.875</v>
      </c>
      <c r="AR16">
        <v>140.02026715513591</v>
      </c>
      <c r="AS16" s="82">
        <f t="shared" si="7"/>
        <v>1.0595506994661719E-3</v>
      </c>
      <c r="AT16">
        <v>2.875</v>
      </c>
      <c r="AU16">
        <v>23561.574969398291</v>
      </c>
      <c r="AV16" t="s">
        <v>82</v>
      </c>
      <c r="AW16">
        <v>2.875</v>
      </c>
      <c r="AX16">
        <v>140.0198395791007</v>
      </c>
      <c r="AY16" s="82">
        <f t="shared" si="8"/>
        <v>5.7715738120123206E-4</v>
      </c>
      <c r="AZ16">
        <v>2.875</v>
      </c>
      <c r="BA16">
        <v>23442.240702671621</v>
      </c>
      <c r="BB16" t="s">
        <v>82</v>
      </c>
      <c r="BC16">
        <v>2.875</v>
      </c>
      <c r="BD16">
        <v>140.01943021193779</v>
      </c>
      <c r="BE16" s="82">
        <f t="shared" si="9"/>
        <v>1.1678063128783833E-4</v>
      </c>
      <c r="BF16">
        <v>2.875</v>
      </c>
      <c r="BG16">
        <v>23406.154133793818</v>
      </c>
      <c r="BH16" t="s">
        <v>82</v>
      </c>
      <c r="BI16">
        <v>2.875</v>
      </c>
      <c r="BJ16">
        <v>140.01954910326924</v>
      </c>
      <c r="BK16" s="82">
        <f t="shared" si="10"/>
        <v>1.9737421328613891E-4</v>
      </c>
      <c r="BL16">
        <v>2.875</v>
      </c>
      <c r="BM16">
        <v>24301.476353318376</v>
      </c>
      <c r="BN16" t="s">
        <v>82</v>
      </c>
      <c r="BO16">
        <v>2.875</v>
      </c>
      <c r="BP16">
        <v>140.0195971754496</v>
      </c>
      <c r="BQ16" s="82">
        <f t="shared" si="11"/>
        <v>2.2875673238331728E-4</v>
      </c>
      <c r="BR16">
        <v>2.875</v>
      </c>
      <c r="BS16">
        <v>25176.828467788633</v>
      </c>
      <c r="BT16" t="s">
        <v>82</v>
      </c>
      <c r="BU16">
        <v>2.875</v>
      </c>
      <c r="BV16">
        <v>140.01960371803486</v>
      </c>
      <c r="BW16" s="82">
        <f t="shared" si="12"/>
        <v>2.3044964777341193E-4</v>
      </c>
      <c r="BX16">
        <v>2.875</v>
      </c>
      <c r="BY16">
        <v>26062.99614043839</v>
      </c>
      <c r="BZ16" t="s">
        <v>82</v>
      </c>
      <c r="CA16">
        <v>2.875</v>
      </c>
      <c r="CB16">
        <v>140.01953875694792</v>
      </c>
      <c r="CC16" s="82">
        <f t="shared" si="13"/>
        <v>1.7553923123614368E-4</v>
      </c>
      <c r="CD16">
        <v>2.875</v>
      </c>
      <c r="CE16">
        <v>26883.881862359882</v>
      </c>
      <c r="CF16" t="s">
        <v>82</v>
      </c>
      <c r="CG16">
        <v>2.875</v>
      </c>
      <c r="CH16">
        <v>140.01980133667854</v>
      </c>
      <c r="CI16" s="82">
        <f t="shared" si="14"/>
        <v>6.229461685336446E-4</v>
      </c>
      <c r="CJ16">
        <v>2.875</v>
      </c>
      <c r="CK16">
        <v>28549.624447672031</v>
      </c>
      <c r="CL16" t="s">
        <v>82</v>
      </c>
      <c r="CM16">
        <v>2.875</v>
      </c>
      <c r="CN16">
        <v>140.02528851301778</v>
      </c>
      <c r="CO16" s="82">
        <f t="shared" si="15"/>
        <v>-1.2577063955347967E-3</v>
      </c>
      <c r="CP16">
        <v>2.875</v>
      </c>
      <c r="CQ16">
        <v>30610.17124615069</v>
      </c>
      <c r="CR16" t="s">
        <v>82</v>
      </c>
      <c r="CS16">
        <v>2.875</v>
      </c>
      <c r="CT16">
        <v>139.85824147993057</v>
      </c>
      <c r="CU16" s="82">
        <f t="shared" si="16"/>
        <v>-1.8615014441337507E-2</v>
      </c>
      <c r="CV16">
        <v>2.875</v>
      </c>
      <c r="CW16">
        <v>57960.382221860353</v>
      </c>
      <c r="CX16" t="s">
        <v>82</v>
      </c>
      <c r="CY16">
        <v>2.875</v>
      </c>
      <c r="CZ16">
        <v>139.48847670739994</v>
      </c>
      <c r="DA16" s="82">
        <f t="shared" si="17"/>
        <v>-4.3622591450343862E-2</v>
      </c>
      <c r="DB16">
        <v>2.875</v>
      </c>
      <c r="DC16">
        <v>95424.460491711536</v>
      </c>
      <c r="DD16" t="s">
        <v>82</v>
      </c>
      <c r="DG16" s="82">
        <f t="shared" si="18"/>
        <v>0</v>
      </c>
      <c r="DM16" s="82">
        <f t="shared" si="19"/>
        <v>0</v>
      </c>
    </row>
    <row r="17" spans="1:117" x14ac:dyDescent="0.2">
      <c r="A17">
        <v>3.125</v>
      </c>
      <c r="B17">
        <v>139.90905337768064</v>
      </c>
      <c r="C17" s="82">
        <f t="shared" si="0"/>
        <v>-1.3551788428230793E-2</v>
      </c>
      <c r="D17">
        <v>3.125</v>
      </c>
      <c r="E17">
        <v>38977.455731894028</v>
      </c>
      <c r="F17" t="s">
        <v>82</v>
      </c>
      <c r="G17">
        <v>3.125</v>
      </c>
      <c r="H17">
        <v>139.95964966519665</v>
      </c>
      <c r="I17" s="82">
        <f t="shared" si="1"/>
        <v>-1.0484113457664535E-2</v>
      </c>
      <c r="J17">
        <v>3.125</v>
      </c>
      <c r="K17">
        <v>34946.647672690728</v>
      </c>
      <c r="L17" t="s">
        <v>82</v>
      </c>
      <c r="M17">
        <v>3.125</v>
      </c>
      <c r="N17">
        <v>140.01103276662781</v>
      </c>
      <c r="O17" s="82">
        <f t="shared" si="2"/>
        <v>-7.3754404915291616E-3</v>
      </c>
      <c r="P17">
        <v>3.125</v>
      </c>
      <c r="Q17">
        <v>30883.32038657361</v>
      </c>
      <c r="R17" t="s">
        <v>82</v>
      </c>
      <c r="S17">
        <v>3.125</v>
      </c>
      <c r="T17">
        <v>140.02179303311181</v>
      </c>
      <c r="U17" s="82">
        <f t="shared" si="3"/>
        <v>-5.0846052155009147E-3</v>
      </c>
      <c r="V17">
        <v>3.125</v>
      </c>
      <c r="W17">
        <v>27757.170747351247</v>
      </c>
      <c r="X17" t="s">
        <v>82</v>
      </c>
      <c r="Y17">
        <v>3.125</v>
      </c>
      <c r="Z17">
        <v>140.0219479803911</v>
      </c>
      <c r="AA17" s="82">
        <f t="shared" si="4"/>
        <v>-2.980632069522926E-3</v>
      </c>
      <c r="AB17">
        <v>3.125</v>
      </c>
      <c r="AC17">
        <v>24856.398929926345</v>
      </c>
      <c r="AD17" t="s">
        <v>82</v>
      </c>
      <c r="AE17">
        <v>3.125</v>
      </c>
      <c r="AF17">
        <v>140.02211609182862</v>
      </c>
      <c r="AG17" s="82">
        <f t="shared" si="5"/>
        <v>-8.413395829336423E-4</v>
      </c>
      <c r="AH17">
        <v>3.125</v>
      </c>
      <c r="AI17">
        <v>21932.223865872071</v>
      </c>
      <c r="AJ17" t="s">
        <v>82</v>
      </c>
      <c r="AK17">
        <v>3.125</v>
      </c>
      <c r="AL17">
        <v>140.02229905636264</v>
      </c>
      <c r="AM17" s="82">
        <f t="shared" si="6"/>
        <v>1.3318507881194819E-3</v>
      </c>
      <c r="AN17">
        <v>3.125</v>
      </c>
      <c r="AO17">
        <v>23383.63810438889</v>
      </c>
      <c r="AP17" t="s">
        <v>82</v>
      </c>
      <c r="AQ17">
        <v>3.125</v>
      </c>
      <c r="AR17">
        <v>140.02153022176392</v>
      </c>
      <c r="AS17" s="82">
        <f t="shared" si="7"/>
        <v>1.2630666280131209E-3</v>
      </c>
      <c r="AT17">
        <v>3.125</v>
      </c>
      <c r="AU17">
        <v>23900.233186710069</v>
      </c>
      <c r="AV17" t="s">
        <v>82</v>
      </c>
      <c r="AW17">
        <v>3.125</v>
      </c>
      <c r="AX17">
        <v>140.02053408150377</v>
      </c>
      <c r="AY17" s="82">
        <f t="shared" si="8"/>
        <v>6.9450240306423439E-4</v>
      </c>
      <c r="AZ17">
        <v>3.125</v>
      </c>
      <c r="BA17">
        <v>23651.89912998195</v>
      </c>
      <c r="BB17" t="s">
        <v>82</v>
      </c>
      <c r="BC17">
        <v>3.125</v>
      </c>
      <c r="BD17">
        <v>140.01958203711419</v>
      </c>
      <c r="BE17" s="82">
        <f t="shared" si="9"/>
        <v>1.5182517640255355E-4</v>
      </c>
      <c r="BF17">
        <v>3.125</v>
      </c>
      <c r="BG17">
        <v>23492.5710536529</v>
      </c>
      <c r="BH17" t="s">
        <v>82</v>
      </c>
      <c r="BI17">
        <v>3.125</v>
      </c>
      <c r="BJ17">
        <v>140.01979531532794</v>
      </c>
      <c r="BK17" s="82">
        <f t="shared" si="10"/>
        <v>2.4621205869834739E-4</v>
      </c>
      <c r="BL17">
        <v>3.125</v>
      </c>
      <c r="BM17">
        <v>24408.563406026915</v>
      </c>
      <c r="BN17" t="s">
        <v>82</v>
      </c>
      <c r="BO17">
        <v>3.125</v>
      </c>
      <c r="BP17">
        <v>140.01988020748445</v>
      </c>
      <c r="BQ17" s="82">
        <f t="shared" si="11"/>
        <v>2.8303203484369988E-4</v>
      </c>
      <c r="BR17">
        <v>3.125</v>
      </c>
      <c r="BS17">
        <v>25292.071393539391</v>
      </c>
      <c r="BT17" t="s">
        <v>82</v>
      </c>
      <c r="BU17">
        <v>3.125</v>
      </c>
      <c r="BV17">
        <v>140.01988881562937</v>
      </c>
      <c r="BW17" s="82">
        <f t="shared" si="12"/>
        <v>2.8509759451367245E-4</v>
      </c>
      <c r="BX17">
        <v>3.125</v>
      </c>
      <c r="BY17">
        <v>26178.807472264569</v>
      </c>
      <c r="BZ17" t="s">
        <v>82</v>
      </c>
      <c r="CA17">
        <v>3.125</v>
      </c>
      <c r="CB17">
        <v>140.01975949653638</v>
      </c>
      <c r="CC17" s="82">
        <f t="shared" si="13"/>
        <v>2.2073958845680863E-4</v>
      </c>
      <c r="CD17">
        <v>3.125</v>
      </c>
      <c r="CE17">
        <v>26985.541975856824</v>
      </c>
      <c r="CF17" t="s">
        <v>82</v>
      </c>
      <c r="CG17">
        <v>3.125</v>
      </c>
      <c r="CH17">
        <v>140.02055227750301</v>
      </c>
      <c r="CI17" s="82">
        <f t="shared" si="14"/>
        <v>7.509408244743554E-4</v>
      </c>
      <c r="CJ17">
        <v>3.125</v>
      </c>
      <c r="CK17">
        <v>28775.382875917148</v>
      </c>
      <c r="CL17" t="s">
        <v>82</v>
      </c>
      <c r="CM17">
        <v>3.125</v>
      </c>
      <c r="CN17">
        <v>140.02370441316401</v>
      </c>
      <c r="CO17" s="82">
        <f t="shared" si="15"/>
        <v>-1.5840998537726136E-3</v>
      </c>
      <c r="CP17">
        <v>3.125</v>
      </c>
      <c r="CQ17">
        <v>31014.703890911311</v>
      </c>
      <c r="CR17" t="s">
        <v>82</v>
      </c>
      <c r="CS17">
        <v>3.125</v>
      </c>
      <c r="CT17">
        <v>139.83863203386883</v>
      </c>
      <c r="CU17" s="82">
        <f t="shared" si="16"/>
        <v>-1.960944606173598E-2</v>
      </c>
      <c r="CV17">
        <v>3.125</v>
      </c>
      <c r="CW17">
        <v>59385.976746501248</v>
      </c>
      <c r="CX17" t="s">
        <v>82</v>
      </c>
      <c r="CY17">
        <v>3.125</v>
      </c>
      <c r="CZ17">
        <v>139.44497793107763</v>
      </c>
      <c r="DA17" s="82">
        <f t="shared" si="17"/>
        <v>-4.3498776322309141E-2</v>
      </c>
      <c r="DB17">
        <v>3.125</v>
      </c>
      <c r="DC17">
        <v>95221.299334262265</v>
      </c>
      <c r="DD17" t="s">
        <v>82</v>
      </c>
      <c r="DG17" s="82">
        <f t="shared" si="18"/>
        <v>0</v>
      </c>
      <c r="DM17" s="82">
        <f t="shared" si="19"/>
        <v>0</v>
      </c>
    </row>
    <row r="18" spans="1:117" x14ac:dyDescent="0.2">
      <c r="A18">
        <v>3.375</v>
      </c>
      <c r="B18">
        <v>139.8947094331661</v>
      </c>
      <c r="C18" s="82">
        <f t="shared" si="0"/>
        <v>-1.4343944514536133E-2</v>
      </c>
      <c r="D18">
        <v>3.375</v>
      </c>
      <c r="E18">
        <v>40086.097918349056</v>
      </c>
      <c r="F18" t="s">
        <v>82</v>
      </c>
      <c r="G18">
        <v>3.375</v>
      </c>
      <c r="H18">
        <v>139.94822111204559</v>
      </c>
      <c r="I18" s="82">
        <f t="shared" si="1"/>
        <v>-1.142855315106317E-2</v>
      </c>
      <c r="J18">
        <v>3.375</v>
      </c>
      <c r="K18">
        <v>36279.647384944408</v>
      </c>
      <c r="L18" t="s">
        <v>82</v>
      </c>
      <c r="M18">
        <v>3.375</v>
      </c>
      <c r="N18">
        <v>140.00255792850868</v>
      </c>
      <c r="O18" s="82">
        <f t="shared" si="2"/>
        <v>-8.4748381191275257E-3</v>
      </c>
      <c r="P18">
        <v>3.375</v>
      </c>
      <c r="Q18">
        <v>32444.440501867779</v>
      </c>
      <c r="R18" t="s">
        <v>82</v>
      </c>
      <c r="S18">
        <v>3.375</v>
      </c>
      <c r="T18">
        <v>140.0158662391157</v>
      </c>
      <c r="U18" s="82">
        <f t="shared" si="3"/>
        <v>-5.9267939961102911E-3</v>
      </c>
      <c r="V18">
        <v>3.375</v>
      </c>
      <c r="W18">
        <v>28933.087800863548</v>
      </c>
      <c r="X18" t="s">
        <v>82</v>
      </c>
      <c r="Y18">
        <v>3.375</v>
      </c>
      <c r="Z18">
        <v>140.01849482166315</v>
      </c>
      <c r="AA18" s="82">
        <f t="shared" si="4"/>
        <v>-3.4531587279502673E-3</v>
      </c>
      <c r="AB18">
        <v>3.375</v>
      </c>
      <c r="AC18">
        <v>25479.648156845051</v>
      </c>
      <c r="AD18" t="s">
        <v>82</v>
      </c>
      <c r="AE18">
        <v>3.375</v>
      </c>
      <c r="AF18">
        <v>140.02117830494583</v>
      </c>
      <c r="AG18" s="82">
        <f t="shared" si="5"/>
        <v>-9.3778688278689515E-4</v>
      </c>
      <c r="AH18">
        <v>3.375</v>
      </c>
      <c r="AI18">
        <v>21993.083843652079</v>
      </c>
      <c r="AJ18" t="s">
        <v>82</v>
      </c>
      <c r="AK18">
        <v>3.375</v>
      </c>
      <c r="AL18">
        <v>140.02391672688213</v>
      </c>
      <c r="AM18" s="82">
        <f t="shared" si="6"/>
        <v>1.6176705194936858E-3</v>
      </c>
      <c r="AN18">
        <v>3.375</v>
      </c>
      <c r="AO18">
        <v>23845.271333416134</v>
      </c>
      <c r="AP18" t="s">
        <v>82</v>
      </c>
      <c r="AQ18">
        <v>3.375</v>
      </c>
      <c r="AR18">
        <v>140.02307764522766</v>
      </c>
      <c r="AS18" s="82">
        <f t="shared" si="7"/>
        <v>1.5474234637338213E-3</v>
      </c>
      <c r="AT18">
        <v>3.375</v>
      </c>
      <c r="AU18">
        <v>24359.657316280442</v>
      </c>
      <c r="AV18" t="s">
        <v>82</v>
      </c>
      <c r="AW18">
        <v>3.375</v>
      </c>
      <c r="AX18">
        <v>140.0214259810279</v>
      </c>
      <c r="AY18" s="82">
        <f t="shared" si="8"/>
        <v>8.9189952413448736E-4</v>
      </c>
      <c r="AZ18">
        <v>3.375</v>
      </c>
      <c r="BA18">
        <v>23981.06684700293</v>
      </c>
      <c r="BB18" t="s">
        <v>82</v>
      </c>
      <c r="BC18">
        <v>3.375</v>
      </c>
      <c r="BD18">
        <v>140.01984816029082</v>
      </c>
      <c r="BE18" s="82">
        <f t="shared" si="9"/>
        <v>2.6612317662966234E-4</v>
      </c>
      <c r="BF18">
        <v>3.375</v>
      </c>
      <c r="BG18">
        <v>23697.223204596259</v>
      </c>
      <c r="BH18" t="s">
        <v>82</v>
      </c>
      <c r="BI18">
        <v>3.375</v>
      </c>
      <c r="BJ18">
        <v>140.02016977599874</v>
      </c>
      <c r="BK18" s="82">
        <f t="shared" si="10"/>
        <v>3.7446067079827117E-4</v>
      </c>
      <c r="BL18">
        <v>3.375</v>
      </c>
      <c r="BM18">
        <v>24634.138372367062</v>
      </c>
      <c r="BN18" t="s">
        <v>82</v>
      </c>
      <c r="BO18">
        <v>3.375</v>
      </c>
      <c r="BP18">
        <v>140.02029699958709</v>
      </c>
      <c r="BQ18" s="82">
        <f t="shared" si="11"/>
        <v>4.1679210264078392E-4</v>
      </c>
      <c r="BR18">
        <v>3.375</v>
      </c>
      <c r="BS18">
        <v>25525.922497971325</v>
      </c>
      <c r="BT18" t="s">
        <v>82</v>
      </c>
      <c r="BU18">
        <v>3.375</v>
      </c>
      <c r="BV18">
        <v>140.02030806630987</v>
      </c>
      <c r="BW18" s="82">
        <f t="shared" si="12"/>
        <v>4.1925068049408765E-4</v>
      </c>
      <c r="BX18">
        <v>3.375</v>
      </c>
      <c r="BY18">
        <v>26413.261997061592</v>
      </c>
      <c r="BZ18" t="s">
        <v>82</v>
      </c>
      <c r="CA18">
        <v>3.375</v>
      </c>
      <c r="CB18">
        <v>140.02010484612774</v>
      </c>
      <c r="CC18" s="82">
        <f t="shared" si="13"/>
        <v>3.4534959135612553E-4</v>
      </c>
      <c r="CD18">
        <v>3.375</v>
      </c>
      <c r="CE18">
        <v>27205.695413251789</v>
      </c>
      <c r="CF18" t="s">
        <v>82</v>
      </c>
      <c r="CG18">
        <v>3.375</v>
      </c>
      <c r="CH18">
        <v>140.02151160092711</v>
      </c>
      <c r="CI18" s="82">
        <f t="shared" si="14"/>
        <v>9.593234240981019E-4</v>
      </c>
      <c r="CJ18">
        <v>3.375</v>
      </c>
      <c r="CK18">
        <v>29121.205856365123</v>
      </c>
      <c r="CL18" t="s">
        <v>82</v>
      </c>
      <c r="CM18">
        <v>3.375</v>
      </c>
      <c r="CN18">
        <v>140.02186994924332</v>
      </c>
      <c r="CO18" s="82">
        <f t="shared" si="15"/>
        <v>-1.8344639206873126E-3</v>
      </c>
      <c r="CP18">
        <v>3.375</v>
      </c>
      <c r="CQ18">
        <v>31306.379377895846</v>
      </c>
      <c r="CR18" t="s">
        <v>82</v>
      </c>
      <c r="CS18">
        <v>3.375</v>
      </c>
      <c r="CT18">
        <v>139.81806920779306</v>
      </c>
      <c r="CU18" s="82">
        <f t="shared" si="16"/>
        <v>-2.0562826075774865E-2</v>
      </c>
      <c r="CV18">
        <v>3.375</v>
      </c>
      <c r="CW18">
        <v>60751.781128550167</v>
      </c>
      <c r="CX18" t="s">
        <v>82</v>
      </c>
      <c r="CY18">
        <v>3.375</v>
      </c>
      <c r="CZ18">
        <v>139.40159504466143</v>
      </c>
      <c r="DA18" s="82">
        <f t="shared" si="17"/>
        <v>-4.3382886416196698E-2</v>
      </c>
      <c r="DB18">
        <v>3.375</v>
      </c>
      <c r="DC18">
        <v>95029.67792684694</v>
      </c>
      <c r="DD18" t="s">
        <v>82</v>
      </c>
      <c r="DG18" s="82">
        <f t="shared" si="18"/>
        <v>0</v>
      </c>
      <c r="DM18" s="82">
        <f t="shared" si="19"/>
        <v>0</v>
      </c>
    </row>
    <row r="19" spans="1:117" x14ac:dyDescent="0.2">
      <c r="A19">
        <v>3.625</v>
      </c>
      <c r="B19">
        <v>139.87963528551961</v>
      </c>
      <c r="C19" s="82">
        <f t="shared" si="0"/>
        <v>-1.507414764648729E-2</v>
      </c>
      <c r="D19">
        <v>3.625</v>
      </c>
      <c r="E19">
        <v>41103.124594174427</v>
      </c>
      <c r="F19" t="s">
        <v>82</v>
      </c>
      <c r="G19">
        <v>3.625</v>
      </c>
      <c r="H19">
        <v>139.93591317396832</v>
      </c>
      <c r="I19" s="82">
        <f t="shared" si="1"/>
        <v>-1.2307938077270819E-2</v>
      </c>
      <c r="J19">
        <v>3.625</v>
      </c>
      <c r="K19">
        <v>37516.591018000225</v>
      </c>
      <c r="L19" t="s">
        <v>82</v>
      </c>
      <c r="M19">
        <v>3.625</v>
      </c>
      <c r="N19">
        <v>139.99305204521639</v>
      </c>
      <c r="O19" s="82">
        <f t="shared" si="2"/>
        <v>-9.5058832922916281E-3</v>
      </c>
      <c r="P19">
        <v>3.625</v>
      </c>
      <c r="Q19">
        <v>33904.799993015287</v>
      </c>
      <c r="R19" t="s">
        <v>82</v>
      </c>
      <c r="S19">
        <v>3.625</v>
      </c>
      <c r="T19">
        <v>140.00916861452393</v>
      </c>
      <c r="U19" s="82">
        <f t="shared" si="3"/>
        <v>-6.6976245917658161E-3</v>
      </c>
      <c r="V19">
        <v>3.625</v>
      </c>
      <c r="W19">
        <v>30003.53026114362</v>
      </c>
      <c r="X19" t="s">
        <v>82</v>
      </c>
      <c r="Y19">
        <v>3.625</v>
      </c>
      <c r="Z19">
        <v>140.01464357370079</v>
      </c>
      <c r="AA19" s="82">
        <f t="shared" si="4"/>
        <v>-3.8512479623591389E-3</v>
      </c>
      <c r="AB19">
        <v>3.625</v>
      </c>
      <c r="AC19">
        <v>25992.467511077652</v>
      </c>
      <c r="AD19" t="s">
        <v>82</v>
      </c>
      <c r="AE19">
        <v>3.625</v>
      </c>
      <c r="AF19">
        <v>140.02022180903663</v>
      </c>
      <c r="AG19" s="82">
        <f t="shared" si="5"/>
        <v>-9.5649590920743321E-4</v>
      </c>
      <c r="AH19">
        <v>3.625</v>
      </c>
      <c r="AI19">
        <v>21938.224949540578</v>
      </c>
      <c r="AJ19" t="s">
        <v>82</v>
      </c>
      <c r="AK19">
        <v>3.625</v>
      </c>
      <c r="AL19">
        <v>140.02590149699196</v>
      </c>
      <c r="AM19" s="82">
        <f t="shared" si="6"/>
        <v>1.9847701098285597E-3</v>
      </c>
      <c r="AN19">
        <v>3.625</v>
      </c>
      <c r="AO19">
        <v>24428.395909932638</v>
      </c>
      <c r="AP19" t="s">
        <v>82</v>
      </c>
      <c r="AQ19">
        <v>3.625</v>
      </c>
      <c r="AR19">
        <v>140.02499067203769</v>
      </c>
      <c r="AS19" s="82">
        <f t="shared" si="7"/>
        <v>1.9130268100298053E-3</v>
      </c>
      <c r="AT19">
        <v>3.625</v>
      </c>
      <c r="AU19">
        <v>24940.532361869937</v>
      </c>
      <c r="AV19" t="s">
        <v>82</v>
      </c>
      <c r="AW19">
        <v>3.625</v>
      </c>
      <c r="AX19">
        <v>140.02259562059558</v>
      </c>
      <c r="AY19" s="82">
        <f t="shared" si="8"/>
        <v>1.1696395676779048E-3</v>
      </c>
      <c r="AZ19">
        <v>3.625</v>
      </c>
      <c r="BA19">
        <v>24430.2611401342</v>
      </c>
      <c r="BB19" t="s">
        <v>82</v>
      </c>
      <c r="BC19">
        <v>3.625</v>
      </c>
      <c r="BD19">
        <v>140.0203080095271</v>
      </c>
      <c r="BE19" s="82">
        <f t="shared" si="9"/>
        <v>4.59849236278842E-4</v>
      </c>
      <c r="BF19">
        <v>3.625</v>
      </c>
      <c r="BG19">
        <v>24020.458218131138</v>
      </c>
      <c r="BH19" t="s">
        <v>82</v>
      </c>
      <c r="BI19">
        <v>3.625</v>
      </c>
      <c r="BJ19">
        <v>140.0207520981802</v>
      </c>
      <c r="BK19" s="82">
        <f t="shared" si="10"/>
        <v>5.8232218145803927E-4</v>
      </c>
      <c r="BL19">
        <v>3.625</v>
      </c>
      <c r="BM19">
        <v>24978.593030547207</v>
      </c>
      <c r="BN19" t="s">
        <v>82</v>
      </c>
      <c r="BO19">
        <v>3.625</v>
      </c>
      <c r="BP19">
        <v>140.02092725457109</v>
      </c>
      <c r="BQ19" s="82">
        <f t="shared" si="11"/>
        <v>6.3025498400293145E-4</v>
      </c>
      <c r="BR19">
        <v>3.625</v>
      </c>
      <c r="BS19">
        <v>25878.800677511132</v>
      </c>
      <c r="BT19" t="s">
        <v>82</v>
      </c>
      <c r="BU19">
        <v>3.625</v>
      </c>
      <c r="BV19">
        <v>140.02094120173356</v>
      </c>
      <c r="BW19" s="82">
        <f t="shared" si="12"/>
        <v>6.3313542369769493E-4</v>
      </c>
      <c r="BX19">
        <v>3.625</v>
      </c>
      <c r="BY19">
        <v>26766.79492547056</v>
      </c>
      <c r="BZ19" t="s">
        <v>82</v>
      </c>
      <c r="CA19">
        <v>3.625</v>
      </c>
      <c r="CB19">
        <v>140.02065443341667</v>
      </c>
      <c r="CC19" s="82">
        <f t="shared" si="13"/>
        <v>5.4958728892984254E-4</v>
      </c>
      <c r="CD19">
        <v>3.625</v>
      </c>
      <c r="CE19">
        <v>27544.768542974856</v>
      </c>
      <c r="CF19" t="s">
        <v>82</v>
      </c>
      <c r="CG19">
        <v>3.625</v>
      </c>
      <c r="CH19">
        <v>140.02276007121912</v>
      </c>
      <c r="CI19" s="82">
        <f t="shared" si="14"/>
        <v>1.2484702920119162E-3</v>
      </c>
      <c r="CJ19">
        <v>3.625</v>
      </c>
      <c r="CK19">
        <v>29587.759747726068</v>
      </c>
      <c r="CL19" t="s">
        <v>82</v>
      </c>
      <c r="CM19">
        <v>3.625</v>
      </c>
      <c r="CN19">
        <v>140.01986068470657</v>
      </c>
      <c r="CO19" s="82">
        <f t="shared" si="15"/>
        <v>-2.0092645367526529E-3</v>
      </c>
      <c r="CP19">
        <v>3.625</v>
      </c>
      <c r="CQ19">
        <v>31485.782133992518</v>
      </c>
      <c r="CR19" t="s">
        <v>82</v>
      </c>
      <c r="CS19">
        <v>3.625</v>
      </c>
      <c r="CT19">
        <v>139.79659226483912</v>
      </c>
      <c r="CU19" s="82">
        <f t="shared" si="16"/>
        <v>-2.147694295393876E-2</v>
      </c>
      <c r="CV19">
        <v>3.625</v>
      </c>
      <c r="CW19">
        <v>62060.39745092018</v>
      </c>
      <c r="CX19" t="s">
        <v>82</v>
      </c>
      <c r="CY19">
        <v>3.625</v>
      </c>
      <c r="CZ19">
        <v>139.35832049852976</v>
      </c>
      <c r="DA19" s="82">
        <f t="shared" si="17"/>
        <v>-4.3274546131669922E-2</v>
      </c>
      <c r="DB19">
        <v>3.625</v>
      </c>
      <c r="DC19">
        <v>94849.048661518391</v>
      </c>
      <c r="DD19" t="s">
        <v>82</v>
      </c>
      <c r="DG19" s="82">
        <f t="shared" si="18"/>
        <v>0</v>
      </c>
      <c r="DM19" s="82">
        <f t="shared" si="19"/>
        <v>0</v>
      </c>
    </row>
    <row r="20" spans="1:117" x14ac:dyDescent="0.2">
      <c r="A20">
        <v>3.875</v>
      </c>
      <c r="B20">
        <v>139.86389205802442</v>
      </c>
      <c r="C20" s="82">
        <f t="shared" si="0"/>
        <v>-1.5743227495192968E-2</v>
      </c>
      <c r="D20">
        <v>3.875</v>
      </c>
      <c r="E20">
        <v>42029.709516408147</v>
      </c>
      <c r="F20" t="s">
        <v>82</v>
      </c>
      <c r="G20">
        <v>3.875</v>
      </c>
      <c r="H20">
        <v>139.92278986269315</v>
      </c>
      <c r="I20" s="82">
        <f t="shared" si="1"/>
        <v>-1.3123311275165861E-2</v>
      </c>
      <c r="J20">
        <v>3.875</v>
      </c>
      <c r="K20">
        <v>38658.961058984984</v>
      </c>
      <c r="L20" t="s">
        <v>82</v>
      </c>
      <c r="M20">
        <v>3.875</v>
      </c>
      <c r="N20">
        <v>139.98258219939603</v>
      </c>
      <c r="O20" s="82">
        <f t="shared" si="2"/>
        <v>-1.046984582035293E-2</v>
      </c>
      <c r="P20">
        <v>3.875</v>
      </c>
      <c r="Q20">
        <v>35266.204884829873</v>
      </c>
      <c r="R20" t="s">
        <v>82</v>
      </c>
      <c r="S20">
        <v>3.875</v>
      </c>
      <c r="T20">
        <v>140.00177054204616</v>
      </c>
      <c r="U20" s="82">
        <f t="shared" si="3"/>
        <v>-7.3980724777698015E-3</v>
      </c>
      <c r="V20">
        <v>3.875</v>
      </c>
      <c r="W20">
        <v>30969.867063715526</v>
      </c>
      <c r="X20" t="s">
        <v>82</v>
      </c>
      <c r="Y20">
        <v>3.875</v>
      </c>
      <c r="Z20">
        <v>140.01046815815866</v>
      </c>
      <c r="AA20" s="82">
        <f t="shared" si="4"/>
        <v>-4.1754155421358519E-3</v>
      </c>
      <c r="AB20">
        <v>3.875</v>
      </c>
      <c r="AC20">
        <v>26395.543947991118</v>
      </c>
      <c r="AD20" t="s">
        <v>82</v>
      </c>
      <c r="AE20">
        <v>3.875</v>
      </c>
      <c r="AF20">
        <v>140.01932431998563</v>
      </c>
      <c r="AG20" s="82">
        <f t="shared" si="5"/>
        <v>-8.9748905099895637E-4</v>
      </c>
      <c r="AH20">
        <v>3.875</v>
      </c>
      <c r="AI20">
        <v>21767.602618455519</v>
      </c>
      <c r="AJ20" t="s">
        <v>82</v>
      </c>
      <c r="AK20">
        <v>3.875</v>
      </c>
      <c r="AL20">
        <v>140.02833515455507</v>
      </c>
      <c r="AM20" s="82">
        <f t="shared" si="6"/>
        <v>2.4336575631025426E-3</v>
      </c>
      <c r="AN20">
        <v>3.875</v>
      </c>
      <c r="AO20">
        <v>25133.845995900469</v>
      </c>
      <c r="AP20" t="s">
        <v>82</v>
      </c>
      <c r="AQ20">
        <v>3.875</v>
      </c>
      <c r="AR20">
        <v>140.02735106983693</v>
      </c>
      <c r="AS20" s="82">
        <f t="shared" si="7"/>
        <v>2.3603977992365799E-3</v>
      </c>
      <c r="AT20">
        <v>3.875</v>
      </c>
      <c r="AU20">
        <v>25643.714826474403</v>
      </c>
      <c r="AV20" t="s">
        <v>82</v>
      </c>
      <c r="AW20">
        <v>3.875</v>
      </c>
      <c r="AX20">
        <v>140.02412375214911</v>
      </c>
      <c r="AY20" s="82">
        <f t="shared" si="8"/>
        <v>1.5281315535276008E-3</v>
      </c>
      <c r="AZ20">
        <v>3.875</v>
      </c>
      <c r="BA20">
        <v>25000.174340255791</v>
      </c>
      <c r="BB20" t="s">
        <v>82</v>
      </c>
      <c r="BC20">
        <v>3.875</v>
      </c>
      <c r="BD20">
        <v>140.02104130848883</v>
      </c>
      <c r="BE20" s="82">
        <f t="shared" si="9"/>
        <v>7.3329896173390807E-4</v>
      </c>
      <c r="BF20">
        <v>3.875</v>
      </c>
      <c r="BG20">
        <v>24462.802676382784</v>
      </c>
      <c r="BH20" t="s">
        <v>82</v>
      </c>
      <c r="BI20">
        <v>3.875</v>
      </c>
      <c r="BJ20">
        <v>140.02162222214514</v>
      </c>
      <c r="BK20" s="82">
        <f t="shared" si="10"/>
        <v>8.7012396494401401E-4</v>
      </c>
      <c r="BL20">
        <v>3.875</v>
      </c>
      <c r="BM20">
        <v>25442.504592402598</v>
      </c>
      <c r="BN20" t="s">
        <v>82</v>
      </c>
      <c r="BO20">
        <v>3.875</v>
      </c>
      <c r="BP20">
        <v>140.02185102297065</v>
      </c>
      <c r="BQ20" s="82">
        <f t="shared" si="11"/>
        <v>9.2376839955932155E-4</v>
      </c>
      <c r="BR20">
        <v>3.875</v>
      </c>
      <c r="BS20">
        <v>26351.317031086186</v>
      </c>
      <c r="BT20" t="s">
        <v>82</v>
      </c>
      <c r="BU20">
        <v>3.875</v>
      </c>
      <c r="BV20">
        <v>140.02186831446676</v>
      </c>
      <c r="BW20" s="82">
        <f t="shared" si="12"/>
        <v>9.2711273319423526E-4</v>
      </c>
      <c r="BX20">
        <v>3.875</v>
      </c>
      <c r="BY20">
        <v>27240.040805593104</v>
      </c>
      <c r="BZ20" t="s">
        <v>82</v>
      </c>
      <c r="CA20">
        <v>3.875</v>
      </c>
      <c r="CB20">
        <v>140.02148824320076</v>
      </c>
      <c r="CC20" s="82">
        <f t="shared" si="13"/>
        <v>8.3380978409763884E-4</v>
      </c>
      <c r="CD20">
        <v>3.875</v>
      </c>
      <c r="CE20">
        <v>28003.394043657601</v>
      </c>
      <c r="CF20" t="s">
        <v>82</v>
      </c>
      <c r="CG20">
        <v>3.875</v>
      </c>
      <c r="CH20">
        <v>140.02437897461252</v>
      </c>
      <c r="CI20" s="82">
        <f t="shared" si="14"/>
        <v>1.6189033933926567E-3</v>
      </c>
      <c r="CJ20">
        <v>3.875</v>
      </c>
      <c r="CK20">
        <v>30175.927500885391</v>
      </c>
      <c r="CL20" t="s">
        <v>82</v>
      </c>
      <c r="CM20">
        <v>3.875</v>
      </c>
      <c r="CN20">
        <v>140.01775186035923</v>
      </c>
      <c r="CO20" s="82">
        <f t="shared" si="15"/>
        <v>-2.1088243473457169E-3</v>
      </c>
      <c r="CP20">
        <v>3.875</v>
      </c>
      <c r="CQ20">
        <v>31553.28511709856</v>
      </c>
      <c r="CR20" t="s">
        <v>82</v>
      </c>
      <c r="CS20">
        <v>3.875</v>
      </c>
      <c r="CT20">
        <v>139.77423876070958</v>
      </c>
      <c r="CU20" s="82">
        <f t="shared" si="16"/>
        <v>-2.2353504129540624E-2</v>
      </c>
      <c r="CV20">
        <v>3.875</v>
      </c>
      <c r="CW20">
        <v>63314.310210679716</v>
      </c>
      <c r="CX20" t="s">
        <v>82</v>
      </c>
      <c r="CY20">
        <v>3.875</v>
      </c>
      <c r="CZ20">
        <v>139.31514710278486</v>
      </c>
      <c r="DA20" s="82">
        <f t="shared" si="17"/>
        <v>-4.31733957449012E-2</v>
      </c>
      <c r="DB20">
        <v>3.875</v>
      </c>
      <c r="DC20">
        <v>94678.887000272109</v>
      </c>
      <c r="DD20" t="s">
        <v>82</v>
      </c>
      <c r="DG20" s="82">
        <f t="shared" si="18"/>
        <v>0</v>
      </c>
      <c r="DM20" s="82">
        <f t="shared" si="19"/>
        <v>0</v>
      </c>
    </row>
    <row r="21" spans="1:117" x14ac:dyDescent="0.2">
      <c r="A21">
        <v>4.125</v>
      </c>
      <c r="B21">
        <v>139.84754012117364</v>
      </c>
      <c r="C21" s="82">
        <f t="shared" si="0"/>
        <v>-1.6351936850782067E-2</v>
      </c>
      <c r="D21">
        <v>4.125</v>
      </c>
      <c r="E21">
        <v>42866.913900143511</v>
      </c>
      <c r="F21" t="s">
        <v>82</v>
      </c>
      <c r="G21">
        <v>4.125</v>
      </c>
      <c r="H21">
        <v>139.90891422980252</v>
      </c>
      <c r="I21" s="82">
        <f t="shared" si="1"/>
        <v>-1.3875632890631096E-2</v>
      </c>
      <c r="J21">
        <v>4.125</v>
      </c>
      <c r="K21">
        <v>39708.119822039691</v>
      </c>
      <c r="L21" t="s">
        <v>82</v>
      </c>
      <c r="M21">
        <v>4.125</v>
      </c>
      <c r="N21">
        <v>139.97121429328348</v>
      </c>
      <c r="O21" s="82">
        <f t="shared" si="2"/>
        <v>-1.1367906112553783E-2</v>
      </c>
      <c r="P21">
        <v>4.125</v>
      </c>
      <c r="Q21">
        <v>36530.3341253092</v>
      </c>
      <c r="R21" t="s">
        <v>82</v>
      </c>
      <c r="S21">
        <v>4.125</v>
      </c>
      <c r="T21">
        <v>139.99374152291725</v>
      </c>
      <c r="U21" s="82">
        <f t="shared" si="3"/>
        <v>-8.0290191289122959E-3</v>
      </c>
      <c r="V21">
        <v>4.125</v>
      </c>
      <c r="W21">
        <v>31833.332111477641</v>
      </c>
      <c r="X21" t="s">
        <v>82</v>
      </c>
      <c r="Y21">
        <v>4.125</v>
      </c>
      <c r="Z21">
        <v>140.00604208065758</v>
      </c>
      <c r="AA21" s="82">
        <f t="shared" si="4"/>
        <v>-4.426077501079817E-3</v>
      </c>
      <c r="AB21">
        <v>4.125</v>
      </c>
      <c r="AC21">
        <v>26689.418615490453</v>
      </c>
      <c r="AD21" t="s">
        <v>82</v>
      </c>
      <c r="AE21">
        <v>4.125</v>
      </c>
      <c r="AF21">
        <v>140.01856363694961</v>
      </c>
      <c r="AG21" s="82">
        <f t="shared" si="5"/>
        <v>-7.6068303602028209E-4</v>
      </c>
      <c r="AH21">
        <v>4.125</v>
      </c>
      <c r="AI21">
        <v>21481.01728821508</v>
      </c>
      <c r="AJ21" t="s">
        <v>82</v>
      </c>
      <c r="AK21">
        <v>4.125</v>
      </c>
      <c r="AL21">
        <v>140.03130010784494</v>
      </c>
      <c r="AM21" s="82">
        <f t="shared" si="6"/>
        <v>2.9649532898758935E-3</v>
      </c>
      <c r="AN21">
        <v>4.125</v>
      </c>
      <c r="AO21">
        <v>25962.623030220682</v>
      </c>
      <c r="AP21" t="s">
        <v>82</v>
      </c>
      <c r="AQ21">
        <v>4.125</v>
      </c>
      <c r="AR21">
        <v>140.03024124316383</v>
      </c>
      <c r="AS21" s="82">
        <f t="shared" si="7"/>
        <v>2.8901733269037777E-3</v>
      </c>
      <c r="AT21">
        <v>4.125</v>
      </c>
      <c r="AU21">
        <v>26470.233499731177</v>
      </c>
      <c r="AV21" t="s">
        <v>82</v>
      </c>
      <c r="AW21">
        <v>4.125</v>
      </c>
      <c r="AX21">
        <v>140.02609165492248</v>
      </c>
      <c r="AY21" s="82">
        <f t="shared" si="8"/>
        <v>1.9679027733729981E-3</v>
      </c>
      <c r="AZ21">
        <v>4.125</v>
      </c>
      <c r="BA21">
        <v>25691.674427687667</v>
      </c>
      <c r="BB21" t="s">
        <v>82</v>
      </c>
      <c r="BC21">
        <v>4.125</v>
      </c>
      <c r="BD21">
        <v>140.02212819736383</v>
      </c>
      <c r="BE21" s="82">
        <f t="shared" si="9"/>
        <v>1.0868888749939742E-3</v>
      </c>
      <c r="BF21">
        <v>4.125</v>
      </c>
      <c r="BG21">
        <v>25024.96240049179</v>
      </c>
      <c r="BH21" t="s">
        <v>82</v>
      </c>
      <c r="BI21">
        <v>4.125</v>
      </c>
      <c r="BJ21">
        <v>140.02286054075799</v>
      </c>
      <c r="BK21" s="82">
        <f t="shared" si="10"/>
        <v>1.2383186128488433E-3</v>
      </c>
      <c r="BL21">
        <v>4.125</v>
      </c>
      <c r="BM21">
        <v>26026.636034452127</v>
      </c>
      <c r="BN21" t="s">
        <v>82</v>
      </c>
      <c r="BO21">
        <v>4.125</v>
      </c>
      <c r="BP21">
        <v>140.02314883279504</v>
      </c>
      <c r="BQ21" s="82">
        <f t="shared" si="11"/>
        <v>1.2978098243934255E-3</v>
      </c>
      <c r="BR21">
        <v>4.125</v>
      </c>
      <c r="BS21">
        <v>26944.275285426967</v>
      </c>
      <c r="BT21" t="s">
        <v>82</v>
      </c>
      <c r="BU21">
        <v>4.125</v>
      </c>
      <c r="BV21">
        <v>140.02316999248535</v>
      </c>
      <c r="BW21" s="82">
        <f t="shared" si="12"/>
        <v>1.3016780185921561E-3</v>
      </c>
      <c r="BX21">
        <v>4.125</v>
      </c>
      <c r="BY21">
        <v>27833.833935428625</v>
      </c>
      <c r="BZ21" t="s">
        <v>82</v>
      </c>
      <c r="CA21">
        <v>4.125</v>
      </c>
      <c r="CB21">
        <v>140.02268675656393</v>
      </c>
      <c r="CC21" s="82">
        <f t="shared" si="13"/>
        <v>1.198513363164011E-3</v>
      </c>
      <c r="CD21">
        <v>4.125</v>
      </c>
      <c r="CE21">
        <v>28582.411398249824</v>
      </c>
      <c r="CF21" t="s">
        <v>82</v>
      </c>
      <c r="CG21">
        <v>4.125</v>
      </c>
      <c r="CH21">
        <v>140.02645026539687</v>
      </c>
      <c r="CI21" s="82">
        <f t="shared" si="14"/>
        <v>2.0712907843574158E-3</v>
      </c>
      <c r="CJ21">
        <v>4.125</v>
      </c>
      <c r="CK21">
        <v>30886.809560350433</v>
      </c>
      <c r="CL21" t="s">
        <v>82</v>
      </c>
      <c r="CM21">
        <v>4.125</v>
      </c>
      <c r="CN21">
        <v>140.01561853657273</v>
      </c>
      <c r="CO21" s="82">
        <f t="shared" si="15"/>
        <v>-2.1333237864951116E-3</v>
      </c>
      <c r="CP21">
        <v>4.125</v>
      </c>
      <c r="CQ21">
        <v>31509.051077504777</v>
      </c>
      <c r="CR21" t="s">
        <v>82</v>
      </c>
      <c r="CS21">
        <v>4.125</v>
      </c>
      <c r="CT21">
        <v>139.75104462096638</v>
      </c>
      <c r="CU21" s="82">
        <f t="shared" si="16"/>
        <v>-2.3194139743196729E-2</v>
      </c>
      <c r="CV21">
        <v>4.125</v>
      </c>
      <c r="CW21">
        <v>64515.891624369709</v>
      </c>
      <c r="CX21" t="s">
        <v>82</v>
      </c>
      <c r="CY21">
        <v>4.125</v>
      </c>
      <c r="CZ21">
        <v>139.27206801216454</v>
      </c>
      <c r="DA21" s="82">
        <f t="shared" si="17"/>
        <v>-4.3079090620324223E-2</v>
      </c>
      <c r="DB21">
        <v>4.125</v>
      </c>
      <c r="DC21">
        <v>94518.690320756024</v>
      </c>
      <c r="DD21" t="s">
        <v>82</v>
      </c>
      <c r="DG21" s="82">
        <f t="shared" si="18"/>
        <v>0</v>
      </c>
      <c r="DM21" s="82">
        <f t="shared" si="19"/>
        <v>0</v>
      </c>
    </row>
    <row r="22" spans="1:117" x14ac:dyDescent="0.2">
      <c r="A22">
        <v>4.375</v>
      </c>
      <c r="B22">
        <v>139.83063916824321</v>
      </c>
      <c r="C22" s="82">
        <f t="shared" si="0"/>
        <v>-1.6900952930427593E-2</v>
      </c>
      <c r="D22">
        <v>4.375</v>
      </c>
      <c r="E22">
        <v>43615.688078602645</v>
      </c>
      <c r="F22" t="s">
        <v>82</v>
      </c>
      <c r="G22">
        <v>4.375</v>
      </c>
      <c r="H22">
        <v>139.89434844800695</v>
      </c>
      <c r="I22" s="82">
        <f t="shared" si="1"/>
        <v>-1.4565781795568E-2</v>
      </c>
      <c r="J22">
        <v>4.375</v>
      </c>
      <c r="K22">
        <v>40665.311280024311</v>
      </c>
      <c r="L22" t="s">
        <v>82</v>
      </c>
      <c r="M22">
        <v>4.375</v>
      </c>
      <c r="N22">
        <v>139.95901313619669</v>
      </c>
      <c r="O22" s="82">
        <f t="shared" si="2"/>
        <v>-1.2201157086792591E-2</v>
      </c>
      <c r="P22">
        <v>4.375</v>
      </c>
      <c r="Q22">
        <v>37698.741066899536</v>
      </c>
      <c r="R22" t="s">
        <v>82</v>
      </c>
      <c r="S22">
        <v>4.375</v>
      </c>
      <c r="T22">
        <v>139.98515026902243</v>
      </c>
      <c r="U22" s="82">
        <f t="shared" si="3"/>
        <v>-8.5912538948207384E-3</v>
      </c>
      <c r="V22">
        <v>4.375</v>
      </c>
      <c r="W22">
        <v>32595.026099328712</v>
      </c>
      <c r="X22" t="s">
        <v>82</v>
      </c>
      <c r="Y22">
        <v>4.375</v>
      </c>
      <c r="Z22">
        <v>140.00143852946647</v>
      </c>
      <c r="AA22" s="82">
        <f t="shared" si="4"/>
        <v>-4.6035511911100002E-3</v>
      </c>
      <c r="AB22">
        <v>4.375</v>
      </c>
      <c r="AC22">
        <v>26874.48796242521</v>
      </c>
      <c r="AD22" t="s">
        <v>82</v>
      </c>
      <c r="AE22">
        <v>4.375</v>
      </c>
      <c r="AF22">
        <v>140.01801774758991</v>
      </c>
      <c r="AG22" s="82">
        <f t="shared" si="5"/>
        <v>-5.4588935969945851E-4</v>
      </c>
      <c r="AH22">
        <v>4.375</v>
      </c>
      <c r="AI22">
        <v>21078.115225786038</v>
      </c>
      <c r="AJ22" t="s">
        <v>82</v>
      </c>
      <c r="AK22">
        <v>4.375</v>
      </c>
      <c r="AL22">
        <v>140.0348794983183</v>
      </c>
      <c r="AM22" s="82">
        <f t="shared" si="6"/>
        <v>3.5793904733623094E-3</v>
      </c>
      <c r="AN22">
        <v>4.375</v>
      </c>
      <c r="AO22">
        <v>26915.896572862777</v>
      </c>
      <c r="AP22" t="s">
        <v>82</v>
      </c>
      <c r="AQ22">
        <v>4.375</v>
      </c>
      <c r="AR22">
        <v>140.03374434959105</v>
      </c>
      <c r="AS22" s="82">
        <f t="shared" si="7"/>
        <v>3.5031064272175172E-3</v>
      </c>
      <c r="AT22">
        <v>4.375</v>
      </c>
      <c r="AU22">
        <v>27421.290328402531</v>
      </c>
      <c r="AV22" t="s">
        <v>82</v>
      </c>
      <c r="AW22">
        <v>4.375</v>
      </c>
      <c r="AX22">
        <v>140.0285812539656</v>
      </c>
      <c r="AY22" s="82">
        <f t="shared" si="8"/>
        <v>2.4895990431161863E-3</v>
      </c>
      <c r="AZ22">
        <v>4.375</v>
      </c>
      <c r="BA22">
        <v>26505.805761203748</v>
      </c>
      <c r="BB22" t="s">
        <v>82</v>
      </c>
      <c r="BC22">
        <v>4.375</v>
      </c>
      <c r="BD22">
        <v>140.02364935392592</v>
      </c>
      <c r="BE22" s="82">
        <f t="shared" si="9"/>
        <v>1.521156562091619E-3</v>
      </c>
      <c r="BF22">
        <v>4.375</v>
      </c>
      <c r="BG22">
        <v>25707.822958896835</v>
      </c>
      <c r="BH22" t="s">
        <v>82</v>
      </c>
      <c r="BI22">
        <v>4.375</v>
      </c>
      <c r="BJ22">
        <v>140.0245480248976</v>
      </c>
      <c r="BK22" s="82">
        <f t="shared" si="10"/>
        <v>1.6874841396088414E-3</v>
      </c>
      <c r="BL22">
        <v>4.375</v>
      </c>
      <c r="BM22">
        <v>26731.936751110079</v>
      </c>
      <c r="BN22" t="s">
        <v>82</v>
      </c>
      <c r="BO22">
        <v>4.375</v>
      </c>
      <c r="BP22">
        <v>140.02490181951987</v>
      </c>
      <c r="BQ22" s="82">
        <f t="shared" si="11"/>
        <v>1.7529867248242681E-3</v>
      </c>
      <c r="BR22">
        <v>4.375</v>
      </c>
      <c r="BS22">
        <v>27658.672469539404</v>
      </c>
      <c r="BT22" t="s">
        <v>82</v>
      </c>
      <c r="BU22">
        <v>4.375</v>
      </c>
      <c r="BV22">
        <v>140.02492745396583</v>
      </c>
      <c r="BW22" s="82">
        <f t="shared" si="12"/>
        <v>1.7574614804800603E-3</v>
      </c>
      <c r="BX22">
        <v>4.375</v>
      </c>
      <c r="BY22">
        <v>28549.209185987591</v>
      </c>
      <c r="BZ22" t="s">
        <v>82</v>
      </c>
      <c r="CA22">
        <v>4.375</v>
      </c>
      <c r="CB22">
        <v>140.02433109036849</v>
      </c>
      <c r="CC22" s="82">
        <f t="shared" si="13"/>
        <v>1.6443338045633027E-3</v>
      </c>
      <c r="CD22">
        <v>4.375</v>
      </c>
      <c r="CE22">
        <v>29282.867717192035</v>
      </c>
      <c r="CF22" t="s">
        <v>82</v>
      </c>
      <c r="CG22">
        <v>4.375</v>
      </c>
      <c r="CH22">
        <v>140.02905671264281</v>
      </c>
      <c r="CI22" s="82">
        <f t="shared" si="14"/>
        <v>2.6064472459381705E-3</v>
      </c>
      <c r="CJ22">
        <v>4.375</v>
      </c>
      <c r="CK22">
        <v>31721.725264139568</v>
      </c>
      <c r="CL22" t="s">
        <v>82</v>
      </c>
      <c r="CM22">
        <v>4.375</v>
      </c>
      <c r="CN22">
        <v>140.01353573465565</v>
      </c>
      <c r="CO22" s="82">
        <f t="shared" si="15"/>
        <v>-2.0828019170835432E-3</v>
      </c>
      <c r="CP22">
        <v>4.375</v>
      </c>
      <c r="CQ22">
        <v>31353.033613364212</v>
      </c>
      <c r="CR22" t="s">
        <v>82</v>
      </c>
      <c r="CS22">
        <v>4.375</v>
      </c>
      <c r="CT22">
        <v>139.72704421478846</v>
      </c>
      <c r="CU22" s="82">
        <f t="shared" si="16"/>
        <v>-2.4000406177918876E-2</v>
      </c>
      <c r="CV22">
        <v>4.375</v>
      </c>
      <c r="CW22">
        <v>65667.406704740511</v>
      </c>
      <c r="CX22" t="s">
        <v>82</v>
      </c>
      <c r="CY22">
        <v>4.375</v>
      </c>
      <c r="CZ22">
        <v>139.22907671167539</v>
      </c>
      <c r="DA22" s="82">
        <f t="shared" si="17"/>
        <v>-4.2991300489148898E-2</v>
      </c>
      <c r="DB22">
        <v>4.375</v>
      </c>
      <c r="DC22">
        <v>94367.976885086595</v>
      </c>
      <c r="DD22" t="s">
        <v>82</v>
      </c>
      <c r="DG22" s="82">
        <f t="shared" si="18"/>
        <v>0</v>
      </c>
      <c r="DM22" s="82">
        <f t="shared" si="19"/>
        <v>0</v>
      </c>
    </row>
    <row r="23" spans="1:117" x14ac:dyDescent="0.2">
      <c r="A23">
        <v>4.625</v>
      </c>
      <c r="B23">
        <v>139.81324828967212</v>
      </c>
      <c r="C23" s="82">
        <f t="shared" si="0"/>
        <v>-1.7390878571092117E-2</v>
      </c>
      <c r="D23">
        <v>4.625</v>
      </c>
      <c r="E23">
        <v>44276.873031849915</v>
      </c>
      <c r="F23" t="s">
        <v>82</v>
      </c>
      <c r="G23">
        <v>4.625</v>
      </c>
      <c r="H23">
        <v>139.87915389095741</v>
      </c>
      <c r="I23" s="82">
        <f t="shared" si="1"/>
        <v>-1.5194557049539981E-2</v>
      </c>
      <c r="J23">
        <v>4.625</v>
      </c>
      <c r="K23">
        <v>41531.662753407887</v>
      </c>
      <c r="L23" t="s">
        <v>82</v>
      </c>
      <c r="M23">
        <v>4.625</v>
      </c>
      <c r="N23">
        <v>139.94604253021348</v>
      </c>
      <c r="O23" s="82">
        <f t="shared" si="2"/>
        <v>-1.297060598321309E-2</v>
      </c>
      <c r="P23">
        <v>4.625</v>
      </c>
      <c r="Q23">
        <v>38772.855150538278</v>
      </c>
      <c r="R23" t="s">
        <v>82</v>
      </c>
      <c r="S23">
        <v>4.625</v>
      </c>
      <c r="T23">
        <v>139.97606479312384</v>
      </c>
      <c r="U23" s="82">
        <f t="shared" si="3"/>
        <v>-9.0854758985869921E-3</v>
      </c>
      <c r="V23">
        <v>4.625</v>
      </c>
      <c r="W23">
        <v>33255.915877390798</v>
      </c>
      <c r="X23" t="s">
        <v>82</v>
      </c>
      <c r="Y23">
        <v>4.625</v>
      </c>
      <c r="Z23">
        <v>139.99673047328062</v>
      </c>
      <c r="AA23" s="82">
        <f t="shared" si="4"/>
        <v>-4.7080561858479086E-3</v>
      </c>
      <c r="AB23">
        <v>4.625</v>
      </c>
      <c r="AC23">
        <v>26951.000460472282</v>
      </c>
      <c r="AD23" t="s">
        <v>82</v>
      </c>
      <c r="AE23">
        <v>4.625</v>
      </c>
      <c r="AF23">
        <v>140.0177649330623</v>
      </c>
      <c r="AG23" s="82">
        <f t="shared" si="5"/>
        <v>-2.5281452761305445E-4</v>
      </c>
      <c r="AH23">
        <v>4.625</v>
      </c>
      <c r="AI23">
        <v>20558.385292449639</v>
      </c>
      <c r="AJ23" t="s">
        <v>82</v>
      </c>
      <c r="AK23">
        <v>4.625</v>
      </c>
      <c r="AL23">
        <v>140.03915731381784</v>
      </c>
      <c r="AM23" s="82">
        <f t="shared" si="6"/>
        <v>4.277815499534654E-3</v>
      </c>
      <c r="AN23">
        <v>4.625</v>
      </c>
      <c r="AO23">
        <v>27995.008201425273</v>
      </c>
      <c r="AP23" t="s">
        <v>82</v>
      </c>
      <c r="AQ23">
        <v>4.625</v>
      </c>
      <c r="AR23">
        <v>140.03794441638243</v>
      </c>
      <c r="AS23" s="82">
        <f t="shared" si="7"/>
        <v>4.2000667913839607E-3</v>
      </c>
      <c r="AT23">
        <v>4.625</v>
      </c>
      <c r="AU23">
        <v>28498.264472781604</v>
      </c>
      <c r="AV23" t="s">
        <v>82</v>
      </c>
      <c r="AW23">
        <v>4.625</v>
      </c>
      <c r="AX23">
        <v>140.03167523909624</v>
      </c>
      <c r="AY23" s="82">
        <f t="shared" si="8"/>
        <v>3.09398513064707E-3</v>
      </c>
      <c r="AZ23">
        <v>4.625</v>
      </c>
      <c r="BA23">
        <v>27443.793084508772</v>
      </c>
      <c r="BB23" t="s">
        <v>82</v>
      </c>
      <c r="BC23">
        <v>4.625</v>
      </c>
      <c r="BD23">
        <v>140.02568611485648</v>
      </c>
      <c r="BE23" s="82">
        <f t="shared" si="9"/>
        <v>2.0367609305651513E-3</v>
      </c>
      <c r="BF23">
        <v>4.625</v>
      </c>
      <c r="BG23">
        <v>26512.453473034926</v>
      </c>
      <c r="BH23" t="s">
        <v>82</v>
      </c>
      <c r="BI23">
        <v>4.625</v>
      </c>
      <c r="BJ23">
        <v>140.02676634924211</v>
      </c>
      <c r="BK23" s="82">
        <f t="shared" si="10"/>
        <v>2.2183243445113021E-3</v>
      </c>
      <c r="BL23">
        <v>4.625</v>
      </c>
      <c r="BM23">
        <v>27559.54668562398</v>
      </c>
      <c r="BN23" t="s">
        <v>82</v>
      </c>
      <c r="BO23">
        <v>4.625</v>
      </c>
      <c r="BP23">
        <v>140.02719185653132</v>
      </c>
      <c r="BQ23" s="82">
        <f t="shared" si="11"/>
        <v>2.2900370114484758E-3</v>
      </c>
      <c r="BR23">
        <v>4.625</v>
      </c>
      <c r="BS23">
        <v>28495.703474738762</v>
      </c>
      <c r="BT23" t="s">
        <v>82</v>
      </c>
      <c r="BU23">
        <v>4.625</v>
      </c>
      <c r="BV23">
        <v>140.0272226826045</v>
      </c>
      <c r="BW23" s="82">
        <f t="shared" si="12"/>
        <v>2.2952286386725973E-3</v>
      </c>
      <c r="BX23">
        <v>4.625</v>
      </c>
      <c r="BY23">
        <v>29387.406863840042</v>
      </c>
      <c r="BZ23" t="s">
        <v>82</v>
      </c>
      <c r="CA23">
        <v>4.625</v>
      </c>
      <c r="CB23">
        <v>140.02650313736081</v>
      </c>
      <c r="CC23" s="82">
        <f t="shared" si="13"/>
        <v>2.1720469923138808E-3</v>
      </c>
      <c r="CD23">
        <v>4.625</v>
      </c>
      <c r="CE23">
        <v>30106.022838913199</v>
      </c>
      <c r="CF23" t="s">
        <v>82</v>
      </c>
      <c r="CG23">
        <v>4.625</v>
      </c>
      <c r="CH23">
        <v>140.03228204790193</v>
      </c>
      <c r="CI23" s="82">
        <f t="shared" si="14"/>
        <v>3.225335259116946E-3</v>
      </c>
      <c r="CJ23">
        <v>4.625</v>
      </c>
      <c r="CK23">
        <v>32682.21904554245</v>
      </c>
      <c r="CL23" t="s">
        <v>82</v>
      </c>
      <c r="CM23">
        <v>4.625</v>
      </c>
      <c r="CN23">
        <v>140.01157857765773</v>
      </c>
      <c r="CO23" s="82">
        <f t="shared" si="15"/>
        <v>-1.9571569979177639E-3</v>
      </c>
      <c r="CP23">
        <v>4.625</v>
      </c>
      <c r="CQ23">
        <v>31084.968771581513</v>
      </c>
      <c r="CR23" t="s">
        <v>82</v>
      </c>
      <c r="CS23">
        <v>4.625</v>
      </c>
      <c r="CT23">
        <v>139.70227042536851</v>
      </c>
      <c r="CU23" s="82">
        <f t="shared" si="16"/>
        <v>-2.4773789419953118E-2</v>
      </c>
      <c r="CV23">
        <v>4.625</v>
      </c>
      <c r="CW23">
        <v>66771.018084371171</v>
      </c>
      <c r="CX23" t="s">
        <v>82</v>
      </c>
      <c r="CY23">
        <v>4.625</v>
      </c>
      <c r="CZ23">
        <v>139.18616700295394</v>
      </c>
      <c r="DA23" s="82">
        <f t="shared" si="17"/>
        <v>-4.2909708721452944E-2</v>
      </c>
      <c r="DB23">
        <v>4.625</v>
      </c>
      <c r="DC23">
        <v>94226.284753353655</v>
      </c>
      <c r="DD23" t="s">
        <v>82</v>
      </c>
      <c r="DG23" s="82">
        <f t="shared" si="18"/>
        <v>0</v>
      </c>
      <c r="DM23" s="82">
        <f t="shared" si="19"/>
        <v>0</v>
      </c>
    </row>
    <row r="24" spans="1:117" x14ac:dyDescent="0.2">
      <c r="A24">
        <v>4.875</v>
      </c>
      <c r="B24">
        <v>139.79542604629776</v>
      </c>
      <c r="C24" s="82">
        <f t="shared" si="0"/>
        <v>-1.782224337435423E-2</v>
      </c>
      <c r="D24">
        <v>4.875</v>
      </c>
      <c r="E24">
        <v>44851.201929495212</v>
      </c>
      <c r="F24" t="s">
        <v>82</v>
      </c>
      <c r="G24">
        <v>4.875</v>
      </c>
      <c r="H24">
        <v>139.86339121163292</v>
      </c>
      <c r="I24" s="82">
        <f t="shared" si="1"/>
        <v>-1.5762679324495821E-2</v>
      </c>
      <c r="J24">
        <v>4.875</v>
      </c>
      <c r="K24">
        <v>42308.186725615902</v>
      </c>
      <c r="L24" t="s">
        <v>82</v>
      </c>
      <c r="M24">
        <v>4.875</v>
      </c>
      <c r="N24">
        <v>139.93236535415437</v>
      </c>
      <c r="O24" s="82">
        <f t="shared" si="2"/>
        <v>-1.3677176059104568E-2</v>
      </c>
      <c r="P24">
        <v>4.875</v>
      </c>
      <c r="Q24">
        <v>39753.983750304724</v>
      </c>
      <c r="R24" t="s">
        <v>82</v>
      </c>
      <c r="S24">
        <v>4.875</v>
      </c>
      <c r="T24">
        <v>139.96655250101765</v>
      </c>
      <c r="U24" s="82">
        <f t="shared" si="3"/>
        <v>-9.5122921061943089E-3</v>
      </c>
      <c r="V24">
        <v>4.875</v>
      </c>
      <c r="W24">
        <v>33817.583915292875</v>
      </c>
      <c r="X24" t="s">
        <v>82</v>
      </c>
      <c r="Y24">
        <v>4.875</v>
      </c>
      <c r="Z24">
        <v>139.9919907639094</v>
      </c>
      <c r="AA24" s="82">
        <f t="shared" si="4"/>
        <v>-4.739709371222034E-3</v>
      </c>
      <c r="AB24">
        <v>4.875</v>
      </c>
      <c r="AC24">
        <v>26920.446173764576</v>
      </c>
      <c r="AD24" t="s">
        <v>82</v>
      </c>
      <c r="AE24">
        <v>4.875</v>
      </c>
      <c r="AF24">
        <v>140.01788387827091</v>
      </c>
      <c r="AG24" s="82">
        <f t="shared" si="5"/>
        <v>1.1894520861233104E-4</v>
      </c>
      <c r="AH24">
        <v>4.875</v>
      </c>
      <c r="AI24">
        <v>20945.461424200039</v>
      </c>
      <c r="AJ24" t="s">
        <v>82</v>
      </c>
      <c r="AK24">
        <v>4.875</v>
      </c>
      <c r="AL24">
        <v>140.04421850615776</v>
      </c>
      <c r="AM24" s="82">
        <f t="shared" si="6"/>
        <v>5.0611923399230818E-3</v>
      </c>
      <c r="AN24">
        <v>4.875</v>
      </c>
      <c r="AO24">
        <v>29199.821199544091</v>
      </c>
      <c r="AP24" t="s">
        <v>82</v>
      </c>
      <c r="AQ24">
        <v>4.875</v>
      </c>
      <c r="AR24">
        <v>140.04292646160687</v>
      </c>
      <c r="AS24" s="82">
        <f t="shared" si="7"/>
        <v>4.9820452244375701E-3</v>
      </c>
      <c r="AT24">
        <v>4.875</v>
      </c>
      <c r="AU24">
        <v>29701.139531664248</v>
      </c>
      <c r="AV24" t="s">
        <v>82</v>
      </c>
      <c r="AW24">
        <v>4.875</v>
      </c>
      <c r="AX24">
        <v>140.03545718839118</v>
      </c>
      <c r="AY24" s="82">
        <f t="shared" si="8"/>
        <v>3.781949294932474E-3</v>
      </c>
      <c r="AZ24">
        <v>4.875</v>
      </c>
      <c r="BA24">
        <v>28505.590408973469</v>
      </c>
      <c r="BB24" t="s">
        <v>82</v>
      </c>
      <c r="BC24">
        <v>4.875</v>
      </c>
      <c r="BD24">
        <v>140.02832060142694</v>
      </c>
      <c r="BE24" s="82">
        <f t="shared" si="9"/>
        <v>2.634486570457284E-3</v>
      </c>
      <c r="BF24">
        <v>4.875</v>
      </c>
      <c r="BG24">
        <v>27438.858777961199</v>
      </c>
      <c r="BH24" t="s">
        <v>82</v>
      </c>
      <c r="BI24">
        <v>4.875</v>
      </c>
      <c r="BJ24">
        <v>140.02959802287796</v>
      </c>
      <c r="BK24" s="82">
        <f t="shared" si="10"/>
        <v>2.831673635853349E-3</v>
      </c>
      <c r="BL24">
        <v>4.875</v>
      </c>
      <c r="BM24">
        <v>28509.446010660071</v>
      </c>
      <c r="BN24" t="s">
        <v>82</v>
      </c>
      <c r="BO24">
        <v>4.875</v>
      </c>
      <c r="BP24">
        <v>140.03010169082216</v>
      </c>
      <c r="BQ24" s="82">
        <f t="shared" si="11"/>
        <v>2.9098342908469021E-3</v>
      </c>
      <c r="BR24">
        <v>4.875</v>
      </c>
      <c r="BS24">
        <v>29455.339971112837</v>
      </c>
      <c r="BT24" t="s">
        <v>82</v>
      </c>
      <c r="BU24">
        <v>4.875</v>
      </c>
      <c r="BV24">
        <v>140.03013856863225</v>
      </c>
      <c r="BW24" s="82">
        <f t="shared" si="12"/>
        <v>2.9158860277505028E-3</v>
      </c>
      <c r="BX24">
        <v>4.875</v>
      </c>
      <c r="BY24">
        <v>30348.399428105422</v>
      </c>
      <c r="BZ24" t="s">
        <v>82</v>
      </c>
      <c r="CA24">
        <v>4.875</v>
      </c>
      <c r="CB24">
        <v>140.02928571221901</v>
      </c>
      <c r="CC24" s="82">
        <f t="shared" si="13"/>
        <v>2.7825748582017695E-3</v>
      </c>
      <c r="CD24">
        <v>4.875</v>
      </c>
      <c r="CE24">
        <v>31051.868125920104</v>
      </c>
      <c r="CF24" t="s">
        <v>82</v>
      </c>
      <c r="CG24">
        <v>4.875</v>
      </c>
      <c r="CH24">
        <v>140.03621112006437</v>
      </c>
      <c r="CI24" s="82">
        <f t="shared" si="14"/>
        <v>3.9290721624354319E-3</v>
      </c>
      <c r="CJ24">
        <v>4.875</v>
      </c>
      <c r="CK24">
        <v>33768.261620387093</v>
      </c>
      <c r="CL24" t="s">
        <v>82</v>
      </c>
      <c r="CM24">
        <v>4.875</v>
      </c>
      <c r="CN24">
        <v>140.00982244301591</v>
      </c>
      <c r="CO24" s="82">
        <f t="shared" si="15"/>
        <v>-1.756134641823337E-3</v>
      </c>
      <c r="CP24">
        <v>4.875</v>
      </c>
      <c r="CQ24">
        <v>30707.09071390294</v>
      </c>
      <c r="CR24" t="s">
        <v>82</v>
      </c>
      <c r="CS24">
        <v>4.875</v>
      </c>
      <c r="CT24">
        <v>139.67675471717712</v>
      </c>
      <c r="CU24" s="82">
        <f t="shared" si="16"/>
        <v>-2.551570819139215E-2</v>
      </c>
      <c r="CV24">
        <v>4.875</v>
      </c>
      <c r="CW24">
        <v>67828.79051019394</v>
      </c>
      <c r="CX24" t="s">
        <v>82</v>
      </c>
      <c r="CY24">
        <v>4.875</v>
      </c>
      <c r="CZ24">
        <v>139.14333299130072</v>
      </c>
      <c r="DA24" s="82">
        <f t="shared" si="17"/>
        <v>-4.2834011653212656E-2</v>
      </c>
      <c r="DB24">
        <v>4.875</v>
      </c>
      <c r="DC24">
        <v>94093.170818574959</v>
      </c>
      <c r="DD24" t="s">
        <v>82</v>
      </c>
      <c r="DG24" s="82">
        <f t="shared" si="18"/>
        <v>0</v>
      </c>
      <c r="DM24" s="82">
        <f t="shared" si="19"/>
        <v>0</v>
      </c>
    </row>
    <row r="25" spans="1:117" x14ac:dyDescent="0.2">
      <c r="A25">
        <v>5.125</v>
      </c>
      <c r="B25">
        <v>139.77723054159972</v>
      </c>
      <c r="C25" s="82">
        <f t="shared" si="0"/>
        <v>-1.8195504698041987E-2</v>
      </c>
      <c r="D25">
        <v>5.125</v>
      </c>
      <c r="E25">
        <v>45339.301398766103</v>
      </c>
      <c r="F25" t="s">
        <v>82</v>
      </c>
      <c r="G25">
        <v>5.125</v>
      </c>
      <c r="H25">
        <v>139.84712041946642</v>
      </c>
      <c r="I25" s="82">
        <f t="shared" si="1"/>
        <v>-1.627079216649463E-2</v>
      </c>
      <c r="J25">
        <v>5.125</v>
      </c>
      <c r="K25">
        <v>42995.782392440131</v>
      </c>
      <c r="L25" t="s">
        <v>82</v>
      </c>
      <c r="M25">
        <v>5.125</v>
      </c>
      <c r="N25">
        <v>139.91804364599858</v>
      </c>
      <c r="O25" s="82">
        <f t="shared" si="2"/>
        <v>-1.4321708155790702E-2</v>
      </c>
      <c r="P25">
        <v>5.125</v>
      </c>
      <c r="Q25">
        <v>40643.313961706743</v>
      </c>
      <c r="R25" t="s">
        <v>82</v>
      </c>
      <c r="S25">
        <v>5.125</v>
      </c>
      <c r="T25">
        <v>139.95667927761087</v>
      </c>
      <c r="U25" s="82">
        <f t="shared" si="3"/>
        <v>-9.8732234067711033E-3</v>
      </c>
      <c r="V25">
        <v>5.125</v>
      </c>
      <c r="W25">
        <v>34665.987120656064</v>
      </c>
      <c r="X25" t="s">
        <v>82</v>
      </c>
      <c r="Y25">
        <v>5.125</v>
      </c>
      <c r="Z25">
        <v>139.98729036735051</v>
      </c>
      <c r="AA25" s="82">
        <f t="shared" si="4"/>
        <v>-4.7003965588885421E-3</v>
      </c>
      <c r="AB25">
        <v>5.125</v>
      </c>
      <c r="AC25">
        <v>27663.425374971248</v>
      </c>
      <c r="AD25" t="s">
        <v>82</v>
      </c>
      <c r="AE25">
        <v>5.125</v>
      </c>
      <c r="AF25">
        <v>140.01845150486935</v>
      </c>
      <c r="AG25" s="82">
        <f t="shared" si="5"/>
        <v>5.6762659843911933E-4</v>
      </c>
      <c r="AH25">
        <v>5.125</v>
      </c>
      <c r="AI25">
        <v>20559.18475473101</v>
      </c>
      <c r="AJ25" t="s">
        <v>82</v>
      </c>
      <c r="AK25">
        <v>5.125</v>
      </c>
      <c r="AL25">
        <v>140.05014690639862</v>
      </c>
      <c r="AM25" s="82">
        <f t="shared" si="6"/>
        <v>5.9284002408617198E-3</v>
      </c>
      <c r="AN25">
        <v>5.125</v>
      </c>
      <c r="AO25">
        <v>28640.48089315027</v>
      </c>
      <c r="AP25" t="s">
        <v>82</v>
      </c>
      <c r="AQ25">
        <v>5.125</v>
      </c>
      <c r="AR25">
        <v>140.04877451593268</v>
      </c>
      <c r="AS25" s="82">
        <f t="shared" si="7"/>
        <v>5.848054325809926E-3</v>
      </c>
      <c r="AT25">
        <v>5.125</v>
      </c>
      <c r="AU25">
        <v>29321.431618494793</v>
      </c>
      <c r="AV25" t="s">
        <v>82</v>
      </c>
      <c r="AW25">
        <v>5.125</v>
      </c>
      <c r="AX25">
        <v>140.04000975299928</v>
      </c>
      <c r="AY25" s="82">
        <f t="shared" si="8"/>
        <v>4.5525646081046034E-3</v>
      </c>
      <c r="AZ25">
        <v>5.125</v>
      </c>
      <c r="BA25">
        <v>28324.147531051352</v>
      </c>
      <c r="BB25" t="s">
        <v>82</v>
      </c>
      <c r="BC25">
        <v>5.125</v>
      </c>
      <c r="BD25">
        <v>140.03163417659317</v>
      </c>
      <c r="BE25" s="82">
        <f t="shared" si="9"/>
        <v>3.3135751662314306E-3</v>
      </c>
      <c r="BF25">
        <v>5.125</v>
      </c>
      <c r="BG25">
        <v>27447.133304847648</v>
      </c>
      <c r="BH25" t="s">
        <v>82</v>
      </c>
      <c r="BI25">
        <v>5.125</v>
      </c>
      <c r="BJ25">
        <v>140.03312471396717</v>
      </c>
      <c r="BK25" s="82">
        <f t="shared" si="10"/>
        <v>3.5266910892062242E-3</v>
      </c>
      <c r="BL25">
        <v>5.125</v>
      </c>
      <c r="BM25">
        <v>28473.894445300881</v>
      </c>
      <c r="BN25" t="s">
        <v>82</v>
      </c>
      <c r="BO25">
        <v>5.125</v>
      </c>
      <c r="BP25">
        <v>140.03371317777953</v>
      </c>
      <c r="BQ25" s="82">
        <f t="shared" si="11"/>
        <v>3.6114869573680153E-3</v>
      </c>
      <c r="BR25">
        <v>5.125</v>
      </c>
      <c r="BS25">
        <v>29402.738287163302</v>
      </c>
      <c r="BT25" t="s">
        <v>82</v>
      </c>
      <c r="BU25">
        <v>5.125</v>
      </c>
      <c r="BV25">
        <v>140.03375707847891</v>
      </c>
      <c r="BW25" s="82">
        <f t="shared" si="12"/>
        <v>3.6185098466603449E-3</v>
      </c>
      <c r="BX25">
        <v>5.125</v>
      </c>
      <c r="BY25">
        <v>30294.569185580058</v>
      </c>
      <c r="BZ25" t="s">
        <v>82</v>
      </c>
      <c r="CA25">
        <v>5.125</v>
      </c>
      <c r="CB25">
        <v>140.03276071497754</v>
      </c>
      <c r="CC25" s="82">
        <f t="shared" si="13"/>
        <v>3.4750027585346288E-3</v>
      </c>
      <c r="CD25">
        <v>5.125</v>
      </c>
      <c r="CE25">
        <v>31024.927674315775</v>
      </c>
      <c r="CF25" t="s">
        <v>82</v>
      </c>
      <c r="CG25">
        <v>5.125</v>
      </c>
      <c r="CH25">
        <v>140.04092764326006</v>
      </c>
      <c r="CI25" s="82">
        <f t="shared" si="14"/>
        <v>4.7165231956967091E-3</v>
      </c>
      <c r="CJ25">
        <v>5.125</v>
      </c>
      <c r="CK25">
        <v>33592.771044952693</v>
      </c>
      <c r="CL25" t="s">
        <v>82</v>
      </c>
      <c r="CM25">
        <v>5.125</v>
      </c>
      <c r="CN25">
        <v>140.00833944792271</v>
      </c>
      <c r="CO25" s="82">
        <f t="shared" si="15"/>
        <v>-1.4829950931982694E-3</v>
      </c>
      <c r="CP25">
        <v>5.125</v>
      </c>
      <c r="CQ25">
        <v>31796.778071716792</v>
      </c>
      <c r="CR25" t="s">
        <v>82</v>
      </c>
      <c r="CS25">
        <v>5.125</v>
      </c>
      <c r="CT25">
        <v>139.65052720021734</v>
      </c>
      <c r="CU25" s="82">
        <f t="shared" si="16"/>
        <v>-2.6227516959778541E-2</v>
      </c>
      <c r="CV25">
        <v>5.125</v>
      </c>
      <c r="CW25">
        <v>68842.69523733735</v>
      </c>
      <c r="CX25" t="s">
        <v>82</v>
      </c>
      <c r="CY25">
        <v>5.125</v>
      </c>
      <c r="CZ25">
        <v>139.1005690733484</v>
      </c>
      <c r="DA25" s="82">
        <f t="shared" si="17"/>
        <v>-4.2763917952328256E-2</v>
      </c>
      <c r="DB25">
        <v>5.125</v>
      </c>
      <c r="DC25">
        <v>93968.209878399153</v>
      </c>
      <c r="DD25" t="s">
        <v>82</v>
      </c>
      <c r="DG25" s="82">
        <f t="shared" si="18"/>
        <v>0</v>
      </c>
      <c r="DM25" s="82">
        <f t="shared" si="19"/>
        <v>0</v>
      </c>
    </row>
    <row r="26" spans="1:117" x14ac:dyDescent="0.2">
      <c r="A26" s="44">
        <v>5.375</v>
      </c>
      <c r="B26" s="39">
        <v>139.75871949299213</v>
      </c>
      <c r="C26" s="82">
        <f t="shared" si="0"/>
        <v>-1.8511048607592784E-2</v>
      </c>
      <c r="D26">
        <v>5.375</v>
      </c>
      <c r="E26">
        <v>45741.692864849138</v>
      </c>
      <c r="F26" t="s">
        <v>82</v>
      </c>
      <c r="G26">
        <v>5.375</v>
      </c>
      <c r="H26">
        <v>139.83040095628527</v>
      </c>
      <c r="I26" s="82">
        <f t="shared" si="1"/>
        <v>-1.6719463181146921E-2</v>
      </c>
      <c r="J26">
        <v>5.375</v>
      </c>
      <c r="K26">
        <v>43595.237247730263</v>
      </c>
      <c r="L26" t="s">
        <v>82</v>
      </c>
      <c r="M26">
        <v>5.375</v>
      </c>
      <c r="N26">
        <v>139.90313868382927</v>
      </c>
      <c r="O26" s="82">
        <f t="shared" si="2"/>
        <v>-1.490496216931092E-2</v>
      </c>
      <c r="P26">
        <v>5.375</v>
      </c>
      <c r="Q26">
        <v>41441.914394551692</v>
      </c>
      <c r="R26" t="s">
        <v>82</v>
      </c>
      <c r="S26">
        <v>5.375</v>
      </c>
      <c r="T26">
        <v>139.9459965709128</v>
      </c>
      <c r="U26" s="82">
        <f t="shared" si="3"/>
        <v>-1.0682706698077027E-2</v>
      </c>
      <c r="V26">
        <v>5.375</v>
      </c>
      <c r="W26">
        <v>35797.062162165392</v>
      </c>
      <c r="X26" t="s">
        <v>82</v>
      </c>
      <c r="Y26">
        <v>5.375</v>
      </c>
      <c r="Z26">
        <v>139.98152541195469</v>
      </c>
      <c r="AA26" s="82">
        <f t="shared" si="4"/>
        <v>-5.7649553958185606E-3</v>
      </c>
      <c r="AB26">
        <v>5.375</v>
      </c>
      <c r="AC26">
        <v>29168.875631668492</v>
      </c>
      <c r="AD26" t="s">
        <v>82</v>
      </c>
      <c r="AE26">
        <v>5.375</v>
      </c>
      <c r="AF26">
        <v>140.01769322499629</v>
      </c>
      <c r="AG26" s="82">
        <f t="shared" si="5"/>
        <v>-7.5827987305387978E-4</v>
      </c>
      <c r="AH26">
        <v>5.375</v>
      </c>
      <c r="AI26">
        <v>22447.841678168781</v>
      </c>
      <c r="AJ26" t="s">
        <v>82</v>
      </c>
      <c r="AK26">
        <v>5.375</v>
      </c>
      <c r="AL26">
        <v>140.05448163013347</v>
      </c>
      <c r="AM26" s="82">
        <f t="shared" si="6"/>
        <v>4.3347237348427825E-3</v>
      </c>
      <c r="AN26">
        <v>5.375</v>
      </c>
      <c r="AO26">
        <v>26306.460219534601</v>
      </c>
      <c r="AP26" t="s">
        <v>82</v>
      </c>
      <c r="AQ26">
        <v>5.375</v>
      </c>
      <c r="AR26">
        <v>140.05327496860505</v>
      </c>
      <c r="AS26" s="82">
        <f t="shared" si="7"/>
        <v>4.500452672374422E-3</v>
      </c>
      <c r="AT26">
        <v>5.375</v>
      </c>
      <c r="AU26">
        <v>27354.023147381209</v>
      </c>
      <c r="AV26" t="s">
        <v>82</v>
      </c>
      <c r="AW26">
        <v>5.375</v>
      </c>
      <c r="AX26">
        <v>140.04357960612543</v>
      </c>
      <c r="AY26" s="82">
        <f t="shared" si="8"/>
        <v>3.5698531261516564E-3</v>
      </c>
      <c r="AZ26">
        <v>5.375</v>
      </c>
      <c r="BA26">
        <v>26899.229520617719</v>
      </c>
      <c r="BB26" t="s">
        <v>82</v>
      </c>
      <c r="BC26">
        <v>5.375</v>
      </c>
      <c r="BD26">
        <v>140.03431346087393</v>
      </c>
      <c r="BE26" s="82">
        <f t="shared" si="9"/>
        <v>2.6792842807594752E-3</v>
      </c>
      <c r="BF26">
        <v>5.375</v>
      </c>
      <c r="BG26">
        <v>26540.22014504638</v>
      </c>
      <c r="BH26" t="s">
        <v>82</v>
      </c>
      <c r="BI26">
        <v>5.375</v>
      </c>
      <c r="BJ26">
        <v>140.03594193607503</v>
      </c>
      <c r="BK26" s="82">
        <f t="shared" si="10"/>
        <v>2.8172221078648363E-3</v>
      </c>
      <c r="BL26">
        <v>5.375</v>
      </c>
      <c r="BM26">
        <v>27455.340532405997</v>
      </c>
      <c r="BN26" t="s">
        <v>82</v>
      </c>
      <c r="BO26">
        <v>5.375</v>
      </c>
      <c r="BP26">
        <v>140.03658550840441</v>
      </c>
      <c r="BQ26" s="82">
        <f t="shared" si="11"/>
        <v>2.8723306248821245E-3</v>
      </c>
      <c r="BR26">
        <v>5.375</v>
      </c>
      <c r="BS26">
        <v>28340.211090931236</v>
      </c>
      <c r="BT26" t="s">
        <v>82</v>
      </c>
      <c r="BU26">
        <v>5.375</v>
      </c>
      <c r="BV26">
        <v>140.03663380728861</v>
      </c>
      <c r="BW26" s="82">
        <f t="shared" si="12"/>
        <v>2.8767288096958055E-3</v>
      </c>
      <c r="BX26">
        <v>5.375</v>
      </c>
      <c r="BY26">
        <v>29228.320511764232</v>
      </c>
      <c r="BZ26" t="s">
        <v>82</v>
      </c>
      <c r="CA26">
        <v>5.375</v>
      </c>
      <c r="CB26">
        <v>140.03554048384311</v>
      </c>
      <c r="CC26" s="82">
        <f t="shared" si="13"/>
        <v>2.7797688655653019E-3</v>
      </c>
      <c r="CD26">
        <v>5.375</v>
      </c>
      <c r="CE26">
        <v>30028.047430968283</v>
      </c>
      <c r="CF26" t="s">
        <v>82</v>
      </c>
      <c r="CG26">
        <v>5.375</v>
      </c>
      <c r="CH26">
        <v>140.04465294523959</v>
      </c>
      <c r="CI26" s="82">
        <f t="shared" si="14"/>
        <v>3.7253019795286946E-3</v>
      </c>
      <c r="CJ26">
        <v>5.375</v>
      </c>
      <c r="CK26">
        <v>32156.642514074025</v>
      </c>
      <c r="CL26" t="s">
        <v>82</v>
      </c>
      <c r="CM26">
        <v>5.375</v>
      </c>
      <c r="CN26">
        <v>140.00510006539403</v>
      </c>
      <c r="CO26" s="82">
        <f t="shared" si="15"/>
        <v>-3.2393825286760602E-3</v>
      </c>
      <c r="CP26">
        <v>5.375</v>
      </c>
      <c r="CQ26">
        <v>34329.538452961962</v>
      </c>
      <c r="CR26" t="s">
        <v>82</v>
      </c>
      <c r="CS26">
        <v>5.375</v>
      </c>
      <c r="CT26">
        <v>139.62361669140026</v>
      </c>
      <c r="CU26" s="82">
        <f t="shared" si="16"/>
        <v>-2.6910508817081791E-2</v>
      </c>
      <c r="CV26">
        <v>5.375</v>
      </c>
      <c r="CW26">
        <v>69814.615567482208</v>
      </c>
      <c r="CX26" t="s">
        <v>82</v>
      </c>
      <c r="CY26">
        <v>5.375</v>
      </c>
      <c r="CZ26">
        <v>139.05786992538373</v>
      </c>
      <c r="DA26" s="82">
        <f t="shared" si="17"/>
        <v>-4.2699147964668782E-2</v>
      </c>
      <c r="DB26">
        <v>5.375</v>
      </c>
      <c r="DC26">
        <v>93850.993684102825</v>
      </c>
      <c r="DD26" t="s">
        <v>82</v>
      </c>
      <c r="DG26" s="82">
        <f t="shared" si="18"/>
        <v>0</v>
      </c>
      <c r="DM26" s="82">
        <f t="shared" si="19"/>
        <v>0</v>
      </c>
    </row>
    <row r="27" spans="1:117" x14ac:dyDescent="0.2">
      <c r="A27">
        <v>5.625</v>
      </c>
      <c r="B27">
        <v>139.73995030228198</v>
      </c>
      <c r="C27" s="82">
        <f t="shared" si="0"/>
        <v>-1.8769190710145267E-2</v>
      </c>
      <c r="D27">
        <v>5.625</v>
      </c>
      <c r="E27">
        <v>46058.793614332761</v>
      </c>
      <c r="F27" t="s">
        <v>82</v>
      </c>
      <c r="G27">
        <v>5.625</v>
      </c>
      <c r="H27">
        <v>139.81329177114469</v>
      </c>
      <c r="I27" s="82">
        <f t="shared" si="1"/>
        <v>-1.7109185140583349E-2</v>
      </c>
      <c r="J27">
        <v>5.625</v>
      </c>
      <c r="K27">
        <v>44107.228510888599</v>
      </c>
      <c r="L27" t="s">
        <v>82</v>
      </c>
      <c r="M27">
        <v>5.625</v>
      </c>
      <c r="N27">
        <v>139.88771106541509</v>
      </c>
      <c r="O27" s="82">
        <f t="shared" si="2"/>
        <v>-1.5427618414179278E-2</v>
      </c>
      <c r="P27">
        <v>5.625</v>
      </c>
      <c r="Q27">
        <v>42150.736897225266</v>
      </c>
      <c r="R27" t="s">
        <v>82</v>
      </c>
      <c r="S27">
        <v>5.625</v>
      </c>
      <c r="T27">
        <v>139.93457078261605</v>
      </c>
      <c r="U27" s="82">
        <f t="shared" si="3"/>
        <v>-1.1425788296747896E-2</v>
      </c>
      <c r="V27">
        <v>5.625</v>
      </c>
      <c r="W27">
        <v>36830.699502478477</v>
      </c>
      <c r="X27" t="s">
        <v>82</v>
      </c>
      <c r="Y27">
        <v>5.625</v>
      </c>
      <c r="Z27">
        <v>139.97476922300217</v>
      </c>
      <c r="AA27" s="82">
        <f t="shared" si="4"/>
        <v>-6.7561889525222796E-3</v>
      </c>
      <c r="AB27">
        <v>5.625</v>
      </c>
      <c r="AC27">
        <v>30567.554949774189</v>
      </c>
      <c r="AD27" t="s">
        <v>82</v>
      </c>
      <c r="AE27">
        <v>5.625</v>
      </c>
      <c r="AF27">
        <v>140.01568926542035</v>
      </c>
      <c r="AG27" s="82">
        <f t="shared" si="5"/>
        <v>-2.0039595759442363E-3</v>
      </c>
      <c r="AH27">
        <v>5.625</v>
      </c>
      <c r="AI27">
        <v>24220.288049351853</v>
      </c>
      <c r="AJ27" t="s">
        <v>82</v>
      </c>
      <c r="AK27">
        <v>5.625</v>
      </c>
      <c r="AL27">
        <v>140.05730982803945</v>
      </c>
      <c r="AM27" s="82">
        <f t="shared" si="6"/>
        <v>2.8281979059840978E-3</v>
      </c>
      <c r="AN27">
        <v>5.625</v>
      </c>
      <c r="AO27">
        <v>24099.083379285265</v>
      </c>
      <c r="AP27" t="s">
        <v>82</v>
      </c>
      <c r="AQ27">
        <v>5.625</v>
      </c>
      <c r="AR27">
        <v>140.05651528417323</v>
      </c>
      <c r="AS27" s="82">
        <f t="shared" si="7"/>
        <v>3.2403155681777207E-3</v>
      </c>
      <c r="AT27">
        <v>5.625</v>
      </c>
      <c r="AU27">
        <v>25514.006308478252</v>
      </c>
      <c r="AV27" t="s">
        <v>82</v>
      </c>
      <c r="AW27">
        <v>5.625</v>
      </c>
      <c r="AX27">
        <v>140.0462528920817</v>
      </c>
      <c r="AY27" s="82">
        <f t="shared" si="8"/>
        <v>2.6732859562628164E-3</v>
      </c>
      <c r="AZ27">
        <v>5.625</v>
      </c>
      <c r="BA27">
        <v>25600.231880011943</v>
      </c>
      <c r="BB27" t="s">
        <v>82</v>
      </c>
      <c r="BC27">
        <v>5.625</v>
      </c>
      <c r="BD27">
        <v>140.03644315919951</v>
      </c>
      <c r="BE27" s="82">
        <f t="shared" si="9"/>
        <v>2.1296983255751911E-3</v>
      </c>
      <c r="BF27">
        <v>5.625</v>
      </c>
      <c r="BG27">
        <v>25757.668476224131</v>
      </c>
      <c r="BH27" t="s">
        <v>82</v>
      </c>
      <c r="BI27">
        <v>5.625</v>
      </c>
      <c r="BJ27">
        <v>140.03813487764702</v>
      </c>
      <c r="BK27" s="82">
        <f t="shared" si="10"/>
        <v>2.1929415719910139E-3</v>
      </c>
      <c r="BL27">
        <v>5.625</v>
      </c>
      <c r="BM27">
        <v>26561.656605198834</v>
      </c>
      <c r="BN27" t="s">
        <v>82</v>
      </c>
      <c r="BO27">
        <v>5.625</v>
      </c>
      <c r="BP27">
        <v>140.03880420571372</v>
      </c>
      <c r="BQ27" s="82">
        <f t="shared" si="11"/>
        <v>2.2186973093027973E-3</v>
      </c>
      <c r="BR27">
        <v>5.625</v>
      </c>
      <c r="BS27">
        <v>27402.92142766068</v>
      </c>
      <c r="BT27" t="s">
        <v>82</v>
      </c>
      <c r="BU27">
        <v>5.625</v>
      </c>
      <c r="BV27">
        <v>140.03885452117126</v>
      </c>
      <c r="BW27" s="82">
        <f t="shared" si="12"/>
        <v>2.220713882650216E-3</v>
      </c>
      <c r="BX27">
        <v>5.625</v>
      </c>
      <c r="BY27">
        <v>28287.589993871308</v>
      </c>
      <c r="BZ27" t="s">
        <v>82</v>
      </c>
      <c r="CA27">
        <v>5.625</v>
      </c>
      <c r="CB27">
        <v>140.03771080034636</v>
      </c>
      <c r="CC27" s="82">
        <f t="shared" si="13"/>
        <v>2.1703165032533889E-3</v>
      </c>
      <c r="CD27">
        <v>5.625</v>
      </c>
      <c r="CE27">
        <v>29156.735100906095</v>
      </c>
      <c r="CF27" t="s">
        <v>82</v>
      </c>
      <c r="CG27">
        <v>5.625</v>
      </c>
      <c r="CH27">
        <v>140.04747509043469</v>
      </c>
      <c r="CI27" s="82">
        <f t="shared" si="14"/>
        <v>2.8221451950969367E-3</v>
      </c>
      <c r="CJ27">
        <v>5.625</v>
      </c>
      <c r="CK27">
        <v>30848.73470926009</v>
      </c>
      <c r="CL27" t="s">
        <v>82</v>
      </c>
      <c r="CM27">
        <v>5.625</v>
      </c>
      <c r="CN27">
        <v>140.00018084093213</v>
      </c>
      <c r="CO27" s="82">
        <f t="shared" si="15"/>
        <v>-4.9192244619007397E-3</v>
      </c>
      <c r="CP27">
        <v>5.625</v>
      </c>
      <c r="CQ27">
        <v>36753.577718896348</v>
      </c>
      <c r="CR27" t="s">
        <v>82</v>
      </c>
      <c r="CS27">
        <v>5.625</v>
      </c>
      <c r="CT27">
        <v>139.59605077128768</v>
      </c>
      <c r="CU27" s="82">
        <f t="shared" si="16"/>
        <v>-2.7565920112579079E-2</v>
      </c>
      <c r="CV27">
        <v>5.625</v>
      </c>
      <c r="CW27">
        <v>70746.350922824742</v>
      </c>
      <c r="CX27" t="s">
        <v>82</v>
      </c>
      <c r="CY27">
        <v>5.625</v>
      </c>
      <c r="CZ27">
        <v>139.01523049223474</v>
      </c>
      <c r="DA27" s="82">
        <f t="shared" si="17"/>
        <v>-4.2639433148991657E-2</v>
      </c>
      <c r="DB27">
        <v>5.625</v>
      </c>
      <c r="DC27">
        <v>93741.130109501581</v>
      </c>
      <c r="DD27" t="s">
        <v>82</v>
      </c>
      <c r="DG27" s="82">
        <f t="shared" si="18"/>
        <v>0</v>
      </c>
      <c r="DM27" s="82">
        <f t="shared" si="19"/>
        <v>0</v>
      </c>
    </row>
    <row r="28" spans="1:117" x14ac:dyDescent="0.2">
      <c r="A28" s="44">
        <v>5.875</v>
      </c>
      <c r="B28" s="39">
        <v>139.7209801253731</v>
      </c>
      <c r="C28" s="82">
        <f t="shared" si="0"/>
        <v>-1.8970176908879921E-2</v>
      </c>
      <c r="D28" s="44">
        <v>5.875</v>
      </c>
      <c r="E28" s="39">
        <v>46290.917854943444</v>
      </c>
      <c r="F28" s="44" t="s">
        <v>82</v>
      </c>
      <c r="G28" s="39">
        <v>5.875</v>
      </c>
      <c r="H28" s="44">
        <v>139.79585139419615</v>
      </c>
      <c r="I28" s="82">
        <f t="shared" si="1"/>
        <v>-1.744037694854228E-2</v>
      </c>
      <c r="J28" s="44">
        <v>5.875</v>
      </c>
      <c r="K28" s="39">
        <v>44532.324442494697</v>
      </c>
      <c r="L28" s="44" t="s">
        <v>82</v>
      </c>
      <c r="M28" s="39">
        <v>5.875</v>
      </c>
      <c r="N28" s="44">
        <v>139.87182078655428</v>
      </c>
      <c r="O28" s="82">
        <f t="shared" si="2"/>
        <v>-1.5890278860808849E-2</v>
      </c>
      <c r="P28" s="44">
        <v>5.875</v>
      </c>
      <c r="Q28" s="39">
        <v>42770.61811978287</v>
      </c>
      <c r="R28" s="44" t="s">
        <v>82</v>
      </c>
      <c r="S28" s="39">
        <v>5.875</v>
      </c>
      <c r="T28" s="44">
        <v>139.92246642598491</v>
      </c>
      <c r="U28" s="82">
        <f t="shared" si="3"/>
        <v>-1.21043566311414E-2</v>
      </c>
      <c r="V28" s="44">
        <v>5.875</v>
      </c>
      <c r="W28" s="39">
        <v>37768.909601104016</v>
      </c>
      <c r="X28" s="44" t="s">
        <v>82</v>
      </c>
      <c r="Y28" s="39">
        <v>5.875</v>
      </c>
      <c r="Z28" s="44">
        <v>139.96709202547734</v>
      </c>
      <c r="AA28" s="82">
        <f t="shared" si="4"/>
        <v>-7.6771975248277613E-3</v>
      </c>
      <c r="AB28" s="44">
        <v>5.875</v>
      </c>
      <c r="AC28" s="39">
        <v>31862.61510480841</v>
      </c>
      <c r="AD28" s="44" t="s">
        <v>82</v>
      </c>
      <c r="AE28" s="39">
        <v>5.875</v>
      </c>
      <c r="AF28" s="44">
        <v>140.01251594880125</v>
      </c>
      <c r="AG28" s="82">
        <f t="shared" si="5"/>
        <v>-3.1733166190974771E-3</v>
      </c>
      <c r="AH28" s="44">
        <v>5.875</v>
      </c>
      <c r="AI28" s="39">
        <v>25880.473645567436</v>
      </c>
      <c r="AJ28" s="44" t="s">
        <v>82</v>
      </c>
      <c r="AK28" s="39">
        <v>5.875</v>
      </c>
      <c r="AL28" s="44">
        <v>140.05871438001608</v>
      </c>
      <c r="AM28" s="82">
        <f t="shared" si="6"/>
        <v>1.4045519766341386E-3</v>
      </c>
      <c r="AN28" s="44">
        <v>5.875</v>
      </c>
      <c r="AO28" s="39">
        <v>22013.671591820999</v>
      </c>
      <c r="AP28" t="s">
        <v>82</v>
      </c>
      <c r="AQ28">
        <v>5.875</v>
      </c>
      <c r="AR28">
        <v>140.05857904855702</v>
      </c>
      <c r="AS28" s="82">
        <f t="shared" si="7"/>
        <v>2.0637643837915221E-3</v>
      </c>
      <c r="AT28">
        <v>5.875</v>
      </c>
      <c r="AU28">
        <v>23797.217826839005</v>
      </c>
      <c r="AV28" t="s">
        <v>82</v>
      </c>
      <c r="AW28">
        <v>5.875</v>
      </c>
      <c r="AX28">
        <v>140.04811252159655</v>
      </c>
      <c r="AY28" s="82">
        <f t="shared" si="8"/>
        <v>1.8596295148540776E-3</v>
      </c>
      <c r="AZ28">
        <v>5.875</v>
      </c>
      <c r="BA28">
        <v>24423.841573978974</v>
      </c>
      <c r="BB28" t="s">
        <v>82</v>
      </c>
      <c r="BC28">
        <v>5.875</v>
      </c>
      <c r="BD28">
        <v>140.03810549871838</v>
      </c>
      <c r="BE28" s="82">
        <f t="shared" si="9"/>
        <v>1.6623395188730683E-3</v>
      </c>
      <c r="BF28">
        <v>5.875</v>
      </c>
      <c r="BG28">
        <v>25097.098089591778</v>
      </c>
      <c r="BH28" t="s">
        <v>82</v>
      </c>
      <c r="BI28">
        <v>5.875</v>
      </c>
      <c r="BJ28">
        <v>140.0397859704982</v>
      </c>
      <c r="BK28" s="82">
        <f t="shared" si="10"/>
        <v>1.6510928511763723E-3</v>
      </c>
      <c r="BL28">
        <v>5.875</v>
      </c>
      <c r="BM28">
        <v>25790.14900778927</v>
      </c>
      <c r="BN28" t="s">
        <v>82</v>
      </c>
      <c r="BO28">
        <v>5.875</v>
      </c>
      <c r="BP28">
        <v>140.04045186219858</v>
      </c>
      <c r="BQ28" s="82">
        <f t="shared" si="11"/>
        <v>1.6476564848630915E-3</v>
      </c>
      <c r="BR28">
        <v>5.875</v>
      </c>
      <c r="BS28">
        <v>26587.988013179485</v>
      </c>
      <c r="BT28" t="s">
        <v>82</v>
      </c>
      <c r="BU28">
        <v>5.875</v>
      </c>
      <c r="BV28">
        <v>140.0405019459412</v>
      </c>
      <c r="BW28" s="82">
        <f t="shared" si="12"/>
        <v>1.647424769942063E-3</v>
      </c>
      <c r="BX28">
        <v>5.875</v>
      </c>
      <c r="BY28">
        <v>27469.386501570527</v>
      </c>
      <c r="BZ28" t="s">
        <v>82</v>
      </c>
      <c r="CA28">
        <v>5.875</v>
      </c>
      <c r="CB28">
        <v>140.03935443837847</v>
      </c>
      <c r="CC28" s="82">
        <f t="shared" si="13"/>
        <v>1.6436380321067645E-3</v>
      </c>
      <c r="CD28">
        <v>5.875</v>
      </c>
      <c r="CE28">
        <v>28408.059060861877</v>
      </c>
      <c r="CF28" t="s">
        <v>82</v>
      </c>
      <c r="CG28">
        <v>5.875</v>
      </c>
      <c r="CH28">
        <v>140.04947814803563</v>
      </c>
      <c r="CI28" s="82">
        <f t="shared" si="14"/>
        <v>2.0030576009446577E-3</v>
      </c>
      <c r="CJ28">
        <v>5.875</v>
      </c>
      <c r="CK28">
        <v>29664.956300646456</v>
      </c>
      <c r="CL28" t="s">
        <v>82</v>
      </c>
      <c r="CM28">
        <v>5.875</v>
      </c>
      <c r="CN28">
        <v>139.99365163650901</v>
      </c>
      <c r="CO28" s="82">
        <f t="shared" si="15"/>
        <v>-6.5292044231171076E-3</v>
      </c>
      <c r="CP28">
        <v>5.875</v>
      </c>
      <c r="CQ28">
        <v>39075.98978707465</v>
      </c>
      <c r="CR28" t="s">
        <v>82</v>
      </c>
      <c r="CS28">
        <v>5.875</v>
      </c>
      <c r="CT28">
        <v>139.56785584015171</v>
      </c>
      <c r="CU28" s="82">
        <f t="shared" si="16"/>
        <v>-2.8194931135971046E-2</v>
      </c>
      <c r="CV28">
        <v>5.875</v>
      </c>
      <c r="CW28">
        <v>71639.618646372473</v>
      </c>
      <c r="CX28" t="s">
        <v>82</v>
      </c>
      <c r="CY28">
        <v>5.875</v>
      </c>
      <c r="CZ28">
        <v>138.97264597676019</v>
      </c>
      <c r="DA28" s="82">
        <f t="shared" si="17"/>
        <v>-4.258451547454456E-2</v>
      </c>
      <c r="DB28">
        <v>5.875</v>
      </c>
      <c r="DC28">
        <v>93638.242268499336</v>
      </c>
      <c r="DD28" t="s">
        <v>82</v>
      </c>
      <c r="DG28" s="82">
        <f t="shared" si="18"/>
        <v>0</v>
      </c>
      <c r="DM28" s="82">
        <f t="shared" si="19"/>
        <v>0</v>
      </c>
    </row>
    <row r="29" spans="1:117" x14ac:dyDescent="0.2">
      <c r="A29">
        <v>6.125</v>
      </c>
      <c r="B29">
        <v>139.70186594129945</v>
      </c>
      <c r="C29" s="82">
        <f t="shared" si="0"/>
        <v>-1.9114184073657725E-2</v>
      </c>
      <c r="D29">
        <v>6.125</v>
      </c>
      <c r="E29">
        <v>46438.277606416741</v>
      </c>
      <c r="F29" t="s">
        <v>82</v>
      </c>
      <c r="G29">
        <v>6.125</v>
      </c>
      <c r="H29">
        <v>139.77813800963625</v>
      </c>
      <c r="I29" s="82">
        <f t="shared" si="1"/>
        <v>-1.7713384559897349E-2</v>
      </c>
      <c r="J29">
        <v>6.125</v>
      </c>
      <c r="K29">
        <v>44870.985552435217</v>
      </c>
      <c r="L29" t="s">
        <v>82</v>
      </c>
      <c r="M29">
        <v>6.125</v>
      </c>
      <c r="N29">
        <v>139.85552731825013</v>
      </c>
      <c r="O29" s="82">
        <f t="shared" si="2"/>
        <v>-1.6293468304155567E-2</v>
      </c>
      <c r="P29">
        <v>6.125</v>
      </c>
      <c r="Q29">
        <v>43302.281082269619</v>
      </c>
      <c r="R29" t="s">
        <v>82</v>
      </c>
      <c r="S29">
        <v>6.125</v>
      </c>
      <c r="T29">
        <v>139.90974718567759</v>
      </c>
      <c r="U29" s="82">
        <f t="shared" si="3"/>
        <v>-1.2719240307319524E-2</v>
      </c>
      <c r="V29">
        <v>6.125</v>
      </c>
      <c r="W29">
        <v>38612.853933902319</v>
      </c>
      <c r="X29" t="s">
        <v>82</v>
      </c>
      <c r="Y29">
        <v>6.125</v>
      </c>
      <c r="Z29">
        <v>139.95856286071668</v>
      </c>
      <c r="AA29" s="82">
        <f t="shared" si="4"/>
        <v>-8.5291647606595689E-3</v>
      </c>
      <c r="AB29">
        <v>6.125</v>
      </c>
      <c r="AC29">
        <v>33055.730837768766</v>
      </c>
      <c r="AD29" t="s">
        <v>82</v>
      </c>
      <c r="AE29">
        <v>6.125</v>
      </c>
      <c r="AF29">
        <v>140.00824803119801</v>
      </c>
      <c r="AG29" s="82">
        <f t="shared" si="5"/>
        <v>-4.2679176032436317E-3</v>
      </c>
      <c r="AH29">
        <v>6.125</v>
      </c>
      <c r="AI29">
        <v>27430.589932937248</v>
      </c>
      <c r="AJ29" t="s">
        <v>82</v>
      </c>
      <c r="AK29">
        <v>6.125</v>
      </c>
      <c r="AL29">
        <v>140.05877618694598</v>
      </c>
      <c r="AM29" s="82">
        <f t="shared" si="6"/>
        <v>6.1806929892327389E-5</v>
      </c>
      <c r="AN29">
        <v>6.125</v>
      </c>
      <c r="AO29">
        <v>21744.91933601382</v>
      </c>
      <c r="AP29" t="s">
        <v>82</v>
      </c>
      <c r="AQ29">
        <v>6.125</v>
      </c>
      <c r="AR29">
        <v>140.05954816089832</v>
      </c>
      <c r="AS29" s="82">
        <f t="shared" si="7"/>
        <v>9.6911234129493096E-4</v>
      </c>
      <c r="AT29">
        <v>6.125</v>
      </c>
      <c r="AU29">
        <v>22201.237703803483</v>
      </c>
      <c r="AV29" t="s">
        <v>82</v>
      </c>
      <c r="AW29">
        <v>6.125</v>
      </c>
      <c r="AX29">
        <v>140.04924020173888</v>
      </c>
      <c r="AY29" s="82">
        <f t="shared" si="8"/>
        <v>1.1276801423321103E-3</v>
      </c>
      <c r="AZ29">
        <v>6.125</v>
      </c>
      <c r="BA29">
        <v>23368.363883228598</v>
      </c>
      <c r="BB29" t="s">
        <v>82</v>
      </c>
      <c r="BC29">
        <v>6.125</v>
      </c>
      <c r="BD29">
        <v>140.03938199058911</v>
      </c>
      <c r="BE29" s="82">
        <f t="shared" si="9"/>
        <v>1.2764918707262041E-3</v>
      </c>
      <c r="BF29">
        <v>6.125</v>
      </c>
      <c r="BG29">
        <v>24557.542049855696</v>
      </c>
      <c r="BH29" t="s">
        <v>82</v>
      </c>
      <c r="BI29">
        <v>6.125</v>
      </c>
      <c r="BJ29">
        <v>140.04097679058484</v>
      </c>
      <c r="BK29" s="82">
        <f t="shared" si="10"/>
        <v>1.1908200866344032E-3</v>
      </c>
      <c r="BL29">
        <v>6.125</v>
      </c>
      <c r="BM29">
        <v>25139.645837454304</v>
      </c>
      <c r="BN29" t="s">
        <v>82</v>
      </c>
      <c r="BO29">
        <v>6.125</v>
      </c>
      <c r="BP29">
        <v>140.04161013754597</v>
      </c>
      <c r="BQ29" s="82">
        <f t="shared" si="11"/>
        <v>1.1582753473931007E-3</v>
      </c>
      <c r="BR29">
        <v>6.125</v>
      </c>
      <c r="BS29">
        <v>25894.127552541671</v>
      </c>
      <c r="BT29" t="s">
        <v>82</v>
      </c>
      <c r="BU29">
        <v>6.125</v>
      </c>
      <c r="BV29">
        <v>140.041657837451</v>
      </c>
      <c r="BW29" s="82">
        <f t="shared" si="12"/>
        <v>1.1558915097964473E-3</v>
      </c>
      <c r="BX29">
        <v>6.125</v>
      </c>
      <c r="BY29">
        <v>26772.374762815976</v>
      </c>
      <c r="BZ29" t="s">
        <v>82</v>
      </c>
      <c r="CA29">
        <v>6.125</v>
      </c>
      <c r="CB29">
        <v>140.04055324857933</v>
      </c>
      <c r="CC29" s="82">
        <f t="shared" si="13"/>
        <v>1.1988102008615442E-3</v>
      </c>
      <c r="CD29">
        <v>6.125</v>
      </c>
      <c r="CE29">
        <v>27780.756752220859</v>
      </c>
      <c r="CF29" t="s">
        <v>82</v>
      </c>
      <c r="CG29">
        <v>6.125</v>
      </c>
      <c r="CH29">
        <v>140.05074470243545</v>
      </c>
      <c r="CI29" s="82">
        <f t="shared" si="14"/>
        <v>1.2665543998195972E-3</v>
      </c>
      <c r="CJ29">
        <v>6.125</v>
      </c>
      <c r="CK29">
        <v>28603.213916549841</v>
      </c>
      <c r="CL29" t="s">
        <v>82</v>
      </c>
      <c r="CM29">
        <v>6.125</v>
      </c>
      <c r="CN29">
        <v>139.98557932706152</v>
      </c>
      <c r="CO29" s="82">
        <f t="shared" si="15"/>
        <v>-8.0723094474990376E-3</v>
      </c>
      <c r="CP29">
        <v>6.125</v>
      </c>
      <c r="CQ29">
        <v>41301.078366379974</v>
      </c>
      <c r="CR29" t="s">
        <v>82</v>
      </c>
      <c r="CS29">
        <v>6.125</v>
      </c>
      <c r="CT29">
        <v>139.53905717220547</v>
      </c>
      <c r="CU29" s="82">
        <f t="shared" si="16"/>
        <v>-2.8798667946233536E-2</v>
      </c>
      <c r="CV29">
        <v>6.125</v>
      </c>
      <c r="CW29">
        <v>72496.057052157994</v>
      </c>
      <c r="CX29" t="s">
        <v>82</v>
      </c>
      <c r="CY29">
        <v>6.125</v>
      </c>
      <c r="CZ29">
        <v>138.93011182985933</v>
      </c>
      <c r="DA29" s="82">
        <f t="shared" si="17"/>
        <v>-4.2534146900862879E-2</v>
      </c>
      <c r="DB29">
        <v>6.125</v>
      </c>
      <c r="DC29">
        <v>93541.967781621279</v>
      </c>
      <c r="DD29" t="s">
        <v>82</v>
      </c>
      <c r="DG29" s="82">
        <f t="shared" si="18"/>
        <v>0</v>
      </c>
      <c r="DM29" s="82">
        <f t="shared" si="19"/>
        <v>0</v>
      </c>
    </row>
    <row r="30" spans="1:117" x14ac:dyDescent="0.2">
      <c r="A30">
        <v>6.375</v>
      </c>
      <c r="B30">
        <v>139.68266462066669</v>
      </c>
      <c r="C30" s="82">
        <f t="shared" si="0"/>
        <v>-1.9201320632760144E-2</v>
      </c>
      <c r="D30">
        <v>6.375</v>
      </c>
      <c r="E30">
        <v>46500.983509863327</v>
      </c>
      <c r="F30" t="s">
        <v>82</v>
      </c>
      <c r="G30">
        <v>6.375</v>
      </c>
      <c r="H30">
        <v>139.76020952786408</v>
      </c>
      <c r="I30" s="82">
        <f t="shared" si="1"/>
        <v>-1.7928481772173654E-2</v>
      </c>
      <c r="J30">
        <v>6.375</v>
      </c>
      <c r="K30">
        <v>45123.565672764853</v>
      </c>
      <c r="L30" t="s">
        <v>82</v>
      </c>
      <c r="M30">
        <v>6.375</v>
      </c>
      <c r="N30">
        <v>139.83888968285686</v>
      </c>
      <c r="O30" s="82">
        <f t="shared" si="2"/>
        <v>-1.6637635393266237E-2</v>
      </c>
      <c r="P30">
        <v>6.375</v>
      </c>
      <c r="Q30">
        <v>43746.336510380017</v>
      </c>
      <c r="R30" t="s">
        <v>82</v>
      </c>
      <c r="S30">
        <v>6.375</v>
      </c>
      <c r="T30">
        <v>139.89647600587628</v>
      </c>
      <c r="U30" s="82">
        <f t="shared" si="3"/>
        <v>-1.3271179801307653E-2</v>
      </c>
      <c r="V30">
        <v>6.375</v>
      </c>
      <c r="W30">
        <v>39363.56486448973</v>
      </c>
      <c r="X30" t="s">
        <v>82</v>
      </c>
      <c r="Y30">
        <v>6.375</v>
      </c>
      <c r="Z30">
        <v>139.9492496812353</v>
      </c>
      <c r="AA30" s="82">
        <f t="shared" si="4"/>
        <v>-9.3131794813814395E-3</v>
      </c>
      <c r="AB30">
        <v>6.375</v>
      </c>
      <c r="AC30">
        <v>34148.441447821097</v>
      </c>
      <c r="AD30" t="s">
        <v>82</v>
      </c>
      <c r="AE30">
        <v>6.375</v>
      </c>
      <c r="AF30">
        <v>140.00295880831857</v>
      </c>
      <c r="AG30" s="82">
        <f t="shared" si="5"/>
        <v>-5.2892228794405582E-3</v>
      </c>
      <c r="AH30">
        <v>6.375</v>
      </c>
      <c r="AI30">
        <v>28872.691305480235</v>
      </c>
      <c r="AJ30" t="s">
        <v>82</v>
      </c>
      <c r="AK30">
        <v>6.375</v>
      </c>
      <c r="AL30">
        <v>140.05757428950974</v>
      </c>
      <c r="AM30" s="82">
        <f t="shared" si="6"/>
        <v>-1.2018974362320023E-3</v>
      </c>
      <c r="AN30">
        <v>6.375</v>
      </c>
      <c r="AO30">
        <v>23543.374503822728</v>
      </c>
      <c r="AP30" t="s">
        <v>82</v>
      </c>
      <c r="AQ30">
        <v>6.375</v>
      </c>
      <c r="AR30">
        <v>140.05950295589659</v>
      </c>
      <c r="AS30" s="82">
        <f t="shared" si="7"/>
        <v>-4.5205001725889815E-5</v>
      </c>
      <c r="AT30">
        <v>6.375</v>
      </c>
      <c r="AU30">
        <v>22251.543408337384</v>
      </c>
      <c r="AV30" t="s">
        <v>82</v>
      </c>
      <c r="AW30">
        <v>6.375</v>
      </c>
      <c r="AX30">
        <v>140.04971655977471</v>
      </c>
      <c r="AY30" s="82">
        <f t="shared" si="8"/>
        <v>4.7635803582579683E-4</v>
      </c>
      <c r="AZ30">
        <v>6.375</v>
      </c>
      <c r="BA30">
        <v>22432.287646865545</v>
      </c>
      <c r="BB30" t="s">
        <v>82</v>
      </c>
      <c r="BC30">
        <v>6.375</v>
      </c>
      <c r="BD30">
        <v>140.0403535557044</v>
      </c>
      <c r="BE30" s="82">
        <f t="shared" si="9"/>
        <v>9.7156511529306044E-4</v>
      </c>
      <c r="BF30">
        <v>6.375</v>
      </c>
      <c r="BG30">
        <v>24138.219139299392</v>
      </c>
      <c r="BH30" t="s">
        <v>82</v>
      </c>
      <c r="BI30">
        <v>6.375</v>
      </c>
      <c r="BJ30">
        <v>140.04178818831821</v>
      </c>
      <c r="BK30" s="82">
        <f t="shared" si="10"/>
        <v>8.1139773337213228E-4</v>
      </c>
      <c r="BL30">
        <v>6.375</v>
      </c>
      <c r="BM30">
        <v>24609.167711321286</v>
      </c>
      <c r="BN30" t="s">
        <v>82</v>
      </c>
      <c r="BO30">
        <v>6.375</v>
      </c>
      <c r="BP30">
        <v>140.04235989365597</v>
      </c>
      <c r="BQ30" s="82">
        <f t="shared" si="11"/>
        <v>7.4975610999672426E-4</v>
      </c>
      <c r="BR30">
        <v>6.375</v>
      </c>
      <c r="BS30">
        <v>25320.25635136768</v>
      </c>
      <c r="BT30" t="s">
        <v>82</v>
      </c>
      <c r="BU30">
        <v>6.375</v>
      </c>
      <c r="BV30">
        <v>140.04240312155827</v>
      </c>
      <c r="BW30" s="82">
        <f t="shared" si="12"/>
        <v>7.4528410726770744E-4</v>
      </c>
      <c r="BX30">
        <v>6.375</v>
      </c>
      <c r="BY30">
        <v>26195.426324491735</v>
      </c>
      <c r="BZ30" t="s">
        <v>82</v>
      </c>
      <c r="CA30">
        <v>6.375</v>
      </c>
      <c r="CB30">
        <v>140.04138830318854</v>
      </c>
      <c r="CC30" s="82">
        <f t="shared" si="13"/>
        <v>8.3505460921173835E-4</v>
      </c>
      <c r="CD30">
        <v>6.375</v>
      </c>
      <c r="CE30">
        <v>27273.779595571898</v>
      </c>
      <c r="CF30" t="s">
        <v>82</v>
      </c>
      <c r="CG30">
        <v>6.375</v>
      </c>
      <c r="CH30">
        <v>140.0513560058923</v>
      </c>
      <c r="CI30" s="82">
        <f t="shared" si="14"/>
        <v>6.1130345685000975E-4</v>
      </c>
      <c r="CJ30">
        <v>6.375</v>
      </c>
      <c r="CK30">
        <v>27661.639646920474</v>
      </c>
      <c r="CL30" t="s">
        <v>82</v>
      </c>
      <c r="CM30">
        <v>6.375</v>
      </c>
      <c r="CN30">
        <v>139.9760279330641</v>
      </c>
      <c r="CO30" s="82">
        <f t="shared" si="15"/>
        <v>-9.5513939974125606E-3</v>
      </c>
      <c r="CP30">
        <v>6.375</v>
      </c>
      <c r="CQ30">
        <v>43432.967007297026</v>
      </c>
      <c r="CR30" t="s">
        <v>82</v>
      </c>
      <c r="CS30">
        <v>6.375</v>
      </c>
      <c r="CT30">
        <v>139.50967896757828</v>
      </c>
      <c r="CU30" s="82">
        <f t="shared" si="16"/>
        <v>-2.9378204627192872E-2</v>
      </c>
      <c r="CV30">
        <v>6.375</v>
      </c>
      <c r="CW30">
        <v>73317.228763709296</v>
      </c>
      <c r="CX30" t="s">
        <v>82</v>
      </c>
      <c r="CY30">
        <v>6.375</v>
      </c>
      <c r="CZ30">
        <v>138.88762374103115</v>
      </c>
      <c r="DA30" s="82">
        <f t="shared" si="17"/>
        <v>-4.2488088828179116E-2</v>
      </c>
      <c r="DB30">
        <v>6.375</v>
      </c>
      <c r="DC30">
        <v>93451.957934190214</v>
      </c>
      <c r="DD30" t="s">
        <v>82</v>
      </c>
      <c r="DG30" s="82">
        <f t="shared" si="18"/>
        <v>0</v>
      </c>
      <c r="DM30" s="82">
        <f t="shared" si="19"/>
        <v>0</v>
      </c>
    </row>
    <row r="31" spans="1:117" x14ac:dyDescent="0.2">
      <c r="A31">
        <v>6.625</v>
      </c>
      <c r="B31">
        <v>139.66343299360435</v>
      </c>
      <c r="C31" s="82">
        <f t="shared" si="0"/>
        <v>-1.9231627062339385E-2</v>
      </c>
      <c r="D31">
        <v>6.625</v>
      </c>
      <c r="E31">
        <v>46479.045466554075</v>
      </c>
      <c r="F31" t="s">
        <v>82</v>
      </c>
      <c r="G31">
        <v>6.625</v>
      </c>
      <c r="H31">
        <v>139.7421236569175</v>
      </c>
      <c r="I31" s="82">
        <f t="shared" si="1"/>
        <v>-1.8085870946578098E-2</v>
      </c>
      <c r="J31">
        <v>6.625</v>
      </c>
      <c r="K31">
        <v>45290.312934820213</v>
      </c>
      <c r="L31" t="s">
        <v>82</v>
      </c>
      <c r="M31">
        <v>6.625</v>
      </c>
      <c r="N31">
        <v>139.82196652925828</v>
      </c>
      <c r="O31" s="82">
        <f t="shared" si="2"/>
        <v>-1.6923153598582985E-2</v>
      </c>
      <c r="P31">
        <v>6.625</v>
      </c>
      <c r="Q31">
        <v>44103.284136183065</v>
      </c>
      <c r="R31" t="s">
        <v>82</v>
      </c>
      <c r="S31">
        <v>6.625</v>
      </c>
      <c r="T31">
        <v>139.88271517711132</v>
      </c>
      <c r="U31" s="82">
        <f t="shared" si="3"/>
        <v>-1.3760828764958433E-2</v>
      </c>
      <c r="V31">
        <v>6.625</v>
      </c>
      <c r="W31">
        <v>40021.948435140184</v>
      </c>
      <c r="X31" t="s">
        <v>82</v>
      </c>
      <c r="Y31">
        <v>6.625</v>
      </c>
      <c r="Z31">
        <v>139.93921944367673</v>
      </c>
      <c r="AA31" s="82">
        <f t="shared" si="4"/>
        <v>-1.0030237558567023E-2</v>
      </c>
      <c r="AB31">
        <v>6.625</v>
      </c>
      <c r="AC31">
        <v>35142.152265634693</v>
      </c>
      <c r="AD31" t="s">
        <v>82</v>
      </c>
      <c r="AE31">
        <v>6.625</v>
      </c>
      <c r="AF31">
        <v>139.99672021929629</v>
      </c>
      <c r="AG31" s="82">
        <f t="shared" si="5"/>
        <v>-6.2385890222742546E-3</v>
      </c>
      <c r="AH31">
        <v>6.625</v>
      </c>
      <c r="AI31">
        <v>30208.691819205633</v>
      </c>
      <c r="AJ31" t="s">
        <v>82</v>
      </c>
      <c r="AK31">
        <v>6.625</v>
      </c>
      <c r="AL31">
        <v>140.05518598392598</v>
      </c>
      <c r="AM31" s="82">
        <f t="shared" si="6"/>
        <v>-2.3883055837643496E-3</v>
      </c>
      <c r="AN31">
        <v>6.625</v>
      </c>
      <c r="AO31">
        <v>25228.193932630715</v>
      </c>
      <c r="AP31" t="s">
        <v>82</v>
      </c>
      <c r="AQ31">
        <v>6.625</v>
      </c>
      <c r="AR31">
        <v>140.05852232339637</v>
      </c>
      <c r="AS31" s="82">
        <f t="shared" si="7"/>
        <v>-9.8063250021596104E-4</v>
      </c>
      <c r="AT31">
        <v>6.625</v>
      </c>
      <c r="AU31">
        <v>23561.404575529221</v>
      </c>
      <c r="AV31" t="s">
        <v>82</v>
      </c>
      <c r="AW31">
        <v>6.625</v>
      </c>
      <c r="AX31">
        <v>140.0496212649341</v>
      </c>
      <c r="AY31" s="82">
        <f t="shared" si="8"/>
        <v>-9.5294840605220088E-5</v>
      </c>
      <c r="AZ31">
        <v>6.625</v>
      </c>
      <c r="BA31">
        <v>22632.19396079905</v>
      </c>
      <c r="BB31" t="s">
        <v>82</v>
      </c>
      <c r="BC31">
        <v>6.625</v>
      </c>
      <c r="BD31">
        <v>140.04110064911154</v>
      </c>
      <c r="BE31" s="82">
        <f t="shared" si="9"/>
        <v>7.4709340714207428E-4</v>
      </c>
      <c r="BF31">
        <v>6.625</v>
      </c>
      <c r="BG31">
        <v>23838.531723065164</v>
      </c>
      <c r="BH31" t="s">
        <v>82</v>
      </c>
      <c r="BI31">
        <v>6.625</v>
      </c>
      <c r="BJ31">
        <v>140.04230041718259</v>
      </c>
      <c r="BK31" s="82">
        <f t="shared" si="10"/>
        <v>5.1222886438040405E-4</v>
      </c>
      <c r="BL31">
        <v>6.625</v>
      </c>
      <c r="BM31">
        <v>24197.925205837215</v>
      </c>
      <c r="BN31" t="s">
        <v>82</v>
      </c>
      <c r="BO31">
        <v>6.625</v>
      </c>
      <c r="BP31">
        <v>140.04278132785799</v>
      </c>
      <c r="BQ31" s="82">
        <f t="shared" si="11"/>
        <v>4.214342020247841E-4</v>
      </c>
      <c r="BR31">
        <v>6.625</v>
      </c>
      <c r="BS31">
        <v>24865.487442246136</v>
      </c>
      <c r="BT31" t="s">
        <v>82</v>
      </c>
      <c r="BU31">
        <v>6.625</v>
      </c>
      <c r="BV31">
        <v>140.04281803216762</v>
      </c>
      <c r="BW31" s="82">
        <f t="shared" si="12"/>
        <v>4.149106093507271E-4</v>
      </c>
      <c r="BX31">
        <v>6.625</v>
      </c>
      <c r="BY31">
        <v>25737.616688070953</v>
      </c>
      <c r="BZ31" t="s">
        <v>82</v>
      </c>
      <c r="CA31">
        <v>6.625</v>
      </c>
      <c r="CB31">
        <v>140.04194003897908</v>
      </c>
      <c r="CC31" s="82">
        <f t="shared" si="13"/>
        <v>5.5173579053757749E-4</v>
      </c>
      <c r="CD31">
        <v>6.625</v>
      </c>
      <c r="CE31">
        <v>26886.290143595128</v>
      </c>
      <c r="CF31" t="s">
        <v>82</v>
      </c>
      <c r="CG31">
        <v>6.625</v>
      </c>
      <c r="CH31">
        <v>140.05139212827356</v>
      </c>
      <c r="CI31" s="82">
        <f t="shared" si="14"/>
        <v>3.6122381260383918E-5</v>
      </c>
      <c r="CJ31">
        <v>6.625</v>
      </c>
      <c r="CK31">
        <v>27469.980726120404</v>
      </c>
      <c r="CL31" t="s">
        <v>82</v>
      </c>
      <c r="CM31">
        <v>6.625</v>
      </c>
      <c r="CN31">
        <v>139.96505874739094</v>
      </c>
      <c r="CO31" s="82">
        <f t="shared" si="15"/>
        <v>-1.0969185673161519E-2</v>
      </c>
      <c r="CP31">
        <v>6.625</v>
      </c>
      <c r="CQ31">
        <v>45475.603322369789</v>
      </c>
      <c r="CR31" t="s">
        <v>82</v>
      </c>
      <c r="CS31">
        <v>6.625</v>
      </c>
      <c r="CT31">
        <v>139.47974440201958</v>
      </c>
      <c r="CU31" s="82">
        <f t="shared" si="16"/>
        <v>-2.9934565558704662E-2</v>
      </c>
      <c r="CV31">
        <v>6.625</v>
      </c>
      <c r="CW31">
        <v>74104.623978415199</v>
      </c>
      <c r="CX31" t="s">
        <v>82</v>
      </c>
      <c r="CY31">
        <v>6.625</v>
      </c>
      <c r="CZ31">
        <v>138.84517762942866</v>
      </c>
      <c r="DA31" s="82">
        <f t="shared" si="17"/>
        <v>-4.2446111602487235E-2</v>
      </c>
      <c r="DB31">
        <v>6.625</v>
      </c>
      <c r="DC31">
        <v>93367.876990260076</v>
      </c>
      <c r="DD31" t="s">
        <v>82</v>
      </c>
      <c r="DG31" s="82">
        <f t="shared" si="18"/>
        <v>0</v>
      </c>
      <c r="DM31" s="82">
        <f t="shared" si="19"/>
        <v>0</v>
      </c>
    </row>
    <row r="32" spans="1:117" x14ac:dyDescent="0.2">
      <c r="A32">
        <v>6.875</v>
      </c>
      <c r="B32">
        <v>139.64422791728697</v>
      </c>
      <c r="C32" s="82">
        <f t="shared" si="0"/>
        <v>-1.9205076317376779E-2</v>
      </c>
      <c r="D32">
        <v>6.875</v>
      </c>
      <c r="E32">
        <v>46372.373228271405</v>
      </c>
      <c r="F32" t="s">
        <v>82</v>
      </c>
      <c r="G32">
        <v>6.875</v>
      </c>
      <c r="H32">
        <v>139.72393797328388</v>
      </c>
      <c r="I32" s="82">
        <f t="shared" si="1"/>
        <v>-1.8185683633618055E-2</v>
      </c>
      <c r="J32">
        <v>6.875</v>
      </c>
      <c r="K32">
        <v>45371.370601895876</v>
      </c>
      <c r="L32" t="s">
        <v>82</v>
      </c>
      <c r="M32">
        <v>6.875</v>
      </c>
      <c r="N32">
        <v>139.80481620721628</v>
      </c>
      <c r="O32" s="82">
        <f t="shared" si="2"/>
        <v>-1.7150322041999289E-2</v>
      </c>
      <c r="P32">
        <v>6.875</v>
      </c>
      <c r="Q32">
        <v>44373.513813289086</v>
      </c>
      <c r="R32" t="s">
        <v>82</v>
      </c>
      <c r="S32">
        <v>6.875</v>
      </c>
      <c r="T32">
        <v>139.8685264210462</v>
      </c>
      <c r="U32" s="82">
        <f t="shared" si="3"/>
        <v>-1.4188756065124153E-2</v>
      </c>
      <c r="V32">
        <v>6.875</v>
      </c>
      <c r="W32">
        <v>40588.7881631973</v>
      </c>
      <c r="X32" t="s">
        <v>82</v>
      </c>
      <c r="Y32">
        <v>6.875</v>
      </c>
      <c r="Z32">
        <v>139.92853820000127</v>
      </c>
      <c r="AA32" s="82">
        <f t="shared" si="4"/>
        <v>-1.0681243675463747E-2</v>
      </c>
      <c r="AB32">
        <v>6.875</v>
      </c>
      <c r="AC32">
        <v>36038.136336351541</v>
      </c>
      <c r="AD32" t="s">
        <v>82</v>
      </c>
      <c r="AE32">
        <v>6.875</v>
      </c>
      <c r="AF32">
        <v>139.98960294820139</v>
      </c>
      <c r="AG32" s="82">
        <f t="shared" si="5"/>
        <v>-7.1172710948985696E-3</v>
      </c>
      <c r="AH32">
        <v>6.875</v>
      </c>
      <c r="AI32">
        <v>31440.364379078179</v>
      </c>
      <c r="AJ32" t="s">
        <v>82</v>
      </c>
      <c r="AK32">
        <v>6.875</v>
      </c>
      <c r="AL32">
        <v>140.05168693473738</v>
      </c>
      <c r="AM32" s="82">
        <f t="shared" si="6"/>
        <v>-3.4990491886048858E-3</v>
      </c>
      <c r="AN32">
        <v>6.875</v>
      </c>
      <c r="AO32">
        <v>26801.654453314928</v>
      </c>
      <c r="AP32" t="s">
        <v>82</v>
      </c>
      <c r="AQ32">
        <v>6.875</v>
      </c>
      <c r="AR32">
        <v>140.05668382539167</v>
      </c>
      <c r="AS32" s="82">
        <f t="shared" si="7"/>
        <v>-1.8384980047017052E-3</v>
      </c>
      <c r="AT32">
        <v>6.875</v>
      </c>
      <c r="AU32">
        <v>24756.795069142547</v>
      </c>
      <c r="AV32" t="s">
        <v>82</v>
      </c>
      <c r="AW32">
        <v>6.875</v>
      </c>
      <c r="AX32">
        <v>140.04903314820712</v>
      </c>
      <c r="AY32" s="82">
        <f t="shared" si="8"/>
        <v>-5.8811672698766415E-4</v>
      </c>
      <c r="AZ32">
        <v>6.875</v>
      </c>
      <c r="BA32">
        <v>23282.872190463459</v>
      </c>
      <c r="BB32" t="s">
        <v>82</v>
      </c>
      <c r="BC32">
        <v>6.875</v>
      </c>
      <c r="BD32">
        <v>140.0417033832905</v>
      </c>
      <c r="BE32" s="82">
        <f t="shared" si="9"/>
        <v>6.0273417895473358E-4</v>
      </c>
      <c r="BF32">
        <v>6.875</v>
      </c>
      <c r="BG32">
        <v>23658.063914998027</v>
      </c>
      <c r="BH32" t="s">
        <v>82</v>
      </c>
      <c r="BI32">
        <v>6.875</v>
      </c>
      <c r="BJ32">
        <v>140.04259326090488</v>
      </c>
      <c r="BK32" s="82">
        <f t="shared" si="10"/>
        <v>2.9284372229199107E-4</v>
      </c>
      <c r="BL32">
        <v>6.875</v>
      </c>
      <c r="BM32">
        <v>23905.316583182499</v>
      </c>
      <c r="BN32" t="s">
        <v>82</v>
      </c>
      <c r="BO32">
        <v>6.875</v>
      </c>
      <c r="BP32">
        <v>140.04295410449529</v>
      </c>
      <c r="BQ32" s="82">
        <f t="shared" si="11"/>
        <v>1.7277663729942105E-4</v>
      </c>
      <c r="BR32">
        <v>6.875</v>
      </c>
      <c r="BS32">
        <v>24529.128177821509</v>
      </c>
      <c r="BT32" t="s">
        <v>82</v>
      </c>
      <c r="BU32">
        <v>6.875</v>
      </c>
      <c r="BV32">
        <v>140.04298224759722</v>
      </c>
      <c r="BW32" s="82">
        <f t="shared" si="12"/>
        <v>1.642154296064291E-4</v>
      </c>
      <c r="BX32">
        <v>6.875</v>
      </c>
      <c r="BY32">
        <v>25398.222720424572</v>
      </c>
      <c r="BZ32" t="s">
        <v>82</v>
      </c>
      <c r="CA32">
        <v>6.875</v>
      </c>
      <c r="CB32">
        <v>140.0422883985587</v>
      </c>
      <c r="CC32" s="82">
        <f t="shared" si="13"/>
        <v>3.4835957961831809E-4</v>
      </c>
      <c r="CD32">
        <v>6.875</v>
      </c>
      <c r="CE32">
        <v>26617.659708090476</v>
      </c>
      <c r="CF32" t="s">
        <v>82</v>
      </c>
      <c r="CG32">
        <v>6.875</v>
      </c>
      <c r="CH32">
        <v>140.05093210412664</v>
      </c>
      <c r="CI32" s="82">
        <f t="shared" si="14"/>
        <v>-4.6002414691770355E-4</v>
      </c>
      <c r="CJ32">
        <v>6.875</v>
      </c>
      <c r="CK32">
        <v>28125.648290895053</v>
      </c>
      <c r="CL32" t="s">
        <v>82</v>
      </c>
      <c r="CM32">
        <v>6.875</v>
      </c>
      <c r="CN32">
        <v>139.95273045662563</v>
      </c>
      <c r="CO32" s="82">
        <f t="shared" si="15"/>
        <v>-1.2328290765310612E-2</v>
      </c>
      <c r="CP32">
        <v>6.875</v>
      </c>
      <c r="CQ32">
        <v>47432.764343708812</v>
      </c>
      <c r="CR32" t="s">
        <v>82</v>
      </c>
      <c r="CS32">
        <v>6.875</v>
      </c>
      <c r="CT32">
        <v>139.44927567446979</v>
      </c>
      <c r="CU32" s="82">
        <f t="shared" si="16"/>
        <v>-3.0468727549788355E-2</v>
      </c>
      <c r="CV32">
        <v>6.875</v>
      </c>
      <c r="CW32">
        <v>74859.663608606017</v>
      </c>
      <c r="CX32" t="s">
        <v>82</v>
      </c>
      <c r="CY32">
        <v>6.875</v>
      </c>
      <c r="CZ32">
        <v>138.80276963540743</v>
      </c>
      <c r="DA32" s="82">
        <f t="shared" si="17"/>
        <v>-4.2407994021232298E-2</v>
      </c>
      <c r="DB32">
        <v>6.875</v>
      </c>
      <c r="DC32">
        <v>93289.401445389973</v>
      </c>
      <c r="DD32" t="s">
        <v>82</v>
      </c>
      <c r="DG32" s="82">
        <f t="shared" si="18"/>
        <v>0</v>
      </c>
      <c r="DM32" s="82">
        <f t="shared" si="19"/>
        <v>0</v>
      </c>
    </row>
    <row r="33" spans="1:117" x14ac:dyDescent="0.2">
      <c r="A33">
        <v>7.125</v>
      </c>
      <c r="B33">
        <v>139.62510634311704</v>
      </c>
      <c r="C33" s="82">
        <f t="shared" si="0"/>
        <v>-1.9121574169929545E-2</v>
      </c>
      <c r="D33">
        <v>7.125</v>
      </c>
      <c r="E33">
        <v>46180.776844667336</v>
      </c>
      <c r="F33" t="s">
        <v>82</v>
      </c>
      <c r="G33">
        <v>7.125</v>
      </c>
      <c r="H33">
        <v>139.70570999217585</v>
      </c>
      <c r="I33" s="82">
        <f t="shared" si="1"/>
        <v>-1.822798110802637E-2</v>
      </c>
      <c r="J33">
        <v>7.125</v>
      </c>
      <c r="K33">
        <v>45366.777794833477</v>
      </c>
      <c r="L33" t="s">
        <v>82</v>
      </c>
      <c r="M33">
        <v>7.125</v>
      </c>
      <c r="N33">
        <v>139.78749684093754</v>
      </c>
      <c r="O33" s="82">
        <f t="shared" si="2"/>
        <v>-1.7319366278741199E-2</v>
      </c>
      <c r="P33">
        <v>7.125</v>
      </c>
      <c r="Q33">
        <v>44557.306568152031</v>
      </c>
      <c r="R33" t="s">
        <v>82</v>
      </c>
      <c r="S33">
        <v>7.125</v>
      </c>
      <c r="T33">
        <v>139.85397097249862</v>
      </c>
      <c r="U33" s="82">
        <f t="shared" si="3"/>
        <v>-1.4555448547582728E-2</v>
      </c>
      <c r="V33">
        <v>7.125</v>
      </c>
      <c r="W33">
        <v>41064.74919737751</v>
      </c>
      <c r="X33" t="s">
        <v>82</v>
      </c>
      <c r="Y33">
        <v>7.125</v>
      </c>
      <c r="Z33">
        <v>139.91727118707431</v>
      </c>
      <c r="AA33" s="82">
        <f t="shared" si="4"/>
        <v>-1.1267012926964526E-2</v>
      </c>
      <c r="AB33">
        <v>7.125</v>
      </c>
      <c r="AC33">
        <v>36837.53612534445</v>
      </c>
      <c r="AD33" t="s">
        <v>82</v>
      </c>
      <c r="AE33">
        <v>7.125</v>
      </c>
      <c r="AF33">
        <v>139.98167652337111</v>
      </c>
      <c r="AG33" s="82">
        <f t="shared" si="5"/>
        <v>-7.9264248302877149E-3</v>
      </c>
      <c r="AH33">
        <v>7.125</v>
      </c>
      <c r="AI33">
        <v>32569.341260592708</v>
      </c>
      <c r="AJ33" t="s">
        <v>82</v>
      </c>
      <c r="AK33">
        <v>7.125</v>
      </c>
      <c r="AL33">
        <v>140.04715128487564</v>
      </c>
      <c r="AM33" s="82">
        <f t="shared" si="6"/>
        <v>-4.5356498617366015E-3</v>
      </c>
      <c r="AN33">
        <v>7.125</v>
      </c>
      <c r="AO33">
        <v>28265.893435958995</v>
      </c>
      <c r="AP33" t="s">
        <v>82</v>
      </c>
      <c r="AQ33">
        <v>7.125</v>
      </c>
      <c r="AR33">
        <v>140.05406381062966</v>
      </c>
      <c r="AS33" s="82">
        <f t="shared" si="7"/>
        <v>-2.6200147620158987E-3</v>
      </c>
      <c r="AT33">
        <v>7.125</v>
      </c>
      <c r="AU33">
        <v>25839.405257665461</v>
      </c>
      <c r="AV33" t="s">
        <v>82</v>
      </c>
      <c r="AW33">
        <v>7.125</v>
      </c>
      <c r="AX33">
        <v>140.04803032041792</v>
      </c>
      <c r="AY33" s="82">
        <f t="shared" si="8"/>
        <v>-1.0028277891933612E-3</v>
      </c>
      <c r="AZ33">
        <v>7.125</v>
      </c>
      <c r="BA33">
        <v>23817.727492568145</v>
      </c>
      <c r="BB33" t="s">
        <v>82</v>
      </c>
      <c r="BC33">
        <v>7.125</v>
      </c>
      <c r="BD33">
        <v>140.04224165044909</v>
      </c>
      <c r="BE33" s="82">
        <f t="shared" si="9"/>
        <v>5.3826715858917851E-4</v>
      </c>
      <c r="BF33">
        <v>7.125</v>
      </c>
      <c r="BG33">
        <v>23596.579964413475</v>
      </c>
      <c r="BH33" t="s">
        <v>82</v>
      </c>
      <c r="BI33">
        <v>7.125</v>
      </c>
      <c r="BJ33">
        <v>140.0427461593643</v>
      </c>
      <c r="BK33" s="82">
        <f t="shared" si="10"/>
        <v>1.5289845941879321E-4</v>
      </c>
      <c r="BL33">
        <v>7.125</v>
      </c>
      <c r="BM33">
        <v>23730.925784054154</v>
      </c>
      <c r="BN33" t="s">
        <v>82</v>
      </c>
      <c r="BO33">
        <v>7.125</v>
      </c>
      <c r="BP33">
        <v>140.04295748514082</v>
      </c>
      <c r="BQ33" s="82">
        <f t="shared" si="11"/>
        <v>3.3806455235207977E-6</v>
      </c>
      <c r="BR33">
        <v>7.125</v>
      </c>
      <c r="BS33">
        <v>24435.272730385626</v>
      </c>
      <c r="BT33" t="s">
        <v>82</v>
      </c>
      <c r="BU33">
        <v>7.125</v>
      </c>
      <c r="BV33">
        <v>140.04297502547223</v>
      </c>
      <c r="BW33" s="82">
        <f t="shared" si="12"/>
        <v>-7.2221249922677089E-6</v>
      </c>
      <c r="BX33">
        <v>7.125</v>
      </c>
      <c r="BY33">
        <v>25335.968093834406</v>
      </c>
      <c r="BZ33" t="s">
        <v>82</v>
      </c>
      <c r="CA33">
        <v>7.125</v>
      </c>
      <c r="CB33">
        <v>140.04251297029825</v>
      </c>
      <c r="CC33" s="82">
        <f t="shared" si="13"/>
        <v>2.2457173955103826E-4</v>
      </c>
      <c r="CD33">
        <v>7.125</v>
      </c>
      <c r="CE33">
        <v>26467.466287706651</v>
      </c>
      <c r="CF33" t="s">
        <v>82</v>
      </c>
      <c r="CG33">
        <v>7.125</v>
      </c>
      <c r="CH33">
        <v>140.05005407737281</v>
      </c>
      <c r="CI33" s="82">
        <f t="shared" si="14"/>
        <v>-8.7802675383841233E-4</v>
      </c>
      <c r="CJ33">
        <v>7.125</v>
      </c>
      <c r="CK33">
        <v>28665.535562265421</v>
      </c>
      <c r="CL33" t="s">
        <v>82</v>
      </c>
      <c r="CM33">
        <v>7.125</v>
      </c>
      <c r="CN33">
        <v>139.93909925717432</v>
      </c>
      <c r="CO33" s="82">
        <f t="shared" si="15"/>
        <v>-1.3631199451310749E-2</v>
      </c>
      <c r="CP33">
        <v>7.125</v>
      </c>
      <c r="CQ33">
        <v>49308.062346448351</v>
      </c>
      <c r="CR33" t="s">
        <v>82</v>
      </c>
      <c r="CS33">
        <v>7.125</v>
      </c>
      <c r="CT33">
        <v>139.41829405259293</v>
      </c>
      <c r="CU33" s="82">
        <f t="shared" si="16"/>
        <v>-3.0981621876861709E-2</v>
      </c>
      <c r="CV33">
        <v>7.125</v>
      </c>
      <c r="CW33">
        <v>75583.702208052811</v>
      </c>
      <c r="CX33" t="s">
        <v>82</v>
      </c>
      <c r="CY33">
        <v>7.125</v>
      </c>
      <c r="CZ33">
        <v>138.76039611252827</v>
      </c>
      <c r="DA33" s="82">
        <f t="shared" si="17"/>
        <v>-4.2373522879159964E-2</v>
      </c>
      <c r="DB33">
        <v>7.125</v>
      </c>
      <c r="DC33">
        <v>93216.219371271814</v>
      </c>
      <c r="DD33" t="s">
        <v>82</v>
      </c>
      <c r="DG33" s="82">
        <f t="shared" si="18"/>
        <v>0</v>
      </c>
      <c r="DM33" s="82">
        <f t="shared" si="19"/>
        <v>0</v>
      </c>
    </row>
    <row r="34" spans="1:117" x14ac:dyDescent="0.2">
      <c r="A34">
        <v>7.375</v>
      </c>
      <c r="B34">
        <v>139.60612538364984</v>
      </c>
      <c r="C34" s="82">
        <f t="shared" si="0"/>
        <v>-1.8980959467199909E-2</v>
      </c>
      <c r="D34">
        <v>7.375</v>
      </c>
      <c r="E34">
        <v>45903.966991997855</v>
      </c>
      <c r="F34" t="s">
        <v>82</v>
      </c>
      <c r="G34">
        <v>7.375</v>
      </c>
      <c r="H34">
        <v>139.68749723735806</v>
      </c>
      <c r="I34" s="82">
        <f t="shared" si="1"/>
        <v>-1.821275481779594E-2</v>
      </c>
      <c r="J34">
        <v>7.375</v>
      </c>
      <c r="K34">
        <v>45276.470081645159</v>
      </c>
      <c r="L34" t="s">
        <v>82</v>
      </c>
      <c r="M34">
        <v>7.375</v>
      </c>
      <c r="N34">
        <v>139.7700664020017</v>
      </c>
      <c r="O34" s="82">
        <f t="shared" si="2"/>
        <v>-1.7430438935832626E-2</v>
      </c>
      <c r="P34">
        <v>7.375</v>
      </c>
      <c r="Q34">
        <v>44654.835447255748</v>
      </c>
      <c r="R34" t="s">
        <v>82</v>
      </c>
      <c r="S34">
        <v>7.375</v>
      </c>
      <c r="T34">
        <v>139.83910965854017</v>
      </c>
      <c r="U34" s="82">
        <f t="shared" si="3"/>
        <v>-1.4861313958448363E-2</v>
      </c>
      <c r="V34">
        <v>7.375</v>
      </c>
      <c r="W34">
        <v>41450.381695368182</v>
      </c>
      <c r="X34" t="s">
        <v>82</v>
      </c>
      <c r="Y34">
        <v>7.375</v>
      </c>
      <c r="Z34">
        <v>139.90548291474153</v>
      </c>
      <c r="AA34" s="82">
        <f t="shared" si="4"/>
        <v>-1.178827233277957E-2</v>
      </c>
      <c r="AB34">
        <v>7.375</v>
      </c>
      <c r="AC34">
        <v>37541.36526493261</v>
      </c>
      <c r="AD34" t="s">
        <v>82</v>
      </c>
      <c r="AE34">
        <v>7.375</v>
      </c>
      <c r="AF34">
        <v>139.97300941475302</v>
      </c>
      <c r="AG34" s="82">
        <f t="shared" si="5"/>
        <v>-8.6671086180842849E-3</v>
      </c>
      <c r="AH34">
        <v>7.375</v>
      </c>
      <c r="AI34">
        <v>33597.115260774648</v>
      </c>
      <c r="AJ34" t="s">
        <v>82</v>
      </c>
      <c r="AK34">
        <v>7.375</v>
      </c>
      <c r="AL34">
        <v>140.04165176310994</v>
      </c>
      <c r="AM34" s="82">
        <f t="shared" si="6"/>
        <v>-5.4995217656994555E-3</v>
      </c>
      <c r="AN34">
        <v>7.375</v>
      </c>
      <c r="AO34">
        <v>29622.904468723387</v>
      </c>
      <c r="AP34" t="s">
        <v>82</v>
      </c>
      <c r="AQ34">
        <v>7.375</v>
      </c>
      <c r="AR34">
        <v>140.05073752698226</v>
      </c>
      <c r="AS34" s="82">
        <f t="shared" si="7"/>
        <v>-3.3262836473966217E-3</v>
      </c>
      <c r="AT34">
        <v>7.375</v>
      </c>
      <c r="AU34">
        <v>26810.769010836586</v>
      </c>
      <c r="AV34" t="s">
        <v>82</v>
      </c>
      <c r="AW34">
        <v>7.375</v>
      </c>
      <c r="AX34">
        <v>140.04669028872596</v>
      </c>
      <c r="AY34" s="82">
        <f t="shared" si="8"/>
        <v>-1.3400316919671695E-3</v>
      </c>
      <c r="AZ34">
        <v>7.375</v>
      </c>
      <c r="BA34">
        <v>24237.563408006576</v>
      </c>
      <c r="BB34" t="s">
        <v>82</v>
      </c>
      <c r="BC34">
        <v>7.375</v>
      </c>
      <c r="BD34">
        <v>140.04279524393343</v>
      </c>
      <c r="BE34" s="82">
        <f t="shared" si="9"/>
        <v>5.5359348434080857E-4</v>
      </c>
      <c r="BF34">
        <v>7.375</v>
      </c>
      <c r="BG34">
        <v>23654.023018400672</v>
      </c>
      <c r="BH34" t="s">
        <v>82</v>
      </c>
      <c r="BI34">
        <v>7.375</v>
      </c>
      <c r="BJ34">
        <v>140.04283833342839</v>
      </c>
      <c r="BK34" s="82">
        <f t="shared" si="10"/>
        <v>9.2174064093342167E-5</v>
      </c>
      <c r="BL34">
        <v>7.375</v>
      </c>
      <c r="BM34">
        <v>23674.520852711339</v>
      </c>
      <c r="BN34" t="s">
        <v>82</v>
      </c>
      <c r="BO34">
        <v>7.375</v>
      </c>
      <c r="BP34">
        <v>140.04287045763505</v>
      </c>
      <c r="BQ34" s="82">
        <f t="shared" si="11"/>
        <v>-8.7027505770720381E-5</v>
      </c>
      <c r="BR34">
        <v>7.375</v>
      </c>
      <c r="BS34">
        <v>24486.315779941164</v>
      </c>
      <c r="BT34" t="s">
        <v>82</v>
      </c>
      <c r="BU34">
        <v>7.375</v>
      </c>
      <c r="BV34">
        <v>140.04287533639814</v>
      </c>
      <c r="BW34" s="82">
        <f t="shared" si="12"/>
        <v>-9.9689074090747454E-5</v>
      </c>
      <c r="BX34">
        <v>7.375</v>
      </c>
      <c r="BY34">
        <v>25390.096977004017</v>
      </c>
      <c r="BZ34" t="s">
        <v>82</v>
      </c>
      <c r="CA34">
        <v>7.375</v>
      </c>
      <c r="CB34">
        <v>140.04269312711477</v>
      </c>
      <c r="CC34" s="82">
        <f t="shared" si="13"/>
        <v>1.8015681652627791E-4</v>
      </c>
      <c r="CD34">
        <v>7.375</v>
      </c>
      <c r="CE34">
        <v>26435.492905986572</v>
      </c>
      <c r="CF34" t="s">
        <v>82</v>
      </c>
      <c r="CG34">
        <v>7.375</v>
      </c>
      <c r="CH34">
        <v>140.04883544388599</v>
      </c>
      <c r="CI34" s="82">
        <f t="shared" si="14"/>
        <v>-1.2186334868147242E-3</v>
      </c>
      <c r="CJ34">
        <v>7.375</v>
      </c>
      <c r="CK34">
        <v>29090.644911816173</v>
      </c>
      <c r="CL34" t="s">
        <v>82</v>
      </c>
      <c r="CM34">
        <v>7.375</v>
      </c>
      <c r="CN34">
        <v>139.92421896632828</v>
      </c>
      <c r="CO34" s="82">
        <f t="shared" si="15"/>
        <v>-1.4880290846036814E-2</v>
      </c>
      <c r="CP34">
        <v>7.375</v>
      </c>
      <c r="CQ34">
        <v>51104.950984617899</v>
      </c>
      <c r="CR34" t="s">
        <v>82</v>
      </c>
      <c r="CS34">
        <v>7.375</v>
      </c>
      <c r="CT34">
        <v>139.38681991634226</v>
      </c>
      <c r="CU34" s="82">
        <f t="shared" si="16"/>
        <v>-3.1474136250665197E-2</v>
      </c>
      <c r="CV34">
        <v>7.375</v>
      </c>
      <c r="CW34">
        <v>76278.030843459099</v>
      </c>
      <c r="CX34" t="s">
        <v>82</v>
      </c>
      <c r="CY34">
        <v>7.375</v>
      </c>
      <c r="CZ34">
        <v>138.71805362002866</v>
      </c>
      <c r="DA34" s="82">
        <f t="shared" si="17"/>
        <v>-4.2342492499614082E-2</v>
      </c>
      <c r="DB34">
        <v>7.375</v>
      </c>
      <c r="DC34">
        <v>93148.029741369653</v>
      </c>
      <c r="DD34" t="s">
        <v>82</v>
      </c>
      <c r="DG34" s="82">
        <f t="shared" si="18"/>
        <v>0</v>
      </c>
      <c r="DM34" s="82">
        <f t="shared" si="19"/>
        <v>0</v>
      </c>
    </row>
    <row r="35" spans="1:117" x14ac:dyDescent="0.2">
      <c r="A35">
        <v>7.625</v>
      </c>
      <c r="B35">
        <v>139.58734237933277</v>
      </c>
      <c r="C35" s="82">
        <f t="shared" si="0"/>
        <v>-1.8783004317072027E-2</v>
      </c>
      <c r="D35">
        <v>7.625</v>
      </c>
      <c r="E35">
        <v>45541.555206701916</v>
      </c>
      <c r="F35" t="s">
        <v>82</v>
      </c>
      <c r="G35">
        <v>7.625</v>
      </c>
      <c r="H35">
        <v>139.66935731059806</v>
      </c>
      <c r="I35" s="82">
        <f t="shared" si="1"/>
        <v>-1.813992675999998E-2</v>
      </c>
      <c r="J35">
        <v>7.625</v>
      </c>
      <c r="K35">
        <v>45100.279979676314</v>
      </c>
      <c r="L35" t="s">
        <v>82</v>
      </c>
      <c r="M35">
        <v>7.625</v>
      </c>
      <c r="N35">
        <v>139.75258278169935</v>
      </c>
      <c r="O35" s="82">
        <f t="shared" si="2"/>
        <v>-1.7483620302357394E-2</v>
      </c>
      <c r="P35">
        <v>7.625</v>
      </c>
      <c r="Q35">
        <v>44666.166317062751</v>
      </c>
      <c r="R35" t="s">
        <v>82</v>
      </c>
      <c r="S35">
        <v>7.625</v>
      </c>
      <c r="T35">
        <v>139.8240029751625</v>
      </c>
      <c r="U35" s="82">
        <f t="shared" si="3"/>
        <v>-1.5106683377666741E-2</v>
      </c>
      <c r="V35">
        <v>7.625</v>
      </c>
      <c r="W35">
        <v>41746.122926936128</v>
      </c>
      <c r="X35" t="s">
        <v>82</v>
      </c>
      <c r="Y35">
        <v>7.625</v>
      </c>
      <c r="Z35">
        <v>139.89323725253172</v>
      </c>
      <c r="AA35" s="82">
        <f t="shared" si="4"/>
        <v>-1.2245662209807051E-2</v>
      </c>
      <c r="AB35">
        <v>7.625</v>
      </c>
      <c r="AC35">
        <v>38150.510209614687</v>
      </c>
      <c r="AD35" t="s">
        <v>82</v>
      </c>
      <c r="AE35">
        <v>7.625</v>
      </c>
      <c r="AF35">
        <v>139.96366912937034</v>
      </c>
      <c r="AG35" s="82">
        <f t="shared" si="5"/>
        <v>-9.3402853826773935E-3</v>
      </c>
      <c r="AH35">
        <v>7.625</v>
      </c>
      <c r="AI35">
        <v>34525.041266258188</v>
      </c>
      <c r="AJ35" t="s">
        <v>82</v>
      </c>
      <c r="AK35">
        <v>7.625</v>
      </c>
      <c r="AL35">
        <v>140.0352597890755</v>
      </c>
      <c r="AM35" s="82">
        <f t="shared" si="6"/>
        <v>-6.3919740344431375E-3</v>
      </c>
      <c r="AN35">
        <v>7.625</v>
      </c>
      <c r="AO35">
        <v>30874.536011093627</v>
      </c>
      <c r="AP35" t="s">
        <v>82</v>
      </c>
      <c r="AQ35">
        <v>7.625</v>
      </c>
      <c r="AR35">
        <v>140.04677923175831</v>
      </c>
      <c r="AS35" s="82">
        <f t="shared" si="7"/>
        <v>-3.9582952239527458E-3</v>
      </c>
      <c r="AT35">
        <v>7.625</v>
      </c>
      <c r="AU35">
        <v>27672.263679402822</v>
      </c>
      <c r="AV35" t="s">
        <v>82</v>
      </c>
      <c r="AW35">
        <v>7.625</v>
      </c>
      <c r="AX35">
        <v>140.04509007171512</v>
      </c>
      <c r="AY35" s="82">
        <f t="shared" si="8"/>
        <v>-1.6002170108322389E-3</v>
      </c>
      <c r="AZ35">
        <v>7.625</v>
      </c>
      <c r="BA35">
        <v>24543.015856637565</v>
      </c>
      <c r="BB35" t="s">
        <v>82</v>
      </c>
      <c r="BC35">
        <v>7.625</v>
      </c>
      <c r="BD35">
        <v>140.04344397895846</v>
      </c>
      <c r="BE35" s="82">
        <f t="shared" si="9"/>
        <v>6.4873502503814962E-4</v>
      </c>
      <c r="BF35">
        <v>7.625</v>
      </c>
      <c r="BG35">
        <v>23830.51412856318</v>
      </c>
      <c r="BH35" t="s">
        <v>82</v>
      </c>
      <c r="BI35">
        <v>7.625</v>
      </c>
      <c r="BJ35">
        <v>140.04294890894514</v>
      </c>
      <c r="BK35" s="82">
        <f t="shared" si="10"/>
        <v>1.1057551674298338E-4</v>
      </c>
      <c r="BL35">
        <v>7.625</v>
      </c>
      <c r="BM35">
        <v>23736.052620152997</v>
      </c>
      <c r="BN35" t="s">
        <v>82</v>
      </c>
      <c r="BO35">
        <v>7.625</v>
      </c>
      <c r="BP35">
        <v>140.04277186415004</v>
      </c>
      <c r="BQ35" s="82">
        <f t="shared" si="11"/>
        <v>-9.859348500640408E-5</v>
      </c>
      <c r="BR35">
        <v>7.625</v>
      </c>
      <c r="BS35">
        <v>24419.987600301476</v>
      </c>
      <c r="BT35" t="s">
        <v>82</v>
      </c>
      <c r="BU35">
        <v>7.625</v>
      </c>
      <c r="BV35">
        <v>140.04276199663377</v>
      </c>
      <c r="BW35" s="82">
        <f t="shared" si="12"/>
        <v>-1.133397643684475E-4</v>
      </c>
      <c r="BX35">
        <v>7.625</v>
      </c>
      <c r="BY35">
        <v>25326.894366089608</v>
      </c>
      <c r="BZ35" t="s">
        <v>82</v>
      </c>
      <c r="CA35">
        <v>7.625</v>
      </c>
      <c r="CB35">
        <v>140.04290816434548</v>
      </c>
      <c r="CC35" s="82">
        <f t="shared" si="13"/>
        <v>2.1503723070281922E-4</v>
      </c>
      <c r="CD35">
        <v>7.625</v>
      </c>
      <c r="CE35">
        <v>26521.726436579964</v>
      </c>
      <c r="CF35" t="s">
        <v>82</v>
      </c>
      <c r="CG35">
        <v>7.625</v>
      </c>
      <c r="CH35">
        <v>140.04735299220005</v>
      </c>
      <c r="CI35" s="82">
        <f t="shared" si="14"/>
        <v>-1.4824516859448522E-3</v>
      </c>
      <c r="CJ35">
        <v>7.625</v>
      </c>
      <c r="CK35">
        <v>29401.772284652929</v>
      </c>
      <c r="CL35" t="s">
        <v>82</v>
      </c>
      <c r="CM35">
        <v>7.625</v>
      </c>
      <c r="CN35">
        <v>139.90814112855534</v>
      </c>
      <c r="CO35" s="82">
        <f t="shared" si="15"/>
        <v>-1.6077837772940029E-2</v>
      </c>
      <c r="CP35">
        <v>7.625</v>
      </c>
      <c r="CQ35">
        <v>52826.731407057516</v>
      </c>
      <c r="CR35" t="s">
        <v>82</v>
      </c>
      <c r="CS35">
        <v>7.625</v>
      </c>
      <c r="CT35">
        <v>139.3548727996932</v>
      </c>
      <c r="CU35" s="82">
        <f t="shared" si="16"/>
        <v>-3.1947116649064355E-2</v>
      </c>
      <c r="CV35">
        <v>7.625</v>
      </c>
      <c r="CW35">
        <v>76943.879767339546</v>
      </c>
      <c r="CX35" t="s">
        <v>82</v>
      </c>
      <c r="CY35">
        <v>7.625</v>
      </c>
      <c r="CZ35">
        <v>138.67573891571016</v>
      </c>
      <c r="DA35" s="82">
        <f t="shared" si="17"/>
        <v>-4.2314704318499707E-2</v>
      </c>
      <c r="DB35">
        <v>7.625</v>
      </c>
      <c r="DC35">
        <v>93084.541798954568</v>
      </c>
      <c r="DD35" t="s">
        <v>82</v>
      </c>
      <c r="DG35" s="82">
        <f t="shared" si="18"/>
        <v>0</v>
      </c>
      <c r="DM35" s="82">
        <f t="shared" si="19"/>
        <v>0</v>
      </c>
    </row>
    <row r="36" spans="1:117" x14ac:dyDescent="0.2">
      <c r="A36">
        <v>7.875</v>
      </c>
      <c r="B36">
        <v>139.56881496513802</v>
      </c>
      <c r="C36" s="82">
        <f t="shared" si="0"/>
        <v>-1.8527414194750236E-2</v>
      </c>
      <c r="D36">
        <v>7.875</v>
      </c>
      <c r="E36">
        <v>45093.054019510935</v>
      </c>
      <c r="F36" t="s">
        <v>82</v>
      </c>
      <c r="G36">
        <v>7.875</v>
      </c>
      <c r="H36">
        <v>139.65134796083544</v>
      </c>
      <c r="I36" s="82">
        <f t="shared" si="1"/>
        <v>-1.8009349762621696E-2</v>
      </c>
      <c r="J36">
        <v>7.875</v>
      </c>
      <c r="K36">
        <v>44837.937318635384</v>
      </c>
      <c r="L36" t="s">
        <v>82</v>
      </c>
      <c r="M36">
        <v>7.875</v>
      </c>
      <c r="N36">
        <v>139.73510386290562</v>
      </c>
      <c r="O36" s="82">
        <f t="shared" si="2"/>
        <v>-1.7478918793727871E-2</v>
      </c>
      <c r="P36">
        <v>7.875</v>
      </c>
      <c r="Q36">
        <v>44591.258475257222</v>
      </c>
      <c r="R36" t="s">
        <v>82</v>
      </c>
      <c r="S36">
        <v>7.875</v>
      </c>
      <c r="T36">
        <v>139.80871116263066</v>
      </c>
      <c r="U36" s="82">
        <f t="shared" si="3"/>
        <v>-1.5291812531842197E-2</v>
      </c>
      <c r="V36">
        <v>7.875</v>
      </c>
      <c r="W36">
        <v>41952.297938004354</v>
      </c>
      <c r="X36" t="s">
        <v>82</v>
      </c>
      <c r="Y36">
        <v>7.875</v>
      </c>
      <c r="Z36">
        <v>139.8805975151131</v>
      </c>
      <c r="AA36" s="82">
        <f t="shared" si="4"/>
        <v>-1.2639737418624009E-2</v>
      </c>
      <c r="AB36">
        <v>7.875</v>
      </c>
      <c r="AC36">
        <v>38665.7317903929</v>
      </c>
      <c r="AD36" t="s">
        <v>82</v>
      </c>
      <c r="AE36">
        <v>7.875</v>
      </c>
      <c r="AF36">
        <v>139.95372230504512</v>
      </c>
      <c r="AG36" s="82">
        <f t="shared" si="5"/>
        <v>-9.9468243252260891E-3</v>
      </c>
      <c r="AH36">
        <v>7.875</v>
      </c>
      <c r="AI36">
        <v>35354.337953798728</v>
      </c>
      <c r="AJ36" t="s">
        <v>82</v>
      </c>
      <c r="AK36">
        <v>7.875</v>
      </c>
      <c r="AL36">
        <v>140.02804557602349</v>
      </c>
      <c r="AM36" s="82">
        <f t="shared" si="6"/>
        <v>-7.2142130520091996E-3</v>
      </c>
      <c r="AN36">
        <v>7.875</v>
      </c>
      <c r="AO36">
        <v>32022.491632961268</v>
      </c>
      <c r="AP36" t="s">
        <v>82</v>
      </c>
      <c r="AQ36">
        <v>7.875</v>
      </c>
      <c r="AR36">
        <v>140.04226230012421</v>
      </c>
      <c r="AS36" s="82">
        <f t="shared" si="7"/>
        <v>-4.5169316341002741E-3</v>
      </c>
      <c r="AT36">
        <v>7.875</v>
      </c>
      <c r="AU36">
        <v>28425.110913571658</v>
      </c>
      <c r="AV36" t="s">
        <v>82</v>
      </c>
      <c r="AW36">
        <v>7.875</v>
      </c>
      <c r="AX36">
        <v>140.04330631328364</v>
      </c>
      <c r="AY36" s="82">
        <f t="shared" si="8"/>
        <v>-1.7837584314861488E-3</v>
      </c>
      <c r="AZ36">
        <v>7.875</v>
      </c>
      <c r="BA36">
        <v>24734.554180054773</v>
      </c>
      <c r="BB36" t="s">
        <v>82</v>
      </c>
      <c r="BC36">
        <v>7.875</v>
      </c>
      <c r="BD36">
        <v>140.04426781276391</v>
      </c>
      <c r="BE36" s="82">
        <f t="shared" si="9"/>
        <v>8.2383380544115425E-4</v>
      </c>
      <c r="BF36">
        <v>7.875</v>
      </c>
      <c r="BG36">
        <v>24126.351580644099</v>
      </c>
      <c r="BH36" t="s">
        <v>82</v>
      </c>
      <c r="BI36">
        <v>7.875</v>
      </c>
      <c r="BJ36">
        <v>140.04315704004122</v>
      </c>
      <c r="BK36" s="82">
        <f t="shared" si="10"/>
        <v>2.0813109608752711E-4</v>
      </c>
      <c r="BL36">
        <v>7.875</v>
      </c>
      <c r="BM36">
        <v>23915.65384382175</v>
      </c>
      <c r="BN36" t="s">
        <v>82</v>
      </c>
      <c r="BO36">
        <v>7.875</v>
      </c>
      <c r="BP36">
        <v>140.04274052852216</v>
      </c>
      <c r="BQ36" s="82">
        <f t="shared" si="11"/>
        <v>-3.1335627880935135E-5</v>
      </c>
      <c r="BR36">
        <v>7.875</v>
      </c>
      <c r="BS36">
        <v>24360.625561027995</v>
      </c>
      <c r="BT36" t="s">
        <v>82</v>
      </c>
      <c r="BU36">
        <v>7.875</v>
      </c>
      <c r="BV36">
        <v>140.04271379997965</v>
      </c>
      <c r="BW36" s="82">
        <f t="shared" si="12"/>
        <v>-4.8196654120147286E-5</v>
      </c>
      <c r="BX36">
        <v>7.875</v>
      </c>
      <c r="BY36">
        <v>25217.276335450246</v>
      </c>
      <c r="BZ36" t="s">
        <v>82</v>
      </c>
      <c r="CA36">
        <v>7.875</v>
      </c>
      <c r="CB36">
        <v>140.0432374369914</v>
      </c>
      <c r="CC36" s="82">
        <f t="shared" si="13"/>
        <v>3.2927264592785832E-4</v>
      </c>
      <c r="CD36">
        <v>7.875</v>
      </c>
      <c r="CE36">
        <v>26726.356731986449</v>
      </c>
      <c r="CF36" t="s">
        <v>82</v>
      </c>
      <c r="CG36">
        <v>7.875</v>
      </c>
      <c r="CH36">
        <v>140.04568304265038</v>
      </c>
      <c r="CI36" s="82">
        <f t="shared" si="14"/>
        <v>-1.6699495496652617E-3</v>
      </c>
      <c r="CJ36">
        <v>7.875</v>
      </c>
      <c r="CK36">
        <v>29599.508964795285</v>
      </c>
      <c r="CL36" t="s">
        <v>82</v>
      </c>
      <c r="CM36">
        <v>7.875</v>
      </c>
      <c r="CN36">
        <v>139.8909151172177</v>
      </c>
      <c r="CO36" s="82">
        <f t="shared" si="15"/>
        <v>-1.7226011337641012E-2</v>
      </c>
      <c r="CP36">
        <v>7.875</v>
      </c>
      <c r="CQ36">
        <v>54476.558307691761</v>
      </c>
      <c r="CR36" t="s">
        <v>82</v>
      </c>
      <c r="CS36">
        <v>7.875</v>
      </c>
      <c r="CT36">
        <v>139.32247143058146</v>
      </c>
      <c r="CU36" s="82">
        <f t="shared" si="16"/>
        <v>-3.2401369111738632E-2</v>
      </c>
      <c r="CV36">
        <v>7.875</v>
      </c>
      <c r="CW36">
        <v>77582.421000906106</v>
      </c>
      <c r="CX36" t="s">
        <v>82</v>
      </c>
      <c r="CY36">
        <v>7.875</v>
      </c>
      <c r="CZ36">
        <v>138.63344894925092</v>
      </c>
      <c r="DA36" s="82">
        <f t="shared" si="17"/>
        <v>-4.2289966459236439E-2</v>
      </c>
      <c r="DB36">
        <v>7.875</v>
      </c>
      <c r="DC36">
        <v>93025.474461521779</v>
      </c>
      <c r="DD36" t="s">
        <v>82</v>
      </c>
      <c r="DG36" s="82">
        <f t="shared" si="18"/>
        <v>0</v>
      </c>
      <c r="DM36" s="82">
        <f t="shared" si="19"/>
        <v>0</v>
      </c>
    </row>
    <row r="37" spans="1:117" x14ac:dyDescent="0.2">
      <c r="A37">
        <v>8.125</v>
      </c>
      <c r="B37">
        <v>139.55060113718037</v>
      </c>
      <c r="C37" s="82">
        <f t="shared" si="0"/>
        <v>-1.8213827957652029E-2</v>
      </c>
      <c r="D37">
        <v>8.125</v>
      </c>
      <c r="E37">
        <v>44557.876942743555</v>
      </c>
      <c r="F37" t="s">
        <v>82</v>
      </c>
      <c r="G37">
        <v>8.125</v>
      </c>
      <c r="H37">
        <v>139.63352715316918</v>
      </c>
      <c r="I37" s="82">
        <f t="shared" si="1"/>
        <v>-1.7820807666254268E-2</v>
      </c>
      <c r="J37">
        <v>8.125</v>
      </c>
      <c r="K37">
        <v>44489.069476517696</v>
      </c>
      <c r="L37" t="s">
        <v>82</v>
      </c>
      <c r="M37">
        <v>8.125</v>
      </c>
      <c r="N37">
        <v>139.71768759155194</v>
      </c>
      <c r="O37" s="82">
        <f t="shared" si="2"/>
        <v>-1.7416271353681623E-2</v>
      </c>
      <c r="P37">
        <v>8.125</v>
      </c>
      <c r="Q37">
        <v>44429.965182737942</v>
      </c>
      <c r="R37" t="s">
        <v>82</v>
      </c>
      <c r="S37">
        <v>8.125</v>
      </c>
      <c r="T37">
        <v>139.79329428049894</v>
      </c>
      <c r="U37" s="82">
        <f t="shared" si="3"/>
        <v>-1.5416882131717102E-2</v>
      </c>
      <c r="V37">
        <v>8.125</v>
      </c>
      <c r="W37">
        <v>42069.119574817109</v>
      </c>
      <c r="X37" t="s">
        <v>82</v>
      </c>
      <c r="Y37">
        <v>8.125</v>
      </c>
      <c r="Z37">
        <v>139.86762654659623</v>
      </c>
      <c r="AA37" s="82">
        <f t="shared" si="4"/>
        <v>-1.2970968516867742E-2</v>
      </c>
      <c r="AB37">
        <v>8.125</v>
      </c>
      <c r="AC37">
        <v>39087.666680382434</v>
      </c>
      <c r="AD37" t="s">
        <v>82</v>
      </c>
      <c r="AE37">
        <v>8.125</v>
      </c>
      <c r="AF37">
        <v>139.9432348025245</v>
      </c>
      <c r="AG37" s="82">
        <f t="shared" si="5"/>
        <v>-1.0487502520618364E-2</v>
      </c>
      <c r="AH37">
        <v>8.125</v>
      </c>
      <c r="AI37">
        <v>36086.089534667961</v>
      </c>
      <c r="AJ37" t="s">
        <v>82</v>
      </c>
      <c r="AK37">
        <v>8.125</v>
      </c>
      <c r="AL37">
        <v>140.02007823144979</v>
      </c>
      <c r="AM37" s="82">
        <f t="shared" si="6"/>
        <v>-7.9673445737000748E-3</v>
      </c>
      <c r="AN37">
        <v>8.125</v>
      </c>
      <c r="AO37">
        <v>33068.331122535703</v>
      </c>
      <c r="AP37" t="s">
        <v>82</v>
      </c>
      <c r="AQ37">
        <v>8.125</v>
      </c>
      <c r="AR37">
        <v>140.03725933179379</v>
      </c>
      <c r="AS37" s="82">
        <f t="shared" si="7"/>
        <v>-5.0029683304160244E-3</v>
      </c>
      <c r="AT37">
        <v>8.125</v>
      </c>
      <c r="AU37">
        <v>29070.377862199697</v>
      </c>
      <c r="AV37" t="s">
        <v>82</v>
      </c>
      <c r="AW37">
        <v>8.125</v>
      </c>
      <c r="AX37">
        <v>140.04141539545853</v>
      </c>
      <c r="AY37" s="82">
        <f t="shared" si="8"/>
        <v>-1.8909178251078629E-3</v>
      </c>
      <c r="AZ37">
        <v>8.125</v>
      </c>
      <c r="BA37">
        <v>24812.482194320852</v>
      </c>
      <c r="BB37" t="s">
        <v>82</v>
      </c>
      <c r="BC37">
        <v>8.125</v>
      </c>
      <c r="BD37">
        <v>140.04534696433333</v>
      </c>
      <c r="BE37" s="82">
        <f t="shared" si="9"/>
        <v>1.0791515694279497E-3</v>
      </c>
      <c r="BF37">
        <v>8.125</v>
      </c>
      <c r="BG37">
        <v>24542.010594762884</v>
      </c>
      <c r="BH37" t="s">
        <v>82</v>
      </c>
      <c r="BI37">
        <v>8.125</v>
      </c>
      <c r="BJ37">
        <v>140.04354203196709</v>
      </c>
      <c r="BK37" s="82">
        <f t="shared" si="10"/>
        <v>3.8499192586982645E-4</v>
      </c>
      <c r="BL37">
        <v>8.125</v>
      </c>
      <c r="BM37">
        <v>24213.638681617762</v>
      </c>
      <c r="BN37" t="s">
        <v>82</v>
      </c>
      <c r="BO37">
        <v>8.125</v>
      </c>
      <c r="BP37">
        <v>140.04285538300525</v>
      </c>
      <c r="BQ37" s="82">
        <f t="shared" si="11"/>
        <v>1.1485448308690138E-4</v>
      </c>
      <c r="BR37">
        <v>8.125</v>
      </c>
      <c r="BS37">
        <v>24612.595948902454</v>
      </c>
      <c r="BT37" t="s">
        <v>82</v>
      </c>
      <c r="BU37">
        <v>8.125</v>
      </c>
      <c r="BV37">
        <v>140.04280964911709</v>
      </c>
      <c r="BW37" s="82">
        <f t="shared" si="12"/>
        <v>9.5849137437653553E-5</v>
      </c>
      <c r="BX37">
        <v>8.125</v>
      </c>
      <c r="BY37">
        <v>25466.028927538842</v>
      </c>
      <c r="BZ37" t="s">
        <v>82</v>
      </c>
      <c r="CA37">
        <v>8.125</v>
      </c>
      <c r="CB37">
        <v>140.0437604965108</v>
      </c>
      <c r="CC37" s="82">
        <f t="shared" si="13"/>
        <v>5.2305951939501938E-4</v>
      </c>
      <c r="CD37">
        <v>8.125</v>
      </c>
      <c r="CE37">
        <v>27049.776257305683</v>
      </c>
      <c r="CF37" t="s">
        <v>82</v>
      </c>
      <c r="CG37">
        <v>8.125</v>
      </c>
      <c r="CH37">
        <v>140.04390158513638</v>
      </c>
      <c r="CI37" s="82">
        <f t="shared" si="14"/>
        <v>-1.7814575139993849E-3</v>
      </c>
      <c r="CJ37">
        <v>8.125</v>
      </c>
      <c r="CK37">
        <v>29684.243187496326</v>
      </c>
      <c r="CL37" t="s">
        <v>82</v>
      </c>
      <c r="CM37">
        <v>8.125</v>
      </c>
      <c r="CN37">
        <v>139.8725882319321</v>
      </c>
      <c r="CO37" s="82">
        <f t="shared" si="15"/>
        <v>-1.8326885285603112E-2</v>
      </c>
      <c r="CP37">
        <v>8.125</v>
      </c>
      <c r="CQ37">
        <v>56057.445847064453</v>
      </c>
      <c r="CR37" t="s">
        <v>82</v>
      </c>
      <c r="CS37">
        <v>8.125</v>
      </c>
      <c r="CT37">
        <v>139.28963376918188</v>
      </c>
      <c r="CU37" s="82">
        <f t="shared" si="16"/>
        <v>-3.2837661399582885E-2</v>
      </c>
      <c r="CV37">
        <v>8.125</v>
      </c>
      <c r="CW37">
        <v>78194.770771788812</v>
      </c>
      <c r="CX37" t="s">
        <v>82</v>
      </c>
      <c r="CY37">
        <v>8.125</v>
      </c>
      <c r="CZ37">
        <v>138.59118085592661</v>
      </c>
      <c r="DA37" s="82">
        <f t="shared" si="17"/>
        <v>-4.226809332431003E-2</v>
      </c>
      <c r="DB37">
        <v>8.125</v>
      </c>
      <c r="DC37">
        <v>92970.555698323631</v>
      </c>
      <c r="DD37" t="s">
        <v>82</v>
      </c>
      <c r="DG37" s="82">
        <f t="shared" si="18"/>
        <v>0</v>
      </c>
      <c r="DM37" s="82">
        <f t="shared" si="19"/>
        <v>0</v>
      </c>
    </row>
    <row r="38" spans="1:117" x14ac:dyDescent="0.2">
      <c r="A38">
        <v>8.375</v>
      </c>
      <c r="B38">
        <v>139.53275931935349</v>
      </c>
      <c r="C38" s="82">
        <f t="shared" si="0"/>
        <v>-1.7841817826877104E-2</v>
      </c>
      <c r="D38">
        <v>8.375</v>
      </c>
      <c r="E38">
        <v>43935.338444046858</v>
      </c>
      <c r="F38" t="s">
        <v>82</v>
      </c>
      <c r="G38">
        <v>8.375</v>
      </c>
      <c r="H38">
        <v>139.61595313769567</v>
      </c>
      <c r="I38" s="82">
        <f t="shared" si="1"/>
        <v>-1.7574015473513782E-2</v>
      </c>
      <c r="J38">
        <v>8.375</v>
      </c>
      <c r="K38">
        <v>44053.201549840625</v>
      </c>
      <c r="L38" t="s">
        <v>82</v>
      </c>
      <c r="M38">
        <v>8.375</v>
      </c>
      <c r="N38">
        <v>139.70039204780474</v>
      </c>
      <c r="O38" s="82">
        <f t="shared" si="2"/>
        <v>-1.7295543747195552E-2</v>
      </c>
      <c r="P38">
        <v>8.375</v>
      </c>
      <c r="Q38">
        <v>44182.034047354929</v>
      </c>
      <c r="R38" t="s">
        <v>82</v>
      </c>
      <c r="S38">
        <v>8.375</v>
      </c>
      <c r="T38">
        <v>139.77781228280386</v>
      </c>
      <c r="U38" s="82">
        <f t="shared" si="3"/>
        <v>-1.5481997695076188E-2</v>
      </c>
      <c r="V38">
        <v>8.375</v>
      </c>
      <c r="W38">
        <v>42096.688515100883</v>
      </c>
      <c r="X38" t="s">
        <v>82</v>
      </c>
      <c r="Y38">
        <v>8.375</v>
      </c>
      <c r="Z38">
        <v>139.8543868038108</v>
      </c>
      <c r="AA38" s="82">
        <f t="shared" si="4"/>
        <v>-1.3239742785430053E-2</v>
      </c>
      <c r="AB38">
        <v>8.375</v>
      </c>
      <c r="AC38">
        <v>39416.828727519642</v>
      </c>
      <c r="AD38" t="s">
        <v>82</v>
      </c>
      <c r="AE38">
        <v>8.375</v>
      </c>
      <c r="AF38">
        <v>139.93227179613444</v>
      </c>
      <c r="AG38" s="82">
        <f t="shared" si="5"/>
        <v>-1.0963006390056762E-2</v>
      </c>
      <c r="AH38">
        <v>8.375</v>
      </c>
      <c r="AI38">
        <v>36721.247462643216</v>
      </c>
      <c r="AJ38" t="s">
        <v>82</v>
      </c>
      <c r="AK38">
        <v>8.375</v>
      </c>
      <c r="AL38">
        <v>140.01142585574263</v>
      </c>
      <c r="AM38" s="82">
        <f t="shared" si="6"/>
        <v>-8.6523757071574892E-3</v>
      </c>
      <c r="AN38">
        <v>8.375</v>
      </c>
      <c r="AO38">
        <v>34013.472013463041</v>
      </c>
      <c r="AP38" t="s">
        <v>82</v>
      </c>
      <c r="AQ38">
        <v>8.375</v>
      </c>
      <c r="AR38">
        <v>140.03184225611764</v>
      </c>
      <c r="AS38" s="82">
        <f t="shared" si="7"/>
        <v>-5.4170756761493521E-3</v>
      </c>
      <c r="AT38">
        <v>8.375</v>
      </c>
      <c r="AU38">
        <v>29608.978613418531</v>
      </c>
      <c r="AV38" t="s">
        <v>82</v>
      </c>
      <c r="AW38">
        <v>8.375</v>
      </c>
      <c r="AX38">
        <v>140.03949355035255</v>
      </c>
      <c r="AY38" s="82">
        <f t="shared" si="8"/>
        <v>-1.9218451059828112E-3</v>
      </c>
      <c r="AZ38">
        <v>8.375</v>
      </c>
      <c r="BA38">
        <v>24776.939131819094</v>
      </c>
      <c r="BB38" t="s">
        <v>82</v>
      </c>
      <c r="BC38">
        <v>8.375</v>
      </c>
      <c r="BD38">
        <v>140.04676203388348</v>
      </c>
      <c r="BE38" s="82">
        <f t="shared" si="9"/>
        <v>1.4150695501484734E-3</v>
      </c>
      <c r="BF38">
        <v>8.375</v>
      </c>
      <c r="BG38">
        <v>25078.143276330607</v>
      </c>
      <c r="BH38" t="s">
        <v>82</v>
      </c>
      <c r="BI38">
        <v>8.375</v>
      </c>
      <c r="BJ38">
        <v>140.04418346364216</v>
      </c>
      <c r="BK38" s="82">
        <f t="shared" si="10"/>
        <v>6.4143167506358623E-4</v>
      </c>
      <c r="BL38">
        <v>8.375</v>
      </c>
      <c r="BM38">
        <v>24630.502523443254</v>
      </c>
      <c r="BN38" t="s">
        <v>82</v>
      </c>
      <c r="BO38">
        <v>8.375</v>
      </c>
      <c r="BP38">
        <v>140.04319559470991</v>
      </c>
      <c r="BQ38" s="82">
        <f t="shared" si="11"/>
        <v>3.4021170466758122E-4</v>
      </c>
      <c r="BR38">
        <v>8.375</v>
      </c>
      <c r="BS38">
        <v>24982.806176725811</v>
      </c>
      <c r="BT38" t="s">
        <v>82</v>
      </c>
      <c r="BU38">
        <v>8.375</v>
      </c>
      <c r="BV38">
        <v>140.04312868661728</v>
      </c>
      <c r="BW38" s="82">
        <f t="shared" si="12"/>
        <v>3.1903750019068866E-4</v>
      </c>
      <c r="BX38">
        <v>8.375</v>
      </c>
      <c r="BY38">
        <v>25832.990568574642</v>
      </c>
      <c r="BZ38" t="s">
        <v>82</v>
      </c>
      <c r="CA38">
        <v>8.375</v>
      </c>
      <c r="CB38">
        <v>140.04455722746155</v>
      </c>
      <c r="CC38" s="82">
        <f t="shared" si="13"/>
        <v>7.967309507534992E-4</v>
      </c>
      <c r="CD38">
        <v>8.375</v>
      </c>
      <c r="CE38">
        <v>27492.580071042776</v>
      </c>
      <c r="CF38" t="s">
        <v>82</v>
      </c>
      <c r="CG38">
        <v>8.375</v>
      </c>
      <c r="CH38">
        <v>140.04208441582381</v>
      </c>
      <c r="CI38" s="82">
        <f t="shared" si="14"/>
        <v>-1.8171693125736965E-3</v>
      </c>
      <c r="CJ38">
        <v>8.375</v>
      </c>
      <c r="CK38">
        <v>29656.161378902518</v>
      </c>
      <c r="CL38" t="s">
        <v>82</v>
      </c>
      <c r="CM38">
        <v>8.375</v>
      </c>
      <c r="CN38">
        <v>139.85320579174737</v>
      </c>
      <c r="CO38" s="82">
        <f t="shared" si="15"/>
        <v>-1.9382440184728011E-2</v>
      </c>
      <c r="CP38">
        <v>8.375</v>
      </c>
      <c r="CQ38">
        <v>57572.273422275874</v>
      </c>
      <c r="CR38" t="s">
        <v>82</v>
      </c>
      <c r="CS38">
        <v>8.375</v>
      </c>
      <c r="CT38">
        <v>139.25637704455903</v>
      </c>
      <c r="CU38" s="82">
        <f t="shared" si="16"/>
        <v>-3.3256724622845013E-2</v>
      </c>
      <c r="CV38">
        <v>8.375</v>
      </c>
      <c r="CW38">
        <v>78781.991853384839</v>
      </c>
      <c r="CX38" t="s">
        <v>82</v>
      </c>
      <c r="CY38">
        <v>8.375</v>
      </c>
      <c r="CZ38">
        <v>138.54893195070485</v>
      </c>
      <c r="DA38" s="82">
        <f t="shared" si="17"/>
        <v>-4.2248905221754285E-2</v>
      </c>
      <c r="DB38">
        <v>8.375</v>
      </c>
      <c r="DC38">
        <v>92919.522008802771</v>
      </c>
      <c r="DD38" t="s">
        <v>82</v>
      </c>
      <c r="DG38" s="82">
        <f t="shared" si="18"/>
        <v>0</v>
      </c>
      <c r="DM38" s="82">
        <f t="shared" si="19"/>
        <v>0</v>
      </c>
    </row>
    <row r="39" spans="1:117" x14ac:dyDescent="0.2">
      <c r="A39">
        <v>8.625</v>
      </c>
      <c r="B39">
        <v>139.51534843012516</v>
      </c>
      <c r="C39" s="82">
        <f t="shared" si="0"/>
        <v>-1.7410889228330007E-2</v>
      </c>
      <c r="D39">
        <v>8.625</v>
      </c>
      <c r="E39">
        <v>43224.653712996478</v>
      </c>
      <c r="F39" t="s">
        <v>82</v>
      </c>
      <c r="G39">
        <v>8.625</v>
      </c>
      <c r="H39">
        <v>139.59868451833776</v>
      </c>
      <c r="I39" s="82">
        <f t="shared" si="1"/>
        <v>-1.72686193579068E-2</v>
      </c>
      <c r="J39">
        <v>8.625</v>
      </c>
      <c r="K39">
        <v>43529.756354739104</v>
      </c>
      <c r="L39" t="s">
        <v>82</v>
      </c>
      <c r="M39">
        <v>8.625</v>
      </c>
      <c r="N39">
        <v>139.68327551702077</v>
      </c>
      <c r="O39" s="82">
        <f t="shared" si="2"/>
        <v>-1.71165307839658E-2</v>
      </c>
      <c r="P39">
        <v>8.625</v>
      </c>
      <c r="Q39">
        <v>43847.107299258714</v>
      </c>
      <c r="R39" t="s">
        <v>82</v>
      </c>
      <c r="S39">
        <v>8.625</v>
      </c>
      <c r="T39">
        <v>139.76232509322159</v>
      </c>
      <c r="U39" s="82">
        <f t="shared" si="3"/>
        <v>-1.5487189582273686E-2</v>
      </c>
      <c r="V39">
        <v>8.625</v>
      </c>
      <c r="W39">
        <v>42034.993931305522</v>
      </c>
      <c r="X39" t="s">
        <v>82</v>
      </c>
      <c r="Y39">
        <v>8.625</v>
      </c>
      <c r="Z39">
        <v>139.84094043868845</v>
      </c>
      <c r="AA39" s="82">
        <f t="shared" si="4"/>
        <v>-1.3446365122348425E-2</v>
      </c>
      <c r="AB39">
        <v>8.625</v>
      </c>
      <c r="AC39">
        <v>39653.610113199902</v>
      </c>
      <c r="AD39" t="s">
        <v>82</v>
      </c>
      <c r="AE39">
        <v>8.625</v>
      </c>
      <c r="AF39">
        <v>139.92089786305965</v>
      </c>
      <c r="AG39" s="82">
        <f t="shared" si="5"/>
        <v>-1.1373933074793285E-2</v>
      </c>
      <c r="AH39">
        <v>8.625</v>
      </c>
      <c r="AI39">
        <v>37260.632110550185</v>
      </c>
      <c r="AJ39" t="s">
        <v>82</v>
      </c>
      <c r="AK39">
        <v>8.625</v>
      </c>
      <c r="AL39">
        <v>140.00215563899948</v>
      </c>
      <c r="AM39" s="82">
        <f t="shared" si="6"/>
        <v>-9.2702167431468752E-3</v>
      </c>
      <c r="AN39">
        <v>8.625</v>
      </c>
      <c r="AO39">
        <v>34859.191340210462</v>
      </c>
      <c r="AP39" t="s">
        <v>82</v>
      </c>
      <c r="AQ39">
        <v>8.625</v>
      </c>
      <c r="AR39">
        <v>140.02608243578655</v>
      </c>
      <c r="AS39" s="82">
        <f t="shared" si="7"/>
        <v>-5.759820331093124E-3</v>
      </c>
      <c r="AT39">
        <v>8.625</v>
      </c>
      <c r="AU39">
        <v>30041.675561762782</v>
      </c>
      <c r="AV39" t="s">
        <v>82</v>
      </c>
      <c r="AW39">
        <v>8.625</v>
      </c>
      <c r="AX39">
        <v>140.03761697136505</v>
      </c>
      <c r="AY39" s="82">
        <f t="shared" si="8"/>
        <v>-1.8765789874919392E-3</v>
      </c>
      <c r="AZ39">
        <v>8.625</v>
      </c>
      <c r="BA39">
        <v>24627.90055075441</v>
      </c>
      <c r="BB39" t="s">
        <v>82</v>
      </c>
      <c r="BC39">
        <v>8.625</v>
      </c>
      <c r="BD39">
        <v>140.04859412223172</v>
      </c>
      <c r="BE39" s="82">
        <f t="shared" si="9"/>
        <v>1.8320883482374484E-3</v>
      </c>
      <c r="BF39">
        <v>8.625</v>
      </c>
      <c r="BG39">
        <v>25735.578911812041</v>
      </c>
      <c r="BH39" t="s">
        <v>82</v>
      </c>
      <c r="BI39">
        <v>8.625</v>
      </c>
      <c r="BJ39">
        <v>140.0451613101022</v>
      </c>
      <c r="BK39" s="82">
        <f t="shared" si="10"/>
        <v>9.7784646004583919E-4</v>
      </c>
      <c r="BL39">
        <v>8.625</v>
      </c>
      <c r="BM39">
        <v>25166.922192410551</v>
      </c>
      <c r="BN39" t="s">
        <v>82</v>
      </c>
      <c r="BO39">
        <v>8.625</v>
      </c>
      <c r="BP39">
        <v>140.04384069187805</v>
      </c>
      <c r="BQ39" s="82">
        <f t="shared" si="11"/>
        <v>6.4509716813176965E-4</v>
      </c>
      <c r="BR39">
        <v>8.625</v>
      </c>
      <c r="BS39">
        <v>25471.884415031906</v>
      </c>
      <c r="BT39" t="s">
        <v>82</v>
      </c>
      <c r="BU39">
        <v>8.625</v>
      </c>
      <c r="BV39">
        <v>140.0437504258081</v>
      </c>
      <c r="BW39" s="82">
        <f t="shared" si="12"/>
        <v>6.2173919081942586E-4</v>
      </c>
      <c r="BX39">
        <v>8.625</v>
      </c>
      <c r="BY39">
        <v>26318.807535092164</v>
      </c>
      <c r="BZ39" t="s">
        <v>82</v>
      </c>
      <c r="CA39">
        <v>8.625</v>
      </c>
      <c r="CB39">
        <v>140.04570798416472</v>
      </c>
      <c r="CC39" s="82">
        <f t="shared" si="13"/>
        <v>1.1507567031685539E-3</v>
      </c>
      <c r="CD39">
        <v>8.625</v>
      </c>
      <c r="CE39">
        <v>28055.566218942913</v>
      </c>
      <c r="CF39" t="s">
        <v>82</v>
      </c>
      <c r="CG39">
        <v>8.625</v>
      </c>
      <c r="CH39">
        <v>140.04030727297391</v>
      </c>
      <c r="CI39" s="82">
        <f t="shared" si="14"/>
        <v>-1.7771428499031572E-3</v>
      </c>
      <c r="CJ39">
        <v>8.625</v>
      </c>
      <c r="CK39">
        <v>29515.249207574285</v>
      </c>
      <c r="CL39" t="s">
        <v>82</v>
      </c>
      <c r="CM39">
        <v>8.625</v>
      </c>
      <c r="CN39">
        <v>139.83281122435864</v>
      </c>
      <c r="CO39" s="82">
        <f t="shared" si="15"/>
        <v>-2.0394567388734686E-2</v>
      </c>
      <c r="CP39">
        <v>8.625</v>
      </c>
      <c r="CQ39">
        <v>59023.791202704495</v>
      </c>
      <c r="CR39" t="s">
        <v>82</v>
      </c>
      <c r="CS39">
        <v>8.625</v>
      </c>
      <c r="CT39">
        <v>139.222717789809</v>
      </c>
      <c r="CU39" s="82">
        <f t="shared" si="16"/>
        <v>-3.3659254750034506E-2</v>
      </c>
      <c r="CV39">
        <v>8.625</v>
      </c>
      <c r="CW39">
        <v>79345.095774238958</v>
      </c>
      <c r="CX39" t="s">
        <v>82</v>
      </c>
      <c r="CY39">
        <v>8.625</v>
      </c>
      <c r="CZ39">
        <v>138.50669972272587</v>
      </c>
      <c r="DA39" s="82">
        <f t="shared" si="17"/>
        <v>-4.2232227978985293E-2</v>
      </c>
      <c r="DB39">
        <v>8.625</v>
      </c>
      <c r="DC39">
        <v>92872.117834358491</v>
      </c>
      <c r="DD39" t="s">
        <v>82</v>
      </c>
      <c r="DG39" s="82">
        <f t="shared" si="18"/>
        <v>0</v>
      </c>
      <c r="DM39" s="82">
        <f t="shared" si="19"/>
        <v>0</v>
      </c>
    </row>
    <row r="40" spans="1:117" x14ac:dyDescent="0.2">
      <c r="A40">
        <v>8.875</v>
      </c>
      <c r="B40">
        <v>139.498427949502</v>
      </c>
      <c r="C40" s="82">
        <f t="shared" si="0"/>
        <v>-1.6920480623156209E-2</v>
      </c>
      <c r="D40">
        <v>8.875</v>
      </c>
      <c r="E40">
        <v>42424.938435072727</v>
      </c>
      <c r="F40" t="s">
        <v>82</v>
      </c>
      <c r="G40">
        <v>8.875</v>
      </c>
      <c r="H40">
        <v>139.58178032170531</v>
      </c>
      <c r="I40" s="82">
        <f t="shared" si="1"/>
        <v>-1.6904196632452795E-2</v>
      </c>
      <c r="J40">
        <v>8.875</v>
      </c>
      <c r="K40">
        <v>42918.054372570841</v>
      </c>
      <c r="L40" t="s">
        <v>82</v>
      </c>
      <c r="M40">
        <v>8.875</v>
      </c>
      <c r="N40">
        <v>139.66639656058607</v>
      </c>
      <c r="O40" s="82">
        <f t="shared" si="2"/>
        <v>-1.687895643470938E-2</v>
      </c>
      <c r="P40">
        <v>8.875</v>
      </c>
      <c r="Q40">
        <v>43424.72192781161</v>
      </c>
      <c r="R40" t="s">
        <v>82</v>
      </c>
      <c r="S40">
        <v>8.875</v>
      </c>
      <c r="T40">
        <v>139.74689267972002</v>
      </c>
      <c r="U40" s="82">
        <f t="shared" si="3"/>
        <v>-1.5432413501571318E-2</v>
      </c>
      <c r="V40">
        <v>8.875</v>
      </c>
      <c r="W40">
        <v>41883.914650199855</v>
      </c>
      <c r="X40" t="s">
        <v>82</v>
      </c>
      <c r="Y40">
        <v>8.875</v>
      </c>
      <c r="Z40">
        <v>139.82734937980797</v>
      </c>
      <c r="AA40" s="82">
        <f t="shared" si="4"/>
        <v>-1.3591058880479068E-2</v>
      </c>
      <c r="AB40">
        <v>8.875</v>
      </c>
      <c r="AC40">
        <v>39798.282456541572</v>
      </c>
      <c r="AD40" t="s">
        <v>82</v>
      </c>
      <c r="AE40">
        <v>8.875</v>
      </c>
      <c r="AF40">
        <v>139.90917707143223</v>
      </c>
      <c r="AG40" s="82">
        <f t="shared" si="5"/>
        <v>-1.1720791627425342E-2</v>
      </c>
      <c r="AH40">
        <v>8.875</v>
      </c>
      <c r="AI40">
        <v>37704.934252119325</v>
      </c>
      <c r="AJ40" t="s">
        <v>82</v>
      </c>
      <c r="AK40">
        <v>8.875</v>
      </c>
      <c r="AL40">
        <v>139.99233395614326</v>
      </c>
      <c r="AM40" s="82">
        <f t="shared" si="6"/>
        <v>-9.8216828562271985E-3</v>
      </c>
      <c r="AN40">
        <v>8.875</v>
      </c>
      <c r="AO40">
        <v>35606.627444238082</v>
      </c>
      <c r="AP40" t="s">
        <v>82</v>
      </c>
      <c r="AQ40">
        <v>8.875</v>
      </c>
      <c r="AR40">
        <v>140.0200507692322</v>
      </c>
      <c r="AS40" s="82">
        <f t="shared" si="7"/>
        <v>-6.0316665543496129E-3</v>
      </c>
      <c r="AT40">
        <v>8.875</v>
      </c>
      <c r="AU40">
        <v>30369.080835862671</v>
      </c>
      <c r="AV40" t="s">
        <v>82</v>
      </c>
      <c r="AW40">
        <v>8.875</v>
      </c>
      <c r="AX40">
        <v>140.03586192385907</v>
      </c>
      <c r="AY40" s="82">
        <f t="shared" si="8"/>
        <v>-1.7550475059806558E-3</v>
      </c>
      <c r="AZ40">
        <v>8.875</v>
      </c>
      <c r="BA40">
        <v>24365.179008092622</v>
      </c>
      <c r="BB40" t="s">
        <v>82</v>
      </c>
      <c r="BC40">
        <v>8.875</v>
      </c>
      <c r="BD40">
        <v>140.05092495027213</v>
      </c>
      <c r="BE40" s="82">
        <f t="shared" si="9"/>
        <v>2.3308280404137349E-3</v>
      </c>
      <c r="BF40">
        <v>8.875</v>
      </c>
      <c r="BG40">
        <v>26515.324586925508</v>
      </c>
      <c r="BH40" t="s">
        <v>82</v>
      </c>
      <c r="BI40">
        <v>8.875</v>
      </c>
      <c r="BJ40">
        <v>140.04655606503678</v>
      </c>
      <c r="BK40" s="82">
        <f t="shared" si="10"/>
        <v>1.394754934580078E-3</v>
      </c>
      <c r="BL40">
        <v>8.875</v>
      </c>
      <c r="BM40">
        <v>25823.756477989809</v>
      </c>
      <c r="BN40" t="s">
        <v>82</v>
      </c>
      <c r="BO40">
        <v>8.875</v>
      </c>
      <c r="BP40">
        <v>140.0448706902292</v>
      </c>
      <c r="BQ40" s="82">
        <f t="shared" si="11"/>
        <v>1.0299983511572464E-3</v>
      </c>
      <c r="BR40">
        <v>8.875</v>
      </c>
      <c r="BS40">
        <v>26080.646357832775</v>
      </c>
      <c r="BT40" t="s">
        <v>82</v>
      </c>
      <c r="BU40">
        <v>8.875</v>
      </c>
      <c r="BV40">
        <v>140.04475488175351</v>
      </c>
      <c r="BW40" s="82">
        <f t="shared" si="12"/>
        <v>1.0044559454058799E-3</v>
      </c>
      <c r="BX40">
        <v>8.875</v>
      </c>
      <c r="BY40">
        <v>26924.320636374101</v>
      </c>
      <c r="BZ40" t="s">
        <v>82</v>
      </c>
      <c r="CA40">
        <v>8.875</v>
      </c>
      <c r="CB40">
        <v>140.0472937276721</v>
      </c>
      <c r="CC40" s="82">
        <f t="shared" si="13"/>
        <v>1.5857435073769466E-3</v>
      </c>
      <c r="CD40">
        <v>8.875</v>
      </c>
      <c r="CE40">
        <v>28739.736496761005</v>
      </c>
      <c r="CF40" t="s">
        <v>82</v>
      </c>
      <c r="CG40">
        <v>8.875</v>
      </c>
      <c r="CH40">
        <v>140.03864597219214</v>
      </c>
      <c r="CI40" s="82">
        <f t="shared" si="14"/>
        <v>-1.6613007817625203E-3</v>
      </c>
      <c r="CJ40">
        <v>8.875</v>
      </c>
      <c r="CK40">
        <v>29261.292296241481</v>
      </c>
      <c r="CL40" t="s">
        <v>82</v>
      </c>
      <c r="CM40">
        <v>8.875</v>
      </c>
      <c r="CN40">
        <v>139.81144615153053</v>
      </c>
      <c r="CO40" s="82">
        <f t="shared" si="15"/>
        <v>-2.1365072828103848E-2</v>
      </c>
      <c r="CP40">
        <v>8.875</v>
      </c>
      <c r="CQ40">
        <v>60414.625464908582</v>
      </c>
      <c r="CR40" t="s">
        <v>82</v>
      </c>
      <c r="CS40">
        <v>8.875</v>
      </c>
      <c r="CT40">
        <v>139.18867187573437</v>
      </c>
      <c r="CU40" s="82">
        <f t="shared" si="16"/>
        <v>-3.4045914074624761E-2</v>
      </c>
      <c r="CV40">
        <v>8.875</v>
      </c>
      <c r="CW40">
        <v>79885.044944562556</v>
      </c>
      <c r="CX40" t="s">
        <v>82</v>
      </c>
      <c r="CY40">
        <v>8.875</v>
      </c>
      <c r="CZ40">
        <v>138.46448183014692</v>
      </c>
      <c r="DA40" s="82">
        <f t="shared" si="17"/>
        <v>-4.2217892578946703E-2</v>
      </c>
      <c r="DB40">
        <v>8.875</v>
      </c>
      <c r="DC40">
        <v>92828.095033717895</v>
      </c>
      <c r="DD40" t="s">
        <v>82</v>
      </c>
      <c r="DG40" s="82">
        <f t="shared" si="18"/>
        <v>0</v>
      </c>
      <c r="DM40" s="82">
        <f t="shared" si="19"/>
        <v>0</v>
      </c>
    </row>
    <row r="41" spans="1:117" x14ac:dyDescent="0.2">
      <c r="A41">
        <v>9.125</v>
      </c>
      <c r="B41">
        <v>139.48205798628109</v>
      </c>
      <c r="C41" s="82">
        <f t="shared" si="0"/>
        <v>-1.6369963220910222E-2</v>
      </c>
      <c r="D41">
        <v>9.125</v>
      </c>
      <c r="E41">
        <v>41535.208413698223</v>
      </c>
      <c r="F41" t="s">
        <v>82</v>
      </c>
      <c r="G41">
        <v>9.125</v>
      </c>
      <c r="H41">
        <v>139.56530006607647</v>
      </c>
      <c r="I41" s="82">
        <f t="shared" si="1"/>
        <v>-1.6480255628835039E-2</v>
      </c>
      <c r="J41">
        <v>9.125</v>
      </c>
      <c r="K41">
        <v>42217.313565117125</v>
      </c>
      <c r="L41" t="s">
        <v>82</v>
      </c>
      <c r="M41">
        <v>9.125</v>
      </c>
      <c r="N41">
        <v>139.64981408669973</v>
      </c>
      <c r="O41" s="82">
        <f t="shared" si="2"/>
        <v>-1.6582473886330718E-2</v>
      </c>
      <c r="P41">
        <v>9.125</v>
      </c>
      <c r="Q41">
        <v>42914.309746220373</v>
      </c>
      <c r="R41" t="s">
        <v>82</v>
      </c>
      <c r="S41">
        <v>9.125</v>
      </c>
      <c r="T41">
        <v>139.73157512845347</v>
      </c>
      <c r="U41" s="82">
        <f t="shared" si="3"/>
        <v>-1.5317551266548435E-2</v>
      </c>
      <c r="V41">
        <v>9.125</v>
      </c>
      <c r="W41">
        <v>41643.220208944986</v>
      </c>
      <c r="X41" t="s">
        <v>82</v>
      </c>
      <c r="Y41">
        <v>9.125</v>
      </c>
      <c r="Z41">
        <v>139.81367541326799</v>
      </c>
      <c r="AA41" s="82">
        <f t="shared" si="4"/>
        <v>-1.3673966539982985E-2</v>
      </c>
      <c r="AB41">
        <v>9.125</v>
      </c>
      <c r="AC41">
        <v>39850.997704463451</v>
      </c>
      <c r="AD41" t="s">
        <v>82</v>
      </c>
      <c r="AE41">
        <v>9.125</v>
      </c>
      <c r="AF41">
        <v>139.89717306726473</v>
      </c>
      <c r="AG41" s="82">
        <f t="shared" si="5"/>
        <v>-1.2004004167494031E-2</v>
      </c>
      <c r="AH41">
        <v>9.125</v>
      </c>
      <c r="AI41">
        <v>38054.716550310484</v>
      </c>
      <c r="AJ41" t="s">
        <v>82</v>
      </c>
      <c r="AK41">
        <v>9.125</v>
      </c>
      <c r="AL41">
        <v>139.9820264605035</v>
      </c>
      <c r="AM41" s="82">
        <f t="shared" si="6"/>
        <v>-1.0307495639750641E-2</v>
      </c>
      <c r="AN41">
        <v>9.125</v>
      </c>
      <c r="AO41">
        <v>36256.781726129775</v>
      </c>
      <c r="AP41" t="s">
        <v>82</v>
      </c>
      <c r="AQ41">
        <v>9.125</v>
      </c>
      <c r="AR41">
        <v>140.01381779192047</v>
      </c>
      <c r="AS41" s="82">
        <f t="shared" si="7"/>
        <v>-6.2329773117255627E-3</v>
      </c>
      <c r="AT41">
        <v>9.125</v>
      </c>
      <c r="AU41">
        <v>30591.657580389136</v>
      </c>
      <c r="AV41" t="s">
        <v>82</v>
      </c>
      <c r="AW41">
        <v>9.125</v>
      </c>
      <c r="AX41">
        <v>140.03430485542458</v>
      </c>
      <c r="AY41" s="82">
        <f t="shared" si="8"/>
        <v>-1.5570684344936581E-3</v>
      </c>
      <c r="AZ41">
        <v>9.125</v>
      </c>
      <c r="BA41">
        <v>23988.424710886924</v>
      </c>
      <c r="BB41" t="s">
        <v>82</v>
      </c>
      <c r="BC41">
        <v>9.125</v>
      </c>
      <c r="BD41">
        <v>140.05383697876775</v>
      </c>
      <c r="BE41" s="82">
        <f t="shared" si="9"/>
        <v>2.9120284956150044E-3</v>
      </c>
      <c r="BF41">
        <v>9.125</v>
      </c>
      <c r="BG41">
        <v>27418.5661167896</v>
      </c>
      <c r="BH41" t="s">
        <v>82</v>
      </c>
      <c r="BI41">
        <v>9.125</v>
      </c>
      <c r="BJ41">
        <v>140.04844886361533</v>
      </c>
      <c r="BK41" s="82">
        <f t="shared" si="10"/>
        <v>1.8927985785524015E-3</v>
      </c>
      <c r="BL41">
        <v>9.125</v>
      </c>
      <c r="BM41">
        <v>26602.046900758753</v>
      </c>
      <c r="BN41" t="s">
        <v>82</v>
      </c>
      <c r="BO41">
        <v>9.125</v>
      </c>
      <c r="BP41">
        <v>140.04636621955197</v>
      </c>
      <c r="BQ41" s="82">
        <f t="shared" si="11"/>
        <v>1.4955293227671973E-3</v>
      </c>
      <c r="BR41">
        <v>9.125</v>
      </c>
      <c r="BS41">
        <v>26810.096029332424</v>
      </c>
      <c r="BT41" t="s">
        <v>82</v>
      </c>
      <c r="BU41">
        <v>9.125</v>
      </c>
      <c r="BV41">
        <v>140.0462227025443</v>
      </c>
      <c r="BW41" s="82">
        <f t="shared" si="12"/>
        <v>1.4678207907934393E-3</v>
      </c>
      <c r="BX41">
        <v>9.125</v>
      </c>
      <c r="BY41">
        <v>27650.566010687315</v>
      </c>
      <c r="BZ41" t="s">
        <v>82</v>
      </c>
      <c r="CA41">
        <v>9.125</v>
      </c>
      <c r="CB41">
        <v>140.04939616323</v>
      </c>
      <c r="CC41" s="82">
        <f t="shared" si="13"/>
        <v>2.1024355579015719E-3</v>
      </c>
      <c r="CD41">
        <v>9.125</v>
      </c>
      <c r="CE41">
        <v>29546.297600082456</v>
      </c>
      <c r="CF41" t="s">
        <v>82</v>
      </c>
      <c r="CG41">
        <v>9.125</v>
      </c>
      <c r="CH41">
        <v>140.03717654129997</v>
      </c>
      <c r="CI41" s="82">
        <f t="shared" si="14"/>
        <v>-1.4694308921718857E-3</v>
      </c>
      <c r="CJ41">
        <v>9.125</v>
      </c>
      <c r="CK41">
        <v>28893.87666408654</v>
      </c>
      <c r="CL41" t="s">
        <v>82</v>
      </c>
      <c r="CM41">
        <v>9.125</v>
      </c>
      <c r="CN41">
        <v>139.78915047087997</v>
      </c>
      <c r="CO41" s="82">
        <f t="shared" si="15"/>
        <v>-2.229568065055787E-2</v>
      </c>
      <c r="CP41">
        <v>9.125</v>
      </c>
      <c r="CQ41">
        <v>61747.283766519271</v>
      </c>
      <c r="CR41" t="s">
        <v>82</v>
      </c>
      <c r="CS41">
        <v>9.125</v>
      </c>
      <c r="CT41">
        <v>139.15425454314544</v>
      </c>
      <c r="CU41" s="82">
        <f t="shared" si="16"/>
        <v>-3.4417332588930094E-2</v>
      </c>
      <c r="CV41">
        <v>9.125</v>
      </c>
      <c r="CW41">
        <v>80402.754641038759</v>
      </c>
      <c r="CX41" t="s">
        <v>82</v>
      </c>
      <c r="CY41">
        <v>9.125</v>
      </c>
      <c r="CZ41">
        <v>138.42227609532566</v>
      </c>
      <c r="DA41" s="82">
        <f t="shared" si="17"/>
        <v>-4.2205734821266105E-2</v>
      </c>
      <c r="DB41">
        <v>9.125</v>
      </c>
      <c r="DC41">
        <v>92787.212398090283</v>
      </c>
      <c r="DD41" t="s">
        <v>82</v>
      </c>
      <c r="DG41" s="82">
        <f t="shared" si="18"/>
        <v>0</v>
      </c>
      <c r="DM41" s="82">
        <f t="shared" si="19"/>
        <v>0</v>
      </c>
    </row>
    <row r="42" spans="1:117" x14ac:dyDescent="0.2">
      <c r="A42">
        <v>9.375</v>
      </c>
      <c r="B42">
        <v>139.46629934565013</v>
      </c>
      <c r="C42" s="82">
        <f t="shared" si="0"/>
        <v>-1.5758640630963328E-2</v>
      </c>
      <c r="D42">
        <v>9.375</v>
      </c>
      <c r="E42">
        <v>40554.379146425141</v>
      </c>
      <c r="F42" t="s">
        <v>82</v>
      </c>
      <c r="G42">
        <v>9.375</v>
      </c>
      <c r="H42">
        <v>139.54930383058459</v>
      </c>
      <c r="I42" s="82">
        <f t="shared" si="1"/>
        <v>-1.5996235491883226E-2</v>
      </c>
      <c r="J42">
        <v>9.375</v>
      </c>
      <c r="K42">
        <v>41426.649107912097</v>
      </c>
      <c r="L42" t="s">
        <v>82</v>
      </c>
      <c r="M42">
        <v>9.375</v>
      </c>
      <c r="N42">
        <v>139.6335874212044</v>
      </c>
      <c r="O42" s="82">
        <f t="shared" si="2"/>
        <v>-1.6226665495338466E-2</v>
      </c>
      <c r="P42">
        <v>9.375</v>
      </c>
      <c r="Q42">
        <v>42315.197295761856</v>
      </c>
      <c r="R42" t="s">
        <v>82</v>
      </c>
      <c r="S42">
        <v>9.375</v>
      </c>
      <c r="T42">
        <v>139.71643271714518</v>
      </c>
      <c r="U42" s="82">
        <f t="shared" si="3"/>
        <v>-1.5142411308289638E-2</v>
      </c>
      <c r="V42">
        <v>9.375</v>
      </c>
      <c r="W42">
        <v>41312.571186394758</v>
      </c>
      <c r="X42" t="s">
        <v>82</v>
      </c>
      <c r="Y42">
        <v>9.375</v>
      </c>
      <c r="Z42">
        <v>139.79998026296673</v>
      </c>
      <c r="AA42" s="82">
        <f t="shared" si="4"/>
        <v>-1.3695150301259673E-2</v>
      </c>
      <c r="AB42">
        <v>9.375</v>
      </c>
      <c r="AC42">
        <v>39811.788906415495</v>
      </c>
      <c r="AD42" t="s">
        <v>82</v>
      </c>
      <c r="AE42">
        <v>9.375</v>
      </c>
      <c r="AF42">
        <v>139.88494916043979</v>
      </c>
      <c r="AG42" s="82">
        <f t="shared" si="5"/>
        <v>-1.2223906824942787E-2</v>
      </c>
      <c r="AH42">
        <v>9.375</v>
      </c>
      <c r="AI42">
        <v>38310.414784827386</v>
      </c>
      <c r="AJ42" t="s">
        <v>82</v>
      </c>
      <c r="AK42">
        <v>9.375</v>
      </c>
      <c r="AL42">
        <v>139.97129817594791</v>
      </c>
      <c r="AM42" s="82">
        <f t="shared" si="6"/>
        <v>-1.0728284555597156E-2</v>
      </c>
      <c r="AN42">
        <v>9.375</v>
      </c>
      <c r="AO42">
        <v>36810.520388402052</v>
      </c>
      <c r="AP42" t="s">
        <v>82</v>
      </c>
      <c r="AQ42">
        <v>9.375</v>
      </c>
      <c r="AR42">
        <v>140.00745377667207</v>
      </c>
      <c r="AS42" s="82">
        <f t="shared" si="7"/>
        <v>-6.3640152484083501E-3</v>
      </c>
      <c r="AT42">
        <v>9.375</v>
      </c>
      <c r="AU42">
        <v>30709.721090620384</v>
      </c>
      <c r="AV42" t="s">
        <v>82</v>
      </c>
      <c r="AW42">
        <v>9.375</v>
      </c>
      <c r="AX42">
        <v>140.03302250590014</v>
      </c>
      <c r="AY42" s="82">
        <f t="shared" si="8"/>
        <v>-1.2823495244447258E-3</v>
      </c>
      <c r="AZ42">
        <v>9.375</v>
      </c>
      <c r="BA42">
        <v>23497.126081820184</v>
      </c>
      <c r="BB42" t="s">
        <v>82</v>
      </c>
      <c r="BC42">
        <v>9.375</v>
      </c>
      <c r="BD42">
        <v>140.05741352873173</v>
      </c>
      <c r="BE42" s="82">
        <f t="shared" si="9"/>
        <v>3.576549963980824E-3</v>
      </c>
      <c r="BF42">
        <v>9.375</v>
      </c>
      <c r="BG42">
        <v>28446.669344764214</v>
      </c>
      <c r="BH42" t="s">
        <v>82</v>
      </c>
      <c r="BI42">
        <v>9.375</v>
      </c>
      <c r="BJ42">
        <v>140.05092160574776</v>
      </c>
      <c r="BK42" s="82">
        <f t="shared" si="10"/>
        <v>2.4727421324257648E-3</v>
      </c>
      <c r="BL42">
        <v>9.375</v>
      </c>
      <c r="BM42">
        <v>27503.018847147432</v>
      </c>
      <c r="BN42" t="s">
        <v>82</v>
      </c>
      <c r="BO42">
        <v>9.375</v>
      </c>
      <c r="BP42">
        <v>140.04840865076167</v>
      </c>
      <c r="BQ42" s="82">
        <f t="shared" si="11"/>
        <v>2.0424312097020447E-3</v>
      </c>
      <c r="BR42">
        <v>9.375</v>
      </c>
      <c r="BS42">
        <v>27661.426806771233</v>
      </c>
      <c r="BT42" t="s">
        <v>82</v>
      </c>
      <c r="BU42">
        <v>9.375</v>
      </c>
      <c r="BV42">
        <v>140.04823530108996</v>
      </c>
      <c r="BW42" s="82">
        <f t="shared" si="12"/>
        <v>2.0125985456616036E-3</v>
      </c>
      <c r="BX42">
        <v>9.375</v>
      </c>
      <c r="BY42">
        <v>28498.776327419597</v>
      </c>
      <c r="BZ42" t="s">
        <v>82</v>
      </c>
      <c r="CA42">
        <v>9.375</v>
      </c>
      <c r="CB42">
        <v>140.0520978785089</v>
      </c>
      <c r="CC42" s="82">
        <f t="shared" si="13"/>
        <v>2.7017152789028387E-3</v>
      </c>
      <c r="CD42">
        <v>9.375</v>
      </c>
      <c r="CE42">
        <v>30476.662543850089</v>
      </c>
      <c r="CF42" t="s">
        <v>82</v>
      </c>
      <c r="CG42">
        <v>9.375</v>
      </c>
      <c r="CH42">
        <v>140.03597535510016</v>
      </c>
      <c r="CI42" s="82">
        <f t="shared" si="14"/>
        <v>-1.2011861998075801E-3</v>
      </c>
      <c r="CJ42">
        <v>9.375</v>
      </c>
      <c r="CK42">
        <v>28412.388917607812</v>
      </c>
      <c r="CL42" t="s">
        <v>82</v>
      </c>
      <c r="CM42">
        <v>9.375</v>
      </c>
      <c r="CN42">
        <v>139.76596243421085</v>
      </c>
      <c r="CO42" s="82">
        <f t="shared" si="15"/>
        <v>-2.3188036669125722E-2</v>
      </c>
      <c r="CP42">
        <v>9.375</v>
      </c>
      <c r="CQ42">
        <v>63024.159845083952</v>
      </c>
      <c r="CR42" t="s">
        <v>82</v>
      </c>
      <c r="CS42">
        <v>9.375</v>
      </c>
      <c r="CT42">
        <v>139.11948043384416</v>
      </c>
      <c r="CU42" s="82">
        <f t="shared" si="16"/>
        <v>-3.4774109301281442E-2</v>
      </c>
      <c r="CV42">
        <v>9.375</v>
      </c>
      <c r="CW42">
        <v>80899.094938552356</v>
      </c>
      <c r="CX42" t="s">
        <v>82</v>
      </c>
      <c r="CY42">
        <v>9.375</v>
      </c>
      <c r="CZ42">
        <v>138.38008050036314</v>
      </c>
      <c r="DA42" s="82">
        <f t="shared" si="17"/>
        <v>-4.2195594962521454E-2</v>
      </c>
      <c r="DB42">
        <v>9.375</v>
      </c>
      <c r="DC42">
        <v>92749.235099504207</v>
      </c>
      <c r="DD42" t="s">
        <v>82</v>
      </c>
      <c r="DG42" s="82">
        <f t="shared" si="18"/>
        <v>0</v>
      </c>
      <c r="DM42" s="82">
        <f t="shared" si="19"/>
        <v>0</v>
      </c>
    </row>
    <row r="43" spans="1:117" x14ac:dyDescent="0.2">
      <c r="A43">
        <v>9.625</v>
      </c>
      <c r="B43">
        <v>139.45121359718829</v>
      </c>
      <c r="C43" s="82">
        <f t="shared" si="0"/>
        <v>-1.5085748461842741E-2</v>
      </c>
      <c r="D43">
        <v>9.625</v>
      </c>
      <c r="E43">
        <v>39481.265361250225</v>
      </c>
      <c r="F43" t="s">
        <v>82</v>
      </c>
      <c r="G43">
        <v>9.625</v>
      </c>
      <c r="H43">
        <v>139.53385232469353</v>
      </c>
      <c r="I43" s="82">
        <f t="shared" si="1"/>
        <v>-1.5451505891064699E-2</v>
      </c>
      <c r="J43">
        <v>9.625</v>
      </c>
      <c r="K43">
        <v>40545.073027686121</v>
      </c>
      <c r="L43" t="s">
        <v>82</v>
      </c>
      <c r="M43">
        <v>9.625</v>
      </c>
      <c r="N43">
        <v>139.61777637854885</v>
      </c>
      <c r="O43" s="82">
        <f t="shared" si="2"/>
        <v>-1.5811042655542451E-2</v>
      </c>
      <c r="P43">
        <v>9.625</v>
      </c>
      <c r="Q43">
        <v>41626.605670773366</v>
      </c>
      <c r="R43" t="s">
        <v>82</v>
      </c>
      <c r="S43">
        <v>9.625</v>
      </c>
      <c r="T43">
        <v>139.7015259886544</v>
      </c>
      <c r="U43" s="82">
        <f t="shared" si="3"/>
        <v>-1.4906728490785781E-2</v>
      </c>
      <c r="V43">
        <v>9.625</v>
      </c>
      <c r="W43">
        <v>40891.518467870897</v>
      </c>
      <c r="X43" t="s">
        <v>82</v>
      </c>
      <c r="Y43">
        <v>9.625</v>
      </c>
      <c r="Z43">
        <v>139.7863256703769</v>
      </c>
      <c r="AA43" s="82">
        <f t="shared" si="4"/>
        <v>-1.3654592589830372E-2</v>
      </c>
      <c r="AB43">
        <v>9.625</v>
      </c>
      <c r="AC43">
        <v>39680.570880469153</v>
      </c>
      <c r="AD43" t="s">
        <v>82</v>
      </c>
      <c r="AE43">
        <v>9.625</v>
      </c>
      <c r="AF43">
        <v>139.8725684097665</v>
      </c>
      <c r="AG43" s="82">
        <f t="shared" si="5"/>
        <v>-1.2380750673287366E-2</v>
      </c>
      <c r="AH43">
        <v>9.625</v>
      </c>
      <c r="AI43">
        <v>38472.339077644006</v>
      </c>
      <c r="AJ43" t="s">
        <v>82</v>
      </c>
      <c r="AK43">
        <v>9.625</v>
      </c>
      <c r="AL43">
        <v>139.96021358775243</v>
      </c>
      <c r="AM43" s="82">
        <f t="shared" si="6"/>
        <v>-1.1084588195473088E-2</v>
      </c>
      <c r="AN43">
        <v>9.625</v>
      </c>
      <c r="AO43">
        <v>37268.576004946932</v>
      </c>
      <c r="AP43" t="s">
        <v>82</v>
      </c>
      <c r="AQ43">
        <v>9.625</v>
      </c>
      <c r="AR43">
        <v>140.00102883312866</v>
      </c>
      <c r="AS43" s="82">
        <f t="shared" si="7"/>
        <v>-6.424943543407835E-3</v>
      </c>
      <c r="AT43">
        <v>9.625</v>
      </c>
      <c r="AU43">
        <v>30723.405219687775</v>
      </c>
      <c r="AV43" t="s">
        <v>82</v>
      </c>
      <c r="AW43">
        <v>9.625</v>
      </c>
      <c r="AX43">
        <v>140.03209201732062</v>
      </c>
      <c r="AY43" s="82">
        <f t="shared" si="8"/>
        <v>-9.3048857951316677E-4</v>
      </c>
      <c r="AZ43">
        <v>9.625</v>
      </c>
      <c r="BA43">
        <v>22890.544352673478</v>
      </c>
      <c r="BB43" t="s">
        <v>82</v>
      </c>
      <c r="BC43">
        <v>9.625</v>
      </c>
      <c r="BD43">
        <v>140.06173890269631</v>
      </c>
      <c r="BE43" s="82">
        <f t="shared" si="9"/>
        <v>4.3253739645763289E-3</v>
      </c>
      <c r="BF43">
        <v>9.625</v>
      </c>
      <c r="BG43">
        <v>29601.267785501565</v>
      </c>
      <c r="BH43" t="s">
        <v>82</v>
      </c>
      <c r="BI43">
        <v>9.625</v>
      </c>
      <c r="BJ43">
        <v>140.05405708001905</v>
      </c>
      <c r="BK43" s="82">
        <f t="shared" si="10"/>
        <v>3.1354742712892403E-3</v>
      </c>
      <c r="BL43">
        <v>9.625</v>
      </c>
      <c r="BM43">
        <v>28528.155808650434</v>
      </c>
      <c r="BN43" t="s">
        <v>82</v>
      </c>
      <c r="BO43">
        <v>9.625</v>
      </c>
      <c r="BP43">
        <v>140.05108022360557</v>
      </c>
      <c r="BQ43" s="82">
        <f t="shared" si="11"/>
        <v>2.6715728438944097E-3</v>
      </c>
      <c r="BR43">
        <v>9.625</v>
      </c>
      <c r="BS43">
        <v>28636.091423391706</v>
      </c>
      <c r="BT43" t="s">
        <v>82</v>
      </c>
      <c r="BU43">
        <v>9.625</v>
      </c>
      <c r="BV43">
        <v>140.05087498767782</v>
      </c>
      <c r="BW43" s="82">
        <f t="shared" si="12"/>
        <v>2.6396865878552944E-3</v>
      </c>
      <c r="BX43">
        <v>9.625</v>
      </c>
      <c r="BY43">
        <v>29470.452613023099</v>
      </c>
      <c r="BZ43" t="s">
        <v>82</v>
      </c>
      <c r="CA43">
        <v>9.625</v>
      </c>
      <c r="CB43">
        <v>140.05548248279254</v>
      </c>
      <c r="CC43" s="82">
        <f t="shared" si="13"/>
        <v>3.3846042836387369E-3</v>
      </c>
      <c r="CD43">
        <v>9.625</v>
      </c>
      <c r="CE43">
        <v>31532.534292454966</v>
      </c>
      <c r="CF43" t="s">
        <v>82</v>
      </c>
      <c r="CG43">
        <v>9.625</v>
      </c>
      <c r="CH43">
        <v>140.03511927024087</v>
      </c>
      <c r="CI43" s="82">
        <f t="shared" si="14"/>
        <v>-8.5608485929355993E-4</v>
      </c>
      <c r="CJ43">
        <v>9.625</v>
      </c>
      <c r="CK43">
        <v>27815.895407096283</v>
      </c>
      <c r="CL43" t="s">
        <v>82</v>
      </c>
      <c r="CM43">
        <v>9.625</v>
      </c>
      <c r="CN43">
        <v>139.74191872256267</v>
      </c>
      <c r="CO43" s="82">
        <f t="shared" si="15"/>
        <v>-2.4043711648175758E-2</v>
      </c>
      <c r="CP43">
        <v>9.625</v>
      </c>
      <c r="CQ43">
        <v>64247.538334367055</v>
      </c>
      <c r="CR43" t="s">
        <v>82</v>
      </c>
      <c r="CS43">
        <v>9.625</v>
      </c>
      <c r="CT43">
        <v>139.08436362035511</v>
      </c>
      <c r="CU43" s="82">
        <f t="shared" si="16"/>
        <v>-3.5116813489054266E-2</v>
      </c>
      <c r="CV43">
        <v>9.625</v>
      </c>
      <c r="CW43">
        <v>81374.892513394414</v>
      </c>
      <c r="CX43" t="s">
        <v>82</v>
      </c>
      <c r="CY43">
        <v>9.625</v>
      </c>
      <c r="CZ43">
        <v>138.33789318295331</v>
      </c>
      <c r="DA43" s="82">
        <f t="shared" si="17"/>
        <v>-4.2187317409826619E-2</v>
      </c>
      <c r="DB43">
        <v>9.625</v>
      </c>
      <c r="DC43">
        <v>92713.934257017201</v>
      </c>
      <c r="DD43" t="s">
        <v>82</v>
      </c>
      <c r="DG43" s="82">
        <f t="shared" si="18"/>
        <v>0</v>
      </c>
      <c r="DM43" s="82">
        <f t="shared" si="19"/>
        <v>0</v>
      </c>
    </row>
    <row r="44" spans="1:117" x14ac:dyDescent="0.2">
      <c r="A44">
        <v>9.875</v>
      </c>
      <c r="B44">
        <v>139.43686314339246</v>
      </c>
      <c r="C44" s="82">
        <f t="shared" si="0"/>
        <v>-1.4350453795827889E-2</v>
      </c>
      <c r="D44">
        <v>9.875</v>
      </c>
      <c r="E44">
        <v>38314.580445654268</v>
      </c>
      <c r="F44" t="s">
        <v>82</v>
      </c>
      <c r="G44">
        <v>9.875</v>
      </c>
      <c r="H44">
        <v>139.51900695801669</v>
      </c>
      <c r="I44" s="82">
        <f t="shared" si="1"/>
        <v>-1.4845366676837557E-2</v>
      </c>
      <c r="J44">
        <v>9.875</v>
      </c>
      <c r="K44">
        <v>39571.493759912926</v>
      </c>
      <c r="L44" t="s">
        <v>82</v>
      </c>
      <c r="M44">
        <v>9.875</v>
      </c>
      <c r="N44">
        <v>139.60244133295009</v>
      </c>
      <c r="O44" s="82">
        <f t="shared" si="2"/>
        <v>-1.5335045598760644E-2</v>
      </c>
      <c r="P44">
        <v>9.875</v>
      </c>
      <c r="Q44">
        <v>40847.650231587271</v>
      </c>
      <c r="R44" t="s">
        <v>82</v>
      </c>
      <c r="S44">
        <v>9.875</v>
      </c>
      <c r="T44">
        <v>139.68691582535757</v>
      </c>
      <c r="U44" s="82">
        <f t="shared" si="3"/>
        <v>-1.461016329682252E-2</v>
      </c>
      <c r="V44">
        <v>9.875</v>
      </c>
      <c r="W44">
        <v>40379.501870984706</v>
      </c>
      <c r="X44" t="s">
        <v>82</v>
      </c>
      <c r="Y44">
        <v>9.875</v>
      </c>
      <c r="Z44">
        <v>139.77277347396779</v>
      </c>
      <c r="AA44" s="82">
        <f t="shared" si="4"/>
        <v>-1.3552196409108319E-2</v>
      </c>
      <c r="AB44">
        <v>9.875</v>
      </c>
      <c r="AC44">
        <v>39457.140660854187</v>
      </c>
      <c r="AD44" t="s">
        <v>82</v>
      </c>
      <c r="AE44">
        <v>9.875</v>
      </c>
      <c r="AF44">
        <v>139.86009370732546</v>
      </c>
      <c r="AG44" s="82">
        <f t="shared" si="5"/>
        <v>-1.2474702441039653E-2</v>
      </c>
      <c r="AH44">
        <v>9.875</v>
      </c>
      <c r="AI44">
        <v>38540.674830694836</v>
      </c>
      <c r="AJ44" t="s">
        <v>82</v>
      </c>
      <c r="AK44">
        <v>9.875</v>
      </c>
      <c r="AL44">
        <v>139.94883673228634</v>
      </c>
      <c r="AM44" s="82">
        <f t="shared" si="6"/>
        <v>-1.1376855466096458E-2</v>
      </c>
      <c r="AN44">
        <v>9.875</v>
      </c>
      <c r="AO44">
        <v>37631.54900276228</v>
      </c>
      <c r="AP44" t="s">
        <v>82</v>
      </c>
      <c r="AQ44">
        <v>9.875</v>
      </c>
      <c r="AR44">
        <v>139.99461305311078</v>
      </c>
      <c r="AS44" s="82">
        <f t="shared" si="7"/>
        <v>-6.4157800178747948E-3</v>
      </c>
      <c r="AT44">
        <v>9.875</v>
      </c>
      <c r="AU44">
        <v>30635.858574708796</v>
      </c>
      <c r="AV44" t="s">
        <v>82</v>
      </c>
      <c r="AW44">
        <v>9.875</v>
      </c>
      <c r="AX44">
        <v>140.03159113285275</v>
      </c>
      <c r="AY44" s="82">
        <f t="shared" si="8"/>
        <v>-5.0088446786844543E-4</v>
      </c>
      <c r="AZ44">
        <v>9.875</v>
      </c>
      <c r="BA44">
        <v>22174.262030674356</v>
      </c>
      <c r="BB44" t="s">
        <v>82</v>
      </c>
      <c r="BC44">
        <v>9.875</v>
      </c>
      <c r="BD44">
        <v>140.06689862182196</v>
      </c>
      <c r="BE44" s="82">
        <f t="shared" si="9"/>
        <v>5.1597191256576025E-3</v>
      </c>
      <c r="BF44">
        <v>9.875</v>
      </c>
      <c r="BG44">
        <v>30874.994108485524</v>
      </c>
      <c r="BH44" t="s">
        <v>82</v>
      </c>
      <c r="BI44">
        <v>9.875</v>
      </c>
      <c r="BJ44">
        <v>140.05793918570635</v>
      </c>
      <c r="BK44" s="82">
        <f t="shared" si="10"/>
        <v>3.882105687296189E-3</v>
      </c>
      <c r="BL44">
        <v>9.875</v>
      </c>
      <c r="BM44">
        <v>29671.625535850868</v>
      </c>
      <c r="BN44" t="s">
        <v>82</v>
      </c>
      <c r="BO44">
        <v>9.875</v>
      </c>
      <c r="BP44">
        <v>140.05446426674823</v>
      </c>
      <c r="BQ44" s="82">
        <f t="shared" si="11"/>
        <v>3.3840431426597206E-3</v>
      </c>
      <c r="BR44">
        <v>9.875</v>
      </c>
      <c r="BS44">
        <v>29728.837456987607</v>
      </c>
      <c r="BT44" t="s">
        <v>82</v>
      </c>
      <c r="BU44">
        <v>9.875</v>
      </c>
      <c r="BV44">
        <v>140.05422519737738</v>
      </c>
      <c r="BW44" s="82">
        <f t="shared" si="12"/>
        <v>3.3502096995619013E-3</v>
      </c>
      <c r="BX44">
        <v>9.875</v>
      </c>
      <c r="BY44">
        <v>30560.326863366678</v>
      </c>
      <c r="BZ44" t="s">
        <v>82</v>
      </c>
      <c r="CA44">
        <v>9.875</v>
      </c>
      <c r="CB44">
        <v>140.05963485648417</v>
      </c>
      <c r="CC44" s="82">
        <f t="shared" si="13"/>
        <v>4.1523736916246889E-3</v>
      </c>
      <c r="CD44">
        <v>9.875</v>
      </c>
      <c r="CE44">
        <v>32707.74544428923</v>
      </c>
      <c r="CF44" t="s">
        <v>82</v>
      </c>
      <c r="CG44">
        <v>9.875</v>
      </c>
      <c r="CH44">
        <v>140.03468592332524</v>
      </c>
      <c r="CI44" s="82">
        <f t="shared" si="14"/>
        <v>-4.3334691562790795E-4</v>
      </c>
      <c r="CJ44">
        <v>9.875</v>
      </c>
      <c r="CK44">
        <v>27114.316433384654</v>
      </c>
      <c r="CL44" t="s">
        <v>82</v>
      </c>
      <c r="CM44">
        <v>9.875</v>
      </c>
      <c r="CN44">
        <v>139.71705451808279</v>
      </c>
      <c r="CO44" s="82">
        <f t="shared" si="15"/>
        <v>-2.4864204479882801E-2</v>
      </c>
      <c r="CP44">
        <v>9.875</v>
      </c>
      <c r="CQ44">
        <v>65419.599316506785</v>
      </c>
      <c r="CR44" t="s">
        <v>82</v>
      </c>
      <c r="CS44">
        <v>9.875</v>
      </c>
      <c r="CT44">
        <v>139.04891763447165</v>
      </c>
      <c r="CU44" s="82">
        <f t="shared" si="16"/>
        <v>-3.5445985883455933E-2</v>
      </c>
      <c r="CV44">
        <v>9.875</v>
      </c>
      <c r="CW44">
        <v>81830.932360851482</v>
      </c>
      <c r="CX44" t="s">
        <v>82</v>
      </c>
      <c r="CY44">
        <v>9.875</v>
      </c>
      <c r="CZ44">
        <v>138.29571243257172</v>
      </c>
      <c r="DA44" s="82">
        <f t="shared" si="17"/>
        <v>-4.218075038158986E-2</v>
      </c>
      <c r="DB44">
        <v>9.875</v>
      </c>
      <c r="DC44">
        <v>92681.086437459948</v>
      </c>
      <c r="DD44" t="s">
        <v>82</v>
      </c>
      <c r="DG44" s="82">
        <f t="shared" si="18"/>
        <v>0</v>
      </c>
      <c r="DM44" s="82">
        <f t="shared" si="19"/>
        <v>0</v>
      </c>
    </row>
    <row r="45" spans="1:117" x14ac:dyDescent="0.2">
      <c r="A45">
        <v>10.125</v>
      </c>
      <c r="B45">
        <v>139.42331128874622</v>
      </c>
      <c r="C45" s="82">
        <f t="shared" si="0"/>
        <v>-1.3551854646237871E-2</v>
      </c>
      <c r="D45">
        <v>10.125</v>
      </c>
      <c r="E45">
        <v>37052.935921132928</v>
      </c>
      <c r="F45" t="s">
        <v>82</v>
      </c>
      <c r="G45">
        <v>10.125</v>
      </c>
      <c r="H45">
        <v>139.50482991058863</v>
      </c>
      <c r="I45" s="82">
        <f t="shared" si="1"/>
        <v>-1.4177047428063361E-2</v>
      </c>
      <c r="J45">
        <v>10.125</v>
      </c>
      <c r="K45">
        <v>38504.71566095599</v>
      </c>
      <c r="L45" t="s">
        <v>82</v>
      </c>
      <c r="M45">
        <v>10.125</v>
      </c>
      <c r="N45">
        <v>139.58764328985066</v>
      </c>
      <c r="O45" s="82">
        <f t="shared" si="2"/>
        <v>-1.4798043099432334E-2</v>
      </c>
      <c r="P45">
        <v>10.125</v>
      </c>
      <c r="Q45">
        <v>39977.340247890003</v>
      </c>
      <c r="R45" t="s">
        <v>82</v>
      </c>
      <c r="S45">
        <v>10.125</v>
      </c>
      <c r="T45">
        <v>139.67266352451551</v>
      </c>
      <c r="U45" s="82">
        <f t="shared" si="3"/>
        <v>-1.425230084205964E-2</v>
      </c>
      <c r="V45">
        <v>10.125</v>
      </c>
      <c r="W45">
        <v>39775.848962335469</v>
      </c>
      <c r="X45" t="s">
        <v>82</v>
      </c>
      <c r="Y45">
        <v>10.125</v>
      </c>
      <c r="Z45">
        <v>139.75938568832231</v>
      </c>
      <c r="AA45" s="82">
        <f t="shared" si="4"/>
        <v>-1.3387785645477379E-2</v>
      </c>
      <c r="AB45">
        <v>10.125</v>
      </c>
      <c r="AC45">
        <v>39141.177919047543</v>
      </c>
      <c r="AD45" t="s">
        <v>82</v>
      </c>
      <c r="AE45">
        <v>10.125</v>
      </c>
      <c r="AF45">
        <v>139.84758786211236</v>
      </c>
      <c r="AG45" s="82">
        <f t="shared" si="5"/>
        <v>-1.250584521309861E-2</v>
      </c>
      <c r="AH45">
        <v>10.125</v>
      </c>
      <c r="AI45">
        <v>38515.48363977488</v>
      </c>
      <c r="AJ45" t="s">
        <v>82</v>
      </c>
      <c r="AK45">
        <v>10.125</v>
      </c>
      <c r="AL45">
        <v>139.93723128567581</v>
      </c>
      <c r="AM45" s="82">
        <f t="shared" si="6"/>
        <v>-1.1605446610531089E-2</v>
      </c>
      <c r="AN45">
        <v>10.125</v>
      </c>
      <c r="AO45">
        <v>37899.909010353935</v>
      </c>
      <c r="AP45" t="s">
        <v>82</v>
      </c>
      <c r="AQ45">
        <v>10.125</v>
      </c>
      <c r="AR45">
        <v>139.98827231541017</v>
      </c>
      <c r="AS45" s="82">
        <f t="shared" si="7"/>
        <v>-6.3407377006114984E-3</v>
      </c>
      <c r="AT45">
        <v>10.125</v>
      </c>
      <c r="AU45">
        <v>30957.20060850359</v>
      </c>
      <c r="AV45" t="s">
        <v>82</v>
      </c>
      <c r="AW45">
        <v>10.125</v>
      </c>
      <c r="AX45">
        <v>140.03158945768078</v>
      </c>
      <c r="AY45" s="82">
        <f t="shared" si="8"/>
        <v>-1.675171972692624E-6</v>
      </c>
      <c r="AZ45">
        <v>10.125</v>
      </c>
      <c r="BA45">
        <v>22495.608024429432</v>
      </c>
      <c r="BB45" t="s">
        <v>82</v>
      </c>
      <c r="BC45">
        <v>10.125</v>
      </c>
      <c r="BD45">
        <v>140.07296720545551</v>
      </c>
      <c r="BE45" s="82">
        <f t="shared" si="9"/>
        <v>6.0685836335494514E-3</v>
      </c>
      <c r="BF45">
        <v>10.125</v>
      </c>
      <c r="BG45">
        <v>30526.541339870768</v>
      </c>
      <c r="BH45" t="s">
        <v>82</v>
      </c>
      <c r="BI45">
        <v>10.125</v>
      </c>
      <c r="BJ45">
        <v>140.06264296625264</v>
      </c>
      <c r="BK45" s="82">
        <f t="shared" si="10"/>
        <v>4.7037805462935012E-3</v>
      </c>
      <c r="BL45">
        <v>10.125</v>
      </c>
      <c r="BM45">
        <v>29565.92971154302</v>
      </c>
      <c r="BN45" t="s">
        <v>82</v>
      </c>
      <c r="BO45">
        <v>10.125</v>
      </c>
      <c r="BP45">
        <v>140.05863604377649</v>
      </c>
      <c r="BQ45" s="82">
        <f t="shared" si="11"/>
        <v>4.1717770282616584E-3</v>
      </c>
      <c r="BR45">
        <v>10.125</v>
      </c>
      <c r="BS45">
        <v>29713.243809271207</v>
      </c>
      <c r="BT45" t="s">
        <v>82</v>
      </c>
      <c r="BU45">
        <v>10.125</v>
      </c>
      <c r="BV45">
        <v>140.05836124168476</v>
      </c>
      <c r="BW45" s="82">
        <f t="shared" si="12"/>
        <v>4.1360443073870101E-3</v>
      </c>
      <c r="BX45">
        <v>10.125</v>
      </c>
      <c r="BY45">
        <v>30550.21257252877</v>
      </c>
      <c r="BZ45" t="s">
        <v>82</v>
      </c>
      <c r="CA45">
        <v>10.125</v>
      </c>
      <c r="CB45">
        <v>140.0646304129516</v>
      </c>
      <c r="CC45" s="82">
        <f t="shared" si="13"/>
        <v>4.9955564674348807E-3</v>
      </c>
      <c r="CD45">
        <v>10.125</v>
      </c>
      <c r="CE45">
        <v>32593.366089138519</v>
      </c>
      <c r="CF45" t="s">
        <v>82</v>
      </c>
      <c r="CG45">
        <v>10.125</v>
      </c>
      <c r="CH45">
        <v>140.03473878426314</v>
      </c>
      <c r="CI45" s="82">
        <f t="shared" si="14"/>
        <v>5.2860937898913107E-5</v>
      </c>
      <c r="CJ45">
        <v>10.125</v>
      </c>
      <c r="CK45">
        <v>28115.35224487005</v>
      </c>
      <c r="CL45" t="s">
        <v>82</v>
      </c>
      <c r="CM45">
        <v>10.125</v>
      </c>
      <c r="CN45">
        <v>139.69140357293458</v>
      </c>
      <c r="CO45" s="82">
        <f t="shared" si="15"/>
        <v>-2.5650945148214532E-2</v>
      </c>
      <c r="CP45">
        <v>10.125</v>
      </c>
      <c r="CQ45">
        <v>66542.422583106018</v>
      </c>
      <c r="CR45" t="s">
        <v>82</v>
      </c>
      <c r="CS45">
        <v>10.125</v>
      </c>
      <c r="CT45">
        <v>139.01315549467958</v>
      </c>
      <c r="CU45" s="82">
        <f t="shared" si="16"/>
        <v>-3.5762139792069547E-2</v>
      </c>
      <c r="CV45">
        <v>10.125</v>
      </c>
      <c r="CW45">
        <v>82267.959446810855</v>
      </c>
      <c r="CX45" t="s">
        <v>82</v>
      </c>
      <c r="CY45">
        <v>10.125</v>
      </c>
      <c r="CZ45">
        <v>138.25353668697323</v>
      </c>
      <c r="DA45" s="82">
        <f t="shared" si="17"/>
        <v>-4.2175745598484582E-2</v>
      </c>
      <c r="DB45">
        <v>10.125</v>
      </c>
      <c r="DC45">
        <v>92650.473197931366</v>
      </c>
      <c r="DD45" t="s">
        <v>82</v>
      </c>
      <c r="DG45" s="82">
        <f t="shared" si="18"/>
        <v>0</v>
      </c>
      <c r="DM45" s="82">
        <f t="shared" si="19"/>
        <v>0</v>
      </c>
    </row>
    <row r="46" spans="1:117" x14ac:dyDescent="0.2">
      <c r="A46">
        <v>10.375</v>
      </c>
      <c r="B46">
        <v>139.41062230942782</v>
      </c>
      <c r="C46" s="82">
        <f t="shared" si="0"/>
        <v>-1.2688979318397742E-2</v>
      </c>
      <c r="D46">
        <v>10.375</v>
      </c>
      <c r="E46">
        <v>35694.84095339592</v>
      </c>
      <c r="F46" t="s">
        <v>82</v>
      </c>
      <c r="G46">
        <v>10.375</v>
      </c>
      <c r="H46">
        <v>139.49138420364756</v>
      </c>
      <c r="I46" s="82">
        <f t="shared" si="1"/>
        <v>-1.3445706941070057E-2</v>
      </c>
      <c r="J46">
        <v>10.375</v>
      </c>
      <c r="K46">
        <v>37343.43844528959</v>
      </c>
      <c r="L46" t="s">
        <v>82</v>
      </c>
      <c r="M46">
        <v>10.375</v>
      </c>
      <c r="N46">
        <v>139.57344395775814</v>
      </c>
      <c r="O46" s="82">
        <f t="shared" si="2"/>
        <v>-1.419933209251667E-2</v>
      </c>
      <c r="P46">
        <v>10.375</v>
      </c>
      <c r="Q46">
        <v>39014.578407457251</v>
      </c>
      <c r="R46" t="s">
        <v>82</v>
      </c>
      <c r="S46">
        <v>10.375</v>
      </c>
      <c r="T46">
        <v>139.658830874232</v>
      </c>
      <c r="U46" s="82">
        <f t="shared" si="3"/>
        <v>-1.3832650283518433E-2</v>
      </c>
      <c r="V46">
        <v>10.375</v>
      </c>
      <c r="W46">
        <v>39079.774544765605</v>
      </c>
      <c r="X46" t="s">
        <v>82</v>
      </c>
      <c r="Y46">
        <v>10.375</v>
      </c>
      <c r="Z46">
        <v>139.74622458308079</v>
      </c>
      <c r="AA46" s="82">
        <f t="shared" si="4"/>
        <v>-1.3161105241522364E-2</v>
      </c>
      <c r="AB46">
        <v>10.375</v>
      </c>
      <c r="AC46">
        <v>38732.245157889854</v>
      </c>
      <c r="AD46" t="s">
        <v>82</v>
      </c>
      <c r="AE46">
        <v>10.375</v>
      </c>
      <c r="AF46">
        <v>139.83511368317306</v>
      </c>
      <c r="AG46" s="82">
        <f t="shared" si="5"/>
        <v>-1.2474178939299918E-2</v>
      </c>
      <c r="AH46">
        <v>10.375</v>
      </c>
      <c r="AI46">
        <v>38396.704084621459</v>
      </c>
      <c r="AJ46" t="s">
        <v>82</v>
      </c>
      <c r="AK46">
        <v>10.375</v>
      </c>
      <c r="AL46">
        <v>139.92546065155906</v>
      </c>
      <c r="AM46" s="82">
        <f t="shared" si="6"/>
        <v>-1.1770634116743395E-2</v>
      </c>
      <c r="AN46">
        <v>10.375</v>
      </c>
      <c r="AO46">
        <v>38073.995989344876</v>
      </c>
      <c r="AP46" t="s">
        <v>82</v>
      </c>
      <c r="AQ46">
        <v>10.375</v>
      </c>
      <c r="AR46">
        <v>139.98139298010472</v>
      </c>
      <c r="AS46" s="82">
        <f t="shared" si="7"/>
        <v>-6.8793353054559248E-3</v>
      </c>
      <c r="AT46">
        <v>10.375</v>
      </c>
      <c r="AU46">
        <v>31679.668678366954</v>
      </c>
      <c r="AV46" t="s">
        <v>82</v>
      </c>
      <c r="AW46">
        <v>10.375</v>
      </c>
      <c r="AX46">
        <v>140.03062788106726</v>
      </c>
      <c r="AY46" s="82">
        <f t="shared" si="8"/>
        <v>-9.6157661351981005E-4</v>
      </c>
      <c r="AZ46">
        <v>10.375</v>
      </c>
      <c r="BA46">
        <v>23835.749054793156</v>
      </c>
      <c r="BB46" t="s">
        <v>82</v>
      </c>
      <c r="BC46">
        <v>10.375</v>
      </c>
      <c r="BD46">
        <v>140.07768785653741</v>
      </c>
      <c r="BE46" s="82">
        <f t="shared" si="9"/>
        <v>4.7206510818966763E-3</v>
      </c>
      <c r="BF46">
        <v>10.375</v>
      </c>
      <c r="BG46">
        <v>28565.920269454131</v>
      </c>
      <c r="BH46" t="s">
        <v>82</v>
      </c>
      <c r="BI46">
        <v>10.375</v>
      </c>
      <c r="BJ46">
        <v>140.06641563184797</v>
      </c>
      <c r="BK46" s="82">
        <f t="shared" si="10"/>
        <v>3.7726655953349564E-3</v>
      </c>
      <c r="BL46">
        <v>10.375</v>
      </c>
      <c r="BM46">
        <v>28223.722688122398</v>
      </c>
      <c r="BN46" t="s">
        <v>82</v>
      </c>
      <c r="BO46">
        <v>10.375</v>
      </c>
      <c r="BP46">
        <v>140.06203263919016</v>
      </c>
      <c r="BQ46" s="82">
        <f t="shared" si="11"/>
        <v>3.3965954136760956E-3</v>
      </c>
      <c r="BR46">
        <v>10.375</v>
      </c>
      <c r="BS46">
        <v>28602.50435196183</v>
      </c>
      <c r="BT46" t="s">
        <v>82</v>
      </c>
      <c r="BU46">
        <v>10.375</v>
      </c>
      <c r="BV46">
        <v>140.06173141093325</v>
      </c>
      <c r="BW46" s="82">
        <f t="shared" si="12"/>
        <v>3.3701692484839896E-3</v>
      </c>
      <c r="BX46">
        <v>10.375</v>
      </c>
      <c r="BY46">
        <v>29453.523010730558</v>
      </c>
      <c r="BZ46" t="s">
        <v>82</v>
      </c>
      <c r="CA46">
        <v>10.375</v>
      </c>
      <c r="CB46">
        <v>140.06866165639556</v>
      </c>
      <c r="CC46" s="82">
        <f t="shared" si="13"/>
        <v>4.0312434439613298E-3</v>
      </c>
      <c r="CD46">
        <v>10.375</v>
      </c>
      <c r="CE46">
        <v>31203.054907091991</v>
      </c>
      <c r="CF46" t="s">
        <v>82</v>
      </c>
      <c r="CG46">
        <v>10.375</v>
      </c>
      <c r="CH46">
        <v>140.03294376171758</v>
      </c>
      <c r="CI46" s="82">
        <f t="shared" si="14"/>
        <v>-1.7950225455649615E-3</v>
      </c>
      <c r="CJ46">
        <v>10.375</v>
      </c>
      <c r="CK46">
        <v>30774.038125885734</v>
      </c>
      <c r="CL46" t="s">
        <v>82</v>
      </c>
      <c r="CM46">
        <v>10.375</v>
      </c>
      <c r="CN46">
        <v>139.66499827530532</v>
      </c>
      <c r="CO46" s="82">
        <f t="shared" si="15"/>
        <v>-2.6405297629253255E-2</v>
      </c>
      <c r="CP46">
        <v>10.375</v>
      </c>
      <c r="CQ46">
        <v>67617.991814506255</v>
      </c>
      <c r="CR46" t="s">
        <v>82</v>
      </c>
      <c r="CS46">
        <v>10.375</v>
      </c>
      <c r="CT46">
        <v>138.97708973249175</v>
      </c>
      <c r="CU46" s="82">
        <f t="shared" si="16"/>
        <v>-3.6065762187831751E-2</v>
      </c>
      <c r="CV46">
        <v>10.375</v>
      </c>
      <c r="CW46">
        <v>82686.680256966705</v>
      </c>
      <c r="CX46" t="s">
        <v>82</v>
      </c>
      <c r="CY46">
        <v>10.375</v>
      </c>
      <c r="CZ46">
        <v>138.21136452897619</v>
      </c>
      <c r="DA46" s="82">
        <f t="shared" si="17"/>
        <v>-4.2172157997043769E-2</v>
      </c>
      <c r="DB46">
        <v>10.375</v>
      </c>
      <c r="DC46">
        <v>92621.880663604039</v>
      </c>
      <c r="DD46" t="s">
        <v>82</v>
      </c>
      <c r="DG46" s="82">
        <f t="shared" si="18"/>
        <v>0</v>
      </c>
      <c r="DM46" s="82">
        <f t="shared" si="19"/>
        <v>0</v>
      </c>
    </row>
    <row r="47" spans="1:117" x14ac:dyDescent="0.2">
      <c r="A47">
        <v>10.625</v>
      </c>
      <c r="B47">
        <v>139.39886152376172</v>
      </c>
      <c r="C47" s="82">
        <f t="shared" si="0"/>
        <v>-1.1760785666098172E-2</v>
      </c>
      <c r="D47">
        <v>10.625</v>
      </c>
      <c r="E47">
        <v>34238.701873392456</v>
      </c>
      <c r="F47" t="s">
        <v>82</v>
      </c>
      <c r="G47">
        <v>10.625</v>
      </c>
      <c r="H47">
        <v>139.47873377100561</v>
      </c>
      <c r="I47" s="82">
        <f t="shared" si="1"/>
        <v>-1.2650432641947873E-2</v>
      </c>
      <c r="J47">
        <v>10.625</v>
      </c>
      <c r="K47">
        <v>36086.256663995795</v>
      </c>
      <c r="L47" t="s">
        <v>82</v>
      </c>
      <c r="M47">
        <v>10.625</v>
      </c>
      <c r="N47">
        <v>139.55990582052956</v>
      </c>
      <c r="O47" s="82">
        <f t="shared" si="2"/>
        <v>-1.3538137228579217E-2</v>
      </c>
      <c r="P47">
        <v>10.625</v>
      </c>
      <c r="Q47">
        <v>37958.160319954193</v>
      </c>
      <c r="R47" t="s">
        <v>82</v>
      </c>
      <c r="S47">
        <v>10.625</v>
      </c>
      <c r="T47">
        <v>139.64548022954739</v>
      </c>
      <c r="U47" s="82">
        <f t="shared" si="3"/>
        <v>-1.3350644684607005E-2</v>
      </c>
      <c r="V47">
        <v>10.625</v>
      </c>
      <c r="W47">
        <v>38290.380125286385</v>
      </c>
      <c r="X47" t="s">
        <v>82</v>
      </c>
      <c r="Y47">
        <v>10.625</v>
      </c>
      <c r="Z47">
        <v>139.73335276182436</v>
      </c>
      <c r="AA47" s="82">
        <f t="shared" si="4"/>
        <v>-1.2871821256425164E-2</v>
      </c>
      <c r="AB47">
        <v>10.625</v>
      </c>
      <c r="AC47">
        <v>38229.787794768134</v>
      </c>
      <c r="AD47" t="s">
        <v>82</v>
      </c>
      <c r="AE47">
        <v>10.625</v>
      </c>
      <c r="AF47">
        <v>139.8227340621612</v>
      </c>
      <c r="AG47" s="82">
        <f t="shared" si="5"/>
        <v>-1.2379621011859854E-2</v>
      </c>
      <c r="AH47">
        <v>10.625</v>
      </c>
      <c r="AI47">
        <v>38184.152256220565</v>
      </c>
      <c r="AJ47" t="s">
        <v>82</v>
      </c>
      <c r="AK47">
        <v>10.625</v>
      </c>
      <c r="AL47">
        <v>139.91358804804324</v>
      </c>
      <c r="AM47" s="82">
        <f t="shared" si="6"/>
        <v>-1.1872603515826086E-2</v>
      </c>
      <c r="AN47">
        <v>10.625</v>
      </c>
      <c r="AO47">
        <v>38154.021311327058</v>
      </c>
      <c r="AP47" t="s">
        <v>82</v>
      </c>
      <c r="AQ47">
        <v>10.625</v>
      </c>
      <c r="AR47">
        <v>139.97404844188537</v>
      </c>
      <c r="AS47" s="82">
        <f t="shared" si="7"/>
        <v>-7.3445382193426667E-3</v>
      </c>
      <c r="AT47">
        <v>10.625</v>
      </c>
      <c r="AU47">
        <v>32296.26187254889</v>
      </c>
      <c r="AV47" t="s">
        <v>82</v>
      </c>
      <c r="AW47">
        <v>10.625</v>
      </c>
      <c r="AX47">
        <v>140.02879215591295</v>
      </c>
      <c r="AY47" s="82">
        <f t="shared" si="8"/>
        <v>-1.8357251543079656E-3</v>
      </c>
      <c r="AZ47">
        <v>10.625</v>
      </c>
      <c r="BA47">
        <v>25055.383158970842</v>
      </c>
      <c r="BB47" t="s">
        <v>82</v>
      </c>
      <c r="BC47">
        <v>10.625</v>
      </c>
      <c r="BD47">
        <v>140.08115794635657</v>
      </c>
      <c r="BE47" s="82">
        <f t="shared" si="9"/>
        <v>3.4700898191601937E-3</v>
      </c>
      <c r="BF47">
        <v>10.625</v>
      </c>
      <c r="BG47">
        <v>26740.518925575605</v>
      </c>
      <c r="BH47" t="s">
        <v>82</v>
      </c>
      <c r="BI47">
        <v>10.625</v>
      </c>
      <c r="BJ47">
        <v>140.06935124121307</v>
      </c>
      <c r="BK47" s="82">
        <f t="shared" si="10"/>
        <v>2.9356093650960702E-3</v>
      </c>
      <c r="BL47">
        <v>10.625</v>
      </c>
      <c r="BM47">
        <v>27013.784699075779</v>
      </c>
      <c r="BN47" t="s">
        <v>82</v>
      </c>
      <c r="BO47">
        <v>10.625</v>
      </c>
      <c r="BP47">
        <v>140.06474696334973</v>
      </c>
      <c r="BQ47" s="82">
        <f t="shared" si="11"/>
        <v>2.7143241595695144E-3</v>
      </c>
      <c r="BR47">
        <v>10.625</v>
      </c>
      <c r="BS47">
        <v>27623.039484860343</v>
      </c>
      <c r="BT47" t="s">
        <v>82</v>
      </c>
      <c r="BU47">
        <v>10.625</v>
      </c>
      <c r="BV47">
        <v>140.06442885133688</v>
      </c>
      <c r="BW47" s="82">
        <f t="shared" si="12"/>
        <v>2.6974404036366195E-3</v>
      </c>
      <c r="BX47">
        <v>10.625</v>
      </c>
      <c r="BY47">
        <v>28488.381479736585</v>
      </c>
      <c r="BZ47" t="s">
        <v>82</v>
      </c>
      <c r="CA47">
        <v>10.625</v>
      </c>
      <c r="CB47">
        <v>140.07182443146081</v>
      </c>
      <c r="CC47" s="82">
        <f t="shared" si="13"/>
        <v>3.1627750652489794E-3</v>
      </c>
      <c r="CD47">
        <v>10.625</v>
      </c>
      <c r="CE47">
        <v>29947.010273041335</v>
      </c>
      <c r="CF47" t="s">
        <v>82</v>
      </c>
      <c r="CG47">
        <v>10.625</v>
      </c>
      <c r="CH47">
        <v>140.02939044824245</v>
      </c>
      <c r="CI47" s="82">
        <f t="shared" si="14"/>
        <v>-3.553313475123332E-3</v>
      </c>
      <c r="CJ47">
        <v>10.625</v>
      </c>
      <c r="CK47">
        <v>33312.441964068843</v>
      </c>
      <c r="CL47" t="s">
        <v>82</v>
      </c>
      <c r="CM47">
        <v>10.625</v>
      </c>
      <c r="CN47">
        <v>139.63786971271611</v>
      </c>
      <c r="CO47" s="82">
        <f t="shared" si="15"/>
        <v>-2.7128562589211924E-2</v>
      </c>
      <c r="CP47">
        <v>10.625</v>
      </c>
      <c r="CQ47">
        <v>68648.198476536287</v>
      </c>
      <c r="CR47" t="s">
        <v>82</v>
      </c>
      <c r="CS47">
        <v>10.625</v>
      </c>
      <c r="CT47">
        <v>138.94073241779498</v>
      </c>
      <c r="CU47" s="82">
        <f t="shared" si="16"/>
        <v>-3.6357314696772391E-2</v>
      </c>
      <c r="CV47">
        <v>10.625</v>
      </c>
      <c r="CW47">
        <v>83087.764258331415</v>
      </c>
      <c r="CX47" t="s">
        <v>82</v>
      </c>
      <c r="CY47">
        <v>10.625</v>
      </c>
      <c r="CZ47">
        <v>138.16919468357079</v>
      </c>
      <c r="DA47" s="82">
        <f t="shared" si="17"/>
        <v>-4.21698454053967E-2</v>
      </c>
      <c r="DB47">
        <v>10.625</v>
      </c>
      <c r="DC47">
        <v>92595.099050252436</v>
      </c>
      <c r="DD47" t="s">
        <v>82</v>
      </c>
      <c r="DG47" s="82">
        <f t="shared" si="18"/>
        <v>0</v>
      </c>
      <c r="DM47" s="82">
        <f t="shared" si="19"/>
        <v>0</v>
      </c>
    </row>
    <row r="48" spans="1:117" x14ac:dyDescent="0.2">
      <c r="A48">
        <v>10.875</v>
      </c>
      <c r="B48">
        <v>139.38809536342205</v>
      </c>
      <c r="C48" s="82">
        <f t="shared" si="0"/>
        <v>-1.0766160339670705E-2</v>
      </c>
      <c r="D48">
        <v>10.875</v>
      </c>
      <c r="E48">
        <v>32682.822001804288</v>
      </c>
      <c r="F48" t="s">
        <v>82</v>
      </c>
      <c r="G48">
        <v>10.875</v>
      </c>
      <c r="H48">
        <v>139.46694353109626</v>
      </c>
      <c r="I48" s="82">
        <f t="shared" si="1"/>
        <v>-1.1790239909345246E-2</v>
      </c>
      <c r="J48">
        <v>10.875</v>
      </c>
      <c r="K48">
        <v>34731.659170896412</v>
      </c>
      <c r="L48" t="s">
        <v>82</v>
      </c>
      <c r="M48">
        <v>10.875</v>
      </c>
      <c r="N48">
        <v>139.54709221020872</v>
      </c>
      <c r="O48" s="82">
        <f t="shared" si="2"/>
        <v>-1.2813610320847602E-2</v>
      </c>
      <c r="P48">
        <v>10.875</v>
      </c>
      <c r="Q48">
        <v>36806.773938487037</v>
      </c>
      <c r="R48" t="s">
        <v>82</v>
      </c>
      <c r="S48">
        <v>10.875</v>
      </c>
      <c r="T48">
        <v>139.63267458912134</v>
      </c>
      <c r="U48" s="82">
        <f t="shared" si="3"/>
        <v>-1.2805640426051923E-2</v>
      </c>
      <c r="V48">
        <v>10.875</v>
      </c>
      <c r="W48">
        <v>37406.653751584417</v>
      </c>
      <c r="X48" t="s">
        <v>82</v>
      </c>
      <c r="Y48">
        <v>10.875</v>
      </c>
      <c r="Z48">
        <v>139.72083324093995</v>
      </c>
      <c r="AA48" s="82">
        <f t="shared" si="4"/>
        <v>-1.251952088441044E-2</v>
      </c>
      <c r="AB48">
        <v>10.875</v>
      </c>
      <c r="AC48">
        <v>37633.134203121219</v>
      </c>
      <c r="AD48" t="s">
        <v>82</v>
      </c>
      <c r="AE48">
        <v>10.875</v>
      </c>
      <c r="AF48">
        <v>139.81051205572396</v>
      </c>
      <c r="AG48" s="82">
        <f t="shared" si="5"/>
        <v>-1.2222006437241362E-2</v>
      </c>
      <c r="AH48">
        <v>10.875</v>
      </c>
      <c r="AI48">
        <v>37877.52203284698</v>
      </c>
      <c r="AJ48" t="s">
        <v>82</v>
      </c>
      <c r="AK48">
        <v>10.875</v>
      </c>
      <c r="AL48">
        <v>139.90167659399674</v>
      </c>
      <c r="AM48" s="82">
        <f t="shared" si="6"/>
        <v>-1.1911454046497738E-2</v>
      </c>
      <c r="AN48">
        <v>10.875</v>
      </c>
      <c r="AO48">
        <v>38140.068603723084</v>
      </c>
      <c r="AP48" t="s">
        <v>82</v>
      </c>
      <c r="AQ48">
        <v>10.875</v>
      </c>
      <c r="AR48">
        <v>139.96630754985219</v>
      </c>
      <c r="AS48" s="82">
        <f t="shared" si="7"/>
        <v>-7.7408920331833997E-3</v>
      </c>
      <c r="AT48">
        <v>10.875</v>
      </c>
      <c r="AU48">
        <v>32810.739178135787</v>
      </c>
      <c r="AV48" t="s">
        <v>82</v>
      </c>
      <c r="AW48">
        <v>10.875</v>
      </c>
      <c r="AX48">
        <v>140.02615864561474</v>
      </c>
      <c r="AY48" s="82">
        <f t="shared" si="8"/>
        <v>-2.6335102982102399E-3</v>
      </c>
      <c r="AZ48">
        <v>10.875</v>
      </c>
      <c r="BA48">
        <v>26162.244917541797</v>
      </c>
      <c r="BB48" t="s">
        <v>82</v>
      </c>
      <c r="BC48">
        <v>10.875</v>
      </c>
      <c r="BD48">
        <v>140.08346154999137</v>
      </c>
      <c r="BE48" s="82">
        <f t="shared" si="9"/>
        <v>2.3036036348003108E-3</v>
      </c>
      <c r="BF48">
        <v>10.875</v>
      </c>
      <c r="BG48">
        <v>25039.036221666873</v>
      </c>
      <c r="BH48" t="s">
        <v>82</v>
      </c>
      <c r="BI48">
        <v>10.875</v>
      </c>
      <c r="BJ48">
        <v>140.07153324360138</v>
      </c>
      <c r="BK48" s="82">
        <f t="shared" si="10"/>
        <v>2.1820023883094564E-3</v>
      </c>
      <c r="BL48">
        <v>10.875</v>
      </c>
      <c r="BM48">
        <v>25927.2916731933</v>
      </c>
      <c r="BN48" t="s">
        <v>82</v>
      </c>
      <c r="BO48">
        <v>10.875</v>
      </c>
      <c r="BP48">
        <v>140.06686228145017</v>
      </c>
      <c r="BQ48" s="82">
        <f t="shared" si="11"/>
        <v>2.1153181004365251E-3</v>
      </c>
      <c r="BR48">
        <v>10.875</v>
      </c>
      <c r="BS48">
        <v>26766.910642614985</v>
      </c>
      <c r="BT48" t="s">
        <v>82</v>
      </c>
      <c r="BU48">
        <v>10.875</v>
      </c>
      <c r="BV48">
        <v>140.06653695973372</v>
      </c>
      <c r="BW48" s="82">
        <f t="shared" si="12"/>
        <v>2.1081083968397252E-3</v>
      </c>
      <c r="BX48">
        <v>10.875</v>
      </c>
      <c r="BY48">
        <v>27646.758716200995</v>
      </c>
      <c r="BZ48" t="s">
        <v>82</v>
      </c>
      <c r="CA48">
        <v>10.875</v>
      </c>
      <c r="CB48">
        <v>140.07420308114251</v>
      </c>
      <c r="CC48" s="82">
        <f t="shared" si="13"/>
        <v>2.3786496817024272E-3</v>
      </c>
      <c r="CD48">
        <v>10.875</v>
      </c>
      <c r="CE48">
        <v>28815.605790215086</v>
      </c>
      <c r="CF48" t="s">
        <v>82</v>
      </c>
      <c r="CG48">
        <v>10.875</v>
      </c>
      <c r="CH48">
        <v>140.02415155396849</v>
      </c>
      <c r="CI48" s="82">
        <f t="shared" si="14"/>
        <v>-5.2388942739582944E-3</v>
      </c>
      <c r="CJ48">
        <v>10.875</v>
      </c>
      <c r="CK48">
        <v>35745.048648706863</v>
      </c>
      <c r="CL48" t="s">
        <v>82</v>
      </c>
      <c r="CM48">
        <v>10.875</v>
      </c>
      <c r="CN48">
        <v>139.61004773271011</v>
      </c>
      <c r="CO48" s="82">
        <f t="shared" si="15"/>
        <v>-2.7821980005995783E-2</v>
      </c>
      <c r="CP48">
        <v>10.875</v>
      </c>
      <c r="CQ48">
        <v>69634.845608864256</v>
      </c>
      <c r="CR48" t="s">
        <v>82</v>
      </c>
      <c r="CS48">
        <v>10.875</v>
      </c>
      <c r="CT48">
        <v>138.90409518320493</v>
      </c>
      <c r="CU48" s="82">
        <f t="shared" si="16"/>
        <v>-3.6637234590045864E-2</v>
      </c>
      <c r="CV48">
        <v>10.875</v>
      </c>
      <c r="CW48">
        <v>83471.845308514894</v>
      </c>
      <c r="CX48" t="s">
        <v>82</v>
      </c>
      <c r="CY48">
        <v>10.875</v>
      </c>
      <c r="CZ48">
        <v>138.12702601529031</v>
      </c>
      <c r="DA48" s="82">
        <f t="shared" si="17"/>
        <v>-4.2168668280481825E-2</v>
      </c>
      <c r="DB48">
        <v>10.875</v>
      </c>
      <c r="DC48">
        <v>92569.922285588822</v>
      </c>
      <c r="DD48" t="s">
        <v>82</v>
      </c>
      <c r="DG48" s="82">
        <f t="shared" si="18"/>
        <v>0</v>
      </c>
      <c r="DM48" s="82">
        <f t="shared" si="19"/>
        <v>0</v>
      </c>
    </row>
    <row r="49" spans="1:117" x14ac:dyDescent="0.2">
      <c r="A49">
        <v>11.125</v>
      </c>
      <c r="B49">
        <v>139.37839144551847</v>
      </c>
      <c r="C49" s="82">
        <f t="shared" si="0"/>
        <v>-9.7039179035789402E-3</v>
      </c>
      <c r="D49">
        <v>11.125</v>
      </c>
      <c r="E49">
        <v>31025.401755516406</v>
      </c>
      <c r="F49" t="s">
        <v>82</v>
      </c>
      <c r="G49">
        <v>11.125</v>
      </c>
      <c r="H49">
        <v>139.45607945976792</v>
      </c>
      <c r="I49" s="82">
        <f t="shared" si="1"/>
        <v>-1.0864071328342106E-2</v>
      </c>
      <c r="J49">
        <v>11.125</v>
      </c>
      <c r="K49">
        <v>33278.028738111185</v>
      </c>
      <c r="L49" t="s">
        <v>82</v>
      </c>
      <c r="M49">
        <v>11.125</v>
      </c>
      <c r="N49">
        <v>139.53506738046761</v>
      </c>
      <c r="O49" s="82">
        <f t="shared" si="2"/>
        <v>-1.2024829741108078E-2</v>
      </c>
      <c r="P49">
        <v>11.125</v>
      </c>
      <c r="Q49">
        <v>35558.998984844511</v>
      </c>
      <c r="R49" t="s">
        <v>82</v>
      </c>
      <c r="S49">
        <v>11.125</v>
      </c>
      <c r="T49">
        <v>139.62047767182068</v>
      </c>
      <c r="U49" s="82">
        <f t="shared" si="3"/>
        <v>-1.2196917300656196E-2</v>
      </c>
      <c r="V49">
        <v>11.125</v>
      </c>
      <c r="W49">
        <v>36427.470250350219</v>
      </c>
      <c r="X49" t="s">
        <v>82</v>
      </c>
      <c r="Y49">
        <v>11.125</v>
      </c>
      <c r="Z49">
        <v>139.70872952864488</v>
      </c>
      <c r="AA49" s="82">
        <f t="shared" si="4"/>
        <v>-1.2103712295072455E-2</v>
      </c>
      <c r="AB49">
        <v>11.125</v>
      </c>
      <c r="AC49">
        <v>36941.495492853108</v>
      </c>
      <c r="AD49" t="s">
        <v>82</v>
      </c>
      <c r="AE49">
        <v>11.125</v>
      </c>
      <c r="AF49">
        <v>139.79851096776019</v>
      </c>
      <c r="AG49" s="82">
        <f t="shared" si="5"/>
        <v>-1.2001087963767532E-2</v>
      </c>
      <c r="AH49">
        <v>11.125</v>
      </c>
      <c r="AI49">
        <v>37476.385223082762</v>
      </c>
      <c r="AJ49" t="s">
        <v>82</v>
      </c>
      <c r="AK49">
        <v>11.125</v>
      </c>
      <c r="AL49">
        <v>139.88978939479836</v>
      </c>
      <c r="AM49" s="82">
        <f t="shared" si="6"/>
        <v>-1.1887199198383769E-2</v>
      </c>
      <c r="AN49">
        <v>11.125</v>
      </c>
      <c r="AO49">
        <v>38032.094463401038</v>
      </c>
      <c r="AP49" t="s">
        <v>82</v>
      </c>
      <c r="AQ49">
        <v>11.125</v>
      </c>
      <c r="AR49">
        <v>139.958238625646</v>
      </c>
      <c r="AS49" s="82">
        <f t="shared" si="7"/>
        <v>-8.0689242061851019E-3</v>
      </c>
      <c r="AT49">
        <v>11.125</v>
      </c>
      <c r="AU49">
        <v>33223.810307008549</v>
      </c>
      <c r="AV49" t="s">
        <v>82</v>
      </c>
      <c r="AW49">
        <v>11.125</v>
      </c>
      <c r="AX49">
        <v>140.0228025743078</v>
      </c>
      <c r="AY49" s="82">
        <f t="shared" si="8"/>
        <v>-3.3560713069391568E-3</v>
      </c>
      <c r="AZ49">
        <v>11.125</v>
      </c>
      <c r="BA49">
        <v>27157.923904963165</v>
      </c>
      <c r="BB49" t="s">
        <v>82</v>
      </c>
      <c r="BC49">
        <v>11.125</v>
      </c>
      <c r="BD49">
        <v>140.08468100166328</v>
      </c>
      <c r="BE49" s="82">
        <f t="shared" si="9"/>
        <v>1.2194516719148396E-3</v>
      </c>
      <c r="BF49">
        <v>11.125</v>
      </c>
      <c r="BG49">
        <v>23458.97586694856</v>
      </c>
      <c r="BH49" t="s">
        <v>82</v>
      </c>
      <c r="BI49">
        <v>11.125</v>
      </c>
      <c r="BJ49">
        <v>140.07304392311173</v>
      </c>
      <c r="BK49" s="82">
        <f t="shared" si="10"/>
        <v>1.5106795103463355E-3</v>
      </c>
      <c r="BL49">
        <v>11.125</v>
      </c>
      <c r="BM49">
        <v>24962.610680798221</v>
      </c>
      <c r="BN49" t="s">
        <v>82</v>
      </c>
      <c r="BO49">
        <v>11.125</v>
      </c>
      <c r="BP49">
        <v>140.06846089861679</v>
      </c>
      <c r="BQ49" s="82">
        <f t="shared" si="11"/>
        <v>1.5986171666213522E-3</v>
      </c>
      <c r="BR49">
        <v>11.125</v>
      </c>
      <c r="BS49">
        <v>26032.792985057298</v>
      </c>
      <c r="BT49" t="s">
        <v>82</v>
      </c>
      <c r="BU49">
        <v>11.125</v>
      </c>
      <c r="BV49">
        <v>140.06813815388304</v>
      </c>
      <c r="BW49" s="82">
        <f t="shared" si="12"/>
        <v>1.601194149316143E-3</v>
      </c>
      <c r="BX49">
        <v>11.125</v>
      </c>
      <c r="BY49">
        <v>26927.30486083198</v>
      </c>
      <c r="BZ49" t="s">
        <v>82</v>
      </c>
      <c r="CA49">
        <v>11.125</v>
      </c>
      <c r="CB49">
        <v>140.07588059994339</v>
      </c>
      <c r="CC49" s="82">
        <f t="shared" si="13"/>
        <v>1.6775188008750774E-3</v>
      </c>
      <c r="CD49">
        <v>11.125</v>
      </c>
      <c r="CE49">
        <v>27806.946169031311</v>
      </c>
      <c r="CF49" t="s">
        <v>82</v>
      </c>
      <c r="CG49">
        <v>11.125</v>
      </c>
      <c r="CH49">
        <v>140.01729681979944</v>
      </c>
      <c r="CI49" s="82">
        <f t="shared" si="14"/>
        <v>-6.8547341690532448E-3</v>
      </c>
      <c r="CJ49">
        <v>11.125</v>
      </c>
      <c r="CK49">
        <v>38076.110527620847</v>
      </c>
      <c r="CL49" t="s">
        <v>82</v>
      </c>
      <c r="CM49">
        <v>11.125</v>
      </c>
      <c r="CN49">
        <v>139.58156100106783</v>
      </c>
      <c r="CO49" s="82">
        <f t="shared" si="15"/>
        <v>-2.8486731642288987E-2</v>
      </c>
      <c r="CP49">
        <v>11.125</v>
      </c>
      <c r="CQ49">
        <v>70579.651394361921</v>
      </c>
      <c r="CR49" t="s">
        <v>82</v>
      </c>
      <c r="CS49">
        <v>11.125</v>
      </c>
      <c r="CT49">
        <v>138.86718924752509</v>
      </c>
      <c r="CU49" s="82">
        <f t="shared" si="16"/>
        <v>-3.690593567984024E-2</v>
      </c>
      <c r="CV49">
        <v>11.125</v>
      </c>
      <c r="CW49">
        <v>83839.522988435434</v>
      </c>
      <c r="CX49" t="s">
        <v>82</v>
      </c>
      <c r="CY49">
        <v>11.125</v>
      </c>
      <c r="CZ49">
        <v>138.08485752588231</v>
      </c>
      <c r="DA49" s="82">
        <f t="shared" si="17"/>
        <v>-4.2168489407998777E-2</v>
      </c>
      <c r="DB49">
        <v>11.125</v>
      </c>
      <c r="DC49">
        <v>92546.147552734226</v>
      </c>
      <c r="DD49" t="s">
        <v>82</v>
      </c>
      <c r="DG49" s="82">
        <f t="shared" si="18"/>
        <v>0</v>
      </c>
      <c r="DM49" s="82">
        <f t="shared" si="19"/>
        <v>0</v>
      </c>
    </row>
    <row r="50" spans="1:117" x14ac:dyDescent="0.2">
      <c r="A50">
        <v>11.375</v>
      </c>
      <c r="B50">
        <v>139.36981864561739</v>
      </c>
      <c r="C50" s="82">
        <f t="shared" si="0"/>
        <v>-8.5727999010885014E-3</v>
      </c>
      <c r="D50">
        <v>11.375</v>
      </c>
      <c r="E50">
        <v>29264.539447374849</v>
      </c>
      <c r="F50" t="s">
        <v>82</v>
      </c>
      <c r="G50">
        <v>11.375</v>
      </c>
      <c r="H50">
        <v>139.4462086639144</v>
      </c>
      <c r="I50" s="82">
        <f t="shared" si="1"/>
        <v>-9.8707958535158014E-3</v>
      </c>
      <c r="J50">
        <v>11.375</v>
      </c>
      <c r="K50">
        <v>31723.641867430782</v>
      </c>
      <c r="L50" t="s">
        <v>82</v>
      </c>
      <c r="M50">
        <v>11.375</v>
      </c>
      <c r="N50">
        <v>139.52389658078016</v>
      </c>
      <c r="O50" s="82">
        <f t="shared" si="2"/>
        <v>-1.1170799687448607E-2</v>
      </c>
      <c r="P50">
        <v>11.375</v>
      </c>
      <c r="Q50">
        <v>34213.306380509144</v>
      </c>
      <c r="R50" t="s">
        <v>82</v>
      </c>
      <c r="S50">
        <v>11.375</v>
      </c>
      <c r="T50">
        <v>139.60895399346609</v>
      </c>
      <c r="U50" s="82">
        <f t="shared" si="3"/>
        <v>-1.1523678354592448E-2</v>
      </c>
      <c r="V50">
        <v>11.375</v>
      </c>
      <c r="W50">
        <v>35351.591098494566</v>
      </c>
      <c r="X50" t="s">
        <v>82</v>
      </c>
      <c r="Y50">
        <v>11.375</v>
      </c>
      <c r="Z50">
        <v>139.69710570419434</v>
      </c>
      <c r="AA50" s="82">
        <f t="shared" si="4"/>
        <v>-1.1623824450538223E-2</v>
      </c>
      <c r="AB50">
        <v>11.375</v>
      </c>
      <c r="AC50">
        <v>36153.965330787978</v>
      </c>
      <c r="AD50" t="s">
        <v>82</v>
      </c>
      <c r="AE50">
        <v>11.375</v>
      </c>
      <c r="AF50">
        <v>139.78679443161772</v>
      </c>
      <c r="AG50" s="82">
        <f t="shared" si="5"/>
        <v>-1.1716536142472478E-2</v>
      </c>
      <c r="AH50">
        <v>11.375</v>
      </c>
      <c r="AI50">
        <v>36980.191657911964</v>
      </c>
      <c r="AJ50" t="s">
        <v>82</v>
      </c>
      <c r="AK50">
        <v>11.375</v>
      </c>
      <c r="AL50">
        <v>139.87798962764342</v>
      </c>
      <c r="AM50" s="82">
        <f t="shared" si="6"/>
        <v>-1.1799767154940355E-2</v>
      </c>
      <c r="AN50">
        <v>11.375</v>
      </c>
      <c r="AO50">
        <v>37829.92903136737</v>
      </c>
      <c r="AP50" t="s">
        <v>82</v>
      </c>
      <c r="AQ50">
        <v>11.375</v>
      </c>
      <c r="AR50">
        <v>139.94990956036489</v>
      </c>
      <c r="AS50" s="82">
        <f t="shared" si="7"/>
        <v>-8.3290652811172095E-3</v>
      </c>
      <c r="AT50">
        <v>11.375</v>
      </c>
      <c r="AU50">
        <v>33536.042377581733</v>
      </c>
      <c r="AV50" t="s">
        <v>82</v>
      </c>
      <c r="AW50">
        <v>11.375</v>
      </c>
      <c r="AX50">
        <v>140.01879813866856</v>
      </c>
      <c r="AY50" s="82">
        <f t="shared" si="8"/>
        <v>-4.0044356392456848E-3</v>
      </c>
      <c r="AZ50">
        <v>11.375</v>
      </c>
      <c r="BA50">
        <v>28043.851111342217</v>
      </c>
      <c r="BB50" t="s">
        <v>82</v>
      </c>
      <c r="BC50">
        <v>11.375</v>
      </c>
      <c r="BD50">
        <v>140.08489702242179</v>
      </c>
      <c r="BE50" s="82">
        <f t="shared" si="9"/>
        <v>2.1602075850069014E-4</v>
      </c>
      <c r="BF50">
        <v>11.375</v>
      </c>
      <c r="BG50">
        <v>22730.983554732942</v>
      </c>
      <c r="BH50" t="s">
        <v>82</v>
      </c>
      <c r="BI50">
        <v>11.375</v>
      </c>
      <c r="BJ50">
        <v>140.07396452844915</v>
      </c>
      <c r="BK50" s="82">
        <f t="shared" si="10"/>
        <v>9.2060533742710504E-4</v>
      </c>
      <c r="BL50">
        <v>11.375</v>
      </c>
      <c r="BM50">
        <v>24118.300768788402</v>
      </c>
      <c r="BN50" t="s">
        <v>82</v>
      </c>
      <c r="BO50">
        <v>11.375</v>
      </c>
      <c r="BP50">
        <v>140.06962429342246</v>
      </c>
      <c r="BQ50" s="82">
        <f t="shared" si="11"/>
        <v>1.163394805672624E-3</v>
      </c>
      <c r="BR50">
        <v>11.375</v>
      </c>
      <c r="BS50">
        <v>25419.558980861526</v>
      </c>
      <c r="BT50" t="s">
        <v>82</v>
      </c>
      <c r="BU50">
        <v>11.375</v>
      </c>
      <c r="BV50">
        <v>140.06931401091182</v>
      </c>
      <c r="BW50" s="82">
        <f t="shared" si="12"/>
        <v>1.1758570287838666E-3</v>
      </c>
      <c r="BX50">
        <v>11.375</v>
      </c>
      <c r="BY50">
        <v>26328.8746594966</v>
      </c>
      <c r="BZ50" t="s">
        <v>82</v>
      </c>
      <c r="CA50">
        <v>11.375</v>
      </c>
      <c r="CB50">
        <v>140.07693877923842</v>
      </c>
      <c r="CC50" s="82">
        <f t="shared" si="13"/>
        <v>1.0581792950290492E-3</v>
      </c>
      <c r="CD50">
        <v>11.375</v>
      </c>
      <c r="CE50">
        <v>26919.35087492771</v>
      </c>
      <c r="CF50" t="s">
        <v>82</v>
      </c>
      <c r="CG50">
        <v>11.375</v>
      </c>
      <c r="CH50">
        <v>140.00889314895946</v>
      </c>
      <c r="CI50" s="82">
        <f t="shared" si="14"/>
        <v>-8.4036708399821691E-3</v>
      </c>
      <c r="CJ50">
        <v>11.375</v>
      </c>
      <c r="CK50">
        <v>40309.709928118238</v>
      </c>
      <c r="CL50" t="s">
        <v>82</v>
      </c>
      <c r="CM50">
        <v>11.375</v>
      </c>
      <c r="CN50">
        <v>139.55243705765716</v>
      </c>
      <c r="CO50" s="82">
        <f t="shared" si="15"/>
        <v>-2.9123943410667152E-2</v>
      </c>
      <c r="CP50">
        <v>11.375</v>
      </c>
      <c r="CQ50">
        <v>71484.252588218515</v>
      </c>
      <c r="CR50" t="s">
        <v>82</v>
      </c>
      <c r="CS50">
        <v>11.375</v>
      </c>
      <c r="CT50">
        <v>138.83002543834149</v>
      </c>
      <c r="CU50" s="82">
        <f t="shared" si="16"/>
        <v>-3.7163809183596186E-2</v>
      </c>
      <c r="CV50">
        <v>11.375</v>
      </c>
      <c r="CW50">
        <v>84191.363816502941</v>
      </c>
      <c r="CX50" t="s">
        <v>82</v>
      </c>
      <c r="CY50">
        <v>11.375</v>
      </c>
      <c r="CZ50">
        <v>138.04268835224721</v>
      </c>
      <c r="DA50" s="82">
        <f t="shared" si="17"/>
        <v>-4.2169173635102197E-2</v>
      </c>
      <c r="DB50">
        <v>11.375</v>
      </c>
      <c r="DC50">
        <v>92523.574906038368</v>
      </c>
      <c r="DD50" t="s">
        <v>82</v>
      </c>
      <c r="DG50" s="82">
        <f t="shared" si="18"/>
        <v>0</v>
      </c>
      <c r="DM50" s="82">
        <f t="shared" si="19"/>
        <v>0</v>
      </c>
    </row>
    <row r="51" spans="1:117" x14ac:dyDescent="0.2">
      <c r="A51">
        <v>11.625</v>
      </c>
      <c r="B51">
        <v>139.36244717175617</v>
      </c>
      <c r="C51" s="82">
        <f t="shared" si="0"/>
        <v>-7.3714738612125075E-3</v>
      </c>
      <c r="D51">
        <v>11.625</v>
      </c>
      <c r="E51">
        <v>27398.23321349296</v>
      </c>
      <c r="F51" t="s">
        <v>82</v>
      </c>
      <c r="G51">
        <v>11.625</v>
      </c>
      <c r="H51">
        <v>139.43739945598776</v>
      </c>
      <c r="I51" s="82">
        <f t="shared" si="1"/>
        <v>-8.8092079266459677E-3</v>
      </c>
      <c r="J51">
        <v>11.625</v>
      </c>
      <c r="K51">
        <v>30066.669097458245</v>
      </c>
      <c r="L51" t="s">
        <v>82</v>
      </c>
      <c r="M51">
        <v>11.625</v>
      </c>
      <c r="N51">
        <v>139.51364613134621</v>
      </c>
      <c r="O51" s="82">
        <f t="shared" si="2"/>
        <v>-1.0250449433954145E-2</v>
      </c>
      <c r="P51">
        <v>11.625</v>
      </c>
      <c r="Q51">
        <v>32768.0578920271</v>
      </c>
      <c r="R51" t="s">
        <v>82</v>
      </c>
      <c r="S51">
        <v>11.625</v>
      </c>
      <c r="T51">
        <v>139.59816894396866</v>
      </c>
      <c r="U51" s="82">
        <f t="shared" si="3"/>
        <v>-1.0785049497428645E-2</v>
      </c>
      <c r="V51">
        <v>11.625</v>
      </c>
      <c r="W51">
        <v>34177.664136506493</v>
      </c>
      <c r="X51" t="s">
        <v>82</v>
      </c>
      <c r="Y51">
        <v>11.625</v>
      </c>
      <c r="Z51">
        <v>139.68602649741862</v>
      </c>
      <c r="AA51" s="82">
        <f t="shared" si="4"/>
        <v>-1.1079206775718831E-2</v>
      </c>
      <c r="AB51">
        <v>11.625</v>
      </c>
      <c r="AC51">
        <v>35269.519574704951</v>
      </c>
      <c r="AD51" t="s">
        <v>82</v>
      </c>
      <c r="AE51">
        <v>11.625</v>
      </c>
      <c r="AF51">
        <v>139.77542649229545</v>
      </c>
      <c r="AG51" s="82">
        <f t="shared" si="5"/>
        <v>-1.1367939322269649E-2</v>
      </c>
      <c r="AH51">
        <v>11.625</v>
      </c>
      <c r="AI51">
        <v>36388.269180189665</v>
      </c>
      <c r="AJ51" t="s">
        <v>82</v>
      </c>
      <c r="AK51">
        <v>11.625</v>
      </c>
      <c r="AL51">
        <v>139.86634062654014</v>
      </c>
      <c r="AM51" s="82">
        <f t="shared" si="6"/>
        <v>-1.1649001103279488E-2</v>
      </c>
      <c r="AN51">
        <v>11.625</v>
      </c>
      <c r="AO51">
        <v>37533.276386868478</v>
      </c>
      <c r="AP51" t="s">
        <v>82</v>
      </c>
      <c r="AQ51">
        <v>11.625</v>
      </c>
      <c r="AR51">
        <v>139.94138791043574</v>
      </c>
      <c r="AS51" s="82">
        <f t="shared" si="7"/>
        <v>-8.5216499291504988E-3</v>
      </c>
      <c r="AT51">
        <v>11.625</v>
      </c>
      <c r="AU51">
        <v>33747.861183209476</v>
      </c>
      <c r="AV51" t="s">
        <v>82</v>
      </c>
      <c r="AW51">
        <v>11.625</v>
      </c>
      <c r="AX51">
        <v>140.01421861774975</v>
      </c>
      <c r="AY51" s="82">
        <f t="shared" si="8"/>
        <v>-4.5795209188099761E-3</v>
      </c>
      <c r="AZ51">
        <v>11.625</v>
      </c>
      <c r="BA51">
        <v>28821.299819658438</v>
      </c>
      <c r="BB51" t="s">
        <v>82</v>
      </c>
      <c r="BC51">
        <v>11.625</v>
      </c>
      <c r="BD51">
        <v>140.08418884493514</v>
      </c>
      <c r="BE51" s="82">
        <f t="shared" si="9"/>
        <v>-7.081774866435353E-4</v>
      </c>
      <c r="BF51">
        <v>11.625</v>
      </c>
      <c r="BG51">
        <v>24023.916812492065</v>
      </c>
      <c r="BH51" t="s">
        <v>82</v>
      </c>
      <c r="BI51">
        <v>11.625</v>
      </c>
      <c r="BJ51">
        <v>140.07437540053451</v>
      </c>
      <c r="BK51" s="82">
        <f t="shared" si="10"/>
        <v>4.1087208535373065E-4</v>
      </c>
      <c r="BL51">
        <v>11.625</v>
      </c>
      <c r="BM51">
        <v>23393.109840930363</v>
      </c>
      <c r="BN51" t="s">
        <v>82</v>
      </c>
      <c r="BO51">
        <v>11.625</v>
      </c>
      <c r="BP51">
        <v>140.07043324952676</v>
      </c>
      <c r="BQ51" s="82">
        <f t="shared" si="11"/>
        <v>8.0895610429365661E-4</v>
      </c>
      <c r="BR51">
        <v>11.625</v>
      </c>
      <c r="BS51">
        <v>24926.275629129643</v>
      </c>
      <c r="BT51" t="s">
        <v>82</v>
      </c>
      <c r="BU51">
        <v>11.625</v>
      </c>
      <c r="BV51">
        <v>140.07014540384677</v>
      </c>
      <c r="BW51" s="82">
        <f t="shared" si="12"/>
        <v>8.3139293494127742E-4</v>
      </c>
      <c r="BX51">
        <v>11.625</v>
      </c>
      <c r="BY51">
        <v>25850.524551270104</v>
      </c>
      <c r="BZ51" t="s">
        <v>82</v>
      </c>
      <c r="CA51">
        <v>11.625</v>
      </c>
      <c r="CB51">
        <v>140.0774583500253</v>
      </c>
      <c r="CC51" s="82">
        <f t="shared" si="13"/>
        <v>5.1957078687792091E-4</v>
      </c>
      <c r="CD51">
        <v>11.625</v>
      </c>
      <c r="CE51">
        <v>26151.350397182199</v>
      </c>
      <c r="CF51" t="s">
        <v>82</v>
      </c>
      <c r="CG51">
        <v>11.625</v>
      </c>
      <c r="CH51">
        <v>139.99900473307304</v>
      </c>
      <c r="CI51" s="82">
        <f t="shared" si="14"/>
        <v>-9.8884158864223082E-3</v>
      </c>
      <c r="CJ51">
        <v>11.625</v>
      </c>
      <c r="CK51">
        <v>42449.759582783037</v>
      </c>
      <c r="CL51" t="s">
        <v>82</v>
      </c>
      <c r="CM51">
        <v>11.625</v>
      </c>
      <c r="CN51">
        <v>139.5227023700397</v>
      </c>
      <c r="CO51" s="82">
        <f t="shared" si="15"/>
        <v>-2.9734687617462896E-2</v>
      </c>
      <c r="CP51">
        <v>11.625</v>
      </c>
      <c r="CQ51">
        <v>72350.207762474995</v>
      </c>
      <c r="CR51" t="s">
        <v>82</v>
      </c>
      <c r="CS51">
        <v>11.625</v>
      </c>
      <c r="CT51">
        <v>138.79261421378399</v>
      </c>
      <c r="CU51" s="82">
        <f t="shared" si="16"/>
        <v>-3.741122455750201E-2</v>
      </c>
      <c r="CV51">
        <v>11.625</v>
      </c>
      <c r="CW51">
        <v>84527.902493398215</v>
      </c>
      <c r="CX51" t="s">
        <v>82</v>
      </c>
      <c r="CY51">
        <v>11.625</v>
      </c>
      <c r="CZ51">
        <v>138.00051776465833</v>
      </c>
      <c r="DA51" s="82">
        <f t="shared" si="17"/>
        <v>-4.21705875888847E-2</v>
      </c>
      <c r="DB51">
        <v>11.625</v>
      </c>
      <c r="DC51">
        <v>92502.006849164012</v>
      </c>
      <c r="DD51" t="s">
        <v>82</v>
      </c>
      <c r="DG51" s="82">
        <f t="shared" si="18"/>
        <v>0</v>
      </c>
      <c r="DM51" s="82">
        <f t="shared" si="19"/>
        <v>0</v>
      </c>
    </row>
    <row r="52" spans="1:117" x14ac:dyDescent="0.2">
      <c r="A52">
        <v>11.875</v>
      </c>
      <c r="B52">
        <v>139.35634863956039</v>
      </c>
      <c r="C52" s="82">
        <f t="shared" si="0"/>
        <v>-6.0985321957787164E-3</v>
      </c>
      <c r="D52">
        <v>11.875</v>
      </c>
      <c r="E52">
        <v>25424.384965567337</v>
      </c>
      <c r="F52" t="s">
        <v>82</v>
      </c>
      <c r="G52">
        <v>11.875</v>
      </c>
      <c r="H52">
        <v>139.42972142951311</v>
      </c>
      <c r="I52" s="82">
        <f t="shared" si="1"/>
        <v>-7.6780264746503235E-3</v>
      </c>
      <c r="J52">
        <v>11.875</v>
      </c>
      <c r="K52">
        <v>28305.176009308234</v>
      </c>
      <c r="L52" t="s">
        <v>82</v>
      </c>
      <c r="M52">
        <v>11.875</v>
      </c>
      <c r="N52">
        <v>139.5043834989068</v>
      </c>
      <c r="O52" s="82">
        <f t="shared" si="2"/>
        <v>-9.2626324394018411E-3</v>
      </c>
      <c r="P52">
        <v>11.875</v>
      </c>
      <c r="Q52">
        <v>31221.505901653338</v>
      </c>
      <c r="R52" t="s">
        <v>82</v>
      </c>
      <c r="S52">
        <v>11.875</v>
      </c>
      <c r="T52">
        <v>139.5881888650776</v>
      </c>
      <c r="U52" s="82">
        <f t="shared" si="3"/>
        <v>-9.9800788910613392E-3</v>
      </c>
      <c r="V52">
        <v>11.875</v>
      </c>
      <c r="W52">
        <v>32904.223164206589</v>
      </c>
      <c r="X52" t="s">
        <v>82</v>
      </c>
      <c r="Y52">
        <v>11.875</v>
      </c>
      <c r="Z52">
        <v>139.67555736867195</v>
      </c>
      <c r="AA52" s="82">
        <f t="shared" si="4"/>
        <v>-1.0469128746677825E-2</v>
      </c>
      <c r="AB52">
        <v>11.875</v>
      </c>
      <c r="AC52">
        <v>34287.015868617884</v>
      </c>
      <c r="AD52" t="s">
        <v>82</v>
      </c>
      <c r="AE52">
        <v>11.875</v>
      </c>
      <c r="AF52">
        <v>139.76447168879284</v>
      </c>
      <c r="AG52" s="82">
        <f t="shared" si="5"/>
        <v>-1.0954803502613686E-2</v>
      </c>
      <c r="AH52">
        <v>11.875</v>
      </c>
      <c r="AI52">
        <v>35699.823493768214</v>
      </c>
      <c r="AJ52" t="s">
        <v>82</v>
      </c>
      <c r="AK52">
        <v>11.875</v>
      </c>
      <c r="AL52">
        <v>139.85490596709894</v>
      </c>
      <c r="AM52" s="82">
        <f t="shared" si="6"/>
        <v>-1.1434659441192707E-2</v>
      </c>
      <c r="AN52">
        <v>11.875</v>
      </c>
      <c r="AO52">
        <v>37141.714811537728</v>
      </c>
      <c r="AP52" t="s">
        <v>82</v>
      </c>
      <c r="AQ52">
        <v>11.875</v>
      </c>
      <c r="AR52">
        <v>139.93274099257809</v>
      </c>
      <c r="AS52" s="82">
        <f t="shared" si="7"/>
        <v>-8.6469178576464856E-3</v>
      </c>
      <c r="AT52">
        <v>11.875</v>
      </c>
      <c r="AU52">
        <v>33859.552327688114</v>
      </c>
      <c r="AV52" t="s">
        <v>82</v>
      </c>
      <c r="AW52">
        <v>11.875</v>
      </c>
      <c r="AX52">
        <v>140.00913648102099</v>
      </c>
      <c r="AY52" s="82">
        <f t="shared" si="8"/>
        <v>-5.0821367287596786E-3</v>
      </c>
      <c r="AZ52">
        <v>11.875</v>
      </c>
      <c r="BA52">
        <v>29491.386886057764</v>
      </c>
      <c r="BB52" t="s">
        <v>82</v>
      </c>
      <c r="BC52">
        <v>11.875</v>
      </c>
      <c r="BD52">
        <v>140.08263433552651</v>
      </c>
      <c r="BE52" s="82">
        <f t="shared" si="9"/>
        <v>-1.5545094086348854E-3</v>
      </c>
      <c r="BF52">
        <v>11.875</v>
      </c>
      <c r="BG52">
        <v>25201.942737746005</v>
      </c>
      <c r="BH52" t="s">
        <v>82</v>
      </c>
      <c r="BI52">
        <v>11.875</v>
      </c>
      <c r="BJ52">
        <v>140.0743560982055</v>
      </c>
      <c r="BK52" s="82">
        <f t="shared" si="10"/>
        <v>-1.9302329008041852E-5</v>
      </c>
      <c r="BL52">
        <v>11.875</v>
      </c>
      <c r="BM52">
        <v>23366.694540080785</v>
      </c>
      <c r="BN52" t="s">
        <v>82</v>
      </c>
      <c r="BO52">
        <v>11.875</v>
      </c>
      <c r="BP52">
        <v>140.07096798570873</v>
      </c>
      <c r="BQ52" s="82">
        <f t="shared" si="11"/>
        <v>5.3473618197585893E-4</v>
      </c>
      <c r="BR52">
        <v>11.875</v>
      </c>
      <c r="BS52">
        <v>24552.20190973219</v>
      </c>
      <c r="BT52" t="s">
        <v>82</v>
      </c>
      <c r="BU52">
        <v>11.875</v>
      </c>
      <c r="BV52">
        <v>140.07071263645392</v>
      </c>
      <c r="BW52" s="82">
        <f t="shared" si="12"/>
        <v>5.6723260715330071E-4</v>
      </c>
      <c r="BX52">
        <v>11.875</v>
      </c>
      <c r="BY52">
        <v>25491.51010110612</v>
      </c>
      <c r="BZ52" t="s">
        <v>82</v>
      </c>
      <c r="CA52">
        <v>11.875</v>
      </c>
      <c r="CB52">
        <v>140.07751912336497</v>
      </c>
      <c r="CC52" s="82">
        <f t="shared" si="13"/>
        <v>6.0773339669140114E-5</v>
      </c>
      <c r="CD52">
        <v>11.875</v>
      </c>
      <c r="CE52">
        <v>25886.303361514303</v>
      </c>
      <c r="CF52" t="s">
        <v>82</v>
      </c>
      <c r="CG52">
        <v>11.875</v>
      </c>
      <c r="CH52">
        <v>139.98769317303206</v>
      </c>
      <c r="CI52" s="82">
        <f t="shared" si="14"/>
        <v>-1.1311560040979884E-2</v>
      </c>
      <c r="CJ52">
        <v>11.875</v>
      </c>
      <c r="CK52">
        <v>44500.005592559042</v>
      </c>
      <c r="CL52" t="s">
        <v>82</v>
      </c>
      <c r="CM52">
        <v>11.875</v>
      </c>
      <c r="CN52">
        <v>139.49238238491679</v>
      </c>
      <c r="CO52" s="82">
        <f t="shared" si="15"/>
        <v>-3.0319985122901016E-2</v>
      </c>
      <c r="CP52">
        <v>11.875</v>
      </c>
      <c r="CQ52">
        <v>73179.000440013406</v>
      </c>
      <c r="CR52" t="s">
        <v>82</v>
      </c>
      <c r="CS52">
        <v>11.875</v>
      </c>
      <c r="CT52">
        <v>138.75496568353407</v>
      </c>
      <c r="CU52" s="82">
        <f t="shared" si="16"/>
        <v>-3.7648530249924761E-2</v>
      </c>
      <c r="CV52">
        <v>11.875</v>
      </c>
      <c r="CW52">
        <v>84849.64296480098</v>
      </c>
      <c r="CX52" t="s">
        <v>82</v>
      </c>
      <c r="CY52">
        <v>11.875</v>
      </c>
      <c r="CZ52">
        <v>137.95834516522996</v>
      </c>
      <c r="DA52" s="82">
        <f t="shared" si="17"/>
        <v>-4.217259942836904E-2</v>
      </c>
      <c r="DB52">
        <v>11.875</v>
      </c>
      <c r="DC52">
        <v>92481.247979402862</v>
      </c>
      <c r="DD52" t="s">
        <v>82</v>
      </c>
      <c r="DG52" s="82">
        <f t="shared" si="18"/>
        <v>0</v>
      </c>
      <c r="DM52" s="82">
        <f t="shared" si="19"/>
        <v>0</v>
      </c>
    </row>
    <row r="53" spans="1:117" x14ac:dyDescent="0.2">
      <c r="A53">
        <v>12.125</v>
      </c>
      <c r="B53">
        <v>139.35159614851477</v>
      </c>
      <c r="C53" s="82">
        <f t="shared" si="0"/>
        <v>-4.7524910456218095E-3</v>
      </c>
      <c r="D53">
        <v>12.125</v>
      </c>
      <c r="E53">
        <v>23340.808078252358</v>
      </c>
      <c r="F53" t="s">
        <v>82</v>
      </c>
      <c r="G53">
        <v>12.125</v>
      </c>
      <c r="H53">
        <v>139.42324553566661</v>
      </c>
      <c r="I53" s="82">
        <f t="shared" si="1"/>
        <v>-6.4758938464990479E-3</v>
      </c>
      <c r="J53">
        <v>12.125</v>
      </c>
      <c r="K53">
        <v>26437.125599115498</v>
      </c>
      <c r="L53" t="s">
        <v>82</v>
      </c>
      <c r="M53">
        <v>12.125</v>
      </c>
      <c r="N53">
        <v>139.49617737351366</v>
      </c>
      <c r="O53" s="82">
        <f t="shared" si="2"/>
        <v>-8.2061253931442479E-3</v>
      </c>
      <c r="P53">
        <v>12.125</v>
      </c>
      <c r="Q53">
        <v>29571.793717656939</v>
      </c>
      <c r="R53" t="s">
        <v>82</v>
      </c>
      <c r="S53">
        <v>12.125</v>
      </c>
      <c r="T53">
        <v>139.57908112883649</v>
      </c>
      <c r="U53" s="82">
        <f t="shared" si="3"/>
        <v>-9.1077362411056129E-3</v>
      </c>
      <c r="V53">
        <v>12.125</v>
      </c>
      <c r="W53">
        <v>31529.68763738099</v>
      </c>
      <c r="X53" t="s">
        <v>82</v>
      </c>
      <c r="Y53">
        <v>12.125</v>
      </c>
      <c r="Z53">
        <v>139.66576458926974</v>
      </c>
      <c r="AA53" s="82">
        <f t="shared" si="4"/>
        <v>-9.7927794022041326E-3</v>
      </c>
      <c r="AB53">
        <v>12.125</v>
      </c>
      <c r="AC53">
        <v>33205.193227993681</v>
      </c>
      <c r="AD53" t="s">
        <v>82</v>
      </c>
      <c r="AE53">
        <v>12.125</v>
      </c>
      <c r="AF53">
        <v>139.7539951366729</v>
      </c>
      <c r="AG53" s="82">
        <f t="shared" si="5"/>
        <v>-1.0476552119939697E-2</v>
      </c>
      <c r="AH53">
        <v>12.125</v>
      </c>
      <c r="AI53">
        <v>34913.937915726769</v>
      </c>
      <c r="AJ53" t="s">
        <v>82</v>
      </c>
      <c r="AK53">
        <v>12.125</v>
      </c>
      <c r="AL53">
        <v>139.84374955123127</v>
      </c>
      <c r="AM53" s="82">
        <f t="shared" si="6"/>
        <v>-1.1156415867674241E-2</v>
      </c>
      <c r="AN53">
        <v>12.125</v>
      </c>
      <c r="AO53">
        <v>36654.696907423902</v>
      </c>
      <c r="AP53" t="s">
        <v>82</v>
      </c>
      <c r="AQ53">
        <v>12.125</v>
      </c>
      <c r="AR53">
        <v>139.9240359779912</v>
      </c>
      <c r="AS53" s="82">
        <f t="shared" si="7"/>
        <v>-8.7050145868943218E-3</v>
      </c>
      <c r="AT53">
        <v>12.125</v>
      </c>
      <c r="AU53">
        <v>33871.262230656102</v>
      </c>
      <c r="AV53" t="s">
        <v>82</v>
      </c>
      <c r="AW53">
        <v>12.125</v>
      </c>
      <c r="AX53">
        <v>140.00362349476114</v>
      </c>
      <c r="AY53" s="82">
        <f t="shared" si="8"/>
        <v>-5.5129862598448653E-3</v>
      </c>
      <c r="AZ53">
        <v>12.125</v>
      </c>
      <c r="BA53">
        <v>30055.074242364248</v>
      </c>
      <c r="BB53" t="s">
        <v>82</v>
      </c>
      <c r="BC53">
        <v>12.125</v>
      </c>
      <c r="BD53">
        <v>140.08031011368078</v>
      </c>
      <c r="BE53" s="82">
        <f t="shared" si="9"/>
        <v>-2.3242218457255603E-3</v>
      </c>
      <c r="BF53">
        <v>12.125</v>
      </c>
      <c r="BG53">
        <v>26266.800551541393</v>
      </c>
      <c r="BH53" t="s">
        <v>82</v>
      </c>
      <c r="BI53">
        <v>12.125</v>
      </c>
      <c r="BJ53">
        <v>140.07398552220576</v>
      </c>
      <c r="BK53" s="82">
        <f t="shared" si="10"/>
        <v>-3.7057599973877586E-4</v>
      </c>
      <c r="BL53">
        <v>12.125</v>
      </c>
      <c r="BM53">
        <v>23806.458642848982</v>
      </c>
      <c r="BN53" t="s">
        <v>82</v>
      </c>
      <c r="BO53">
        <v>12.125</v>
      </c>
      <c r="BP53">
        <v>140.07130828446429</v>
      </c>
      <c r="BQ53" s="82">
        <f t="shared" si="11"/>
        <v>3.4029875556029765E-4</v>
      </c>
      <c r="BR53">
        <v>12.125</v>
      </c>
      <c r="BS53">
        <v>24296.786576900009</v>
      </c>
      <c r="BT53" t="s">
        <v>82</v>
      </c>
      <c r="BU53">
        <v>12.125</v>
      </c>
      <c r="BV53">
        <v>140.07109557660692</v>
      </c>
      <c r="BW53" s="82">
        <f t="shared" si="12"/>
        <v>3.8294015300266437E-4</v>
      </c>
      <c r="BX53">
        <v>12.125</v>
      </c>
      <c r="BY53">
        <v>25251.283788767287</v>
      </c>
      <c r="BZ53" t="s">
        <v>82</v>
      </c>
      <c r="CA53">
        <v>12.125</v>
      </c>
      <c r="CB53">
        <v>140.07720012869049</v>
      </c>
      <c r="CC53" s="82">
        <f t="shared" si="13"/>
        <v>-3.1899467447260577E-4</v>
      </c>
      <c r="CD53">
        <v>12.125</v>
      </c>
      <c r="CE53">
        <v>26368.498057246288</v>
      </c>
      <c r="CF53" t="s">
        <v>82</v>
      </c>
      <c r="CG53">
        <v>12.125</v>
      </c>
      <c r="CH53">
        <v>139.97501759486443</v>
      </c>
      <c r="CI53" s="82">
        <f t="shared" si="14"/>
        <v>-1.2675578167630874E-2</v>
      </c>
      <c r="CJ53">
        <v>12.125</v>
      </c>
      <c r="CK53">
        <v>46464.031755495678</v>
      </c>
      <c r="CL53" t="s">
        <v>82</v>
      </c>
      <c r="CM53">
        <v>12.125</v>
      </c>
      <c r="CN53">
        <v>139.46150157755829</v>
      </c>
      <c r="CO53" s="82">
        <f t="shared" si="15"/>
        <v>-3.0880807358499851E-2</v>
      </c>
      <c r="CP53">
        <v>12.125</v>
      </c>
      <c r="CQ53">
        <v>73972.042011767393</v>
      </c>
      <c r="CR53" t="s">
        <v>82</v>
      </c>
      <c r="CS53">
        <v>12.125</v>
      </c>
      <c r="CT53">
        <v>138.71708962909267</v>
      </c>
      <c r="CU53" s="82">
        <f t="shared" si="16"/>
        <v>-3.7876054441397855E-2</v>
      </c>
      <c r="CV53">
        <v>12.125</v>
      </c>
      <c r="CW53">
        <v>85157.059502060758</v>
      </c>
      <c r="CX53" t="s">
        <v>82</v>
      </c>
      <c r="CY53">
        <v>12.125</v>
      </c>
      <c r="CZ53">
        <v>137.91617008668155</v>
      </c>
      <c r="DA53" s="82">
        <f t="shared" si="17"/>
        <v>-4.2175078548410738E-2</v>
      </c>
      <c r="DB53">
        <v>12.125</v>
      </c>
      <c r="DC53">
        <v>92461.104529479402</v>
      </c>
      <c r="DD53" t="s">
        <v>82</v>
      </c>
      <c r="DG53" s="82">
        <f t="shared" si="18"/>
        <v>0</v>
      </c>
      <c r="DM53" s="82">
        <f t="shared" si="19"/>
        <v>0</v>
      </c>
    </row>
    <row r="54" spans="1:117" x14ac:dyDescent="0.2">
      <c r="A54">
        <v>12.375</v>
      </c>
      <c r="B54">
        <v>139.34826435945493</v>
      </c>
      <c r="C54" s="82">
        <f t="shared" si="0"/>
        <v>-3.3317890598425492E-3</v>
      </c>
      <c r="D54">
        <v>12.375</v>
      </c>
      <c r="E54">
        <v>21145.242369567462</v>
      </c>
      <c r="F54" t="s">
        <v>82</v>
      </c>
      <c r="G54">
        <v>12.375</v>
      </c>
      <c r="H54">
        <v>139.41804416097929</v>
      </c>
      <c r="I54" s="82">
        <f t="shared" si="1"/>
        <v>-5.201374687317184E-3</v>
      </c>
      <c r="J54">
        <v>12.375</v>
      </c>
      <c r="K54">
        <v>24460.383159772715</v>
      </c>
      <c r="L54" t="s">
        <v>82</v>
      </c>
      <c r="M54">
        <v>12.375</v>
      </c>
      <c r="N54">
        <v>139.48909774631022</v>
      </c>
      <c r="O54" s="82">
        <f t="shared" si="2"/>
        <v>-7.0796272034385765E-3</v>
      </c>
      <c r="P54">
        <v>12.375</v>
      </c>
      <c r="Q54">
        <v>27816.956697195881</v>
      </c>
      <c r="R54" t="s">
        <v>82</v>
      </c>
      <c r="S54">
        <v>12.375</v>
      </c>
      <c r="T54">
        <v>139.57091421688057</v>
      </c>
      <c r="U54" s="82">
        <f t="shared" si="3"/>
        <v>-8.1669119559251158E-3</v>
      </c>
      <c r="V54">
        <v>12.375</v>
      </c>
      <c r="W54">
        <v>30052.36256559052</v>
      </c>
      <c r="X54" t="s">
        <v>82</v>
      </c>
      <c r="Y54">
        <v>12.375</v>
      </c>
      <c r="Z54">
        <v>139.65671532254876</v>
      </c>
      <c r="AA54" s="82">
        <f t="shared" si="4"/>
        <v>-9.0492667209787214E-3</v>
      </c>
      <c r="AB54">
        <v>12.375</v>
      </c>
      <c r="AC54">
        <v>32022.671586138636</v>
      </c>
      <c r="AD54" t="s">
        <v>82</v>
      </c>
      <c r="AE54">
        <v>12.375</v>
      </c>
      <c r="AF54">
        <v>139.74406261097511</v>
      </c>
      <c r="AG54" s="82">
        <f t="shared" si="5"/>
        <v>-9.9325256977920162E-3</v>
      </c>
      <c r="AH54">
        <v>12.375</v>
      </c>
      <c r="AI54">
        <v>34029.573027516279</v>
      </c>
      <c r="AJ54" t="s">
        <v>82</v>
      </c>
      <c r="AK54">
        <v>12.375</v>
      </c>
      <c r="AL54">
        <v>139.83293569187515</v>
      </c>
      <c r="AM54" s="82">
        <f t="shared" si="6"/>
        <v>-1.0813859356119337E-2</v>
      </c>
      <c r="AN54">
        <v>12.375</v>
      </c>
      <c r="AO54">
        <v>36071.549545421476</v>
      </c>
      <c r="AP54" t="s">
        <v>82</v>
      </c>
      <c r="AQ54">
        <v>12.375</v>
      </c>
      <c r="AR54">
        <v>139.91533998588827</v>
      </c>
      <c r="AS54" s="82">
        <f t="shared" si="7"/>
        <v>-8.6959921029290399E-3</v>
      </c>
      <c r="AT54">
        <v>12.375</v>
      </c>
      <c r="AU54">
        <v>33782.998923028208</v>
      </c>
      <c r="AV54" t="s">
        <v>82</v>
      </c>
      <c r="AW54">
        <v>12.375</v>
      </c>
      <c r="AX54">
        <v>139.99775082697943</v>
      </c>
      <c r="AY54" s="82">
        <f t="shared" si="8"/>
        <v>-5.8726677817162454E-3</v>
      </c>
      <c r="AZ54">
        <v>12.375</v>
      </c>
      <c r="BA54">
        <v>30513.170349755797</v>
      </c>
      <c r="BB54" t="s">
        <v>82</v>
      </c>
      <c r="BC54">
        <v>12.375</v>
      </c>
      <c r="BD54">
        <v>140.07729166916022</v>
      </c>
      <c r="BE54" s="82">
        <f t="shared" si="9"/>
        <v>-3.0184445205634347E-3</v>
      </c>
      <c r="BF54">
        <v>12.375</v>
      </c>
      <c r="BG54">
        <v>27220.065439914946</v>
      </c>
      <c r="BH54" t="s">
        <v>82</v>
      </c>
      <c r="BI54">
        <v>12.375</v>
      </c>
      <c r="BJ54">
        <v>140.07334203762906</v>
      </c>
      <c r="BK54" s="82">
        <f t="shared" si="10"/>
        <v>-6.4348457669893833E-4</v>
      </c>
      <c r="BL54">
        <v>12.375</v>
      </c>
      <c r="BM54">
        <v>24129.866498460968</v>
      </c>
      <c r="BN54" t="s">
        <v>82</v>
      </c>
      <c r="BO54">
        <v>12.375</v>
      </c>
      <c r="BP54">
        <v>140.07153361937822</v>
      </c>
      <c r="BQ54" s="82">
        <f t="shared" si="11"/>
        <v>2.2533491392096039E-4</v>
      </c>
      <c r="BR54">
        <v>12.375</v>
      </c>
      <c r="BS54">
        <v>24159.666308536216</v>
      </c>
      <c r="BT54" t="s">
        <v>82</v>
      </c>
      <c r="BU54">
        <v>12.375</v>
      </c>
      <c r="BV54">
        <v>140.07137378842361</v>
      </c>
      <c r="BW54" s="82">
        <f t="shared" si="12"/>
        <v>2.7821181669196449E-4</v>
      </c>
      <c r="BX54">
        <v>12.375</v>
      </c>
      <c r="BY54">
        <v>25129.493101407308</v>
      </c>
      <c r="BZ54" t="s">
        <v>82</v>
      </c>
      <c r="CA54">
        <v>12.375</v>
      </c>
      <c r="CB54">
        <v>140.07657975030213</v>
      </c>
      <c r="CC54" s="82">
        <f t="shared" si="13"/>
        <v>-6.2037838836204173E-4</v>
      </c>
      <c r="CD54">
        <v>12.375</v>
      </c>
      <c r="CE54">
        <v>26734.374131905784</v>
      </c>
      <c r="CF54" t="s">
        <v>82</v>
      </c>
      <c r="CG54">
        <v>12.375</v>
      </c>
      <c r="CH54">
        <v>139.96103476083877</v>
      </c>
      <c r="CI54" s="82">
        <f t="shared" si="14"/>
        <v>-1.3982834025654256E-2</v>
      </c>
      <c r="CJ54">
        <v>12.375</v>
      </c>
      <c r="CK54">
        <v>48345.264560074058</v>
      </c>
      <c r="CL54" t="s">
        <v>82</v>
      </c>
      <c r="CM54">
        <v>12.375</v>
      </c>
      <c r="CN54">
        <v>139.43008349926356</v>
      </c>
      <c r="CO54" s="82">
        <f t="shared" si="15"/>
        <v>-3.1418078294734642E-2</v>
      </c>
      <c r="CP54">
        <v>12.375</v>
      </c>
      <c r="CQ54">
        <v>74730.674588789363</v>
      </c>
      <c r="CR54" t="s">
        <v>82</v>
      </c>
      <c r="CS54">
        <v>12.375</v>
      </c>
      <c r="CT54">
        <v>138.67899552335518</v>
      </c>
      <c r="CU54" s="82">
        <f t="shared" si="16"/>
        <v>-3.8094105737485506E-2</v>
      </c>
      <c r="CV54">
        <v>12.375</v>
      </c>
      <c r="CW54">
        <v>85450.597708304122</v>
      </c>
      <c r="CX54" t="s">
        <v>82</v>
      </c>
      <c r="CY54">
        <v>12.375</v>
      </c>
      <c r="CZ54">
        <v>137.87399219132345</v>
      </c>
      <c r="DA54" s="82">
        <f t="shared" si="17"/>
        <v>-4.217789535809402E-2</v>
      </c>
      <c r="DB54">
        <v>12.375</v>
      </c>
      <c r="DC54">
        <v>92441.384066323502</v>
      </c>
      <c r="DD54" t="s">
        <v>82</v>
      </c>
      <c r="DG54" s="82">
        <f t="shared" si="18"/>
        <v>0</v>
      </c>
      <c r="DM54" s="82">
        <f t="shared" si="19"/>
        <v>0</v>
      </c>
    </row>
    <row r="55" spans="1:117" x14ac:dyDescent="0.2">
      <c r="A55">
        <v>12.625</v>
      </c>
      <c r="B55">
        <v>139.34642957338662</v>
      </c>
      <c r="C55" s="82">
        <f t="shared" si="0"/>
        <v>-1.8347860683149975E-3</v>
      </c>
      <c r="D55">
        <v>12.625</v>
      </c>
      <c r="E55">
        <v>18835.383834518318</v>
      </c>
      <c r="F55" t="s">
        <v>82</v>
      </c>
      <c r="G55">
        <v>12.625</v>
      </c>
      <c r="H55">
        <v>139.41419120626932</v>
      </c>
      <c r="I55" s="82">
        <f t="shared" si="1"/>
        <v>-3.8529547099699357E-3</v>
      </c>
      <c r="J55">
        <v>12.625</v>
      </c>
      <c r="K55">
        <v>22372.725664525558</v>
      </c>
      <c r="L55" t="s">
        <v>82</v>
      </c>
      <c r="M55">
        <v>12.625</v>
      </c>
      <c r="N55">
        <v>139.48321598844825</v>
      </c>
      <c r="O55" s="82">
        <f t="shared" si="2"/>
        <v>-5.881757861970982E-3</v>
      </c>
      <c r="P55">
        <v>12.625</v>
      </c>
      <c r="Q55">
        <v>25954.924801684865</v>
      </c>
      <c r="R55" t="s">
        <v>82</v>
      </c>
      <c r="S55">
        <v>12.625</v>
      </c>
      <c r="T55">
        <v>139.56375780062413</v>
      </c>
      <c r="U55" s="82">
        <f t="shared" si="3"/>
        <v>-7.1564162564357048E-3</v>
      </c>
      <c r="V55">
        <v>12.625</v>
      </c>
      <c r="W55">
        <v>28470.438937808602</v>
      </c>
      <c r="X55" t="s">
        <v>82</v>
      </c>
      <c r="Y55">
        <v>12.625</v>
      </c>
      <c r="Z55">
        <v>139.64847770560527</v>
      </c>
      <c r="AA55" s="82">
        <f t="shared" si="4"/>
        <v>-8.2376169434894564E-3</v>
      </c>
      <c r="AB55">
        <v>12.625</v>
      </c>
      <c r="AC55">
        <v>30737.951491064352</v>
      </c>
      <c r="AD55" t="s">
        <v>82</v>
      </c>
      <c r="AE55">
        <v>12.625</v>
      </c>
      <c r="AF55">
        <v>139.73474062953741</v>
      </c>
      <c r="AG55" s="82">
        <f t="shared" si="5"/>
        <v>-9.3219814376936938E-3</v>
      </c>
      <c r="AH55">
        <v>12.625</v>
      </c>
      <c r="AI55">
        <v>33045.566331808936</v>
      </c>
      <c r="AJ55" t="s">
        <v>82</v>
      </c>
      <c r="AK55">
        <v>12.625</v>
      </c>
      <c r="AL55">
        <v>139.82252919783977</v>
      </c>
      <c r="AM55" s="82">
        <f t="shared" si="6"/>
        <v>-1.040649403537941E-2</v>
      </c>
      <c r="AN55">
        <v>12.625</v>
      </c>
      <c r="AO55">
        <v>35391.473765763432</v>
      </c>
      <c r="AP55" t="s">
        <v>82</v>
      </c>
      <c r="AQ55">
        <v>12.625</v>
      </c>
      <c r="AR55">
        <v>139.9067201765366</v>
      </c>
      <c r="AS55" s="82">
        <f t="shared" si="7"/>
        <v>-8.6198093516713925E-3</v>
      </c>
      <c r="AT55">
        <v>12.625</v>
      </c>
      <c r="AU55">
        <v>33594.632723969022</v>
      </c>
      <c r="AV55" t="s">
        <v>82</v>
      </c>
      <c r="AW55">
        <v>12.625</v>
      </c>
      <c r="AX55">
        <v>139.99158915099909</v>
      </c>
      <c r="AY55" s="82">
        <f t="shared" si="8"/>
        <v>-6.1616759803371224E-3</v>
      </c>
      <c r="AZ55">
        <v>12.625</v>
      </c>
      <c r="BA55">
        <v>30866.33169458574</v>
      </c>
      <c r="BB55" t="s">
        <v>82</v>
      </c>
      <c r="BC55">
        <v>12.625</v>
      </c>
      <c r="BD55">
        <v>140.07365347693116</v>
      </c>
      <c r="BE55" s="82">
        <f t="shared" si="9"/>
        <v>-3.6381922290615876E-3</v>
      </c>
      <c r="BF55">
        <v>12.625</v>
      </c>
      <c r="BG55">
        <v>28063.149012836009</v>
      </c>
      <c r="BH55" t="s">
        <v>82</v>
      </c>
      <c r="BI55">
        <v>12.625</v>
      </c>
      <c r="BJ55">
        <v>140.07250359503897</v>
      </c>
      <c r="BK55" s="82">
        <f t="shared" si="10"/>
        <v>-8.3844259009424604E-4</v>
      </c>
      <c r="BL55">
        <v>12.625</v>
      </c>
      <c r="BM55">
        <v>24337.440819891501</v>
      </c>
      <c r="BN55" t="s">
        <v>82</v>
      </c>
      <c r="BO55">
        <v>12.625</v>
      </c>
      <c r="BP55">
        <v>140.07172328150642</v>
      </c>
      <c r="BQ55" s="82">
        <f t="shared" si="11"/>
        <v>1.8966212820714645E-4</v>
      </c>
      <c r="BR55">
        <v>12.625</v>
      </c>
      <c r="BS55">
        <v>24140.664143661077</v>
      </c>
      <c r="BT55" t="s">
        <v>82</v>
      </c>
      <c r="BU55">
        <v>12.625</v>
      </c>
      <c r="BV55">
        <v>140.07162666336512</v>
      </c>
      <c r="BW55" s="82">
        <f t="shared" si="12"/>
        <v>2.5287494150916245E-4</v>
      </c>
      <c r="BX55">
        <v>12.625</v>
      </c>
      <c r="BY55">
        <v>25125.979062591177</v>
      </c>
      <c r="BZ55" t="s">
        <v>82</v>
      </c>
      <c r="CA55">
        <v>12.625</v>
      </c>
      <c r="CB55">
        <v>140.07573586220408</v>
      </c>
      <c r="CC55" s="82">
        <f t="shared" si="13"/>
        <v>-8.4388809804636367E-4</v>
      </c>
      <c r="CD55">
        <v>12.625</v>
      </c>
      <c r="CE55">
        <v>26984.587119317861</v>
      </c>
      <c r="CF55" t="s">
        <v>82</v>
      </c>
      <c r="CG55">
        <v>12.625</v>
      </c>
      <c r="CH55">
        <v>139.94579917603295</v>
      </c>
      <c r="CI55" s="82">
        <f t="shared" si="14"/>
        <v>-1.52355848058221E-2</v>
      </c>
      <c r="CJ55">
        <v>12.625</v>
      </c>
      <c r="CK55">
        <v>50146.978465061256</v>
      </c>
      <c r="CL55" t="s">
        <v>82</v>
      </c>
      <c r="CM55">
        <v>12.625</v>
      </c>
      <c r="CN55">
        <v>139.39815082299765</v>
      </c>
      <c r="CO55" s="82">
        <f t="shared" si="15"/>
        <v>-3.1932676265910231E-2</v>
      </c>
      <c r="CP55">
        <v>12.625</v>
      </c>
      <c r="CQ55">
        <v>75456.173650369456</v>
      </c>
      <c r="CR55" t="s">
        <v>82</v>
      </c>
      <c r="CS55">
        <v>12.625</v>
      </c>
      <c r="CT55">
        <v>138.64069254954359</v>
      </c>
      <c r="CU55" s="82">
        <f t="shared" si="16"/>
        <v>-3.830297381159653E-2</v>
      </c>
      <c r="CV55">
        <v>12.625</v>
      </c>
      <c r="CW55">
        <v>85730.675442491076</v>
      </c>
      <c r="CX55" t="s">
        <v>82</v>
      </c>
      <c r="CY55">
        <v>12.625</v>
      </c>
      <c r="CZ55">
        <v>137.83181127032867</v>
      </c>
      <c r="DA55" s="82">
        <f t="shared" si="17"/>
        <v>-4.218092099478099E-2</v>
      </c>
      <c r="DB55">
        <v>12.625</v>
      </c>
      <c r="DC55">
        <v>92421.89503593916</v>
      </c>
      <c r="DD55" t="s">
        <v>82</v>
      </c>
      <c r="DG55" s="82">
        <f t="shared" si="18"/>
        <v>0</v>
      </c>
      <c r="DM55" s="82">
        <f t="shared" si="19"/>
        <v>0</v>
      </c>
    </row>
    <row r="56" spans="1:117" x14ac:dyDescent="0.2">
      <c r="A56">
        <v>12.875</v>
      </c>
      <c r="B56">
        <v>139.34616981167756</v>
      </c>
      <c r="C56" s="82">
        <f t="shared" si="0"/>
        <v>-2.5976170906005791E-4</v>
      </c>
      <c r="D56">
        <v>12.875</v>
      </c>
      <c r="E56">
        <v>18098.422534638892</v>
      </c>
      <c r="F56" t="s">
        <v>82</v>
      </c>
      <c r="G56">
        <v>12.875</v>
      </c>
      <c r="H56">
        <v>139.41176216688609</v>
      </c>
      <c r="I56" s="82">
        <f t="shared" si="1"/>
        <v>-2.429039383230247E-3</v>
      </c>
      <c r="J56">
        <v>12.875</v>
      </c>
      <c r="K56">
        <v>20171.86020510317</v>
      </c>
      <c r="L56" t="s">
        <v>82</v>
      </c>
      <c r="M56">
        <v>12.875</v>
      </c>
      <c r="N56">
        <v>139.47860493119938</v>
      </c>
      <c r="O56" s="82">
        <f t="shared" si="2"/>
        <v>-4.6110572488657908E-3</v>
      </c>
      <c r="P56">
        <v>12.875</v>
      </c>
      <c r="Q56">
        <v>23983.527835677349</v>
      </c>
      <c r="R56" t="s">
        <v>82</v>
      </c>
      <c r="S56">
        <v>12.875</v>
      </c>
      <c r="T56">
        <v>139.55768282248459</v>
      </c>
      <c r="U56" s="82">
        <f t="shared" si="3"/>
        <v>-6.0749781395372793E-3</v>
      </c>
      <c r="V56">
        <v>12.875</v>
      </c>
      <c r="W56">
        <v>26781.994911244808</v>
      </c>
      <c r="X56" t="s">
        <v>82</v>
      </c>
      <c r="Y56">
        <v>12.875</v>
      </c>
      <c r="Z56">
        <v>139.64112093185346</v>
      </c>
      <c r="AA56" s="82">
        <f t="shared" si="4"/>
        <v>-7.3567737518089871E-3</v>
      </c>
      <c r="AB56">
        <v>12.875</v>
      </c>
      <c r="AC56">
        <v>29349.41392932579</v>
      </c>
      <c r="AD56" t="s">
        <v>82</v>
      </c>
      <c r="AE56">
        <v>12.875</v>
      </c>
      <c r="AF56">
        <v>139.72609653687925</v>
      </c>
      <c r="AG56" s="82">
        <f t="shared" si="5"/>
        <v>-8.6440926581587973E-3</v>
      </c>
      <c r="AH56">
        <v>12.875</v>
      </c>
      <c r="AI56">
        <v>31960.631760544213</v>
      </c>
      <c r="AJ56" t="s">
        <v>82</v>
      </c>
      <c r="AK56">
        <v>12.875</v>
      </c>
      <c r="AL56">
        <v>139.81259545891223</v>
      </c>
      <c r="AM56" s="82">
        <f t="shared" si="6"/>
        <v>-9.9337389275433452E-3</v>
      </c>
      <c r="AN56">
        <v>12.875</v>
      </c>
      <c r="AO56">
        <v>34613.544447315355</v>
      </c>
      <c r="AP56" t="s">
        <v>82</v>
      </c>
      <c r="AQ56">
        <v>12.875</v>
      </c>
      <c r="AR56">
        <v>139.89824384388297</v>
      </c>
      <c r="AS56" s="82">
        <f t="shared" si="7"/>
        <v>-8.4763326536290151E-3</v>
      </c>
      <c r="AT56">
        <v>12.875</v>
      </c>
      <c r="AU56">
        <v>33305.896757041875</v>
      </c>
      <c r="AV56" t="s">
        <v>82</v>
      </c>
      <c r="AW56">
        <v>12.875</v>
      </c>
      <c r="AX56">
        <v>139.98520874787508</v>
      </c>
      <c r="AY56" s="82">
        <f t="shared" si="8"/>
        <v>-6.3804031240124459E-3</v>
      </c>
      <c r="AZ56">
        <v>12.875</v>
      </c>
      <c r="BA56">
        <v>31115.064135518016</v>
      </c>
      <c r="BB56" t="s">
        <v>82</v>
      </c>
      <c r="BC56">
        <v>12.875</v>
      </c>
      <c r="BD56">
        <v>140.06946911007032</v>
      </c>
      <c r="BE56" s="82">
        <f t="shared" si="9"/>
        <v>-4.1843668608407825E-3</v>
      </c>
      <c r="BF56">
        <v>12.875</v>
      </c>
      <c r="BG56">
        <v>28797.300444110268</v>
      </c>
      <c r="BH56" t="s">
        <v>82</v>
      </c>
      <c r="BI56">
        <v>12.875</v>
      </c>
      <c r="BJ56">
        <v>140.07154785043946</v>
      </c>
      <c r="BK56" s="82">
        <f t="shared" si="10"/>
        <v>-9.5574459950853452E-4</v>
      </c>
      <c r="BL56">
        <v>12.875</v>
      </c>
      <c r="BM56">
        <v>24429.528414613385</v>
      </c>
      <c r="BN56" t="s">
        <v>82</v>
      </c>
      <c r="BO56">
        <v>12.875</v>
      </c>
      <c r="BP56">
        <v>140.07195650492079</v>
      </c>
      <c r="BQ56" s="82">
        <f t="shared" si="11"/>
        <v>2.3322341436937677E-4</v>
      </c>
      <c r="BR56">
        <v>12.875</v>
      </c>
      <c r="BS56">
        <v>24239.788359532733</v>
      </c>
      <c r="BT56" t="s">
        <v>82</v>
      </c>
      <c r="BU56">
        <v>12.875</v>
      </c>
      <c r="BV56">
        <v>140.07193355053371</v>
      </c>
      <c r="BW56" s="82">
        <f t="shared" si="12"/>
        <v>3.0688716859117449E-4</v>
      </c>
      <c r="BX56">
        <v>12.875</v>
      </c>
      <c r="BY56">
        <v>25240.775133127427</v>
      </c>
      <c r="BZ56" t="s">
        <v>82</v>
      </c>
      <c r="CA56">
        <v>12.875</v>
      </c>
      <c r="CB56">
        <v>140.07474596160264</v>
      </c>
      <c r="CC56" s="82">
        <f t="shared" si="13"/>
        <v>-9.8990060143933079E-4</v>
      </c>
      <c r="CD56">
        <v>12.875</v>
      </c>
      <c r="CE56">
        <v>27119.596350384454</v>
      </c>
      <c r="CF56" t="s">
        <v>82</v>
      </c>
      <c r="CG56">
        <v>12.875</v>
      </c>
      <c r="CH56">
        <v>139.92936319053777</v>
      </c>
      <c r="CI56" s="82">
        <f t="shared" si="14"/>
        <v>-1.6435985495178329E-2</v>
      </c>
      <c r="CJ56">
        <v>12.875</v>
      </c>
      <c r="CK56">
        <v>51872.301358946032</v>
      </c>
      <c r="CL56" t="s">
        <v>82</v>
      </c>
      <c r="CM56">
        <v>12.875</v>
      </c>
      <c r="CN56">
        <v>139.36572538725429</v>
      </c>
      <c r="CO56" s="82">
        <f t="shared" si="15"/>
        <v>-3.2425435743363096E-2</v>
      </c>
      <c r="CP56">
        <v>12.875</v>
      </c>
      <c r="CQ56">
        <v>76149.750616568359</v>
      </c>
      <c r="CR56" t="s">
        <v>82</v>
      </c>
      <c r="CS56">
        <v>12.875</v>
      </c>
      <c r="CT56">
        <v>138.60218961952873</v>
      </c>
      <c r="CU56" s="82">
        <f t="shared" si="16"/>
        <v>-3.8502930014857384E-2</v>
      </c>
      <c r="CV56">
        <v>12.875</v>
      </c>
      <c r="CW56">
        <v>85997.683698175213</v>
      </c>
      <c r="CX56" t="s">
        <v>82</v>
      </c>
      <c r="CY56">
        <v>12.875</v>
      </c>
      <c r="CZ56">
        <v>137.78962724324728</v>
      </c>
      <c r="DA56" s="82">
        <f t="shared" si="17"/>
        <v>-4.2184027081390241E-2</v>
      </c>
      <c r="DB56">
        <v>12.875</v>
      </c>
      <c r="DC56">
        <v>92402.446435532489</v>
      </c>
      <c r="DD56" t="s">
        <v>82</v>
      </c>
      <c r="DG56" s="82">
        <f t="shared" si="18"/>
        <v>0</v>
      </c>
      <c r="DM56" s="82">
        <f t="shared" si="19"/>
        <v>0</v>
      </c>
    </row>
    <row r="57" spans="1:117" x14ac:dyDescent="0.2">
      <c r="A57">
        <v>13.125</v>
      </c>
      <c r="B57">
        <v>139.34756489772843</v>
      </c>
      <c r="C57" s="82">
        <f t="shared" si="0"/>
        <v>1.3950860508771257E-3</v>
      </c>
      <c r="D57">
        <v>13.125</v>
      </c>
      <c r="E57">
        <v>20599.088101105324</v>
      </c>
      <c r="F57" t="s">
        <v>82</v>
      </c>
      <c r="G57">
        <v>13.125</v>
      </c>
      <c r="H57">
        <v>139.41083421430434</v>
      </c>
      <c r="I57" s="82">
        <f t="shared" si="1"/>
        <v>-9.279525817476042E-4</v>
      </c>
      <c r="J57">
        <v>13.125</v>
      </c>
      <c r="K57">
        <v>17855.461389936918</v>
      </c>
      <c r="L57" t="s">
        <v>82</v>
      </c>
      <c r="M57">
        <v>13.125</v>
      </c>
      <c r="N57">
        <v>139.47533894735</v>
      </c>
      <c r="O57" s="82">
        <f t="shared" si="2"/>
        <v>-3.2659838493884763E-3</v>
      </c>
      <c r="P57">
        <v>13.125</v>
      </c>
      <c r="Q57">
        <v>21900.505677028112</v>
      </c>
      <c r="R57" t="s">
        <v>82</v>
      </c>
      <c r="S57">
        <v>13.125</v>
      </c>
      <c r="T57">
        <v>139.55276157816442</v>
      </c>
      <c r="U57" s="82">
        <f t="shared" si="3"/>
        <v>-4.9212443201724909E-3</v>
      </c>
      <c r="V57">
        <v>13.125</v>
      </c>
      <c r="W57">
        <v>24984.998622983087</v>
      </c>
      <c r="X57" t="s">
        <v>82</v>
      </c>
      <c r="Y57">
        <v>13.125</v>
      </c>
      <c r="Z57">
        <v>139.63471533444078</v>
      </c>
      <c r="AA57" s="82">
        <f t="shared" si="4"/>
        <v>-6.4055974126802084E-3</v>
      </c>
      <c r="AB57">
        <v>13.125</v>
      </c>
      <c r="AC57">
        <v>27855.320681357705</v>
      </c>
      <c r="AD57" t="s">
        <v>82</v>
      </c>
      <c r="AE57">
        <v>13.125</v>
      </c>
      <c r="AF57">
        <v>139.71819858871137</v>
      </c>
      <c r="AG57" s="82">
        <f t="shared" si="5"/>
        <v>-7.8979481678800312E-3</v>
      </c>
      <c r="AH57">
        <v>13.125</v>
      </c>
      <c r="AI57">
        <v>30773.35933124481</v>
      </c>
      <c r="AJ57" t="s">
        <v>82</v>
      </c>
      <c r="AK57">
        <v>13.125</v>
      </c>
      <c r="AL57">
        <v>139.80320053130106</v>
      </c>
      <c r="AM57" s="82">
        <f t="shared" si="6"/>
        <v>-9.3949276111686686E-3</v>
      </c>
      <c r="AN57">
        <v>13.125</v>
      </c>
      <c r="AO57">
        <v>33736.709982022228</v>
      </c>
      <c r="AP57" t="s">
        <v>82</v>
      </c>
      <c r="AQ57">
        <v>13.125</v>
      </c>
      <c r="AR57">
        <v>139.88997850795781</v>
      </c>
      <c r="AS57" s="82">
        <f t="shared" si="7"/>
        <v>-8.2653359251594338E-3</v>
      </c>
      <c r="AT57">
        <v>13.125</v>
      </c>
      <c r="AU57">
        <v>32916.387258250674</v>
      </c>
      <c r="AV57" t="s">
        <v>82</v>
      </c>
      <c r="AW57">
        <v>13.125</v>
      </c>
      <c r="AX57">
        <v>139.97867960778561</v>
      </c>
      <c r="AY57" s="82">
        <f t="shared" si="8"/>
        <v>-6.5291400894693652E-3</v>
      </c>
      <c r="AZ57">
        <v>13.125</v>
      </c>
      <c r="BA57">
        <v>31259.72410308319</v>
      </c>
      <c r="BB57" t="s">
        <v>82</v>
      </c>
      <c r="BC57">
        <v>13.125</v>
      </c>
      <c r="BD57">
        <v>140.06481135081518</v>
      </c>
      <c r="BE57" s="82">
        <f t="shared" si="9"/>
        <v>-4.6577592551386715E-3</v>
      </c>
      <c r="BF57">
        <v>13.125</v>
      </c>
      <c r="BG57">
        <v>29423.607857747749</v>
      </c>
      <c r="BH57" t="s">
        <v>82</v>
      </c>
      <c r="BI57">
        <v>13.125</v>
      </c>
      <c r="BJ57">
        <v>140.07055228427168</v>
      </c>
      <c r="BK57" s="82">
        <f t="shared" si="10"/>
        <v>-9.9556616777363161E-4</v>
      </c>
      <c r="BL57">
        <v>13.125</v>
      </c>
      <c r="BM57">
        <v>24406.301243569116</v>
      </c>
      <c r="BN57" t="s">
        <v>82</v>
      </c>
      <c r="BO57">
        <v>13.125</v>
      </c>
      <c r="BP57">
        <v>140.07231259165843</v>
      </c>
      <c r="BQ57" s="82">
        <f t="shared" si="11"/>
        <v>3.560867376393162E-4</v>
      </c>
      <c r="BR57">
        <v>13.125</v>
      </c>
      <c r="BS57">
        <v>24457.231676548123</v>
      </c>
      <c r="BT57" t="s">
        <v>82</v>
      </c>
      <c r="BU57">
        <v>13.125</v>
      </c>
      <c r="BV57">
        <v>140.0723738863993</v>
      </c>
      <c r="BW57" s="82">
        <f t="shared" si="12"/>
        <v>4.4033586559066862E-4</v>
      </c>
      <c r="BX57">
        <v>13.125</v>
      </c>
      <c r="BY57">
        <v>25474.106430015843</v>
      </c>
      <c r="BZ57" t="s">
        <v>82</v>
      </c>
      <c r="CA57">
        <v>13.125</v>
      </c>
      <c r="CB57">
        <v>140.07368730122172</v>
      </c>
      <c r="CC57" s="82">
        <f t="shared" si="13"/>
        <v>-1.0586603809201733E-3</v>
      </c>
      <c r="CD57">
        <v>13.125</v>
      </c>
      <c r="CE57">
        <v>27139.666321244476</v>
      </c>
      <c r="CF57" t="s">
        <v>82</v>
      </c>
      <c r="CG57">
        <v>13.125</v>
      </c>
      <c r="CH57">
        <v>139.91177709754126</v>
      </c>
      <c r="CI57" s="82">
        <f t="shared" si="14"/>
        <v>-1.7586092996509706E-2</v>
      </c>
      <c r="CJ57">
        <v>13.125</v>
      </c>
      <c r="CK57">
        <v>53524.219898642579</v>
      </c>
      <c r="CL57" t="s">
        <v>82</v>
      </c>
      <c r="CM57">
        <v>13.125</v>
      </c>
      <c r="CN57">
        <v>139.33282823825536</v>
      </c>
      <c r="CO57" s="82">
        <f t="shared" si="15"/>
        <v>-3.289714899892715E-2</v>
      </c>
      <c r="CP57">
        <v>13.125</v>
      </c>
      <c r="CQ57">
        <v>76812.555250661011</v>
      </c>
      <c r="CR57" t="s">
        <v>82</v>
      </c>
      <c r="CS57">
        <v>13.125</v>
      </c>
      <c r="CT57">
        <v>138.56349539157603</v>
      </c>
      <c r="CU57" s="82">
        <f t="shared" si="16"/>
        <v>-3.8694227952703386E-2</v>
      </c>
      <c r="CV57">
        <v>13.125</v>
      </c>
      <c r="CW57">
        <v>86251.987444197104</v>
      </c>
      <c r="CX57" t="s">
        <v>82</v>
      </c>
      <c r="CY57">
        <v>13.125</v>
      </c>
      <c r="CZ57">
        <v>137.74744015776886</v>
      </c>
      <c r="DA57" s="82">
        <f t="shared" si="17"/>
        <v>-4.218708547841743E-2</v>
      </c>
      <c r="DB57">
        <v>13.125</v>
      </c>
      <c r="DC57">
        <v>92382.84742153663</v>
      </c>
      <c r="DD57" t="s">
        <v>82</v>
      </c>
      <c r="DG57" s="82">
        <f t="shared" si="18"/>
        <v>0</v>
      </c>
      <c r="DM57" s="82">
        <f t="shared" si="19"/>
        <v>0</v>
      </c>
    </row>
    <row r="58" spans="1:117" x14ac:dyDescent="0.2">
      <c r="A58">
        <v>13.375</v>
      </c>
      <c r="B58">
        <v>139.35069654016269</v>
      </c>
      <c r="C58" s="82">
        <f t="shared" si="0"/>
        <v>3.1316424342548999E-3</v>
      </c>
      <c r="D58">
        <v>13.375</v>
      </c>
      <c r="E58">
        <v>23223.037777834317</v>
      </c>
      <c r="F58" t="s">
        <v>82</v>
      </c>
      <c r="G58">
        <v>13.375</v>
      </c>
      <c r="H58">
        <v>139.41148627922374</v>
      </c>
      <c r="I58" s="82">
        <f t="shared" si="1"/>
        <v>6.5206491939306943E-4</v>
      </c>
      <c r="J58">
        <v>13.375</v>
      </c>
      <c r="K58">
        <v>19833.443483282113</v>
      </c>
      <c r="L58" t="s">
        <v>82</v>
      </c>
      <c r="M58">
        <v>13.375</v>
      </c>
      <c r="N58">
        <v>139.47349403396453</v>
      </c>
      <c r="O58" s="82">
        <f t="shared" si="2"/>
        <v>-1.8449133854687716E-3</v>
      </c>
      <c r="P58">
        <v>13.375</v>
      </c>
      <c r="Q58">
        <v>19703.52847637155</v>
      </c>
      <c r="R58" t="s">
        <v>82</v>
      </c>
      <c r="S58">
        <v>13.375</v>
      </c>
      <c r="T58">
        <v>139.54906780016145</v>
      </c>
      <c r="U58" s="82">
        <f t="shared" si="3"/>
        <v>-3.6937780029688838E-3</v>
      </c>
      <c r="V58">
        <v>13.375</v>
      </c>
      <c r="W58">
        <v>23077.313651137814</v>
      </c>
      <c r="X58" t="s">
        <v>82</v>
      </c>
      <c r="Y58">
        <v>13.375</v>
      </c>
      <c r="Z58">
        <v>139.62933247068025</v>
      </c>
      <c r="AA58" s="82">
        <f t="shared" si="4"/>
        <v>-5.382863760530654E-3</v>
      </c>
      <c r="AB58">
        <v>13.375</v>
      </c>
      <c r="AC58">
        <v>26253.8153047739</v>
      </c>
      <c r="AD58" t="s">
        <v>82</v>
      </c>
      <c r="AE58">
        <v>13.375</v>
      </c>
      <c r="AF58">
        <v>139.71111603718305</v>
      </c>
      <c r="AG58" s="82">
        <f t="shared" si="5"/>
        <v>-7.0825515283274854E-3</v>
      </c>
      <c r="AH58">
        <v>13.375</v>
      </c>
      <c r="AI58">
        <v>29482.21489913292</v>
      </c>
      <c r="AJ58" t="s">
        <v>82</v>
      </c>
      <c r="AK58">
        <v>13.375</v>
      </c>
      <c r="AL58">
        <v>139.79441122355354</v>
      </c>
      <c r="AM58" s="82">
        <f t="shared" si="6"/>
        <v>-8.7893077475200698E-3</v>
      </c>
      <c r="AN58">
        <v>13.375</v>
      </c>
      <c r="AO58">
        <v>32759.791807879032</v>
      </c>
      <c r="AP58" t="s">
        <v>82</v>
      </c>
      <c r="AQ58">
        <v>13.375</v>
      </c>
      <c r="AR58">
        <v>139.88199200712009</v>
      </c>
      <c r="AS58" s="82">
        <f t="shared" si="7"/>
        <v>-7.9865008377169033E-3</v>
      </c>
      <c r="AT58">
        <v>13.375</v>
      </c>
      <c r="AU58">
        <v>32425.563823920322</v>
      </c>
      <c r="AV58" t="s">
        <v>82</v>
      </c>
      <c r="AW58">
        <v>13.375</v>
      </c>
      <c r="AX58">
        <v>139.97207153055504</v>
      </c>
      <c r="AY58" s="82">
        <f t="shared" si="8"/>
        <v>-6.6080772305667779E-3</v>
      </c>
      <c r="AZ58">
        <v>13.375</v>
      </c>
      <c r="BA58">
        <v>31300.519694198101</v>
      </c>
      <c r="BB58" t="s">
        <v>82</v>
      </c>
      <c r="BC58">
        <v>13.375</v>
      </c>
      <c r="BD58">
        <v>140.05975229994647</v>
      </c>
      <c r="BE58" s="82">
        <f t="shared" si="9"/>
        <v>-5.0590508687093916E-3</v>
      </c>
      <c r="BF58">
        <v>13.375</v>
      </c>
      <c r="BG58">
        <v>29942.999732541553</v>
      </c>
      <c r="BH58" t="s">
        <v>82</v>
      </c>
      <c r="BI58">
        <v>13.375</v>
      </c>
      <c r="BJ58">
        <v>140.069594319641</v>
      </c>
      <c r="BK58" s="82">
        <f t="shared" si="10"/>
        <v>-9.5796463068609228E-4</v>
      </c>
      <c r="BL58">
        <v>13.375</v>
      </c>
      <c r="BM58">
        <v>24267.75729672801</v>
      </c>
      <c r="BN58" t="s">
        <v>82</v>
      </c>
      <c r="BO58">
        <v>13.375</v>
      </c>
      <c r="BP58">
        <v>140.0728710362396</v>
      </c>
      <c r="BQ58" s="82">
        <f t="shared" si="11"/>
        <v>5.584445811734895E-4</v>
      </c>
      <c r="BR58">
        <v>13.375</v>
      </c>
      <c r="BS58">
        <v>24793.37087794382</v>
      </c>
      <c r="BT58" t="s">
        <v>82</v>
      </c>
      <c r="BU58">
        <v>13.375</v>
      </c>
      <c r="BV58">
        <v>140.07302732410324</v>
      </c>
      <c r="BW58" s="82">
        <f t="shared" si="12"/>
        <v>6.5343770393155864E-4</v>
      </c>
      <c r="BX58">
        <v>13.375</v>
      </c>
      <c r="BY58">
        <v>25826.389445938003</v>
      </c>
      <c r="BZ58" t="s">
        <v>82</v>
      </c>
      <c r="CA58">
        <v>13.375</v>
      </c>
      <c r="CB58">
        <v>140.07263702071268</v>
      </c>
      <c r="CC58" s="82">
        <f t="shared" si="13"/>
        <v>-1.050280509048207E-3</v>
      </c>
      <c r="CD58">
        <v>13.375</v>
      </c>
      <c r="CE58">
        <v>27044.867699101396</v>
      </c>
      <c r="CF58" t="s">
        <v>82</v>
      </c>
      <c r="CG58">
        <v>13.375</v>
      </c>
      <c r="CH58">
        <v>139.89308922743618</v>
      </c>
      <c r="CI58" s="82">
        <f t="shared" si="14"/>
        <v>-1.8687870105082993E-2</v>
      </c>
      <c r="CJ58">
        <v>13.375</v>
      </c>
      <c r="CK58">
        <v>55105.584843021927</v>
      </c>
      <c r="CL58" t="s">
        <v>82</v>
      </c>
      <c r="CM58">
        <v>13.375</v>
      </c>
      <c r="CN58">
        <v>139.29947967057365</v>
      </c>
      <c r="CO58" s="82">
        <f t="shared" si="15"/>
        <v>-3.3348567681713348E-2</v>
      </c>
      <c r="CP58">
        <v>13.375</v>
      </c>
      <c r="CQ58">
        <v>77445.677954188606</v>
      </c>
      <c r="CR58" t="s">
        <v>82</v>
      </c>
      <c r="CS58">
        <v>13.375</v>
      </c>
      <c r="CT58">
        <v>138.52461828755557</v>
      </c>
      <c r="CU58" s="82">
        <f t="shared" si="16"/>
        <v>-3.8877104020457409E-2</v>
      </c>
      <c r="CV58">
        <v>13.375</v>
      </c>
      <c r="CW58">
        <v>86493.926383621714</v>
      </c>
      <c r="CX58" t="s">
        <v>82</v>
      </c>
      <c r="CY58">
        <v>13.375</v>
      </c>
      <c r="CZ58">
        <v>137.70525018974627</v>
      </c>
      <c r="DA58" s="82">
        <f t="shared" si="17"/>
        <v>-4.2189968022597668E-2</v>
      </c>
      <c r="DB58">
        <v>13.375</v>
      </c>
      <c r="DC58">
        <v>92362.906924632276</v>
      </c>
      <c r="DD58" t="s">
        <v>82</v>
      </c>
      <c r="DG58" s="82">
        <f t="shared" si="18"/>
        <v>0</v>
      </c>
      <c r="DM58" s="82">
        <f t="shared" si="19"/>
        <v>0</v>
      </c>
    </row>
    <row r="59" spans="1:117" x14ac:dyDescent="0.2">
      <c r="A59">
        <v>13.625</v>
      </c>
      <c r="B59">
        <v>139.35564841765381</v>
      </c>
      <c r="C59" s="82">
        <f t="shared" si="0"/>
        <v>4.9518774911234686E-3</v>
      </c>
      <c r="D59">
        <v>13.625</v>
      </c>
      <c r="E59">
        <v>25973.23907785831</v>
      </c>
      <c r="F59" t="s">
        <v>82</v>
      </c>
      <c r="G59">
        <v>13.625</v>
      </c>
      <c r="H59">
        <v>139.41379913617237</v>
      </c>
      <c r="I59" s="82">
        <f t="shared" si="1"/>
        <v>2.3128569486345896E-3</v>
      </c>
      <c r="J59">
        <v>13.625</v>
      </c>
      <c r="K59">
        <v>22343.871509208551</v>
      </c>
      <c r="L59" t="s">
        <v>82</v>
      </c>
      <c r="M59">
        <v>13.625</v>
      </c>
      <c r="N59">
        <v>139.47314789660666</v>
      </c>
      <c r="O59" s="82">
        <f t="shared" si="2"/>
        <v>-3.461373578659277E-4</v>
      </c>
      <c r="P59">
        <v>13.625</v>
      </c>
      <c r="Q59">
        <v>18708.911341071896</v>
      </c>
      <c r="R59" t="s">
        <v>82</v>
      </c>
      <c r="S59">
        <v>13.625</v>
      </c>
      <c r="T59">
        <v>139.54667674252246</v>
      </c>
      <c r="U59" s="82">
        <f t="shared" si="3"/>
        <v>-2.3910576389880589E-3</v>
      </c>
      <c r="V59">
        <v>13.625</v>
      </c>
      <c r="W59">
        <v>21056.709913696861</v>
      </c>
      <c r="X59" t="s">
        <v>82</v>
      </c>
      <c r="Y59">
        <v>13.625</v>
      </c>
      <c r="Z59">
        <v>139.62504520755039</v>
      </c>
      <c r="AA59" s="82">
        <f t="shared" si="4"/>
        <v>-4.2872631298678243E-3</v>
      </c>
      <c r="AB59">
        <v>13.625</v>
      </c>
      <c r="AC59">
        <v>24542.925569703199</v>
      </c>
      <c r="AD59" t="s">
        <v>82</v>
      </c>
      <c r="AE59">
        <v>13.625</v>
      </c>
      <c r="AF59">
        <v>139.70491921697942</v>
      </c>
      <c r="AG59" s="82">
        <f t="shared" si="5"/>
        <v>-6.1968202036268849E-3</v>
      </c>
      <c r="AH59">
        <v>13.625</v>
      </c>
      <c r="AI59">
        <v>28085.540167450737</v>
      </c>
      <c r="AJ59" t="s">
        <v>82</v>
      </c>
      <c r="AK59">
        <v>13.625</v>
      </c>
      <c r="AL59">
        <v>139.78629518303936</v>
      </c>
      <c r="AM59" s="82">
        <f t="shared" si="6"/>
        <v>-8.1160405141815772E-3</v>
      </c>
      <c r="AN59">
        <v>13.625</v>
      </c>
      <c r="AO59">
        <v>31681.48397013541</v>
      </c>
      <c r="AP59" t="s">
        <v>82</v>
      </c>
      <c r="AQ59">
        <v>13.625</v>
      </c>
      <c r="AR59">
        <v>139.87435259031039</v>
      </c>
      <c r="AS59" s="82">
        <f t="shared" si="7"/>
        <v>-7.6394168096953763E-3</v>
      </c>
      <c r="AT59">
        <v>13.625</v>
      </c>
      <c r="AU59">
        <v>31832.749436281989</v>
      </c>
      <c r="AV59" t="s">
        <v>82</v>
      </c>
      <c r="AW59">
        <v>13.625</v>
      </c>
      <c r="AX59">
        <v>139.96545422542755</v>
      </c>
      <c r="AY59" s="82">
        <f t="shared" si="8"/>
        <v>-6.6173051274915906E-3</v>
      </c>
      <c r="AZ59">
        <v>13.625</v>
      </c>
      <c r="BA59">
        <v>31237.511586021075</v>
      </c>
      <c r="BB59" t="s">
        <v>82</v>
      </c>
      <c r="BC59">
        <v>13.625</v>
      </c>
      <c r="BD59">
        <v>140.05436348469274</v>
      </c>
      <c r="BE59" s="82">
        <f t="shared" si="9"/>
        <v>-5.388815253724033E-3</v>
      </c>
      <c r="BF59">
        <v>13.625</v>
      </c>
      <c r="BG59">
        <v>30356.246206076663</v>
      </c>
      <c r="BH59" t="s">
        <v>82</v>
      </c>
      <c r="BI59">
        <v>13.625</v>
      </c>
      <c r="BJ59">
        <v>140.06875143993426</v>
      </c>
      <c r="BK59" s="82">
        <f t="shared" si="10"/>
        <v>-8.4287970673813106E-4</v>
      </c>
      <c r="BL59">
        <v>13.625</v>
      </c>
      <c r="BM59">
        <v>24013.721369190196</v>
      </c>
      <c r="BN59" t="s">
        <v>82</v>
      </c>
      <c r="BO59">
        <v>13.625</v>
      </c>
      <c r="BP59">
        <v>140.07371164998614</v>
      </c>
      <c r="BQ59" s="82">
        <f t="shared" si="11"/>
        <v>8.4061374653288112E-4</v>
      </c>
      <c r="BR59">
        <v>13.625</v>
      </c>
      <c r="BS59">
        <v>25248.766717145038</v>
      </c>
      <c r="BT59" t="s">
        <v>82</v>
      </c>
      <c r="BU59">
        <v>13.625</v>
      </c>
      <c r="BV59">
        <v>140.07397386263477</v>
      </c>
      <c r="BW59" s="82">
        <f t="shared" si="12"/>
        <v>9.4653853153658929E-4</v>
      </c>
      <c r="BX59">
        <v>13.625</v>
      </c>
      <c r="BY59">
        <v>26298.232059623217</v>
      </c>
      <c r="BZ59" t="s">
        <v>82</v>
      </c>
      <c r="CA59">
        <v>13.625</v>
      </c>
      <c r="CB59">
        <v>140.07167227735138</v>
      </c>
      <c r="CC59" s="82">
        <f t="shared" si="13"/>
        <v>-9.6474336129404037E-4</v>
      </c>
      <c r="CD59">
        <v>13.625</v>
      </c>
      <c r="CE59">
        <v>26835.078227845283</v>
      </c>
      <c r="CF59" t="s">
        <v>82</v>
      </c>
      <c r="CG59">
        <v>13.625</v>
      </c>
      <c r="CH59">
        <v>139.87334603817416</v>
      </c>
      <c r="CI59" s="82">
        <f t="shared" si="14"/>
        <v>-1.9743189262015903E-2</v>
      </c>
      <c r="CJ59">
        <v>13.625</v>
      </c>
      <c r="CK59">
        <v>56619.11617366891</v>
      </c>
      <c r="CL59" t="s">
        <v>82</v>
      </c>
      <c r="CM59">
        <v>13.625</v>
      </c>
      <c r="CN59">
        <v>139.2656992662275</v>
      </c>
      <c r="CO59" s="82">
        <f t="shared" si="15"/>
        <v>-3.3780404346146042E-2</v>
      </c>
      <c r="CP59">
        <v>13.625</v>
      </c>
      <c r="CQ59">
        <v>78050.151972992244</v>
      </c>
      <c r="CR59" t="s">
        <v>82</v>
      </c>
      <c r="CS59">
        <v>13.625</v>
      </c>
      <c r="CT59">
        <v>138.48556650964727</v>
      </c>
      <c r="CU59" s="82">
        <f t="shared" si="16"/>
        <v>-3.9051777908298391E-2</v>
      </c>
      <c r="CV59">
        <v>13.625</v>
      </c>
      <c r="CW59">
        <v>86723.815684712376</v>
      </c>
      <c r="CX59" t="s">
        <v>82</v>
      </c>
      <c r="CY59">
        <v>13.625</v>
      </c>
      <c r="CZ59">
        <v>137.66305764346174</v>
      </c>
      <c r="DA59" s="82">
        <f t="shared" si="17"/>
        <v>-4.2192546284525179E-2</v>
      </c>
      <c r="DB59">
        <v>13.625</v>
      </c>
      <c r="DC59">
        <v>92342.433303665748</v>
      </c>
      <c r="DD59" t="s">
        <v>82</v>
      </c>
      <c r="DG59" s="82">
        <f t="shared" si="18"/>
        <v>0</v>
      </c>
      <c r="DM59" s="82">
        <f t="shared" si="19"/>
        <v>0</v>
      </c>
    </row>
    <row r="60" spans="1:117" x14ac:dyDescent="0.2">
      <c r="A60">
        <v>13.875</v>
      </c>
      <c r="B60">
        <v>139.36250626544353</v>
      </c>
      <c r="C60" s="82">
        <f t="shared" si="0"/>
        <v>6.8578477897176526E-3</v>
      </c>
      <c r="D60">
        <v>13.875</v>
      </c>
      <c r="E60">
        <v>28852.798061045025</v>
      </c>
      <c r="F60" t="s">
        <v>82</v>
      </c>
      <c r="G60">
        <v>13.875</v>
      </c>
      <c r="H60">
        <v>139.41785548975929</v>
      </c>
      <c r="I60" s="82">
        <f t="shared" si="1"/>
        <v>4.0563535869182488E-3</v>
      </c>
      <c r="J60">
        <v>13.875</v>
      </c>
      <c r="K60">
        <v>24979.059704285304</v>
      </c>
      <c r="L60" t="s">
        <v>82</v>
      </c>
      <c r="M60">
        <v>13.875</v>
      </c>
      <c r="N60">
        <v>139.47438003510226</v>
      </c>
      <c r="O60" s="82">
        <f t="shared" si="2"/>
        <v>1.2321384955953363E-3</v>
      </c>
      <c r="P60">
        <v>13.875</v>
      </c>
      <c r="Q60">
        <v>21095.47700637348</v>
      </c>
      <c r="R60" t="s">
        <v>82</v>
      </c>
      <c r="S60">
        <v>13.875</v>
      </c>
      <c r="T60">
        <v>139.54566526700464</v>
      </c>
      <c r="U60" s="82">
        <f t="shared" si="3"/>
        <v>-1.0114755178278756E-3</v>
      </c>
      <c r="V60">
        <v>13.875</v>
      </c>
      <c r="W60">
        <v>18920.885034121806</v>
      </c>
      <c r="X60" t="s">
        <v>82</v>
      </c>
      <c r="Y60">
        <v>13.875</v>
      </c>
      <c r="Z60">
        <v>139.62192780838649</v>
      </c>
      <c r="AA60" s="82">
        <f t="shared" si="4"/>
        <v>-3.1173991638979714E-3</v>
      </c>
      <c r="AB60">
        <v>13.875</v>
      </c>
      <c r="AC60">
        <v>22720.568381307148</v>
      </c>
      <c r="AD60" t="s">
        <v>82</v>
      </c>
      <c r="AE60">
        <v>13.875</v>
      </c>
      <c r="AF60">
        <v>139.69967963237195</v>
      </c>
      <c r="AG60" s="82">
        <f t="shared" si="5"/>
        <v>-5.2395846074659858E-3</v>
      </c>
      <c r="AH60">
        <v>13.875</v>
      </c>
      <c r="AI60">
        <v>26581.553266211016</v>
      </c>
      <c r="AJ60" t="s">
        <v>82</v>
      </c>
      <c r="AK60">
        <v>13.875</v>
      </c>
      <c r="AL60">
        <v>139.7789209831146</v>
      </c>
      <c r="AM60" s="82">
        <f t="shared" si="6"/>
        <v>-7.3741999247545209E-3</v>
      </c>
      <c r="AN60">
        <v>13.875</v>
      </c>
      <c r="AO60">
        <v>30500.352656798615</v>
      </c>
      <c r="AP60" t="s">
        <v>82</v>
      </c>
      <c r="AQ60">
        <v>13.875</v>
      </c>
      <c r="AR60">
        <v>139.86712900942663</v>
      </c>
      <c r="AS60" s="82">
        <f t="shared" si="7"/>
        <v>-7.2235808837604054E-3</v>
      </c>
      <c r="AT60">
        <v>13.875</v>
      </c>
      <c r="AU60">
        <v>31137.130418259454</v>
      </c>
      <c r="AV60" t="s">
        <v>82</v>
      </c>
      <c r="AW60">
        <v>13.875</v>
      </c>
      <c r="AX60">
        <v>139.9588974102781</v>
      </c>
      <c r="AY60" s="82">
        <f t="shared" si="8"/>
        <v>-6.5568151494517224E-3</v>
      </c>
      <c r="AZ60">
        <v>13.875</v>
      </c>
      <c r="BA60">
        <v>31070.613756251991</v>
      </c>
      <c r="BB60" t="s">
        <v>82</v>
      </c>
      <c r="BC60">
        <v>13.875</v>
      </c>
      <c r="BD60">
        <v>140.04871596541773</v>
      </c>
      <c r="BE60" s="82">
        <f t="shared" si="9"/>
        <v>-5.6475192750156111E-3</v>
      </c>
      <c r="BF60">
        <v>13.875</v>
      </c>
      <c r="BG60">
        <v>30663.960047048684</v>
      </c>
      <c r="BH60" t="s">
        <v>82</v>
      </c>
      <c r="BI60">
        <v>13.875</v>
      </c>
      <c r="BJ60">
        <v>140.06810130604063</v>
      </c>
      <c r="BK60" s="82">
        <f t="shared" si="10"/>
        <v>-6.5013389362889029E-4</v>
      </c>
      <c r="BL60">
        <v>13.875</v>
      </c>
      <c r="BM60">
        <v>23643.845675551249</v>
      </c>
      <c r="BN60" t="s">
        <v>82</v>
      </c>
      <c r="BO60">
        <v>13.875</v>
      </c>
      <c r="BP60">
        <v>140.07491468527854</v>
      </c>
      <c r="BQ60" s="82">
        <f t="shared" si="11"/>
        <v>1.2030352924057297E-3</v>
      </c>
      <c r="BR60">
        <v>13.875</v>
      </c>
      <c r="BS60">
        <v>25824.164292762605</v>
      </c>
      <c r="BT60" t="s">
        <v>82</v>
      </c>
      <c r="BU60">
        <v>13.875</v>
      </c>
      <c r="BV60">
        <v>140.07529397601883</v>
      </c>
      <c r="BW60" s="82">
        <f t="shared" si="12"/>
        <v>1.3201133840539114E-3</v>
      </c>
      <c r="BX60">
        <v>13.875</v>
      </c>
      <c r="BY60">
        <v>26890.433938854978</v>
      </c>
      <c r="BZ60" t="s">
        <v>82</v>
      </c>
      <c r="CA60">
        <v>13.875</v>
      </c>
      <c r="CB60">
        <v>140.07087037627349</v>
      </c>
      <c r="CC60" s="82">
        <f t="shared" si="13"/>
        <v>-8.0190107789235299E-4</v>
      </c>
      <c r="CD60">
        <v>13.875</v>
      </c>
      <c r="CE60">
        <v>26509.983297896139</v>
      </c>
      <c r="CF60" t="s">
        <v>82</v>
      </c>
      <c r="CG60">
        <v>13.875</v>
      </c>
      <c r="CH60">
        <v>139.85259220199333</v>
      </c>
      <c r="CI60" s="82">
        <f t="shared" si="14"/>
        <v>-2.0753836180830376E-2</v>
      </c>
      <c r="CJ60">
        <v>13.875</v>
      </c>
      <c r="CK60">
        <v>58067.408117130159</v>
      </c>
      <c r="CL60" t="s">
        <v>82</v>
      </c>
      <c r="CM60">
        <v>13.875</v>
      </c>
      <c r="CN60">
        <v>139.23150593237457</v>
      </c>
      <c r="CO60" s="82">
        <f t="shared" si="15"/>
        <v>-3.4193333852925889E-2</v>
      </c>
      <c r="CP60">
        <v>13.875</v>
      </c>
      <c r="CQ60">
        <v>78626.955436336269</v>
      </c>
      <c r="CR60" t="s">
        <v>82</v>
      </c>
      <c r="CS60">
        <v>13.875</v>
      </c>
      <c r="CT60">
        <v>138.44634805657932</v>
      </c>
      <c r="CU60" s="82">
        <f t="shared" si="16"/>
        <v>-3.9218453067945802E-2</v>
      </c>
      <c r="CV60">
        <v>13.875</v>
      </c>
      <c r="CW60">
        <v>86941.946666506643</v>
      </c>
      <c r="CX60" t="s">
        <v>82</v>
      </c>
      <c r="CY60">
        <v>13.875</v>
      </c>
      <c r="CZ60">
        <v>137.62086295214655</v>
      </c>
      <c r="DA60" s="82">
        <f t="shared" si="17"/>
        <v>-4.2194691315188493E-2</v>
      </c>
      <c r="DB60">
        <v>13.875</v>
      </c>
      <c r="DC60">
        <v>92321.233949804766</v>
      </c>
      <c r="DD60" t="s">
        <v>82</v>
      </c>
      <c r="DG60" s="82">
        <f t="shared" si="18"/>
        <v>0</v>
      </c>
      <c r="DM60" s="82">
        <f t="shared" si="19"/>
        <v>0</v>
      </c>
    </row>
    <row r="61" spans="1:117" x14ac:dyDescent="0.2">
      <c r="A61">
        <v>14.125</v>
      </c>
      <c r="B61">
        <v>139.37135796363523</v>
      </c>
      <c r="C61" s="82">
        <f t="shared" si="0"/>
        <v>8.8516981917052817E-3</v>
      </c>
      <c r="D61">
        <v>14.125</v>
      </c>
      <c r="E61">
        <v>31864.959107297484</v>
      </c>
      <c r="F61" t="s">
        <v>82</v>
      </c>
      <c r="G61">
        <v>14.125</v>
      </c>
      <c r="H61">
        <v>139.42374006263364</v>
      </c>
      <c r="I61" s="82">
        <f t="shared" si="1"/>
        <v>5.8845728743506243E-3</v>
      </c>
      <c r="J61">
        <v>14.125</v>
      </c>
      <c r="K61">
        <v>27742.061401977382</v>
      </c>
      <c r="L61" t="s">
        <v>82</v>
      </c>
      <c r="M61">
        <v>14.125</v>
      </c>
      <c r="N61">
        <v>139.47727183092439</v>
      </c>
      <c r="O61" s="82">
        <f t="shared" si="2"/>
        <v>2.8917958221370554E-3</v>
      </c>
      <c r="P61">
        <v>14.125</v>
      </c>
      <c r="Q61">
        <v>23604.790581158966</v>
      </c>
      <c r="R61" t="s">
        <v>82</v>
      </c>
      <c r="S61">
        <v>14.125</v>
      </c>
      <c r="T61">
        <v>139.5461119307009</v>
      </c>
      <c r="U61" s="82">
        <f t="shared" si="3"/>
        <v>4.4666369626611413E-4</v>
      </c>
      <c r="V61">
        <v>14.125</v>
      </c>
      <c r="W61">
        <v>20287.120954914284</v>
      </c>
      <c r="X61" t="s">
        <v>82</v>
      </c>
      <c r="Y61">
        <v>14.125</v>
      </c>
      <c r="Z61">
        <v>139.62005602083235</v>
      </c>
      <c r="AA61" s="82">
        <f t="shared" si="4"/>
        <v>-1.8717875541369722E-3</v>
      </c>
      <c r="AB61">
        <v>14.125</v>
      </c>
      <c r="AC61">
        <v>20784.559444286973</v>
      </c>
      <c r="AD61" t="s">
        <v>82</v>
      </c>
      <c r="AE61">
        <v>14.125</v>
      </c>
      <c r="AF61">
        <v>139.69547004530381</v>
      </c>
      <c r="AG61" s="82">
        <f t="shared" si="5"/>
        <v>-4.2095870681464476E-3</v>
      </c>
      <c r="AH61">
        <v>14.125</v>
      </c>
      <c r="AI61">
        <v>24968.350355222123</v>
      </c>
      <c r="AJ61" t="s">
        <v>82</v>
      </c>
      <c r="AK61">
        <v>14.125</v>
      </c>
      <c r="AL61">
        <v>139.77235821108363</v>
      </c>
      <c r="AM61" s="82">
        <f t="shared" si="6"/>
        <v>-6.5627720309748838E-3</v>
      </c>
      <c r="AN61">
        <v>14.125</v>
      </c>
      <c r="AO61">
        <v>29214.835916728516</v>
      </c>
      <c r="AP61" t="s">
        <v>82</v>
      </c>
      <c r="AQ61">
        <v>14.125</v>
      </c>
      <c r="AR61">
        <v>139.86039061193623</v>
      </c>
      <c r="AS61" s="82">
        <f t="shared" si="7"/>
        <v>-6.7383974904089428E-3</v>
      </c>
      <c r="AT61">
        <v>14.125</v>
      </c>
      <c r="AU61">
        <v>30337.756275055795</v>
      </c>
      <c r="AV61" t="s">
        <v>82</v>
      </c>
      <c r="AW61">
        <v>14.125</v>
      </c>
      <c r="AX61">
        <v>139.95247091035594</v>
      </c>
      <c r="AY61" s="82">
        <f t="shared" si="8"/>
        <v>-6.4264999221563812E-3</v>
      </c>
      <c r="AZ61">
        <v>14.125</v>
      </c>
      <c r="BA61">
        <v>30799.594107923833</v>
      </c>
      <c r="BB61" t="s">
        <v>82</v>
      </c>
      <c r="BC61">
        <v>14.125</v>
      </c>
      <c r="BD61">
        <v>140.04288044130325</v>
      </c>
      <c r="BE61" s="82">
        <f t="shared" si="9"/>
        <v>-5.8355241144738557E-3</v>
      </c>
      <c r="BF61">
        <v>14.125</v>
      </c>
      <c r="BG61">
        <v>30866.597641047127</v>
      </c>
      <c r="BH61" t="s">
        <v>82</v>
      </c>
      <c r="BI61">
        <v>14.125</v>
      </c>
      <c r="BJ61">
        <v>140.06772187331998</v>
      </c>
      <c r="BK61" s="82">
        <f t="shared" si="10"/>
        <v>-3.7943272064921985E-4</v>
      </c>
      <c r="BL61">
        <v>14.125</v>
      </c>
      <c r="BM61">
        <v>23157.610403424886</v>
      </c>
      <c r="BN61" t="s">
        <v>82</v>
      </c>
      <c r="BO61">
        <v>14.125</v>
      </c>
      <c r="BP61">
        <v>140.07656096001315</v>
      </c>
      <c r="BQ61" s="82">
        <f t="shared" si="11"/>
        <v>1.6462747346110973E-3</v>
      </c>
      <c r="BR61">
        <v>14.125</v>
      </c>
      <c r="BS61">
        <v>26520.493626336269</v>
      </c>
      <c r="BT61" t="s">
        <v>82</v>
      </c>
      <c r="BU61">
        <v>14.125</v>
      </c>
      <c r="BV61">
        <v>140.0770687427667</v>
      </c>
      <c r="BW61" s="82">
        <f t="shared" si="12"/>
        <v>1.7747667478715812E-3</v>
      </c>
      <c r="BX61">
        <v>14.125</v>
      </c>
      <c r="BY61">
        <v>27603.987255225915</v>
      </c>
      <c r="BZ61" t="s">
        <v>82</v>
      </c>
      <c r="CA61">
        <v>14.125</v>
      </c>
      <c r="CB61">
        <v>140.07030890043336</v>
      </c>
      <c r="CC61" s="82">
        <f t="shared" si="13"/>
        <v>-5.6147584012933294E-4</v>
      </c>
      <c r="CD61">
        <v>14.125</v>
      </c>
      <c r="CE61">
        <v>26069.076400352071</v>
      </c>
      <c r="CF61" t="s">
        <v>82</v>
      </c>
      <c r="CG61">
        <v>14.125</v>
      </c>
      <c r="CH61">
        <v>139.83087068874559</v>
      </c>
      <c r="CI61" s="82">
        <f t="shared" si="14"/>
        <v>-2.1721513247740631E-2</v>
      </c>
      <c r="CJ61">
        <v>14.125</v>
      </c>
      <c r="CK61">
        <v>59452.933915515016</v>
      </c>
      <c r="CL61" t="s">
        <v>82</v>
      </c>
      <c r="CM61">
        <v>14.125</v>
      </c>
      <c r="CN61">
        <v>139.19691793762897</v>
      </c>
      <c r="CO61" s="82">
        <f t="shared" si="15"/>
        <v>-3.458799474560692E-2</v>
      </c>
      <c r="CP61">
        <v>14.125</v>
      </c>
      <c r="CQ61">
        <v>79177.013340488935</v>
      </c>
      <c r="CR61" t="s">
        <v>82</v>
      </c>
      <c r="CS61">
        <v>14.125</v>
      </c>
      <c r="CT61">
        <v>138.40697073942673</v>
      </c>
      <c r="CU61" s="82">
        <f t="shared" si="16"/>
        <v>-3.9377317152599289E-2</v>
      </c>
      <c r="CV61">
        <v>14.125</v>
      </c>
      <c r="CW61">
        <v>87148.587410576132</v>
      </c>
      <c r="CX61" t="s">
        <v>82</v>
      </c>
      <c r="CY61">
        <v>14.125</v>
      </c>
      <c r="CZ61">
        <v>137.57866667873765</v>
      </c>
      <c r="DA61" s="82">
        <f t="shared" si="17"/>
        <v>-4.2196273408904972E-2</v>
      </c>
      <c r="DB61">
        <v>14.125</v>
      </c>
      <c r="DC61">
        <v>92299.114948797534</v>
      </c>
      <c r="DD61" t="s">
        <v>82</v>
      </c>
      <c r="DG61" s="82">
        <f t="shared" si="18"/>
        <v>0</v>
      </c>
      <c r="DM61" s="82">
        <f t="shared" si="19"/>
        <v>0</v>
      </c>
    </row>
    <row r="62" spans="1:117" x14ac:dyDescent="0.2">
      <c r="A62">
        <v>14.375</v>
      </c>
      <c r="B62">
        <v>139.38229362736064</v>
      </c>
      <c r="C62" s="82">
        <f t="shared" si="0"/>
        <v>1.093566372540522E-2</v>
      </c>
      <c r="D62">
        <v>14.375</v>
      </c>
      <c r="E62">
        <v>35013.105868200255</v>
      </c>
      <c r="F62" t="s">
        <v>82</v>
      </c>
      <c r="G62">
        <v>14.375</v>
      </c>
      <c r="H62">
        <v>139.43153968523663</v>
      </c>
      <c r="I62" s="82">
        <f t="shared" si="1"/>
        <v>7.7996226029881655E-3</v>
      </c>
      <c r="J62">
        <v>14.375</v>
      </c>
      <c r="K62">
        <v>30636.06939160957</v>
      </c>
      <c r="L62" t="s">
        <v>82</v>
      </c>
      <c r="M62">
        <v>14.375</v>
      </c>
      <c r="N62">
        <v>139.48190663630243</v>
      </c>
      <c r="O62" s="82">
        <f t="shared" si="2"/>
        <v>4.6348053780320697E-3</v>
      </c>
      <c r="P62">
        <v>14.375</v>
      </c>
      <c r="Q62">
        <v>26239.837920032467</v>
      </c>
      <c r="R62" t="s">
        <v>82</v>
      </c>
      <c r="S62">
        <v>14.375</v>
      </c>
      <c r="T62">
        <v>139.5480970752248</v>
      </c>
      <c r="U62" s="82">
        <f t="shared" si="3"/>
        <v>1.9851445238998622E-3</v>
      </c>
      <c r="V62">
        <v>14.375</v>
      </c>
      <c r="W62">
        <v>22615.215629119917</v>
      </c>
      <c r="X62" t="s">
        <v>82</v>
      </c>
      <c r="Y62">
        <v>14.375</v>
      </c>
      <c r="Z62">
        <v>139.6195071661958</v>
      </c>
      <c r="AA62" s="82">
        <f t="shared" si="4"/>
        <v>-5.488546365484126E-4</v>
      </c>
      <c r="AB62">
        <v>14.375</v>
      </c>
      <c r="AC62">
        <v>19185.50380776665</v>
      </c>
      <c r="AD62" t="s">
        <v>82</v>
      </c>
      <c r="AE62">
        <v>14.375</v>
      </c>
      <c r="AF62">
        <v>139.69236456464662</v>
      </c>
      <c r="AG62" s="82">
        <f t="shared" si="5"/>
        <v>-3.1054806571830795E-3</v>
      </c>
      <c r="AH62">
        <v>14.375</v>
      </c>
      <c r="AI62">
        <v>23243.909004381057</v>
      </c>
      <c r="AJ62" t="s">
        <v>82</v>
      </c>
      <c r="AK62">
        <v>14.375</v>
      </c>
      <c r="AL62">
        <v>139.76667755705222</v>
      </c>
      <c r="AM62" s="82">
        <f t="shared" si="6"/>
        <v>-5.6806540314084941E-3</v>
      </c>
      <c r="AN62">
        <v>14.375</v>
      </c>
      <c r="AO62">
        <v>27823.243633579739</v>
      </c>
      <c r="AP62" t="s">
        <v>82</v>
      </c>
      <c r="AQ62">
        <v>14.375</v>
      </c>
      <c r="AR62">
        <v>139.85420743384614</v>
      </c>
      <c r="AS62" s="82">
        <f t="shared" si="7"/>
        <v>-6.1831780900831745E-3</v>
      </c>
      <c r="AT62">
        <v>14.375</v>
      </c>
      <c r="AU62">
        <v>29433.539515314307</v>
      </c>
      <c r="AV62" t="s">
        <v>82</v>
      </c>
      <c r="AW62">
        <v>14.375</v>
      </c>
      <c r="AX62">
        <v>139.94624475673427</v>
      </c>
      <c r="AY62" s="82">
        <f t="shared" si="8"/>
        <v>-6.2261536216681179E-3</v>
      </c>
      <c r="AZ62">
        <v>14.375</v>
      </c>
      <c r="BA62">
        <v>30424.074856636209</v>
      </c>
      <c r="BB62" t="s">
        <v>82</v>
      </c>
      <c r="BC62">
        <v>14.375</v>
      </c>
      <c r="BD62">
        <v>140.03692735526903</v>
      </c>
      <c r="BE62" s="82">
        <f t="shared" si="9"/>
        <v>-5.9530860342249525E-3</v>
      </c>
      <c r="BF62">
        <v>14.375</v>
      </c>
      <c r="BG62">
        <v>30964.459902005274</v>
      </c>
      <c r="BH62" t="s">
        <v>82</v>
      </c>
      <c r="BI62">
        <v>14.375</v>
      </c>
      <c r="BJ62">
        <v>140.06769150852938</v>
      </c>
      <c r="BK62" s="82">
        <f t="shared" si="10"/>
        <v>-3.0364790603698566E-5</v>
      </c>
      <c r="BL62">
        <v>14.375</v>
      </c>
      <c r="BM62">
        <v>23101.310862687766</v>
      </c>
      <c r="BN62" t="s">
        <v>82</v>
      </c>
      <c r="BO62">
        <v>14.375</v>
      </c>
      <c r="BP62">
        <v>140.07873198239091</v>
      </c>
      <c r="BQ62" s="82">
        <f t="shared" si="11"/>
        <v>2.1710223777517967E-3</v>
      </c>
      <c r="BR62">
        <v>14.375</v>
      </c>
      <c r="BS62">
        <v>27338.870602165749</v>
      </c>
      <c r="BT62" t="s">
        <v>82</v>
      </c>
      <c r="BU62">
        <v>14.375</v>
      </c>
      <c r="BV62">
        <v>140.07937997575829</v>
      </c>
      <c r="BW62" s="82">
        <f t="shared" si="12"/>
        <v>2.3112329915875307E-3</v>
      </c>
      <c r="BX62">
        <v>14.375</v>
      </c>
      <c r="BY62">
        <v>28440.07776572822</v>
      </c>
      <c r="BZ62" t="s">
        <v>82</v>
      </c>
      <c r="CA62">
        <v>14.375</v>
      </c>
      <c r="CB62">
        <v>140.07006584053164</v>
      </c>
      <c r="CC62" s="82">
        <f t="shared" si="13"/>
        <v>-2.4305990172024394E-4</v>
      </c>
      <c r="CD62">
        <v>14.375</v>
      </c>
      <c r="CE62">
        <v>25511.659330715302</v>
      </c>
      <c r="CF62" t="s">
        <v>82</v>
      </c>
      <c r="CG62">
        <v>14.375</v>
      </c>
      <c r="CH62">
        <v>139.80822284592548</v>
      </c>
      <c r="CI62" s="82">
        <f t="shared" si="14"/>
        <v>-2.2647842820106234E-2</v>
      </c>
      <c r="CJ62">
        <v>14.375</v>
      </c>
      <c r="CK62">
        <v>60778.050458915772</v>
      </c>
      <c r="CL62" t="s">
        <v>82</v>
      </c>
      <c r="CM62">
        <v>14.375</v>
      </c>
      <c r="CN62">
        <v>139.16195294711125</v>
      </c>
      <c r="CO62" s="82">
        <f t="shared" si="15"/>
        <v>-3.4964990517721617E-2</v>
      </c>
      <c r="CP62">
        <v>14.375</v>
      </c>
      <c r="CQ62">
        <v>79701.199390771799</v>
      </c>
      <c r="CR62" t="s">
        <v>82</v>
      </c>
      <c r="CS62">
        <v>14.375</v>
      </c>
      <c r="CT62">
        <v>138.36744219700412</v>
      </c>
      <c r="CU62" s="82">
        <f t="shared" si="16"/>
        <v>-3.9528542422601731E-2</v>
      </c>
      <c r="CV62">
        <v>14.375</v>
      </c>
      <c r="CW62">
        <v>87343.983351333503</v>
      </c>
      <c r="CX62" t="s">
        <v>82</v>
      </c>
      <c r="CY62">
        <v>14.375</v>
      </c>
      <c r="CZ62">
        <v>137.53646951691636</v>
      </c>
      <c r="DA62" s="82">
        <f t="shared" si="17"/>
        <v>-4.2197161821292184E-2</v>
      </c>
      <c r="DB62">
        <v>14.375</v>
      </c>
      <c r="DC62">
        <v>92275.880644980265</v>
      </c>
      <c r="DD62" t="s">
        <v>82</v>
      </c>
      <c r="DG62" s="82">
        <f t="shared" si="18"/>
        <v>0</v>
      </c>
      <c r="DM62" s="82">
        <f t="shared" si="19"/>
        <v>0</v>
      </c>
    </row>
    <row r="63" spans="1:117" x14ac:dyDescent="0.2">
      <c r="A63">
        <v>14.625</v>
      </c>
      <c r="B63">
        <v>139.39540569886017</v>
      </c>
      <c r="C63" s="82">
        <f t="shared" si="0"/>
        <v>1.311207149953475E-2</v>
      </c>
      <c r="D63">
        <v>14.625</v>
      </c>
      <c r="E63">
        <v>38300.763121014461</v>
      </c>
      <c r="F63" t="s">
        <v>82</v>
      </c>
      <c r="G63">
        <v>14.625</v>
      </c>
      <c r="H63">
        <v>139.44134338743453</v>
      </c>
      <c r="I63" s="82">
        <f t="shared" si="1"/>
        <v>9.8037021978996108E-3</v>
      </c>
      <c r="J63">
        <v>14.625</v>
      </c>
      <c r="K63">
        <v>33664.417338841951</v>
      </c>
      <c r="L63" t="s">
        <v>82</v>
      </c>
      <c r="M63">
        <v>14.625</v>
      </c>
      <c r="N63">
        <v>139.48836986513317</v>
      </c>
      <c r="O63" s="82">
        <f t="shared" si="2"/>
        <v>6.4632288307393537E-3</v>
      </c>
      <c r="P63">
        <v>14.625</v>
      </c>
      <c r="Q63">
        <v>29003.745543852256</v>
      </c>
      <c r="R63" t="s">
        <v>82</v>
      </c>
      <c r="S63">
        <v>14.625</v>
      </c>
      <c r="T63">
        <v>139.55170291756241</v>
      </c>
      <c r="U63" s="82">
        <f t="shared" si="3"/>
        <v>3.605842337606191E-3</v>
      </c>
      <c r="V63">
        <v>14.625</v>
      </c>
      <c r="W63">
        <v>25067.26172478903</v>
      </c>
      <c r="X63" t="s">
        <v>82</v>
      </c>
      <c r="Y63">
        <v>14.625</v>
      </c>
      <c r="Z63">
        <v>139.62036023026272</v>
      </c>
      <c r="AA63" s="82">
        <f t="shared" si="4"/>
        <v>8.5306406691643133E-4</v>
      </c>
      <c r="AB63">
        <v>14.625</v>
      </c>
      <c r="AC63">
        <v>21309.197829528784</v>
      </c>
      <c r="AD63" t="s">
        <v>82</v>
      </c>
      <c r="AE63">
        <v>14.625</v>
      </c>
      <c r="AF63">
        <v>139.69043873671086</v>
      </c>
      <c r="AG63" s="82">
        <f t="shared" si="5"/>
        <v>-1.925827935764346E-3</v>
      </c>
      <c r="AH63">
        <v>14.625</v>
      </c>
      <c r="AI63">
        <v>21406.095009533896</v>
      </c>
      <c r="AJ63" t="s">
        <v>82</v>
      </c>
      <c r="AK63">
        <v>14.625</v>
      </c>
      <c r="AL63">
        <v>139.76195090379818</v>
      </c>
      <c r="AM63" s="82">
        <f t="shared" si="6"/>
        <v>-4.7266532540390926E-3</v>
      </c>
      <c r="AN63">
        <v>14.625</v>
      </c>
      <c r="AO63">
        <v>26323.758086677888</v>
      </c>
      <c r="AP63" t="s">
        <v>82</v>
      </c>
      <c r="AQ63">
        <v>14.625</v>
      </c>
      <c r="AR63">
        <v>139.84865029318647</v>
      </c>
      <c r="AS63" s="82">
        <f t="shared" si="7"/>
        <v>-5.5571406596754969E-3</v>
      </c>
      <c r="AT63">
        <v>14.625</v>
      </c>
      <c r="AU63">
        <v>28423.255393904168</v>
      </c>
      <c r="AV63" t="s">
        <v>82</v>
      </c>
      <c r="AW63">
        <v>14.625</v>
      </c>
      <c r="AX63">
        <v>139.94028928458906</v>
      </c>
      <c r="AY63" s="82">
        <f t="shared" si="8"/>
        <v>-5.9554721452172998E-3</v>
      </c>
      <c r="AZ63">
        <v>14.625</v>
      </c>
      <c r="BA63">
        <v>29943.532818902055</v>
      </c>
      <c r="BB63" t="s">
        <v>82</v>
      </c>
      <c r="BC63">
        <v>14.625</v>
      </c>
      <c r="BD63">
        <v>140.03092699825996</v>
      </c>
      <c r="BE63" s="82">
        <f t="shared" si="9"/>
        <v>-6.000357009071422E-3</v>
      </c>
      <c r="BF63">
        <v>14.625</v>
      </c>
      <c r="BG63">
        <v>30957.671091769102</v>
      </c>
      <c r="BH63" t="s">
        <v>82</v>
      </c>
      <c r="BI63">
        <v>14.625</v>
      </c>
      <c r="BJ63">
        <v>140.06808910685564</v>
      </c>
      <c r="BK63" s="82">
        <f t="shared" si="10"/>
        <v>3.9759832625918534E-4</v>
      </c>
      <c r="BL63">
        <v>14.625</v>
      </c>
      <c r="BM63">
        <v>23773.872661640769</v>
      </c>
      <c r="BN63" t="s">
        <v>82</v>
      </c>
      <c r="BO63">
        <v>14.625</v>
      </c>
      <c r="BP63">
        <v>140.08151007626893</v>
      </c>
      <c r="BQ63" s="82">
        <f t="shared" si="11"/>
        <v>2.7780938780210818E-3</v>
      </c>
      <c r="BR63">
        <v>14.625</v>
      </c>
      <c r="BS63">
        <v>28281.133147549001</v>
      </c>
      <c r="BT63" t="s">
        <v>82</v>
      </c>
      <c r="BU63">
        <v>14.625</v>
      </c>
      <c r="BV63">
        <v>140.08231035281224</v>
      </c>
      <c r="BW63" s="82">
        <f t="shared" si="12"/>
        <v>2.9303770539570451E-3</v>
      </c>
      <c r="BX63">
        <v>14.625</v>
      </c>
      <c r="BY63">
        <v>29400.630957757276</v>
      </c>
      <c r="BZ63" t="s">
        <v>82</v>
      </c>
      <c r="CA63">
        <v>14.625</v>
      </c>
      <c r="CB63">
        <v>140.07021972512001</v>
      </c>
      <c r="CC63" s="82">
        <f t="shared" si="13"/>
        <v>1.538845883715112E-4</v>
      </c>
      <c r="CD63">
        <v>14.625</v>
      </c>
      <c r="CE63">
        <v>26005.302189162743</v>
      </c>
      <c r="CF63" t="s">
        <v>82</v>
      </c>
      <c r="CG63">
        <v>14.625</v>
      </c>
      <c r="CH63">
        <v>139.78468847559134</v>
      </c>
      <c r="CI63" s="82">
        <f t="shared" si="14"/>
        <v>-2.353437033414707E-2</v>
      </c>
      <c r="CJ63">
        <v>14.625</v>
      </c>
      <c r="CK63">
        <v>62045.002722257166</v>
      </c>
      <c r="CL63" t="s">
        <v>82</v>
      </c>
      <c r="CM63">
        <v>14.625</v>
      </c>
      <c r="CN63">
        <v>139.12662805627411</v>
      </c>
      <c r="CO63" s="82">
        <f t="shared" si="15"/>
        <v>-3.5324890837131306E-2</v>
      </c>
      <c r="CP63">
        <v>14.625</v>
      </c>
      <c r="CQ63">
        <v>80200.337776314162</v>
      </c>
      <c r="CR63" t="s">
        <v>82</v>
      </c>
      <c r="CS63">
        <v>14.625</v>
      </c>
      <c r="CT63">
        <v>138.32776991089725</v>
      </c>
      <c r="CU63" s="82">
        <f t="shared" si="16"/>
        <v>-3.9672286106878119E-2</v>
      </c>
      <c r="CV63">
        <v>14.625</v>
      </c>
      <c r="CW63">
        <v>87528.357792527124</v>
      </c>
      <c r="CX63" t="s">
        <v>82</v>
      </c>
      <c r="CY63">
        <v>14.625</v>
      </c>
      <c r="CZ63">
        <v>137.49427229234976</v>
      </c>
      <c r="DA63" s="82">
        <f t="shared" si="17"/>
        <v>-4.2197224566592695E-2</v>
      </c>
      <c r="DB63">
        <v>14.625</v>
      </c>
      <c r="DC63">
        <v>92251.333347507825</v>
      </c>
      <c r="DD63" t="s">
        <v>82</v>
      </c>
      <c r="DG63" s="82">
        <f t="shared" si="18"/>
        <v>0</v>
      </c>
      <c r="DM63" s="82">
        <f t="shared" si="19"/>
        <v>0</v>
      </c>
    </row>
    <row r="64" spans="1:117" x14ac:dyDescent="0.2">
      <c r="A64">
        <v>14.875</v>
      </c>
      <c r="B64">
        <v>139.41078904161725</v>
      </c>
      <c r="C64" s="82">
        <f t="shared" si="0"/>
        <v>1.538334275707598E-2</v>
      </c>
      <c r="D64">
        <v>14.875</v>
      </c>
      <c r="E64">
        <v>41731.599011392238</v>
      </c>
      <c r="F64" t="s">
        <v>82</v>
      </c>
      <c r="G64">
        <v>14.875</v>
      </c>
      <c r="H64">
        <v>139.45324249212183</v>
      </c>
      <c r="I64" s="82">
        <f t="shared" si="1"/>
        <v>1.1899104687302042E-2</v>
      </c>
      <c r="J64">
        <v>14.875</v>
      </c>
      <c r="K64">
        <v>36830.581789082295</v>
      </c>
      <c r="L64" t="s">
        <v>82</v>
      </c>
      <c r="M64">
        <v>14.875</v>
      </c>
      <c r="N64">
        <v>139.49674908578388</v>
      </c>
      <c r="O64" s="82">
        <f t="shared" si="2"/>
        <v>8.3792206507098399E-3</v>
      </c>
      <c r="P64">
        <v>14.875</v>
      </c>
      <c r="Q64">
        <v>31899.78224677216</v>
      </c>
      <c r="R64" t="s">
        <v>82</v>
      </c>
      <c r="S64">
        <v>14.875</v>
      </c>
      <c r="T64">
        <v>139.55701364268586</v>
      </c>
      <c r="U64" s="82">
        <f t="shared" si="3"/>
        <v>5.3107251234507658E-3</v>
      </c>
      <c r="V64">
        <v>14.875</v>
      </c>
      <c r="W64">
        <v>27646.253086534623</v>
      </c>
      <c r="X64" t="s">
        <v>82</v>
      </c>
      <c r="Y64">
        <v>14.875</v>
      </c>
      <c r="Z64">
        <v>139.62269595568833</v>
      </c>
      <c r="AA64" s="82">
        <f t="shared" si="4"/>
        <v>2.3357254256097804E-3</v>
      </c>
      <c r="AB64">
        <v>14.875</v>
      </c>
      <c r="AC64">
        <v>23554.541900406173</v>
      </c>
      <c r="AD64" t="s">
        <v>82</v>
      </c>
      <c r="AE64">
        <v>14.875</v>
      </c>
      <c r="AF64">
        <v>139.68976963711845</v>
      </c>
      <c r="AG64" s="82">
        <f t="shared" si="5"/>
        <v>-6.6909959241456818E-4</v>
      </c>
      <c r="AH64">
        <v>14.875</v>
      </c>
      <c r="AI64">
        <v>19452.675829020613</v>
      </c>
      <c r="AJ64" t="s">
        <v>82</v>
      </c>
      <c r="AK64">
        <v>14.875</v>
      </c>
      <c r="AL64">
        <v>139.7582514177515</v>
      </c>
      <c r="AM64" s="82">
        <f t="shared" si="6"/>
        <v>-3.6994860466847967E-3</v>
      </c>
      <c r="AN64">
        <v>14.875</v>
      </c>
      <c r="AO64">
        <v>24714.435555614451</v>
      </c>
      <c r="AP64" t="s">
        <v>82</v>
      </c>
      <c r="AQ64">
        <v>14.875</v>
      </c>
      <c r="AR64">
        <v>139.84379088407124</v>
      </c>
      <c r="AS64" s="82">
        <f t="shared" si="7"/>
        <v>-4.8594091152267538E-3</v>
      </c>
      <c r="AT64">
        <v>14.875</v>
      </c>
      <c r="AU64">
        <v>27305.541845525095</v>
      </c>
      <c r="AV64" t="s">
        <v>82</v>
      </c>
      <c r="AW64">
        <v>14.875</v>
      </c>
      <c r="AX64">
        <v>139.93467523143946</v>
      </c>
      <c r="AY64" s="82">
        <f t="shared" si="8"/>
        <v>-5.6140531495998403E-3</v>
      </c>
      <c r="AZ64">
        <v>14.875</v>
      </c>
      <c r="BA64">
        <v>29357.299567210859</v>
      </c>
      <c r="BB64" t="s">
        <v>82</v>
      </c>
      <c r="BC64">
        <v>14.875</v>
      </c>
      <c r="BD64">
        <v>140.02494964296685</v>
      </c>
      <c r="BE64" s="82">
        <f t="shared" si="9"/>
        <v>-5.9773552931119411E-3</v>
      </c>
      <c r="BF64">
        <v>14.875</v>
      </c>
      <c r="BG64">
        <v>30847.06398520865</v>
      </c>
      <c r="BH64" t="s">
        <v>82</v>
      </c>
      <c r="BI64">
        <v>14.875</v>
      </c>
      <c r="BJ64">
        <v>140.06899478562642</v>
      </c>
      <c r="BK64" s="82">
        <f t="shared" si="10"/>
        <v>9.0567877077774028E-4</v>
      </c>
      <c r="BL64">
        <v>14.875</v>
      </c>
      <c r="BM64">
        <v>24549.277228690455</v>
      </c>
      <c r="BN64" t="s">
        <v>82</v>
      </c>
      <c r="BO64">
        <v>14.875</v>
      </c>
      <c r="BP64">
        <v>140.08497922073494</v>
      </c>
      <c r="BQ64" s="82">
        <f t="shared" si="11"/>
        <v>3.4691444660097659E-3</v>
      </c>
      <c r="BR64">
        <v>14.875</v>
      </c>
      <c r="BS64">
        <v>29327.990716342043</v>
      </c>
      <c r="BT64" t="s">
        <v>82</v>
      </c>
      <c r="BU64">
        <v>14.875</v>
      </c>
      <c r="BV64">
        <v>140.08594427483069</v>
      </c>
      <c r="BW64" s="82">
        <f t="shared" si="12"/>
        <v>3.6339220184515852E-3</v>
      </c>
      <c r="BX64">
        <v>14.875</v>
      </c>
      <c r="BY64">
        <v>30466.197462325326</v>
      </c>
      <c r="BZ64" t="s">
        <v>82</v>
      </c>
      <c r="CA64">
        <v>14.875</v>
      </c>
      <c r="CB64">
        <v>140.07085087512866</v>
      </c>
      <c r="CC64" s="82">
        <f t="shared" si="13"/>
        <v>6.3115000864399917E-4</v>
      </c>
      <c r="CD64">
        <v>14.875</v>
      </c>
      <c r="CE64">
        <v>26719.379141089175</v>
      </c>
      <c r="CF64" t="s">
        <v>82</v>
      </c>
      <c r="CG64">
        <v>14.875</v>
      </c>
      <c r="CH64">
        <v>139.76030590832121</v>
      </c>
      <c r="CI64" s="82">
        <f t="shared" si="14"/>
        <v>-2.4382567270123445E-2</v>
      </c>
      <c r="CJ64">
        <v>14.875</v>
      </c>
      <c r="CK64">
        <v>63255.927964471979</v>
      </c>
      <c r="CL64" t="s">
        <v>82</v>
      </c>
      <c r="CM64">
        <v>14.875</v>
      </c>
      <c r="CN64">
        <v>139.09095982358929</v>
      </c>
      <c r="CO64" s="82">
        <f t="shared" si="15"/>
        <v>-3.5668232684827217E-2</v>
      </c>
      <c r="CP64">
        <v>14.875</v>
      </c>
      <c r="CQ64">
        <v>80675.204800469335</v>
      </c>
      <c r="CR64" t="s">
        <v>82</v>
      </c>
      <c r="CS64">
        <v>14.875</v>
      </c>
      <c r="CT64">
        <v>138.28796122011437</v>
      </c>
      <c r="CU64" s="82">
        <f t="shared" si="16"/>
        <v>-3.9808690782876965E-2</v>
      </c>
      <c r="CV64">
        <v>14.875</v>
      </c>
      <c r="CW64">
        <v>87701.912452367615</v>
      </c>
      <c r="CX64" t="s">
        <v>82</v>
      </c>
      <c r="CY64">
        <v>14.875</v>
      </c>
      <c r="CZ64">
        <v>137.45207596422847</v>
      </c>
      <c r="DA64" s="82">
        <f t="shared" si="17"/>
        <v>-4.2196328121292481E-2</v>
      </c>
      <c r="DB64">
        <v>14.875</v>
      </c>
      <c r="DC64">
        <v>92225.272890291482</v>
      </c>
      <c r="DD64" t="s">
        <v>82</v>
      </c>
      <c r="DG64" s="82">
        <f t="shared" si="18"/>
        <v>0</v>
      </c>
      <c r="DM64" s="82">
        <f t="shared" si="19"/>
        <v>0</v>
      </c>
    </row>
    <row r="65" spans="1:117" x14ac:dyDescent="0.2">
      <c r="A65">
        <v>15.125</v>
      </c>
      <c r="B65">
        <v>139.42854103657217</v>
      </c>
      <c r="C65" s="82">
        <f t="shared" si="0"/>
        <v>1.7751994954920747E-2</v>
      </c>
      <c r="D65">
        <v>15.125</v>
      </c>
      <c r="E65">
        <v>45309.427767875328</v>
      </c>
      <c r="F65" t="s">
        <v>82</v>
      </c>
      <c r="G65">
        <v>15.125</v>
      </c>
      <c r="H65">
        <v>139.46733071085995</v>
      </c>
      <c r="I65" s="82">
        <f t="shared" si="1"/>
        <v>1.4088218738123715E-2</v>
      </c>
      <c r="J65">
        <v>15.125</v>
      </c>
      <c r="K65">
        <v>40138.18474041119</v>
      </c>
      <c r="L65" t="s">
        <v>82</v>
      </c>
      <c r="M65">
        <v>15.125</v>
      </c>
      <c r="N65">
        <v>139.5071341158837</v>
      </c>
      <c r="O65" s="82">
        <f t="shared" si="2"/>
        <v>1.0385030099826054E-2</v>
      </c>
      <c r="P65">
        <v>15.125</v>
      </c>
      <c r="Q65">
        <v>34931.361282628117</v>
      </c>
      <c r="R65" t="s">
        <v>82</v>
      </c>
      <c r="S65">
        <v>15.125</v>
      </c>
      <c r="T65">
        <v>139.56411549799913</v>
      </c>
      <c r="U65" s="82">
        <f t="shared" si="3"/>
        <v>7.1018553132660145E-3</v>
      </c>
      <c r="V65">
        <v>15.125</v>
      </c>
      <c r="W65">
        <v>30355.326800530136</v>
      </c>
      <c r="X65" t="s">
        <v>82</v>
      </c>
      <c r="Y65">
        <v>15.125</v>
      </c>
      <c r="Z65">
        <v>139.62659693607563</v>
      </c>
      <c r="AA65" s="82">
        <f t="shared" si="4"/>
        <v>3.9009803873000237E-3</v>
      </c>
      <c r="AB65">
        <v>15.125</v>
      </c>
      <c r="AC65">
        <v>25924.36103943428</v>
      </c>
      <c r="AD65" t="s">
        <v>82</v>
      </c>
      <c r="AE65">
        <v>15.125</v>
      </c>
      <c r="AF65">
        <v>139.69043596414778</v>
      </c>
      <c r="AG65" s="82">
        <f t="shared" si="5"/>
        <v>6.6632702933588916E-4</v>
      </c>
      <c r="AH65">
        <v>15.125</v>
      </c>
      <c r="AI65">
        <v>21473.029839283947</v>
      </c>
      <c r="AJ65" t="s">
        <v>82</v>
      </c>
      <c r="AK65">
        <v>15.125</v>
      </c>
      <c r="AL65">
        <v>139.75565364121786</v>
      </c>
      <c r="AM65" s="82">
        <f t="shared" si="6"/>
        <v>-2.5977765336335779E-3</v>
      </c>
      <c r="AN65">
        <v>15.125</v>
      </c>
      <c r="AO65">
        <v>22993.209826170707</v>
      </c>
      <c r="AP65" t="s">
        <v>82</v>
      </c>
      <c r="AQ65">
        <v>15.125</v>
      </c>
      <c r="AR65">
        <v>139.83970187152386</v>
      </c>
      <c r="AS65" s="82">
        <f t="shared" si="7"/>
        <v>-4.0890125473822536E-3</v>
      </c>
      <c r="AT65">
        <v>15.125</v>
      </c>
      <c r="AU65">
        <v>26078.899578047531</v>
      </c>
      <c r="AV65" t="s">
        <v>82</v>
      </c>
      <c r="AW65">
        <v>15.125</v>
      </c>
      <c r="AX65">
        <v>139.92947383550828</v>
      </c>
      <c r="AY65" s="82">
        <f t="shared" si="8"/>
        <v>-5.2013959311807412E-3</v>
      </c>
      <c r="AZ65">
        <v>15.125</v>
      </c>
      <c r="BA65">
        <v>28664.561426163811</v>
      </c>
      <c r="BB65" t="s">
        <v>82</v>
      </c>
      <c r="BC65">
        <v>15.125</v>
      </c>
      <c r="BD65">
        <v>140.01906445939028</v>
      </c>
      <c r="BE65" s="82">
        <f t="shared" si="9"/>
        <v>-5.8851835765665328E-3</v>
      </c>
      <c r="BF65">
        <v>15.125</v>
      </c>
      <c r="BG65">
        <v>30680.86128050218</v>
      </c>
      <c r="BH65" t="s">
        <v>82</v>
      </c>
      <c r="BI65">
        <v>15.125</v>
      </c>
      <c r="BJ65">
        <v>140.07046661909735</v>
      </c>
      <c r="BK65" s="82">
        <f t="shared" si="10"/>
        <v>1.4718334709300507E-3</v>
      </c>
      <c r="BL65">
        <v>15.125</v>
      </c>
      <c r="BM65">
        <v>24437.267705503429</v>
      </c>
      <c r="BN65" t="s">
        <v>82</v>
      </c>
      <c r="BO65">
        <v>15.125</v>
      </c>
      <c r="BP65">
        <v>140.08919605510081</v>
      </c>
      <c r="BQ65" s="82">
        <f t="shared" si="11"/>
        <v>4.2168343658772756E-3</v>
      </c>
      <c r="BR65">
        <v>15.125</v>
      </c>
      <c r="BS65">
        <v>29235.681730107794</v>
      </c>
      <c r="BT65" t="s">
        <v>82</v>
      </c>
      <c r="BU65">
        <v>15.125</v>
      </c>
      <c r="BV65">
        <v>140.0903385194826</v>
      </c>
      <c r="BW65" s="82">
        <f t="shared" si="12"/>
        <v>4.3942446519054101E-3</v>
      </c>
      <c r="BX65">
        <v>15.125</v>
      </c>
      <c r="BY65">
        <v>30388.610494222146</v>
      </c>
      <c r="BZ65" t="s">
        <v>82</v>
      </c>
      <c r="CA65">
        <v>15.125</v>
      </c>
      <c r="CB65">
        <v>140.0719967977258</v>
      </c>
      <c r="CC65" s="82">
        <f t="shared" si="13"/>
        <v>1.1459225971464093E-3</v>
      </c>
      <c r="CD65">
        <v>15.125</v>
      </c>
      <c r="CE65">
        <v>25688.005721334594</v>
      </c>
      <c r="CF65" t="s">
        <v>82</v>
      </c>
      <c r="CG65">
        <v>15.125</v>
      </c>
      <c r="CH65">
        <v>139.73511207432489</v>
      </c>
      <c r="CI65" s="82">
        <f t="shared" si="14"/>
        <v>-2.519383399632602E-2</v>
      </c>
      <c r="CJ65">
        <v>15.125</v>
      </c>
      <c r="CK65">
        <v>64412.859819131285</v>
      </c>
      <c r="CL65" t="s">
        <v>82</v>
      </c>
      <c r="CM65">
        <v>15.125</v>
      </c>
      <c r="CN65">
        <v>139.05496430214657</v>
      </c>
      <c r="CO65" s="82">
        <f t="shared" si="15"/>
        <v>-3.5995521442714562E-2</v>
      </c>
      <c r="CP65">
        <v>15.125</v>
      </c>
      <c r="CQ65">
        <v>81126.530483779905</v>
      </c>
      <c r="CR65" t="s">
        <v>82</v>
      </c>
      <c r="CS65">
        <v>15.125</v>
      </c>
      <c r="CT65">
        <v>138.2480233354726</v>
      </c>
      <c r="CU65" s="82">
        <f t="shared" si="16"/>
        <v>-3.993788464177328E-2</v>
      </c>
      <c r="CV65">
        <v>15.125</v>
      </c>
      <c r="CW65">
        <v>87864.827829517249</v>
      </c>
      <c r="CX65" t="s">
        <v>82</v>
      </c>
      <c r="CY65">
        <v>15.125</v>
      </c>
      <c r="CZ65">
        <v>137.40988162703212</v>
      </c>
      <c r="DA65" s="82">
        <f t="shared" si="17"/>
        <v>-4.2194337196349352E-2</v>
      </c>
      <c r="DB65">
        <v>15.125</v>
      </c>
      <c r="DC65">
        <v>92197.496285191606</v>
      </c>
      <c r="DD65" t="s">
        <v>82</v>
      </c>
      <c r="DG65" s="82">
        <f t="shared" si="18"/>
        <v>0</v>
      </c>
      <c r="DM65" s="82">
        <f t="shared" si="19"/>
        <v>0</v>
      </c>
    </row>
    <row r="66" spans="1:117" x14ac:dyDescent="0.2">
      <c r="A66">
        <v>15.375</v>
      </c>
      <c r="B66">
        <v>139.44876168054725</v>
      </c>
      <c r="C66" s="82">
        <f t="shared" si="0"/>
        <v>2.0220643975079611E-2</v>
      </c>
      <c r="D66">
        <v>15.375</v>
      </c>
      <c r="E66">
        <v>49038.212629455506</v>
      </c>
      <c r="F66" t="s">
        <v>82</v>
      </c>
      <c r="G66">
        <v>15.375</v>
      </c>
      <c r="H66">
        <v>139.48370424169718</v>
      </c>
      <c r="I66" s="82">
        <f t="shared" si="1"/>
        <v>1.6373530837228145E-2</v>
      </c>
      <c r="J66">
        <v>15.375</v>
      </c>
      <c r="K66">
        <v>43590.996357579083</v>
      </c>
      <c r="L66" t="s">
        <v>82</v>
      </c>
      <c r="M66">
        <v>15.375</v>
      </c>
      <c r="N66">
        <v>139.5196171191912</v>
      </c>
      <c r="O66" s="82">
        <f t="shared" si="2"/>
        <v>1.24830033074943E-2</v>
      </c>
      <c r="P66">
        <v>15.375</v>
      </c>
      <c r="Q66">
        <v>38102.042989847301</v>
      </c>
      <c r="R66" t="s">
        <v>82</v>
      </c>
      <c r="S66">
        <v>15.375</v>
      </c>
      <c r="T66">
        <v>139.57309688974829</v>
      </c>
      <c r="U66" s="82">
        <f t="shared" si="3"/>
        <v>8.981391749159684E-3</v>
      </c>
      <c r="V66">
        <v>15.375</v>
      </c>
      <c r="W66">
        <v>33197.765790257348</v>
      </c>
      <c r="X66" t="s">
        <v>82</v>
      </c>
      <c r="Y66">
        <v>15.375</v>
      </c>
      <c r="Z66">
        <v>139.63214771182308</v>
      </c>
      <c r="AA66" s="82">
        <f t="shared" si="4"/>
        <v>5.5507757474515529E-3</v>
      </c>
      <c r="AB66">
        <v>15.375</v>
      </c>
      <c r="AC66">
        <v>28421.624523644376</v>
      </c>
      <c r="AD66" t="s">
        <v>82</v>
      </c>
      <c r="AE66">
        <v>15.375</v>
      </c>
      <c r="AF66">
        <v>139.69251813366122</v>
      </c>
      <c r="AG66" s="82">
        <f t="shared" si="5"/>
        <v>2.0821695134429774E-3</v>
      </c>
      <c r="AH66">
        <v>15.375</v>
      </c>
      <c r="AI66">
        <v>23618.63546096615</v>
      </c>
      <c r="AJ66" t="s">
        <v>82</v>
      </c>
      <c r="AK66">
        <v>15.375</v>
      </c>
      <c r="AL66">
        <v>139.75423358592769</v>
      </c>
      <c r="AM66" s="82">
        <f t="shared" si="6"/>
        <v>-1.4200552901684205E-3</v>
      </c>
      <c r="AN66">
        <v>15.375</v>
      </c>
      <c r="AO66">
        <v>21157.89930999542</v>
      </c>
      <c r="AP66" t="s">
        <v>82</v>
      </c>
      <c r="AQ66">
        <v>15.375</v>
      </c>
      <c r="AR66">
        <v>139.83645698713056</v>
      </c>
      <c r="AS66" s="82">
        <f t="shared" si="7"/>
        <v>-3.244884393296843E-3</v>
      </c>
      <c r="AT66">
        <v>15.375</v>
      </c>
      <c r="AU66">
        <v>24741.692735078843</v>
      </c>
      <c r="AV66" t="s">
        <v>82</v>
      </c>
      <c r="AW66">
        <v>15.375</v>
      </c>
      <c r="AX66">
        <v>139.92475693431055</v>
      </c>
      <c r="AY66" s="82">
        <f t="shared" si="8"/>
        <v>-4.71690119772461E-3</v>
      </c>
      <c r="AZ66">
        <v>15.375</v>
      </c>
      <c r="BA66">
        <v>27864.359453650286</v>
      </c>
      <c r="BB66" t="s">
        <v>82</v>
      </c>
      <c r="BC66">
        <v>15.375</v>
      </c>
      <c r="BD66">
        <v>140.01327689415396</v>
      </c>
      <c r="BE66" s="82">
        <f t="shared" si="9"/>
        <v>-5.7875652363179597E-3</v>
      </c>
      <c r="BF66">
        <v>15.375</v>
      </c>
      <c r="BG66">
        <v>30457.367990391751</v>
      </c>
      <c r="BH66" t="s">
        <v>82</v>
      </c>
      <c r="BI66">
        <v>15.375</v>
      </c>
      <c r="BJ66">
        <v>140.07125445117208</v>
      </c>
      <c r="BK66" s="82">
        <f t="shared" si="10"/>
        <v>7.8783207473520633E-4</v>
      </c>
      <c r="BL66">
        <v>15.375</v>
      </c>
      <c r="BM66">
        <v>23466.701074466615</v>
      </c>
      <c r="BN66" t="s">
        <v>82</v>
      </c>
      <c r="BO66">
        <v>15.375</v>
      </c>
      <c r="BP66">
        <v>140.09257396548779</v>
      </c>
      <c r="BQ66" s="82">
        <f t="shared" si="11"/>
        <v>3.3779103869733262E-3</v>
      </c>
      <c r="BR66">
        <v>15.375</v>
      </c>
      <c r="BS66">
        <v>28040.772527943394</v>
      </c>
      <c r="BT66" t="s">
        <v>82</v>
      </c>
      <c r="BU66">
        <v>15.375</v>
      </c>
      <c r="BV66">
        <v>140.09390114759535</v>
      </c>
      <c r="BW66" s="82">
        <f t="shared" si="12"/>
        <v>3.5626281127463244E-3</v>
      </c>
      <c r="BX66">
        <v>15.375</v>
      </c>
      <c r="BY66">
        <v>29205.156279016017</v>
      </c>
      <c r="BZ66" t="s">
        <v>82</v>
      </c>
      <c r="CA66">
        <v>15.375</v>
      </c>
      <c r="CB66">
        <v>140.07125853472434</v>
      </c>
      <c r="CC66" s="82">
        <f t="shared" si="13"/>
        <v>-7.3826300146606627E-4</v>
      </c>
      <c r="CD66">
        <v>15.375</v>
      </c>
      <c r="CE66">
        <v>27775.375175860881</v>
      </c>
      <c r="CF66" t="s">
        <v>82</v>
      </c>
      <c r="CG66">
        <v>15.375</v>
      </c>
      <c r="CH66">
        <v>139.7091425718711</v>
      </c>
      <c r="CI66" s="82">
        <f t="shared" si="14"/>
        <v>-2.5969502453790483E-2</v>
      </c>
      <c r="CJ66">
        <v>15.375</v>
      </c>
      <c r="CK66">
        <v>65517.732123699512</v>
      </c>
      <c r="CL66" t="s">
        <v>82</v>
      </c>
      <c r="CM66">
        <v>15.375</v>
      </c>
      <c r="CN66">
        <v>139.01865707022583</v>
      </c>
      <c r="CO66" s="82">
        <f t="shared" si="15"/>
        <v>-3.6307231920744698E-2</v>
      </c>
      <c r="CP66">
        <v>15.375</v>
      </c>
      <c r="CQ66">
        <v>81555.000019065294</v>
      </c>
      <c r="CR66" t="s">
        <v>82</v>
      </c>
      <c r="CS66">
        <v>15.375</v>
      </c>
      <c r="CT66">
        <v>138.20796335364045</v>
      </c>
      <c r="CU66" s="82">
        <f t="shared" si="16"/>
        <v>-4.0059981832143876E-2</v>
      </c>
      <c r="CV66">
        <v>15.375</v>
      </c>
      <c r="CW66">
        <v>88017.263707244827</v>
      </c>
      <c r="CX66" t="s">
        <v>82</v>
      </c>
      <c r="CY66">
        <v>15.375</v>
      </c>
      <c r="CZ66">
        <v>137.36769051256596</v>
      </c>
      <c r="DA66" s="82">
        <f t="shared" si="17"/>
        <v>-4.2191114466163526E-2</v>
      </c>
      <c r="DB66">
        <v>15.375</v>
      </c>
      <c r="DC66">
        <v>92167.797311690389</v>
      </c>
      <c r="DD66" t="s">
        <v>82</v>
      </c>
      <c r="DG66" s="82">
        <f t="shared" si="18"/>
        <v>0</v>
      </c>
      <c r="DM66" s="82">
        <f t="shared" si="19"/>
        <v>0</v>
      </c>
    </row>
    <row r="67" spans="1:117" x14ac:dyDescent="0.2">
      <c r="A67">
        <v>15.625</v>
      </c>
      <c r="B67">
        <v>139.47155368692759</v>
      </c>
      <c r="C67" s="82">
        <f t="shared" si="0"/>
        <v>2.27920063803424E-2</v>
      </c>
      <c r="D67">
        <v>15.625</v>
      </c>
      <c r="E67">
        <v>52922.069061266076</v>
      </c>
      <c r="F67" t="s">
        <v>82</v>
      </c>
      <c r="G67">
        <v>15.625</v>
      </c>
      <c r="H67">
        <v>139.5024618691628</v>
      </c>
      <c r="I67" s="82">
        <f t="shared" si="1"/>
        <v>1.8757627465618043E-2</v>
      </c>
      <c r="J67">
        <v>15.625</v>
      </c>
      <c r="K67">
        <v>47192.938157075041</v>
      </c>
      <c r="L67" t="s">
        <v>82</v>
      </c>
      <c r="M67">
        <v>15.625</v>
      </c>
      <c r="N67">
        <v>139.5342927046417</v>
      </c>
      <c r="O67" s="82">
        <f t="shared" si="2"/>
        <v>1.4675585450504514E-2</v>
      </c>
      <c r="P67">
        <v>15.625</v>
      </c>
      <c r="Q67">
        <v>41415.537666531069</v>
      </c>
      <c r="R67" t="s">
        <v>82</v>
      </c>
      <c r="S67">
        <v>15.625</v>
      </c>
      <c r="T67">
        <v>139.58404848146267</v>
      </c>
      <c r="U67" s="82">
        <f t="shared" si="3"/>
        <v>1.0951591714388087E-2</v>
      </c>
      <c r="V67">
        <v>15.625</v>
      </c>
      <c r="W67">
        <v>36177.001679666559</v>
      </c>
      <c r="X67" t="s">
        <v>82</v>
      </c>
      <c r="Y67">
        <v>15.625</v>
      </c>
      <c r="Z67">
        <v>139.63943486785976</v>
      </c>
      <c r="AA67" s="82">
        <f t="shared" si="4"/>
        <v>7.2871560366820631E-3</v>
      </c>
      <c r="AB67">
        <v>15.625</v>
      </c>
      <c r="AC67">
        <v>31049.448689550329</v>
      </c>
      <c r="AD67" t="s">
        <v>82</v>
      </c>
      <c r="AE67">
        <v>15.625</v>
      </c>
      <c r="AF67">
        <v>139.69609837571608</v>
      </c>
      <c r="AG67" s="82">
        <f t="shared" si="5"/>
        <v>3.5802420548520786E-3</v>
      </c>
      <c r="AH67">
        <v>15.625</v>
      </c>
      <c r="AI67">
        <v>25888.139453793854</v>
      </c>
      <c r="AJ67" t="s">
        <v>82</v>
      </c>
      <c r="AK67">
        <v>15.625</v>
      </c>
      <c r="AL67">
        <v>139.75406882805041</v>
      </c>
      <c r="AM67" s="82">
        <f t="shared" si="6"/>
        <v>-1.6475787728609248E-4</v>
      </c>
      <c r="AN67">
        <v>15.625</v>
      </c>
      <c r="AO67">
        <v>20702.530480983969</v>
      </c>
      <c r="AP67" t="s">
        <v>82</v>
      </c>
      <c r="AQ67">
        <v>15.625</v>
      </c>
      <c r="AR67">
        <v>139.83413112568817</v>
      </c>
      <c r="AS67" s="82">
        <f t="shared" si="7"/>
        <v>-2.3258614423866675E-3</v>
      </c>
      <c r="AT67">
        <v>15.625</v>
      </c>
      <c r="AU67">
        <v>23292.150425557709</v>
      </c>
      <c r="AV67" t="s">
        <v>82</v>
      </c>
      <c r="AW67">
        <v>15.625</v>
      </c>
      <c r="AX67">
        <v>139.92059706362267</v>
      </c>
      <c r="AY67" s="82">
        <f t="shared" si="8"/>
        <v>-4.1598706878858138E-3</v>
      </c>
      <c r="AZ67">
        <v>15.625</v>
      </c>
      <c r="BA67">
        <v>26955.589375347867</v>
      </c>
      <c r="BB67" t="s">
        <v>82</v>
      </c>
      <c r="BC67">
        <v>15.625</v>
      </c>
      <c r="BD67">
        <v>140.00765850572816</v>
      </c>
      <c r="BE67" s="82">
        <f t="shared" si="9"/>
        <v>-5.6183884258018679E-3</v>
      </c>
      <c r="BF67">
        <v>15.625</v>
      </c>
      <c r="BG67">
        <v>30127.828685960885</v>
      </c>
      <c r="BH67" t="s">
        <v>82</v>
      </c>
      <c r="BI67">
        <v>15.625</v>
      </c>
      <c r="BJ67">
        <v>140.07145714131164</v>
      </c>
      <c r="BK67" s="82">
        <f t="shared" si="10"/>
        <v>2.0269013955953596E-4</v>
      </c>
      <c r="BL67">
        <v>15.625</v>
      </c>
      <c r="BM67">
        <v>22778.630647946433</v>
      </c>
      <c r="BN67" t="s">
        <v>82</v>
      </c>
      <c r="BO67">
        <v>15.625</v>
      </c>
      <c r="BP67">
        <v>140.09522049290905</v>
      </c>
      <c r="BQ67" s="82">
        <f t="shared" si="11"/>
        <v>2.64652742126259E-3</v>
      </c>
      <c r="BR67">
        <v>15.625</v>
      </c>
      <c r="BS67">
        <v>26987.93821285099</v>
      </c>
      <c r="BT67" t="s">
        <v>82</v>
      </c>
      <c r="BU67">
        <v>15.625</v>
      </c>
      <c r="BV67">
        <v>140.09674044433254</v>
      </c>
      <c r="BW67" s="82">
        <f t="shared" si="12"/>
        <v>2.8392967371928535E-3</v>
      </c>
      <c r="BX67">
        <v>15.625</v>
      </c>
      <c r="BY67">
        <v>28164.673436450306</v>
      </c>
      <c r="BZ67" t="s">
        <v>82</v>
      </c>
      <c r="CA67">
        <v>15.625</v>
      </c>
      <c r="CB67">
        <v>140.0687494593289</v>
      </c>
      <c r="CC67" s="82">
        <f t="shared" si="13"/>
        <v>-2.5090753954373213E-3</v>
      </c>
      <c r="CD67">
        <v>15.625</v>
      </c>
      <c r="CE67">
        <v>30330.616310956331</v>
      </c>
      <c r="CF67" t="s">
        <v>82</v>
      </c>
      <c r="CG67">
        <v>15.625</v>
      </c>
      <c r="CH67">
        <v>139.68243173316029</v>
      </c>
      <c r="CI67" s="82">
        <f t="shared" si="14"/>
        <v>-2.6710838710812368E-2</v>
      </c>
      <c r="CJ67">
        <v>15.625</v>
      </c>
      <c r="CK67">
        <v>66572.382605339357</v>
      </c>
      <c r="CL67" t="s">
        <v>82</v>
      </c>
      <c r="CM67">
        <v>15.625</v>
      </c>
      <c r="CN67">
        <v>138.98205326092156</v>
      </c>
      <c r="CO67" s="82">
        <f t="shared" si="15"/>
        <v>-3.6603809304267543E-2</v>
      </c>
      <c r="CP67">
        <v>15.625</v>
      </c>
      <c r="CQ67">
        <v>81961.25515638919</v>
      </c>
      <c r="CR67" t="s">
        <v>82</v>
      </c>
      <c r="CS67">
        <v>15.625</v>
      </c>
      <c r="CT67">
        <v>138.16778827096792</v>
      </c>
      <c r="CU67" s="82">
        <f t="shared" si="16"/>
        <v>-4.0175082672533335E-2</v>
      </c>
      <c r="CV67">
        <v>15.625</v>
      </c>
      <c r="CW67">
        <v>88159.359441382912</v>
      </c>
      <c r="CX67" t="s">
        <v>82</v>
      </c>
      <c r="CY67">
        <v>15.625</v>
      </c>
      <c r="CZ67">
        <v>137.32550399224147</v>
      </c>
      <c r="DA67" s="82">
        <f t="shared" si="17"/>
        <v>-4.2186520324491994E-2</v>
      </c>
      <c r="DB67">
        <v>15.625</v>
      </c>
      <c r="DC67">
        <v>92135.966161983684</v>
      </c>
      <c r="DD67" t="s">
        <v>82</v>
      </c>
      <c r="DG67" s="82">
        <f t="shared" si="18"/>
        <v>0</v>
      </c>
      <c r="DM67" s="82">
        <f t="shared" si="19"/>
        <v>0</v>
      </c>
    </row>
    <row r="68" spans="1:117" x14ac:dyDescent="0.2">
      <c r="A68">
        <v>15.875</v>
      </c>
      <c r="B68">
        <v>139.49702258872651</v>
      </c>
      <c r="C68" s="82">
        <f t="shared" si="0"/>
        <v>2.5468901798916477E-2</v>
      </c>
      <c r="D68">
        <v>15.875</v>
      </c>
      <c r="E68">
        <v>56965.268096711654</v>
      </c>
      <c r="F68" t="s">
        <v>82</v>
      </c>
      <c r="G68">
        <v>15.875</v>
      </c>
      <c r="H68">
        <v>139.5237050666442</v>
      </c>
      <c r="I68" s="82">
        <f t="shared" si="1"/>
        <v>2.1243197481396692E-2</v>
      </c>
      <c r="J68">
        <v>15.875</v>
      </c>
      <c r="K68">
        <v>50948.086220883983</v>
      </c>
      <c r="L68" t="s">
        <v>82</v>
      </c>
      <c r="M68">
        <v>15.875</v>
      </c>
      <c r="N68">
        <v>139.55125802763988</v>
      </c>
      <c r="O68" s="82">
        <f t="shared" si="2"/>
        <v>1.696532299817477E-2</v>
      </c>
      <c r="P68">
        <v>15.875</v>
      </c>
      <c r="Q68">
        <v>44875.708779295208</v>
      </c>
      <c r="R68" t="s">
        <v>82</v>
      </c>
      <c r="S68">
        <v>15.875</v>
      </c>
      <c r="T68">
        <v>139.59706329454602</v>
      </c>
      <c r="U68" s="82">
        <f t="shared" si="3"/>
        <v>1.3014813083344734E-2</v>
      </c>
      <c r="V68">
        <v>15.875</v>
      </c>
      <c r="W68">
        <v>39296.617870657647</v>
      </c>
      <c r="X68" t="s">
        <v>82</v>
      </c>
      <c r="Y68">
        <v>15.875</v>
      </c>
      <c r="Z68">
        <v>139.64854713336231</v>
      </c>
      <c r="AA68" s="82">
        <f t="shared" si="4"/>
        <v>9.1122655025515087E-3</v>
      </c>
      <c r="AB68">
        <v>15.875</v>
      </c>
      <c r="AC68">
        <v>33811.099927092844</v>
      </c>
      <c r="AD68" t="s">
        <v>82</v>
      </c>
      <c r="AE68">
        <v>15.875</v>
      </c>
      <c r="AF68">
        <v>139.70126083295807</v>
      </c>
      <c r="AG68" s="82">
        <f t="shared" si="5"/>
        <v>5.1624572419939341E-3</v>
      </c>
      <c r="AH68">
        <v>15.875</v>
      </c>
      <c r="AI68">
        <v>28284.464011927426</v>
      </c>
      <c r="AJ68" t="s">
        <v>82</v>
      </c>
      <c r="AK68">
        <v>15.875</v>
      </c>
      <c r="AL68">
        <v>139.75523860476997</v>
      </c>
      <c r="AM68" s="82">
        <f t="shared" si="6"/>
        <v>1.1697767195641973E-3</v>
      </c>
      <c r="AN68">
        <v>15.875</v>
      </c>
      <c r="AO68">
        <v>22726.139659873643</v>
      </c>
      <c r="AP68" t="s">
        <v>82</v>
      </c>
      <c r="AQ68">
        <v>15.875</v>
      </c>
      <c r="AR68">
        <v>139.83280044294025</v>
      </c>
      <c r="AS68" s="82">
        <f t="shared" si="7"/>
        <v>-1.3306827479198091E-3</v>
      </c>
      <c r="AT68">
        <v>15.875</v>
      </c>
      <c r="AU68">
        <v>21728.370062683312</v>
      </c>
      <c r="AV68" t="s">
        <v>82</v>
      </c>
      <c r="AW68">
        <v>15.875</v>
      </c>
      <c r="AX68">
        <v>139.91706755695483</v>
      </c>
      <c r="AY68" s="82">
        <f t="shared" si="8"/>
        <v>-3.5295066678315834E-3</v>
      </c>
      <c r="AZ68">
        <v>15.875</v>
      </c>
      <c r="BA68">
        <v>25937.00161882272</v>
      </c>
      <c r="BB68" t="s">
        <v>82</v>
      </c>
      <c r="BC68">
        <v>15.875</v>
      </c>
      <c r="BD68">
        <v>140.00228017253806</v>
      </c>
      <c r="BE68" s="82">
        <f t="shared" si="9"/>
        <v>-5.3783331900945086E-3</v>
      </c>
      <c r="BF68">
        <v>15.875</v>
      </c>
      <c r="BG68">
        <v>29692.482220548416</v>
      </c>
      <c r="BH68" t="s">
        <v>82</v>
      </c>
      <c r="BI68">
        <v>15.875</v>
      </c>
      <c r="BJ68">
        <v>140.07115393043065</v>
      </c>
      <c r="BK68" s="82">
        <f t="shared" si="10"/>
        <v>-3.0321088098617111E-4</v>
      </c>
      <c r="BL68">
        <v>15.875</v>
      </c>
      <c r="BM68">
        <v>23448.499963468628</v>
      </c>
      <c r="BN68" t="s">
        <v>82</v>
      </c>
      <c r="BO68">
        <v>15.875</v>
      </c>
      <c r="BP68">
        <v>140.09721865716261</v>
      </c>
      <c r="BQ68" s="82">
        <f t="shared" si="11"/>
        <v>1.9981642535640276E-3</v>
      </c>
      <c r="BR68">
        <v>15.875</v>
      </c>
      <c r="BS68">
        <v>26058.02806233089</v>
      </c>
      <c r="BT68" t="s">
        <v>82</v>
      </c>
      <c r="BU68">
        <v>15.875</v>
      </c>
      <c r="BV68">
        <v>140.098939893672</v>
      </c>
      <c r="BW68" s="82">
        <f t="shared" si="12"/>
        <v>2.1994493394572601E-3</v>
      </c>
      <c r="BX68">
        <v>15.875</v>
      </c>
      <c r="BY68">
        <v>27247.788890903677</v>
      </c>
      <c r="BZ68" t="s">
        <v>82</v>
      </c>
      <c r="CA68">
        <v>15.875</v>
      </c>
      <c r="CB68">
        <v>140.06454430479397</v>
      </c>
      <c r="CC68" s="82">
        <f t="shared" si="13"/>
        <v>-4.2051545349295338E-3</v>
      </c>
      <c r="CD68">
        <v>15.875</v>
      </c>
      <c r="CE68">
        <v>32777.022290017012</v>
      </c>
      <c r="CF68" t="s">
        <v>82</v>
      </c>
      <c r="CG68">
        <v>15.875</v>
      </c>
      <c r="CH68">
        <v>139.65501268773963</v>
      </c>
      <c r="CI68" s="82">
        <f t="shared" si="14"/>
        <v>-2.741904542065754E-2</v>
      </c>
      <c r="CJ68">
        <v>15.875</v>
      </c>
      <c r="CK68">
        <v>67578.556405380121</v>
      </c>
      <c r="CL68" t="s">
        <v>82</v>
      </c>
      <c r="CM68">
        <v>15.875</v>
      </c>
      <c r="CN68">
        <v>138.94516759084175</v>
      </c>
      <c r="CO68" s="82">
        <f t="shared" si="15"/>
        <v>-3.6885670079811916E-2</v>
      </c>
      <c r="CP68">
        <v>15.875</v>
      </c>
      <c r="CQ68">
        <v>82345.895540695914</v>
      </c>
      <c r="CR68" t="s">
        <v>82</v>
      </c>
      <c r="CS68">
        <v>15.875</v>
      </c>
      <c r="CT68">
        <v>138.12750499704842</v>
      </c>
      <c r="CU68" s="82">
        <f t="shared" si="16"/>
        <v>-4.0283273919499152E-2</v>
      </c>
      <c r="CV68">
        <v>15.875</v>
      </c>
      <c r="CW68">
        <v>88291.234338478098</v>
      </c>
      <c r="CX68" t="s">
        <v>82</v>
      </c>
      <c r="CY68">
        <v>15.875</v>
      </c>
      <c r="CZ68">
        <v>137.28332357963475</v>
      </c>
      <c r="DA68" s="82">
        <f t="shared" si="17"/>
        <v>-4.218041260671157E-2</v>
      </c>
      <c r="DB68">
        <v>15.875</v>
      </c>
      <c r="DC68">
        <v>92101.7890197487</v>
      </c>
      <c r="DD68" t="s">
        <v>82</v>
      </c>
      <c r="DG68" s="82">
        <f t="shared" si="18"/>
        <v>0</v>
      </c>
      <c r="DM68" s="82">
        <f t="shared" si="19"/>
        <v>0</v>
      </c>
    </row>
    <row r="69" spans="1:117" x14ac:dyDescent="0.2">
      <c r="A69">
        <v>16.125</v>
      </c>
      <c r="B69">
        <v>139.52527684407528</v>
      </c>
      <c r="C69" s="82">
        <f t="shared" si="0"/>
        <v>2.825425534877013E-2</v>
      </c>
      <c r="D69">
        <v>16.125</v>
      </c>
      <c r="E69">
        <v>61172.239934518519</v>
      </c>
      <c r="F69" t="s">
        <v>82</v>
      </c>
      <c r="G69">
        <v>16.125</v>
      </c>
      <c r="H69">
        <v>139.54753810112356</v>
      </c>
      <c r="I69" s="82">
        <f t="shared" si="1"/>
        <v>2.3833034479366688E-2</v>
      </c>
      <c r="J69">
        <v>16.125</v>
      </c>
      <c r="K69">
        <v>54860.674746017787</v>
      </c>
      <c r="L69" t="s">
        <v>82</v>
      </c>
      <c r="M69">
        <v>16.125</v>
      </c>
      <c r="N69">
        <v>139.57061289373138</v>
      </c>
      <c r="O69" s="82">
        <f t="shared" si="2"/>
        <v>1.9354866091504164E-2</v>
      </c>
      <c r="P69">
        <v>16.125</v>
      </c>
      <c r="Q69">
        <v>48486.576332047574</v>
      </c>
      <c r="R69" t="s">
        <v>82</v>
      </c>
      <c r="S69">
        <v>16.125</v>
      </c>
      <c r="T69">
        <v>139.61223681110459</v>
      </c>
      <c r="U69" s="82">
        <f t="shared" si="3"/>
        <v>1.5173516558576239E-2</v>
      </c>
      <c r="V69">
        <v>16.125</v>
      </c>
      <c r="W69">
        <v>42560.352835255275</v>
      </c>
      <c r="X69" t="s">
        <v>82</v>
      </c>
      <c r="Y69">
        <v>16.125</v>
      </c>
      <c r="Z69">
        <v>139.65957548357315</v>
      </c>
      <c r="AA69" s="82">
        <f t="shared" si="4"/>
        <v>1.1028350210835924E-2</v>
      </c>
      <c r="AB69">
        <v>16.125</v>
      </c>
      <c r="AC69">
        <v>36709.997793421855</v>
      </c>
      <c r="AD69" t="s">
        <v>82</v>
      </c>
      <c r="AE69">
        <v>16.125</v>
      </c>
      <c r="AF69">
        <v>139.70809166093548</v>
      </c>
      <c r="AG69" s="82">
        <f t="shared" si="5"/>
        <v>6.8308279774100811E-3</v>
      </c>
      <c r="AH69">
        <v>16.125</v>
      </c>
      <c r="AI69">
        <v>30810.681887576833</v>
      </c>
      <c r="AJ69" t="s">
        <v>82</v>
      </c>
      <c r="AK69">
        <v>16.125</v>
      </c>
      <c r="AL69">
        <v>139.75782391253657</v>
      </c>
      <c r="AM69" s="82">
        <f t="shared" si="6"/>
        <v>2.5853077665942692E-3</v>
      </c>
      <c r="AN69">
        <v>16.125</v>
      </c>
      <c r="AO69">
        <v>24871.7657669787</v>
      </c>
      <c r="AP69" t="s">
        <v>82</v>
      </c>
      <c r="AQ69">
        <v>16.125</v>
      </c>
      <c r="AR69">
        <v>139.83254245454734</v>
      </c>
      <c r="AS69" s="82">
        <f t="shared" si="7"/>
        <v>-2.5798839291724107E-4</v>
      </c>
      <c r="AT69">
        <v>16.125</v>
      </c>
      <c r="AU69">
        <v>20994.899235087483</v>
      </c>
      <c r="AV69" t="s">
        <v>82</v>
      </c>
      <c r="AW69">
        <v>16.125</v>
      </c>
      <c r="AX69">
        <v>139.91424264568522</v>
      </c>
      <c r="AY69" s="82">
        <f t="shared" si="8"/>
        <v>-2.8249112696130396E-3</v>
      </c>
      <c r="AZ69">
        <v>16.125</v>
      </c>
      <c r="BA69">
        <v>24807.201522648091</v>
      </c>
      <c r="BB69" t="s">
        <v>82</v>
      </c>
      <c r="BC69">
        <v>16.125</v>
      </c>
      <c r="BD69">
        <v>139.99721313892738</v>
      </c>
      <c r="BE69" s="82">
        <f t="shared" si="9"/>
        <v>-5.0670336106861669E-3</v>
      </c>
      <c r="BF69">
        <v>16.125</v>
      </c>
      <c r="BG69">
        <v>29150.712874853623</v>
      </c>
      <c r="BH69" t="s">
        <v>82</v>
      </c>
      <c r="BI69">
        <v>16.125</v>
      </c>
      <c r="BJ69">
        <v>140.07042330031342</v>
      </c>
      <c r="BK69" s="82">
        <f t="shared" si="10"/>
        <v>-7.3063011723206728E-4</v>
      </c>
      <c r="BL69">
        <v>16.125</v>
      </c>
      <c r="BM69">
        <v>24002.021817531975</v>
      </c>
      <c r="BN69" t="s">
        <v>82</v>
      </c>
      <c r="BO69">
        <v>16.125</v>
      </c>
      <c r="BP69">
        <v>140.09865046118091</v>
      </c>
      <c r="BQ69" s="82">
        <f t="shared" si="11"/>
        <v>1.4318040182956793E-3</v>
      </c>
      <c r="BR69">
        <v>16.125</v>
      </c>
      <c r="BS69">
        <v>25249.630742691828</v>
      </c>
      <c r="BT69" t="s">
        <v>82</v>
      </c>
      <c r="BU69">
        <v>16.125</v>
      </c>
      <c r="BV69">
        <v>140.10058193794677</v>
      </c>
      <c r="BW69" s="82">
        <f t="shared" si="12"/>
        <v>1.6420442747744346E-3</v>
      </c>
      <c r="BX69">
        <v>16.125</v>
      </c>
      <c r="BY69">
        <v>26453.058040320509</v>
      </c>
      <c r="BZ69" t="s">
        <v>82</v>
      </c>
      <c r="CA69">
        <v>16.125</v>
      </c>
      <c r="CB69">
        <v>140.05871497419989</v>
      </c>
      <c r="CC69" s="82">
        <f t="shared" si="13"/>
        <v>-5.8293305940821938E-3</v>
      </c>
      <c r="CD69">
        <v>16.125</v>
      </c>
      <c r="CE69">
        <v>35118.614920405751</v>
      </c>
      <c r="CF69" t="s">
        <v>82</v>
      </c>
      <c r="CG69">
        <v>16.125</v>
      </c>
      <c r="CH69">
        <v>139.62691742361906</v>
      </c>
      <c r="CI69" s="82">
        <f t="shared" si="14"/>
        <v>-2.8095264120565844E-2</v>
      </c>
      <c r="CJ69">
        <v>16.125</v>
      </c>
      <c r="CK69">
        <v>68537.909403255326</v>
      </c>
      <c r="CL69" t="s">
        <v>82</v>
      </c>
      <c r="CM69">
        <v>16.125</v>
      </c>
      <c r="CN69">
        <v>138.90801438797538</v>
      </c>
      <c r="CO69" s="82">
        <f t="shared" si="15"/>
        <v>-3.7153202866363699E-2</v>
      </c>
      <c r="CP69">
        <v>16.125</v>
      </c>
      <c r="CQ69">
        <v>82709.479893307667</v>
      </c>
      <c r="CR69" t="s">
        <v>82</v>
      </c>
      <c r="CS69">
        <v>16.125</v>
      </c>
      <c r="CT69">
        <v>138.08712036808873</v>
      </c>
      <c r="CU69" s="82">
        <f t="shared" si="16"/>
        <v>-4.0384628959685642E-2</v>
      </c>
      <c r="CV69">
        <v>16.125</v>
      </c>
      <c r="CW69">
        <v>88412.987936368867</v>
      </c>
      <c r="CX69" t="s">
        <v>82</v>
      </c>
      <c r="CY69">
        <v>16.125</v>
      </c>
      <c r="CZ69">
        <v>137.24115093330636</v>
      </c>
      <c r="DA69" s="82">
        <f t="shared" si="17"/>
        <v>-4.2172646328396013E-2</v>
      </c>
      <c r="DB69">
        <v>16.125</v>
      </c>
      <c r="DC69">
        <v>92065.047662894402</v>
      </c>
      <c r="DD69" t="s">
        <v>82</v>
      </c>
      <c r="DG69" s="82">
        <f t="shared" si="18"/>
        <v>0</v>
      </c>
      <c r="DM69" s="82">
        <f t="shared" si="19"/>
        <v>0</v>
      </c>
    </row>
    <row r="70" spans="1:117" x14ac:dyDescent="0.2">
      <c r="A70">
        <v>16.375</v>
      </c>
      <c r="B70">
        <v>139.55642794427024</v>
      </c>
      <c r="C70" s="82">
        <f t="shared" ref="C70:C133" si="20">B70-B69</f>
        <v>3.1151100194961145E-2</v>
      </c>
      <c r="D70">
        <v>16.375</v>
      </c>
      <c r="E70">
        <v>65547.577636618662</v>
      </c>
      <c r="F70" t="s">
        <v>82</v>
      </c>
      <c r="G70">
        <v>16.375</v>
      </c>
      <c r="H70">
        <v>139.57406814045254</v>
      </c>
      <c r="I70" s="82">
        <f t="shared" ref="I70:I133" si="21">H70-H69</f>
        <v>2.6530039328974908E-2</v>
      </c>
      <c r="J70">
        <v>16.375</v>
      </c>
      <c r="K70">
        <v>58935.099691278985</v>
      </c>
      <c r="L70" t="s">
        <v>82</v>
      </c>
      <c r="M70">
        <v>16.375</v>
      </c>
      <c r="N70">
        <v>139.59245986472393</v>
      </c>
      <c r="O70" s="82">
        <f t="shared" ref="O70:O133" si="22">N70-N69</f>
        <v>2.1846970992555725E-2</v>
      </c>
      <c r="P70">
        <v>16.375</v>
      </c>
      <c r="Q70">
        <v>52252.320444173311</v>
      </c>
      <c r="R70" t="s">
        <v>82</v>
      </c>
      <c r="S70">
        <v>16.375</v>
      </c>
      <c r="T70">
        <v>139.62966707913679</v>
      </c>
      <c r="U70" s="82">
        <f t="shared" ref="U70:U133" si="23">T70-T69</f>
        <v>1.7430268032200047E-2</v>
      </c>
      <c r="V70">
        <v>16.375</v>
      </c>
      <c r="W70">
        <v>45972.103575389032</v>
      </c>
      <c r="X70" t="s">
        <v>82</v>
      </c>
      <c r="Y70">
        <v>16.375</v>
      </c>
      <c r="Z70">
        <v>139.67261324379564</v>
      </c>
      <c r="AA70" s="82">
        <f t="shared" ref="AA70:AA133" si="24">Z70-Z69</f>
        <v>1.3037760222488259E-2</v>
      </c>
      <c r="AB70">
        <v>16.375</v>
      </c>
      <c r="AC70">
        <v>39749.718363916407</v>
      </c>
      <c r="AD70" t="s">
        <v>82</v>
      </c>
      <c r="AE70">
        <v>16.375</v>
      </c>
      <c r="AF70">
        <v>139.71667913041756</v>
      </c>
      <c r="AG70" s="82">
        <f t="shared" ref="AG70:AG133" si="25">AF70-AF69</f>
        <v>8.5874694820802233E-3</v>
      </c>
      <c r="AH70">
        <v>16.375</v>
      </c>
      <c r="AI70">
        <v>33470.019508602709</v>
      </c>
      <c r="AJ70" t="s">
        <v>82</v>
      </c>
      <c r="AK70">
        <v>16.375</v>
      </c>
      <c r="AL70">
        <v>139.76190760711793</v>
      </c>
      <c r="AM70" s="82">
        <f t="shared" ref="AM70:AM133" si="26">AL70-AL69</f>
        <v>4.0836945813680359E-3</v>
      </c>
      <c r="AN70">
        <v>16.375</v>
      </c>
      <c r="AO70">
        <v>27142.253852001064</v>
      </c>
      <c r="AP70" t="s">
        <v>82</v>
      </c>
      <c r="AQ70">
        <v>16.375</v>
      </c>
      <c r="AR70">
        <v>139.83343613638968</v>
      </c>
      <c r="AS70" s="82">
        <f t="shared" ref="AS70:AS133" si="27">AR70-AR69</f>
        <v>8.9368184234217551E-4</v>
      </c>
      <c r="AT70">
        <v>16.375</v>
      </c>
      <c r="AU70">
        <v>22745.908500709142</v>
      </c>
      <c r="AV70" t="s">
        <v>82</v>
      </c>
      <c r="AW70">
        <v>16.375</v>
      </c>
      <c r="AX70">
        <v>139.91219755994075</v>
      </c>
      <c r="AY70" s="82">
        <f t="shared" ref="AY70:AY133" si="28">AX70-AX69</f>
        <v>-2.0450857444700432E-3</v>
      </c>
      <c r="AZ70">
        <v>16.375</v>
      </c>
      <c r="BA70">
        <v>23564.650123134619</v>
      </c>
      <c r="BB70" t="s">
        <v>82</v>
      </c>
      <c r="BC70">
        <v>16.375</v>
      </c>
      <c r="BD70">
        <v>139.99252911698471</v>
      </c>
      <c r="BE70" s="82">
        <f t="shared" ref="BE70:BE133" si="29">BD70-BD69</f>
        <v>-4.6840219426655949E-3</v>
      </c>
      <c r="BF70">
        <v>16.375</v>
      </c>
      <c r="BG70">
        <v>28501.753936271118</v>
      </c>
      <c r="BH70" t="s">
        <v>82</v>
      </c>
      <c r="BI70">
        <v>16.375</v>
      </c>
      <c r="BJ70">
        <v>140.06934309378951</v>
      </c>
      <c r="BK70" s="82">
        <f t="shared" ref="BK70:BK133" si="30">BJ70-BJ69</f>
        <v>-1.0802065239090552E-3</v>
      </c>
      <c r="BL70">
        <v>16.375</v>
      </c>
      <c r="BM70">
        <v>24440.049184339372</v>
      </c>
      <c r="BN70" t="s">
        <v>82</v>
      </c>
      <c r="BO70">
        <v>16.375</v>
      </c>
      <c r="BP70">
        <v>140.09959702162564</v>
      </c>
      <c r="BQ70" s="82">
        <f t="shared" ref="BQ70:BQ133" si="31">BP70-BP69</f>
        <v>9.4656044473140355E-4</v>
      </c>
      <c r="BR70">
        <v>16.375</v>
      </c>
      <c r="BS70">
        <v>24561.527991465977</v>
      </c>
      <c r="BT70" t="s">
        <v>82</v>
      </c>
      <c r="BU70">
        <v>16.375</v>
      </c>
      <c r="BV70">
        <v>140.10174811387208</v>
      </c>
      <c r="BW70" s="82">
        <f t="shared" ref="BW70:BW133" si="32">BV70-BV69</f>
        <v>1.166175925305879E-3</v>
      </c>
      <c r="BX70">
        <v>16.375</v>
      </c>
      <c r="BY70">
        <v>25779.237365706864</v>
      </c>
      <c r="BZ70" t="s">
        <v>82</v>
      </c>
      <c r="CA70">
        <v>16.375</v>
      </c>
      <c r="CB70">
        <v>140.05133066907655</v>
      </c>
      <c r="CC70" s="82">
        <f t="shared" ref="CC70:CC133" si="33">CB70-CB69</f>
        <v>-7.3843051233382084E-3</v>
      </c>
      <c r="CD70">
        <v>16.375</v>
      </c>
      <c r="CE70">
        <v>37359.259484197537</v>
      </c>
      <c r="CF70" t="s">
        <v>82</v>
      </c>
      <c r="CG70">
        <v>16.375</v>
      </c>
      <c r="CH70">
        <v>139.59817684617855</v>
      </c>
      <c r="CI70" s="82">
        <f t="shared" ref="CI70:CI133" si="34">CH70-CH69</f>
        <v>-2.8740577440515835E-2</v>
      </c>
      <c r="CJ70">
        <v>16.375</v>
      </c>
      <c r="CK70">
        <v>69452.011386414306</v>
      </c>
      <c r="CL70" t="s">
        <v>82</v>
      </c>
      <c r="CM70">
        <v>16.375</v>
      </c>
      <c r="CN70">
        <v>138.87060761875446</v>
      </c>
      <c r="CO70" s="82">
        <f t="shared" ref="CO70:CO133" si="35">CN70-CN69</f>
        <v>-3.7406769220922342E-2</v>
      </c>
      <c r="CP70">
        <v>16.375</v>
      </c>
      <c r="CQ70">
        <v>83052.52718851174</v>
      </c>
      <c r="CR70" t="s">
        <v>82</v>
      </c>
      <c r="CS70">
        <v>16.375</v>
      </c>
      <c r="CT70">
        <v>138.04664116009627</v>
      </c>
      <c r="CU70" s="82">
        <f t="shared" ref="CU70:CU133" si="36">CT70-CT69</f>
        <v>-4.0479207992461852E-2</v>
      </c>
      <c r="CV70">
        <v>16.375</v>
      </c>
      <c r="CW70">
        <v>88524.700232918869</v>
      </c>
      <c r="CX70" t="s">
        <v>82</v>
      </c>
      <c r="CY70">
        <v>16.375</v>
      </c>
      <c r="CZ70">
        <v>137.19898785988786</v>
      </c>
      <c r="DA70" s="82">
        <f t="shared" ref="DA70:DA133" si="37">CZ70-CZ69</f>
        <v>-4.2163073418493013E-2</v>
      </c>
      <c r="DB70">
        <v>16.375</v>
      </c>
      <c r="DC70">
        <v>92025.51906983502</v>
      </c>
      <c r="DD70" t="s">
        <v>82</v>
      </c>
      <c r="DG70" s="82">
        <f t="shared" ref="DG70:DG133" si="38">DF70-DF69</f>
        <v>0</v>
      </c>
      <c r="DM70" s="82">
        <f t="shared" ref="DM70:DM133" si="39">DL70-DL69</f>
        <v>0</v>
      </c>
    </row>
    <row r="71" spans="1:117" x14ac:dyDescent="0.2">
      <c r="A71">
        <v>16.625</v>
      </c>
      <c r="B71">
        <v>139.59059052442595</v>
      </c>
      <c r="C71" s="82">
        <f t="shared" si="20"/>
        <v>3.4162580155708611E-2</v>
      </c>
      <c r="D71">
        <v>16.625</v>
      </c>
      <c r="E71">
        <v>70096.041032874986</v>
      </c>
      <c r="F71" t="s">
        <v>82</v>
      </c>
      <c r="G71">
        <v>16.625</v>
      </c>
      <c r="H71">
        <v>139.60340536321499</v>
      </c>
      <c r="I71" s="82">
        <f t="shared" si="21"/>
        <v>2.933722276245021E-2</v>
      </c>
      <c r="J71">
        <v>16.625</v>
      </c>
      <c r="K71">
        <v>63175.922604642801</v>
      </c>
      <c r="L71" t="s">
        <v>82</v>
      </c>
      <c r="M71">
        <v>16.625</v>
      </c>
      <c r="N71">
        <v>139.61690436735847</v>
      </c>
      <c r="O71" s="82">
        <f t="shared" si="22"/>
        <v>2.4444502634537457E-2</v>
      </c>
      <c r="P71">
        <v>16.625</v>
      </c>
      <c r="Q71">
        <v>56177.285115452978</v>
      </c>
      <c r="R71" t="s">
        <v>82</v>
      </c>
      <c r="S71">
        <v>16.625</v>
      </c>
      <c r="T71">
        <v>139.64945482015361</v>
      </c>
      <c r="U71" s="82">
        <f t="shared" si="23"/>
        <v>1.9787741016813243E-2</v>
      </c>
      <c r="V71">
        <v>16.625</v>
      </c>
      <c r="W71">
        <v>49535.929274207912</v>
      </c>
      <c r="X71" t="s">
        <v>82</v>
      </c>
      <c r="Y71">
        <v>16.625</v>
      </c>
      <c r="Z71">
        <v>139.68775619571943</v>
      </c>
      <c r="AA71" s="82">
        <f t="shared" si="24"/>
        <v>1.5142951923792225E-2</v>
      </c>
      <c r="AB71">
        <v>16.625</v>
      </c>
      <c r="AC71">
        <v>42933.997679245207</v>
      </c>
      <c r="AD71" t="s">
        <v>82</v>
      </c>
      <c r="AE71">
        <v>16.625</v>
      </c>
      <c r="AF71">
        <v>139.72711373184345</v>
      </c>
      <c r="AG71" s="82">
        <f t="shared" si="25"/>
        <v>1.0434601425885148E-2</v>
      </c>
      <c r="AH71">
        <v>16.625</v>
      </c>
      <c r="AI71">
        <v>36265.86023172921</v>
      </c>
      <c r="AJ71" t="s">
        <v>82</v>
      </c>
      <c r="AK71">
        <v>16.625</v>
      </c>
      <c r="AL71">
        <v>139.76757450555291</v>
      </c>
      <c r="AM71" s="82">
        <f t="shared" si="26"/>
        <v>5.666898434981249E-3</v>
      </c>
      <c r="AN71">
        <v>16.625</v>
      </c>
      <c r="AO71">
        <v>29540.601883949625</v>
      </c>
      <c r="AP71" t="s">
        <v>82</v>
      </c>
      <c r="AQ71">
        <v>16.625</v>
      </c>
      <c r="AR71">
        <v>139.83556202634631</v>
      </c>
      <c r="AS71" s="82">
        <f t="shared" si="27"/>
        <v>2.1258899566305445E-3</v>
      </c>
      <c r="AT71">
        <v>16.625</v>
      </c>
      <c r="AU71">
        <v>24618.098144935157</v>
      </c>
      <c r="AV71" t="s">
        <v>82</v>
      </c>
      <c r="AW71">
        <v>16.625</v>
      </c>
      <c r="AX71">
        <v>139.91100863041387</v>
      </c>
      <c r="AY71" s="82">
        <f t="shared" si="28"/>
        <v>-1.1889295268758815E-3</v>
      </c>
      <c r="AZ71">
        <v>16.625</v>
      </c>
      <c r="BA71">
        <v>22207.665783034579</v>
      </c>
      <c r="BB71" t="s">
        <v>82</v>
      </c>
      <c r="BC71">
        <v>16.625</v>
      </c>
      <c r="BD71">
        <v>139.98830038883071</v>
      </c>
      <c r="BE71" s="82">
        <f t="shared" si="29"/>
        <v>-4.2287281540041022E-3</v>
      </c>
      <c r="BF71">
        <v>16.625</v>
      </c>
      <c r="BG71">
        <v>27744.687356579994</v>
      </c>
      <c r="BH71" t="s">
        <v>82</v>
      </c>
      <c r="BI71">
        <v>16.625</v>
      </c>
      <c r="BJ71">
        <v>140.06799063337496</v>
      </c>
      <c r="BK71" s="82">
        <f t="shared" si="30"/>
        <v>-1.352460414551615E-3</v>
      </c>
      <c r="BL71">
        <v>16.625</v>
      </c>
      <c r="BM71">
        <v>24763.262227040141</v>
      </c>
      <c r="BN71" t="s">
        <v>82</v>
      </c>
      <c r="BO71">
        <v>16.625</v>
      </c>
      <c r="BP71">
        <v>140.10013869752464</v>
      </c>
      <c r="BQ71" s="82">
        <f t="shared" si="31"/>
        <v>5.4167589900089297E-4</v>
      </c>
      <c r="BR71">
        <v>16.625</v>
      </c>
      <c r="BS71">
        <v>23992.691758447359</v>
      </c>
      <c r="BT71" t="s">
        <v>82</v>
      </c>
      <c r="BU71">
        <v>16.625</v>
      </c>
      <c r="BV71">
        <v>140.1025191865711</v>
      </c>
      <c r="BW71" s="82">
        <f t="shared" si="32"/>
        <v>7.7107269902398912E-4</v>
      </c>
      <c r="BX71">
        <v>16.625</v>
      </c>
      <c r="BY71">
        <v>25225.281424513851</v>
      </c>
      <c r="BZ71" t="s">
        <v>82</v>
      </c>
      <c r="CA71">
        <v>16.625</v>
      </c>
      <c r="CB71">
        <v>140.04245801298825</v>
      </c>
      <c r="CC71" s="82">
        <f t="shared" si="33"/>
        <v>-8.8726560883003458E-3</v>
      </c>
      <c r="CD71">
        <v>16.625</v>
      </c>
      <c r="CE71">
        <v>39502.660636864595</v>
      </c>
      <c r="CF71" t="s">
        <v>82</v>
      </c>
      <c r="CG71">
        <v>16.625</v>
      </c>
      <c r="CH71">
        <v>139.56882083499153</v>
      </c>
      <c r="CI71" s="82">
        <f t="shared" si="34"/>
        <v>-2.9356011187019249E-2</v>
      </c>
      <c r="CJ71">
        <v>16.625</v>
      </c>
      <c r="CK71">
        <v>70322.349074779122</v>
      </c>
      <c r="CL71" t="s">
        <v>82</v>
      </c>
      <c r="CM71">
        <v>16.625</v>
      </c>
      <c r="CN71">
        <v>138.83296091436856</v>
      </c>
      <c r="CO71" s="82">
        <f t="shared" si="35"/>
        <v>-3.764670438590656E-2</v>
      </c>
      <c r="CP71">
        <v>16.625</v>
      </c>
      <c r="CQ71">
        <v>83375.517728162376</v>
      </c>
      <c r="CR71" t="s">
        <v>82</v>
      </c>
      <c r="CS71">
        <v>16.625</v>
      </c>
      <c r="CT71">
        <v>138.00607410190824</v>
      </c>
      <c r="CU71" s="82">
        <f t="shared" si="36"/>
        <v>-4.0567058188031524E-2</v>
      </c>
      <c r="CV71">
        <v>16.625</v>
      </c>
      <c r="CW71">
        <v>88626.431927451835</v>
      </c>
      <c r="CX71" t="s">
        <v>82</v>
      </c>
      <c r="CY71">
        <v>16.625</v>
      </c>
      <c r="CZ71">
        <v>137.15683631744784</v>
      </c>
      <c r="DA71" s="82">
        <f t="shared" si="37"/>
        <v>-4.2151542440024059E-2</v>
      </c>
      <c r="DB71">
        <v>16.625</v>
      </c>
      <c r="DC71">
        <v>91982.974991973184</v>
      </c>
      <c r="DD71" t="s">
        <v>82</v>
      </c>
      <c r="DG71" s="82">
        <f t="shared" si="38"/>
        <v>0</v>
      </c>
      <c r="DM71" s="82">
        <f t="shared" si="39"/>
        <v>0</v>
      </c>
    </row>
    <row r="72" spans="1:117" x14ac:dyDescent="0.2">
      <c r="A72">
        <v>16.875</v>
      </c>
      <c r="B72">
        <v>139.62788247686834</v>
      </c>
      <c r="C72" s="82">
        <f t="shared" si="20"/>
        <v>3.729195244238781E-2</v>
      </c>
      <c r="D72">
        <v>16.875</v>
      </c>
      <c r="E72">
        <v>74822.560716830689</v>
      </c>
      <c r="F72" t="s">
        <v>82</v>
      </c>
      <c r="G72">
        <v>16.875</v>
      </c>
      <c r="H72">
        <v>139.63566307127616</v>
      </c>
      <c r="I72" s="82">
        <f t="shared" si="21"/>
        <v>3.2257708061166568E-2</v>
      </c>
      <c r="J72">
        <v>16.875</v>
      </c>
      <c r="K72">
        <v>67587.874645274933</v>
      </c>
      <c r="L72" t="s">
        <v>82</v>
      </c>
      <c r="M72">
        <v>16.875</v>
      </c>
      <c r="N72">
        <v>139.6440548046431</v>
      </c>
      <c r="O72" s="82">
        <f t="shared" si="22"/>
        <v>2.7150437284632289E-2</v>
      </c>
      <c r="P72">
        <v>16.875</v>
      </c>
      <c r="Q72">
        <v>60265.982158787258</v>
      </c>
      <c r="R72" t="s">
        <v>82</v>
      </c>
      <c r="S72">
        <v>16.875</v>
      </c>
      <c r="T72">
        <v>139.67170353937465</v>
      </c>
      <c r="U72" s="82">
        <f t="shared" si="23"/>
        <v>2.2248719221039437E-2</v>
      </c>
      <c r="V72">
        <v>16.875</v>
      </c>
      <c r="W72">
        <v>53256.055083730011</v>
      </c>
      <c r="X72" t="s">
        <v>82</v>
      </c>
      <c r="Y72">
        <v>16.875</v>
      </c>
      <c r="Z72">
        <v>139.70510268613955</v>
      </c>
      <c r="AA72" s="82">
        <f t="shared" si="24"/>
        <v>1.7346490420123928E-2</v>
      </c>
      <c r="AB72">
        <v>16.875</v>
      </c>
      <c r="AC72">
        <v>46266.735421330828</v>
      </c>
      <c r="AD72" t="s">
        <v>82</v>
      </c>
      <c r="AE72">
        <v>16.875</v>
      </c>
      <c r="AF72">
        <v>139.7394882820029</v>
      </c>
      <c r="AG72" s="82">
        <f t="shared" si="25"/>
        <v>1.2374550159449882E-2</v>
      </c>
      <c r="AH72">
        <v>16.875</v>
      </c>
      <c r="AI72">
        <v>39201.747773855306</v>
      </c>
      <c r="AJ72" t="s">
        <v>82</v>
      </c>
      <c r="AK72">
        <v>16.875</v>
      </c>
      <c r="AL72">
        <v>139.77491149014048</v>
      </c>
      <c r="AM72" s="82">
        <f t="shared" si="26"/>
        <v>7.3369845875674855E-3</v>
      </c>
      <c r="AN72">
        <v>16.875</v>
      </c>
      <c r="AO72">
        <v>32069.963912564119</v>
      </c>
      <c r="AP72" t="s">
        <v>82</v>
      </c>
      <c r="AQ72">
        <v>16.875</v>
      </c>
      <c r="AR72">
        <v>139.83900232766774</v>
      </c>
      <c r="AS72" s="82">
        <f t="shared" si="27"/>
        <v>3.4403013214330258E-3</v>
      </c>
      <c r="AT72">
        <v>16.875</v>
      </c>
      <c r="AU72">
        <v>26614.02723067674</v>
      </c>
      <c r="AV72" t="s">
        <v>82</v>
      </c>
      <c r="AW72">
        <v>16.875</v>
      </c>
      <c r="AX72">
        <v>139.91075339122281</v>
      </c>
      <c r="AY72" s="82">
        <f t="shared" si="28"/>
        <v>-2.5523919106262838E-4</v>
      </c>
      <c r="AZ72">
        <v>16.875</v>
      </c>
      <c r="BA72">
        <v>21482.073537468827</v>
      </c>
      <c r="BB72" t="s">
        <v>82</v>
      </c>
      <c r="BC72">
        <v>16.875</v>
      </c>
      <c r="BD72">
        <v>139.98459990932068</v>
      </c>
      <c r="BE72" s="82">
        <f t="shared" si="29"/>
        <v>-3.7004795100301635E-3</v>
      </c>
      <c r="BF72">
        <v>16.875</v>
      </c>
      <c r="BG72">
        <v>26878.443749874106</v>
      </c>
      <c r="BH72" t="s">
        <v>82</v>
      </c>
      <c r="BI72">
        <v>16.875</v>
      </c>
      <c r="BJ72">
        <v>140.06644283847908</v>
      </c>
      <c r="BK72" s="82">
        <f t="shared" si="30"/>
        <v>-1.5477948958846355E-3</v>
      </c>
      <c r="BL72">
        <v>16.875</v>
      </c>
      <c r="BM72">
        <v>24972.169648276416</v>
      </c>
      <c r="BN72" t="s">
        <v>82</v>
      </c>
      <c r="BO72">
        <v>16.875</v>
      </c>
      <c r="BP72">
        <v>140.10035521725408</v>
      </c>
      <c r="BQ72" s="82">
        <f t="shared" si="31"/>
        <v>2.1651972943459441E-4</v>
      </c>
      <c r="BR72">
        <v>16.875</v>
      </c>
      <c r="BS72">
        <v>23542.281501824367</v>
      </c>
      <c r="BT72" t="s">
        <v>82</v>
      </c>
      <c r="BU72">
        <v>16.875</v>
      </c>
      <c r="BV72">
        <v>140.10297528183915</v>
      </c>
      <c r="BW72" s="82">
        <f t="shared" si="32"/>
        <v>4.5609526804923917E-4</v>
      </c>
      <c r="BX72">
        <v>16.875</v>
      </c>
      <c r="BY72">
        <v>24790.340095090276</v>
      </c>
      <c r="BZ72" t="s">
        <v>82</v>
      </c>
      <c r="CA72">
        <v>16.875</v>
      </c>
      <c r="CB72">
        <v>140.03216117041171</v>
      </c>
      <c r="CC72" s="82">
        <f t="shared" si="33"/>
        <v>-1.0296842576536847E-2</v>
      </c>
      <c r="CD72">
        <v>16.875</v>
      </c>
      <c r="CE72">
        <v>41552.362454829592</v>
      </c>
      <c r="CF72" t="s">
        <v>82</v>
      </c>
      <c r="CG72">
        <v>16.875</v>
      </c>
      <c r="CH72">
        <v>139.53887829865545</v>
      </c>
      <c r="CI72" s="82">
        <f t="shared" si="34"/>
        <v>-2.9942536336079684E-2</v>
      </c>
      <c r="CJ72">
        <v>16.875</v>
      </c>
      <c r="CK72">
        <v>71150.328980942242</v>
      </c>
      <c r="CL72" t="s">
        <v>82</v>
      </c>
      <c r="CM72">
        <v>16.875</v>
      </c>
      <c r="CN72">
        <v>138.7950875963931</v>
      </c>
      <c r="CO72" s="82">
        <f t="shared" si="35"/>
        <v>-3.7873317975453347E-2</v>
      </c>
      <c r="CP72">
        <v>16.875</v>
      </c>
      <c r="CQ72">
        <v>83678.894117347023</v>
      </c>
      <c r="CR72" t="s">
        <v>82</v>
      </c>
      <c r="CS72">
        <v>16.875</v>
      </c>
      <c r="CT72">
        <v>137.96542588807802</v>
      </c>
      <c r="CU72" s="82">
        <f t="shared" si="36"/>
        <v>-4.0648213830223767E-2</v>
      </c>
      <c r="CV72">
        <v>16.875</v>
      </c>
      <c r="CW72">
        <v>88718.224606402597</v>
      </c>
      <c r="CX72" t="s">
        <v>82</v>
      </c>
      <c r="CY72">
        <v>16.875</v>
      </c>
      <c r="CZ72">
        <v>137.11469841914396</v>
      </c>
      <c r="DA72" s="82">
        <f t="shared" si="37"/>
        <v>-4.2137898303877819E-2</v>
      </c>
      <c r="DB72">
        <v>16.875</v>
      </c>
      <c r="DC72">
        <v>91937.181530918999</v>
      </c>
      <c r="DD72" t="s">
        <v>82</v>
      </c>
      <c r="DG72" s="82">
        <f t="shared" si="38"/>
        <v>0</v>
      </c>
      <c r="DM72" s="82">
        <f t="shared" si="39"/>
        <v>0</v>
      </c>
    </row>
    <row r="73" spans="1:117" x14ac:dyDescent="0.2">
      <c r="A73">
        <v>17.125</v>
      </c>
      <c r="B73">
        <v>139.66842506730183</v>
      </c>
      <c r="C73" s="82">
        <f t="shared" si="20"/>
        <v>4.0542590433489067E-2</v>
      </c>
      <c r="D73">
        <v>17.125</v>
      </c>
      <c r="E73">
        <v>79732.242253237288</v>
      </c>
      <c r="F73" t="s">
        <v>82</v>
      </c>
      <c r="G73">
        <v>17.125</v>
      </c>
      <c r="H73">
        <v>139.67095780513463</v>
      </c>
      <c r="I73" s="82">
        <f t="shared" si="21"/>
        <v>3.5294733858478367E-2</v>
      </c>
      <c r="J73">
        <v>17.125</v>
      </c>
      <c r="K73">
        <v>72175.860709370478</v>
      </c>
      <c r="L73" t="s">
        <v>82</v>
      </c>
      <c r="M73">
        <v>17.125</v>
      </c>
      <c r="N73">
        <v>139.67402266993446</v>
      </c>
      <c r="O73" s="82">
        <f t="shared" si="22"/>
        <v>2.9967865291354201E-2</v>
      </c>
      <c r="P73">
        <v>17.125</v>
      </c>
      <c r="Q73">
        <v>64523.095298506349</v>
      </c>
      <c r="R73" t="s">
        <v>82</v>
      </c>
      <c r="S73">
        <v>17.125</v>
      </c>
      <c r="T73">
        <v>139.69651963855932</v>
      </c>
      <c r="U73" s="82">
        <f t="shared" si="23"/>
        <v>2.4816099184675977E-2</v>
      </c>
      <c r="V73">
        <v>17.125</v>
      </c>
      <c r="W73">
        <v>57136.876152703247</v>
      </c>
      <c r="X73" t="s">
        <v>82</v>
      </c>
      <c r="Y73">
        <v>17.125</v>
      </c>
      <c r="Z73">
        <v>139.72475373821246</v>
      </c>
      <c r="AA73" s="82">
        <f t="shared" si="24"/>
        <v>1.9651052072902075E-2</v>
      </c>
      <c r="AB73">
        <v>17.125</v>
      </c>
      <c r="AC73">
        <v>49751.998701122888</v>
      </c>
      <c r="AD73" t="s">
        <v>82</v>
      </c>
      <c r="AE73">
        <v>17.125</v>
      </c>
      <c r="AF73">
        <v>139.753898033084</v>
      </c>
      <c r="AG73" s="82">
        <f t="shared" si="25"/>
        <v>1.440975108110365E-2</v>
      </c>
      <c r="AH73">
        <v>17.125</v>
      </c>
      <c r="AI73">
        <v>42281.389822843899</v>
      </c>
      <c r="AJ73" t="s">
        <v>82</v>
      </c>
      <c r="AK73">
        <v>17.125</v>
      </c>
      <c r="AL73">
        <v>139.78400761456979</v>
      </c>
      <c r="AM73" s="82">
        <f t="shared" si="26"/>
        <v>9.0961244293055188E-3</v>
      </c>
      <c r="AN73">
        <v>17.125</v>
      </c>
      <c r="AO73">
        <v>34733.653349702814</v>
      </c>
      <c r="AP73" t="s">
        <v>82</v>
      </c>
      <c r="AQ73">
        <v>17.125</v>
      </c>
      <c r="AR73">
        <v>139.8438410140829</v>
      </c>
      <c r="AS73" s="82">
        <f t="shared" si="27"/>
        <v>4.83868641515528E-3</v>
      </c>
      <c r="AT73">
        <v>17.125</v>
      </c>
      <c r="AU73">
        <v>28736.412490784573</v>
      </c>
      <c r="AV73" t="s">
        <v>82</v>
      </c>
      <c r="AW73">
        <v>17.125</v>
      </c>
      <c r="AX73">
        <v>139.91151068392077</v>
      </c>
      <c r="AY73" s="82">
        <f t="shared" si="28"/>
        <v>7.5729269795488108E-4</v>
      </c>
      <c r="AZ73">
        <v>17.125</v>
      </c>
      <c r="BA73">
        <v>23025.651684317407</v>
      </c>
      <c r="BB73" t="s">
        <v>82</v>
      </c>
      <c r="BC73">
        <v>17.125</v>
      </c>
      <c r="BD73">
        <v>139.98150140929405</v>
      </c>
      <c r="BE73" s="82">
        <f t="shared" si="29"/>
        <v>-3.0985000266241514E-3</v>
      </c>
      <c r="BF73">
        <v>17.125</v>
      </c>
      <c r="BG73">
        <v>25901.802427795461</v>
      </c>
      <c r="BH73" t="s">
        <v>82</v>
      </c>
      <c r="BI73">
        <v>17.125</v>
      </c>
      <c r="BJ73">
        <v>140.06477634133202</v>
      </c>
      <c r="BK73" s="82">
        <f t="shared" si="30"/>
        <v>-1.6664971470561341E-3</v>
      </c>
      <c r="BL73">
        <v>17.125</v>
      </c>
      <c r="BM73">
        <v>25067.110035475558</v>
      </c>
      <c r="BN73" t="s">
        <v>82</v>
      </c>
      <c r="BO73">
        <v>17.125</v>
      </c>
      <c r="BP73">
        <v>140.10032580395333</v>
      </c>
      <c r="BQ73" s="82">
        <f t="shared" si="31"/>
        <v>-2.9413300751457427E-5</v>
      </c>
      <c r="BR73">
        <v>17.125</v>
      </c>
      <c r="BS73">
        <v>23546.151835027631</v>
      </c>
      <c r="BT73" t="s">
        <v>82</v>
      </c>
      <c r="BU73">
        <v>17.125</v>
      </c>
      <c r="BV73">
        <v>140.10319601681982</v>
      </c>
      <c r="BW73" s="82">
        <f t="shared" si="32"/>
        <v>2.2073498067243236E-4</v>
      </c>
      <c r="BX73">
        <v>17.125</v>
      </c>
      <c r="BY73">
        <v>24473.756223460085</v>
      </c>
      <c r="BZ73" t="s">
        <v>82</v>
      </c>
      <c r="CA73">
        <v>17.125</v>
      </c>
      <c r="CB73">
        <v>140.02050196103724</v>
      </c>
      <c r="CC73" s="82">
        <f t="shared" si="33"/>
        <v>-1.1659209374471402E-2</v>
      </c>
      <c r="CD73">
        <v>17.125</v>
      </c>
      <c r="CE73">
        <v>43511.750909614668</v>
      </c>
      <c r="CF73" t="s">
        <v>82</v>
      </c>
      <c r="CG73">
        <v>17.125</v>
      </c>
      <c r="CH73">
        <v>139.50837722776555</v>
      </c>
      <c r="CI73" s="82">
        <f t="shared" si="34"/>
        <v>-3.0501070889897619E-2</v>
      </c>
      <c r="CJ73">
        <v>17.125</v>
      </c>
      <c r="CK73">
        <v>71937.280096586212</v>
      </c>
      <c r="CL73" t="s">
        <v>82</v>
      </c>
      <c r="CM73">
        <v>17.125</v>
      </c>
      <c r="CN73">
        <v>138.75700070177513</v>
      </c>
      <c r="CO73" s="82">
        <f t="shared" si="35"/>
        <v>-3.8086894617975986E-2</v>
      </c>
      <c r="CP73">
        <v>17.125</v>
      </c>
      <c r="CQ73">
        <v>83963.062190524302</v>
      </c>
      <c r="CR73" t="s">
        <v>82</v>
      </c>
      <c r="CS73">
        <v>17.125</v>
      </c>
      <c r="CT73">
        <v>137.92470319167967</v>
      </c>
      <c r="CU73" s="82">
        <f t="shared" si="36"/>
        <v>-4.072269639834758E-2</v>
      </c>
      <c r="CV73">
        <v>17.125</v>
      </c>
      <c r="CW73">
        <v>88800.100835708494</v>
      </c>
      <c r="CX73" t="s">
        <v>82</v>
      </c>
      <c r="CY73">
        <v>17.125</v>
      </c>
      <c r="CZ73">
        <v>137.07257643714257</v>
      </c>
      <c r="DA73" s="82">
        <f t="shared" si="37"/>
        <v>-4.2121982001390279E-2</v>
      </c>
      <c r="DB73">
        <v>17.125</v>
      </c>
      <c r="DC73">
        <v>91887.898731426045</v>
      </c>
      <c r="DD73" t="s">
        <v>82</v>
      </c>
      <c r="DG73" s="82">
        <f t="shared" si="38"/>
        <v>0</v>
      </c>
      <c r="DM73" s="82">
        <f t="shared" si="39"/>
        <v>0</v>
      </c>
    </row>
    <row r="74" spans="1:117" x14ac:dyDescent="0.2">
      <c r="A74">
        <v>17.375</v>
      </c>
      <c r="B74">
        <v>139.71234305390468</v>
      </c>
      <c r="C74" s="82">
        <f t="shared" si="20"/>
        <v>4.3917986602849624E-2</v>
      </c>
      <c r="D74">
        <v>17.375</v>
      </c>
      <c r="E74">
        <v>84830.370473608695</v>
      </c>
      <c r="F74" t="s">
        <v>82</v>
      </c>
      <c r="G74">
        <v>17.375</v>
      </c>
      <c r="H74">
        <v>139.70940946214384</v>
      </c>
      <c r="I74" s="82">
        <f t="shared" si="21"/>
        <v>3.8451657009204609E-2</v>
      </c>
      <c r="J74">
        <v>17.375</v>
      </c>
      <c r="K74">
        <v>76944.963754533906</v>
      </c>
      <c r="L74" t="s">
        <v>82</v>
      </c>
      <c r="M74">
        <v>17.375</v>
      </c>
      <c r="N74">
        <v>139.70692266387971</v>
      </c>
      <c r="O74" s="82">
        <f t="shared" si="22"/>
        <v>3.2899993945250117E-2</v>
      </c>
      <c r="P74">
        <v>17.375</v>
      </c>
      <c r="Q74">
        <v>68953.484418552631</v>
      </c>
      <c r="R74" t="s">
        <v>82</v>
      </c>
      <c r="S74">
        <v>17.375</v>
      </c>
      <c r="T74">
        <v>139.72401253163386</v>
      </c>
      <c r="U74" s="82">
        <f t="shared" si="23"/>
        <v>2.7492893074537506E-2</v>
      </c>
      <c r="V74">
        <v>17.375</v>
      </c>
      <c r="W74">
        <v>61182.961734362194</v>
      </c>
      <c r="X74" t="s">
        <v>82</v>
      </c>
      <c r="Y74">
        <v>17.375</v>
      </c>
      <c r="Z74">
        <v>139.74681316534387</v>
      </c>
      <c r="AA74" s="82">
        <f t="shared" si="24"/>
        <v>2.2059427131409848E-2</v>
      </c>
      <c r="AB74">
        <v>17.375</v>
      </c>
      <c r="AC74">
        <v>53394.026062191311</v>
      </c>
      <c r="AD74" t="s">
        <v>82</v>
      </c>
      <c r="AE74">
        <v>17.375</v>
      </c>
      <c r="AF74">
        <v>139.77044078418479</v>
      </c>
      <c r="AG74" s="82">
        <f t="shared" si="25"/>
        <v>1.654275110078629E-2</v>
      </c>
      <c r="AH74">
        <v>17.375</v>
      </c>
      <c r="AI74">
        <v>45508.661767921862</v>
      </c>
      <c r="AJ74" t="s">
        <v>82</v>
      </c>
      <c r="AK74">
        <v>17.375</v>
      </c>
      <c r="AL74">
        <v>139.79495421230743</v>
      </c>
      <c r="AM74" s="82">
        <f t="shared" si="26"/>
        <v>1.094659773764306E-2</v>
      </c>
      <c r="AN74">
        <v>17.375</v>
      </c>
      <c r="AO74">
        <v>37535.146510378523</v>
      </c>
      <c r="AP74" t="s">
        <v>82</v>
      </c>
      <c r="AQ74">
        <v>17.375</v>
      </c>
      <c r="AR74">
        <v>139.85016393672197</v>
      </c>
      <c r="AS74" s="82">
        <f t="shared" si="27"/>
        <v>6.3229226390717486E-3</v>
      </c>
      <c r="AT74">
        <v>17.375</v>
      </c>
      <c r="AU74">
        <v>30988.131197299288</v>
      </c>
      <c r="AV74" t="s">
        <v>82</v>
      </c>
      <c r="AW74">
        <v>17.375</v>
      </c>
      <c r="AX74">
        <v>139.91336076286552</v>
      </c>
      <c r="AY74" s="82">
        <f t="shared" si="28"/>
        <v>1.8500789447557509E-3</v>
      </c>
      <c r="AZ74">
        <v>17.375</v>
      </c>
      <c r="BA74">
        <v>24689.883617810905</v>
      </c>
      <c r="BB74" t="s">
        <v>82</v>
      </c>
      <c r="BC74">
        <v>17.375</v>
      </c>
      <c r="BD74">
        <v>139.97907949940782</v>
      </c>
      <c r="BE74" s="82">
        <f t="shared" si="29"/>
        <v>-2.4219098862374722E-3</v>
      </c>
      <c r="BF74">
        <v>17.375</v>
      </c>
      <c r="BG74">
        <v>24813.391725404152</v>
      </c>
      <c r="BH74" t="s">
        <v>82</v>
      </c>
      <c r="BI74">
        <v>17.375</v>
      </c>
      <c r="BJ74">
        <v>140.06306760184128</v>
      </c>
      <c r="BK74" s="82">
        <f t="shared" si="30"/>
        <v>-1.7087394907377984E-3</v>
      </c>
      <c r="BL74">
        <v>17.375</v>
      </c>
      <c r="BM74">
        <v>25048.253112092196</v>
      </c>
      <c r="BN74" t="s">
        <v>82</v>
      </c>
      <c r="BO74">
        <v>17.375</v>
      </c>
      <c r="BP74">
        <v>140.10012929973524</v>
      </c>
      <c r="BQ74" s="82">
        <f t="shared" si="31"/>
        <v>-1.9650421808137253E-4</v>
      </c>
      <c r="BR74">
        <v>17.375</v>
      </c>
      <c r="BS74">
        <v>23711.53283884329</v>
      </c>
      <c r="BT74" t="s">
        <v>82</v>
      </c>
      <c r="BU74">
        <v>17.375</v>
      </c>
      <c r="BV74">
        <v>140.103260629369</v>
      </c>
      <c r="BW74" s="82">
        <f t="shared" si="32"/>
        <v>6.4612549181219947E-5</v>
      </c>
      <c r="BX74">
        <v>17.375</v>
      </c>
      <c r="BY74">
        <v>24275.063519190862</v>
      </c>
      <c r="BZ74" t="s">
        <v>82</v>
      </c>
      <c r="CA74">
        <v>17.375</v>
      </c>
      <c r="CB74">
        <v>140.00753996976505</v>
      </c>
      <c r="CC74" s="82">
        <f t="shared" si="33"/>
        <v>-1.2961991272192108E-2</v>
      </c>
      <c r="CD74">
        <v>17.375</v>
      </c>
      <c r="CE74">
        <v>45384.057426113046</v>
      </c>
      <c r="CF74" t="s">
        <v>82</v>
      </c>
      <c r="CG74">
        <v>17.375</v>
      </c>
      <c r="CH74">
        <v>139.47734474608004</v>
      </c>
      <c r="CI74" s="82">
        <f t="shared" si="34"/>
        <v>-3.1032481685514313E-2</v>
      </c>
      <c r="CJ74">
        <v>17.375</v>
      </c>
      <c r="CK74">
        <v>72684.456505367576</v>
      </c>
      <c r="CL74" t="s">
        <v>82</v>
      </c>
      <c r="CM74">
        <v>17.375</v>
      </c>
      <c r="CN74">
        <v>138.71871300720139</v>
      </c>
      <c r="CO74" s="82">
        <f t="shared" si="35"/>
        <v>-3.8287694573739373E-2</v>
      </c>
      <c r="CP74">
        <v>17.375</v>
      </c>
      <c r="CQ74">
        <v>84228.391904526725</v>
      </c>
      <c r="CR74" t="s">
        <v>82</v>
      </c>
      <c r="CS74">
        <v>17.375</v>
      </c>
      <c r="CT74">
        <v>137.88391267699348</v>
      </c>
      <c r="CU74" s="82">
        <f t="shared" si="36"/>
        <v>-4.0790514686193546E-2</v>
      </c>
      <c r="CV74">
        <v>17.375</v>
      </c>
      <c r="CW74">
        <v>88872.064340468016</v>
      </c>
      <c r="CX74" t="s">
        <v>82</v>
      </c>
      <c r="CY74">
        <v>17.375</v>
      </c>
      <c r="CZ74">
        <v>137.03047280686792</v>
      </c>
      <c r="DA74" s="82">
        <f t="shared" si="37"/>
        <v>-4.2103630274652915E-2</v>
      </c>
      <c r="DB74">
        <v>17.375</v>
      </c>
      <c r="DC74">
        <v>91834.880083704178</v>
      </c>
      <c r="DD74" t="s">
        <v>82</v>
      </c>
      <c r="DG74" s="82">
        <f t="shared" si="38"/>
        <v>0</v>
      </c>
      <c r="DM74" s="82">
        <f t="shared" si="39"/>
        <v>0</v>
      </c>
    </row>
    <row r="75" spans="1:117" x14ac:dyDescent="0.2">
      <c r="A75">
        <v>17.625</v>
      </c>
      <c r="B75">
        <v>139.75976480938681</v>
      </c>
      <c r="C75" s="82">
        <f t="shared" si="20"/>
        <v>4.7421755482133676E-2</v>
      </c>
      <c r="D75">
        <v>17.625</v>
      </c>
      <c r="E75">
        <v>90122.413962568535</v>
      </c>
      <c r="F75" t="s">
        <v>82</v>
      </c>
      <c r="G75">
        <v>17.625</v>
      </c>
      <c r="H75">
        <v>139.75114141773173</v>
      </c>
      <c r="I75" s="82">
        <f t="shared" si="21"/>
        <v>4.1731955587891889E-2</v>
      </c>
      <c r="J75">
        <v>17.625</v>
      </c>
      <c r="K75">
        <v>81900.449238147572</v>
      </c>
      <c r="L75" t="s">
        <v>82</v>
      </c>
      <c r="M75">
        <v>17.625</v>
      </c>
      <c r="N75">
        <v>139.74287281430432</v>
      </c>
      <c r="O75" s="82">
        <f t="shared" si="22"/>
        <v>3.5950150424611138E-2</v>
      </c>
      <c r="P75">
        <v>17.625</v>
      </c>
      <c r="Q75">
        <v>73562.190023565621</v>
      </c>
      <c r="R75" t="s">
        <v>82</v>
      </c>
      <c r="S75">
        <v>17.625</v>
      </c>
      <c r="T75">
        <v>139.75429476316825</v>
      </c>
      <c r="U75" s="82">
        <f t="shared" si="23"/>
        <v>3.0282231534386028E-2</v>
      </c>
      <c r="V75">
        <v>17.625</v>
      </c>
      <c r="W75">
        <v>65399.059538855239</v>
      </c>
      <c r="X75" t="s">
        <v>82</v>
      </c>
      <c r="Y75">
        <v>17.625</v>
      </c>
      <c r="Z75">
        <v>139.77138768782828</v>
      </c>
      <c r="AA75" s="82">
        <f t="shared" si="24"/>
        <v>2.4574522484414274E-2</v>
      </c>
      <c r="AB75">
        <v>17.625</v>
      </c>
      <c r="AC75">
        <v>57197.231623051404</v>
      </c>
      <c r="AD75" t="s">
        <v>82</v>
      </c>
      <c r="AE75">
        <v>17.625</v>
      </c>
      <c r="AF75">
        <v>139.78921699541425</v>
      </c>
      <c r="AG75" s="82">
        <f t="shared" si="25"/>
        <v>1.8776211229464934E-2</v>
      </c>
      <c r="AH75">
        <v>17.625</v>
      </c>
      <c r="AI75">
        <v>48887.610670183465</v>
      </c>
      <c r="AJ75" t="s">
        <v>82</v>
      </c>
      <c r="AK75">
        <v>17.625</v>
      </c>
      <c r="AL75">
        <v>139.80784500739918</v>
      </c>
      <c r="AM75" s="82">
        <f t="shared" si="26"/>
        <v>1.2890795091749396E-2</v>
      </c>
      <c r="AN75">
        <v>17.625</v>
      </c>
      <c r="AO75">
        <v>40478.086198504672</v>
      </c>
      <c r="AP75" t="s">
        <v>82</v>
      </c>
      <c r="AQ75">
        <v>17.625</v>
      </c>
      <c r="AR75">
        <v>139.85805893305209</v>
      </c>
      <c r="AS75" s="82">
        <f t="shared" si="27"/>
        <v>7.8949963301226944E-3</v>
      </c>
      <c r="AT75">
        <v>17.625</v>
      </c>
      <c r="AU75">
        <v>33372.224128317604</v>
      </c>
      <c r="AV75" t="s">
        <v>82</v>
      </c>
      <c r="AW75">
        <v>17.625</v>
      </c>
      <c r="AX75">
        <v>139.91638540199241</v>
      </c>
      <c r="AY75" s="82">
        <f t="shared" si="28"/>
        <v>3.0246391268917705E-3</v>
      </c>
      <c r="AZ75">
        <v>17.625</v>
      </c>
      <c r="BA75">
        <v>26477.112026138999</v>
      </c>
      <c r="BB75" t="s">
        <v>82</v>
      </c>
      <c r="BC75">
        <v>17.625</v>
      </c>
      <c r="BD75">
        <v>139.97740977471318</v>
      </c>
      <c r="BE75" s="82">
        <f t="shared" si="29"/>
        <v>-1.669724694636443E-3</v>
      </c>
      <c r="BF75">
        <v>17.625</v>
      </c>
      <c r="BG75">
        <v>23611.689708370155</v>
      </c>
      <c r="BH75" t="s">
        <v>82</v>
      </c>
      <c r="BI75">
        <v>17.625</v>
      </c>
      <c r="BJ75">
        <v>140.06139302158027</v>
      </c>
      <c r="BK75" s="82">
        <f t="shared" si="30"/>
        <v>-1.6745802610103055E-3</v>
      </c>
      <c r="BL75">
        <v>17.625</v>
      </c>
      <c r="BM75">
        <v>24915.600830527485</v>
      </c>
      <c r="BN75" t="s">
        <v>82</v>
      </c>
      <c r="BO75">
        <v>17.625</v>
      </c>
      <c r="BP75">
        <v>140.09984428862077</v>
      </c>
      <c r="BQ75" s="82">
        <f t="shared" si="31"/>
        <v>-2.8501111447098992E-4</v>
      </c>
      <c r="BR75">
        <v>17.625</v>
      </c>
      <c r="BS75">
        <v>23760.016922970502</v>
      </c>
      <c r="BT75" t="s">
        <v>82</v>
      </c>
      <c r="BU75">
        <v>17.625</v>
      </c>
      <c r="BV75">
        <v>140.10324810626045</v>
      </c>
      <c r="BW75" s="82">
        <f t="shared" si="32"/>
        <v>-1.2523108551931728E-5</v>
      </c>
      <c r="BX75">
        <v>17.625</v>
      </c>
      <c r="BY75">
        <v>24228.719123593724</v>
      </c>
      <c r="BZ75" t="s">
        <v>82</v>
      </c>
      <c r="CA75">
        <v>17.625</v>
      </c>
      <c r="CB75">
        <v>139.99333265256053</v>
      </c>
      <c r="CC75" s="82">
        <f t="shared" si="33"/>
        <v>-1.4207317204522951E-2</v>
      </c>
      <c r="CD75">
        <v>17.625</v>
      </c>
      <c r="CE75">
        <v>47172.363132270635</v>
      </c>
      <c r="CF75" t="s">
        <v>82</v>
      </c>
      <c r="CG75">
        <v>17.625</v>
      </c>
      <c r="CH75">
        <v>139.44580716003352</v>
      </c>
      <c r="CI75" s="82">
        <f t="shared" si="34"/>
        <v>-3.1537586046511024E-2</v>
      </c>
      <c r="CJ75">
        <v>17.625</v>
      </c>
      <c r="CK75">
        <v>73393.039772198055</v>
      </c>
      <c r="CL75" t="s">
        <v>82</v>
      </c>
      <c r="CM75">
        <v>17.625</v>
      </c>
      <c r="CN75">
        <v>138.68023705294357</v>
      </c>
      <c r="CO75" s="82">
        <f t="shared" si="35"/>
        <v>-3.8475954257819467E-2</v>
      </c>
      <c r="CP75">
        <v>17.625</v>
      </c>
      <c r="CQ75">
        <v>84475.218069874987</v>
      </c>
      <c r="CR75" t="s">
        <v>82</v>
      </c>
      <c r="CS75">
        <v>17.625</v>
      </c>
      <c r="CT75">
        <v>137.84306101217143</v>
      </c>
      <c r="CU75" s="82">
        <f t="shared" si="36"/>
        <v>-4.0851664822042721E-2</v>
      </c>
      <c r="CV75">
        <v>17.625</v>
      </c>
      <c r="CW75">
        <v>88934.100004401305</v>
      </c>
      <c r="CX75" t="s">
        <v>82</v>
      </c>
      <c r="CY75">
        <v>17.625</v>
      </c>
      <c r="CZ75">
        <v>136.98839013151058</v>
      </c>
      <c r="DA75" s="82">
        <f t="shared" si="37"/>
        <v>-4.208267535733512E-2</v>
      </c>
      <c r="DB75">
        <v>17.625</v>
      </c>
      <c r="DC75">
        <v>91777.872131473108</v>
      </c>
      <c r="DD75" t="s">
        <v>82</v>
      </c>
      <c r="DG75" s="82">
        <f t="shared" si="38"/>
        <v>0</v>
      </c>
      <c r="DM75" s="82">
        <f t="shared" si="39"/>
        <v>0</v>
      </c>
    </row>
    <row r="76" spans="1:117" x14ac:dyDescent="0.2">
      <c r="A76">
        <v>17.875</v>
      </c>
      <c r="B76">
        <v>139.81082244615052</v>
      </c>
      <c r="C76" s="82">
        <f t="shared" si="20"/>
        <v>5.1057636763715664E-2</v>
      </c>
      <c r="D76">
        <v>17.875</v>
      </c>
      <c r="E76">
        <v>95614.029629697267</v>
      </c>
      <c r="F76" t="s">
        <v>82</v>
      </c>
      <c r="G76">
        <v>17.875</v>
      </c>
      <c r="H76">
        <v>139.79628064968378</v>
      </c>
      <c r="I76" s="82">
        <f t="shared" si="21"/>
        <v>4.5139231952049386E-2</v>
      </c>
      <c r="J76">
        <v>17.875</v>
      </c>
      <c r="K76">
        <v>87047.769759464136</v>
      </c>
      <c r="L76" t="s">
        <v>82</v>
      </c>
      <c r="M76">
        <v>17.875</v>
      </c>
      <c r="N76">
        <v>139.78199459918591</v>
      </c>
      <c r="O76" s="82">
        <f t="shared" si="22"/>
        <v>3.9121784881587018E-2</v>
      </c>
      <c r="P76">
        <v>17.875</v>
      </c>
      <c r="Q76">
        <v>78354.437776330116</v>
      </c>
      <c r="R76" t="s">
        <v>82</v>
      </c>
      <c r="S76">
        <v>17.875</v>
      </c>
      <c r="T76">
        <v>139.78748212985505</v>
      </c>
      <c r="U76" s="82">
        <f t="shared" si="23"/>
        <v>3.3187366686803443E-2</v>
      </c>
      <c r="V76">
        <v>17.875</v>
      </c>
      <c r="W76">
        <v>69790.100192792524</v>
      </c>
      <c r="X76" t="s">
        <v>82</v>
      </c>
      <c r="Y76">
        <v>17.875</v>
      </c>
      <c r="Z76">
        <v>139.79858705235009</v>
      </c>
      <c r="AA76" s="82">
        <f t="shared" si="24"/>
        <v>2.7199364521806046E-2</v>
      </c>
      <c r="AB76">
        <v>17.875</v>
      </c>
      <c r="AC76">
        <v>61166.209426132336</v>
      </c>
      <c r="AD76" t="s">
        <v>82</v>
      </c>
      <c r="AE76">
        <v>17.875</v>
      </c>
      <c r="AF76">
        <v>139.81032990470592</v>
      </c>
      <c r="AG76" s="82">
        <f t="shared" si="25"/>
        <v>2.1112909291673532E-2</v>
      </c>
      <c r="AH76">
        <v>17.875</v>
      </c>
      <c r="AI76">
        <v>52422.459357879299</v>
      </c>
      <c r="AJ76" t="s">
        <v>82</v>
      </c>
      <c r="AK76">
        <v>17.875</v>
      </c>
      <c r="AL76">
        <v>139.82277622774009</v>
      </c>
      <c r="AM76" s="82">
        <f t="shared" si="26"/>
        <v>1.4931220340912432E-2</v>
      </c>
      <c r="AN76">
        <v>17.875</v>
      </c>
      <c r="AO76">
        <v>43566.285610720661</v>
      </c>
      <c r="AP76" t="s">
        <v>82</v>
      </c>
      <c r="AQ76">
        <v>17.875</v>
      </c>
      <c r="AR76">
        <v>139.867615937902</v>
      </c>
      <c r="AS76" s="82">
        <f t="shared" si="27"/>
        <v>9.5570048499098448E-3</v>
      </c>
      <c r="AT76">
        <v>17.875</v>
      </c>
      <c r="AU76">
        <v>35891.8987523221</v>
      </c>
      <c r="AV76" t="s">
        <v>82</v>
      </c>
      <c r="AW76">
        <v>17.875</v>
      </c>
      <c r="AX76">
        <v>139.92066800320427</v>
      </c>
      <c r="AY76" s="82">
        <f t="shared" si="28"/>
        <v>4.2826012118553081E-3</v>
      </c>
      <c r="AZ76">
        <v>17.875</v>
      </c>
      <c r="BA76">
        <v>28389.842587567353</v>
      </c>
      <c r="BB76" t="s">
        <v>82</v>
      </c>
      <c r="BC76">
        <v>17.875</v>
      </c>
      <c r="BD76">
        <v>139.97656892011926</v>
      </c>
      <c r="BE76" s="82">
        <f t="shared" si="29"/>
        <v>-8.4085459391758377E-4</v>
      </c>
      <c r="BF76">
        <v>17.875</v>
      </c>
      <c r="BG76">
        <v>22295.025656580176</v>
      </c>
      <c r="BH76" t="s">
        <v>82</v>
      </c>
      <c r="BI76">
        <v>17.875</v>
      </c>
      <c r="BJ76">
        <v>140.05982905725818</v>
      </c>
      <c r="BK76" s="82">
        <f t="shared" si="30"/>
        <v>-1.5639643220879407E-3</v>
      </c>
      <c r="BL76">
        <v>17.875</v>
      </c>
      <c r="BM76">
        <v>24668.988054239406</v>
      </c>
      <c r="BN76" t="s">
        <v>82</v>
      </c>
      <c r="BO76">
        <v>17.875</v>
      </c>
      <c r="BP76">
        <v>140.09954921869974</v>
      </c>
      <c r="BQ76" s="82">
        <f t="shared" si="31"/>
        <v>-2.9506992103733864E-4</v>
      </c>
      <c r="BR76">
        <v>17.875</v>
      </c>
      <c r="BS76">
        <v>23691.71520540351</v>
      </c>
      <c r="BT76" t="s">
        <v>82</v>
      </c>
      <c r="BU76">
        <v>17.875</v>
      </c>
      <c r="BV76">
        <v>140.10323731048015</v>
      </c>
      <c r="BW76" s="82">
        <f t="shared" si="32"/>
        <v>-1.0795780298167301E-5</v>
      </c>
      <c r="BX76">
        <v>17.875</v>
      </c>
      <c r="BY76">
        <v>24230.430902683413</v>
      </c>
      <c r="BZ76" t="s">
        <v>82</v>
      </c>
      <c r="CA76">
        <v>17.875</v>
      </c>
      <c r="CB76">
        <v>139.97793543838938</v>
      </c>
      <c r="CC76" s="82">
        <f t="shared" si="33"/>
        <v>-1.5397214171144924E-2</v>
      </c>
      <c r="CD76">
        <v>17.875</v>
      </c>
      <c r="CE76">
        <v>48879.603340689129</v>
      </c>
      <c r="CF76" t="s">
        <v>82</v>
      </c>
      <c r="CG76">
        <v>17.875</v>
      </c>
      <c r="CH76">
        <v>139.41379000663792</v>
      </c>
      <c r="CI76" s="82">
        <f t="shared" si="34"/>
        <v>-3.2017153395599962E-2</v>
      </c>
      <c r="CJ76">
        <v>17.875</v>
      </c>
      <c r="CK76">
        <v>74064.141254500006</v>
      </c>
      <c r="CL76" t="s">
        <v>82</v>
      </c>
      <c r="CM76">
        <v>17.875</v>
      </c>
      <c r="CN76">
        <v>138.64158516617061</v>
      </c>
      <c r="CO76" s="82">
        <f t="shared" si="35"/>
        <v>-3.8651886772953503E-2</v>
      </c>
      <c r="CP76">
        <v>17.875</v>
      </c>
      <c r="CQ76">
        <v>84703.841123214268</v>
      </c>
      <c r="CR76" t="s">
        <v>82</v>
      </c>
      <c r="CS76">
        <v>17.875</v>
      </c>
      <c r="CT76">
        <v>137.80215488182907</v>
      </c>
      <c r="CU76" s="82">
        <f t="shared" si="36"/>
        <v>-4.0906130342364122E-2</v>
      </c>
      <c r="CV76">
        <v>17.875</v>
      </c>
      <c r="CW76">
        <v>88986.173959950465</v>
      </c>
      <c r="CX76" t="s">
        <v>82</v>
      </c>
      <c r="CY76">
        <v>17.875</v>
      </c>
      <c r="CZ76">
        <v>136.94633118687162</v>
      </c>
      <c r="DA76" s="82">
        <f t="shared" si="37"/>
        <v>-4.2058944638966977E-2</v>
      </c>
      <c r="DB76">
        <v>17.875</v>
      </c>
      <c r="DC76">
        <v>91716.613972118008</v>
      </c>
      <c r="DD76" t="s">
        <v>82</v>
      </c>
      <c r="DG76" s="82">
        <f t="shared" si="38"/>
        <v>0</v>
      </c>
      <c r="DM76" s="82">
        <f t="shared" si="39"/>
        <v>0</v>
      </c>
    </row>
    <row r="77" spans="1:117" x14ac:dyDescent="0.2">
      <c r="A77">
        <v>18.125</v>
      </c>
      <c r="B77">
        <v>139.86565194460283</v>
      </c>
      <c r="C77" s="82">
        <f t="shared" si="20"/>
        <v>5.482949845230678E-2</v>
      </c>
      <c r="D77">
        <v>18.125</v>
      </c>
      <c r="E77">
        <v>101311.06749950451</v>
      </c>
      <c r="F77" t="s">
        <v>82</v>
      </c>
      <c r="G77">
        <v>18.125</v>
      </c>
      <c r="H77">
        <v>139.84495786562627</v>
      </c>
      <c r="I77" s="82">
        <f t="shared" si="21"/>
        <v>4.8677215942490193E-2</v>
      </c>
      <c r="J77">
        <v>18.125</v>
      </c>
      <c r="K77">
        <v>92392.569786389606</v>
      </c>
      <c r="L77" t="s">
        <v>82</v>
      </c>
      <c r="M77">
        <v>18.125</v>
      </c>
      <c r="N77">
        <v>139.82441307276645</v>
      </c>
      <c r="O77" s="82">
        <f t="shared" si="22"/>
        <v>4.2418473580539739E-2</v>
      </c>
      <c r="P77">
        <v>18.125</v>
      </c>
      <c r="Q77">
        <v>83335.643284230391</v>
      </c>
      <c r="R77" t="s">
        <v>82</v>
      </c>
      <c r="S77">
        <v>18.125</v>
      </c>
      <c r="T77">
        <v>139.82369380507407</v>
      </c>
      <c r="U77" s="82">
        <f t="shared" si="23"/>
        <v>3.6211675219021799E-2</v>
      </c>
      <c r="V77">
        <v>18.125</v>
      </c>
      <c r="W77">
        <v>74361.201932991549</v>
      </c>
      <c r="X77" t="s">
        <v>82</v>
      </c>
      <c r="Y77">
        <v>18.125</v>
      </c>
      <c r="Z77">
        <v>139.82852415448289</v>
      </c>
      <c r="AA77" s="82">
        <f t="shared" si="24"/>
        <v>2.9937102132805649E-2</v>
      </c>
      <c r="AB77">
        <v>18.125</v>
      </c>
      <c r="AC77">
        <v>65305.737897273822</v>
      </c>
      <c r="AD77" t="s">
        <v>82</v>
      </c>
      <c r="AE77">
        <v>18.125</v>
      </c>
      <c r="AF77">
        <v>139.83388564746133</v>
      </c>
      <c r="AG77" s="82">
        <f t="shared" si="25"/>
        <v>2.3555742755405618E-2</v>
      </c>
      <c r="AH77">
        <v>18.125</v>
      </c>
      <c r="AI77">
        <v>56117.610719836222</v>
      </c>
      <c r="AJ77" t="s">
        <v>82</v>
      </c>
      <c r="AK77">
        <v>18.125</v>
      </c>
      <c r="AL77">
        <v>139.83984672101963</v>
      </c>
      <c r="AM77" s="82">
        <f t="shared" si="26"/>
        <v>1.7070493279533139E-2</v>
      </c>
      <c r="AN77">
        <v>18.125</v>
      </c>
      <c r="AO77">
        <v>46803.732325746831</v>
      </c>
      <c r="AP77" t="s">
        <v>82</v>
      </c>
      <c r="AQ77">
        <v>18.125</v>
      </c>
      <c r="AR77">
        <v>139.87892709671752</v>
      </c>
      <c r="AS77" s="82">
        <f t="shared" si="27"/>
        <v>1.1311158815516364E-2</v>
      </c>
      <c r="AT77">
        <v>18.125</v>
      </c>
      <c r="AU77">
        <v>38550.532690101289</v>
      </c>
      <c r="AV77" t="s">
        <v>82</v>
      </c>
      <c r="AW77">
        <v>18.125</v>
      </c>
      <c r="AX77">
        <v>139.92629370646605</v>
      </c>
      <c r="AY77" s="82">
        <f t="shared" si="28"/>
        <v>5.62570326178502E-3</v>
      </c>
      <c r="AZ77">
        <v>18.125</v>
      </c>
      <c r="BA77">
        <v>30430.746504222716</v>
      </c>
      <c r="BB77" t="s">
        <v>82</v>
      </c>
      <c r="BC77">
        <v>18.125</v>
      </c>
      <c r="BD77">
        <v>139.97663481687633</v>
      </c>
      <c r="BE77" s="82">
        <f t="shared" si="29"/>
        <v>6.5896757064365374E-5</v>
      </c>
      <c r="BF77">
        <v>18.125</v>
      </c>
      <c r="BG77">
        <v>22526.120304426171</v>
      </c>
      <c r="BH77" t="s">
        <v>82</v>
      </c>
      <c r="BI77">
        <v>18.125</v>
      </c>
      <c r="BJ77">
        <v>140.05845233394265</v>
      </c>
      <c r="BK77" s="82">
        <f t="shared" si="30"/>
        <v>-1.3767233155306258E-3</v>
      </c>
      <c r="BL77">
        <v>18.125</v>
      </c>
      <c r="BM77">
        <v>24308.082955207075</v>
      </c>
      <c r="BN77" t="s">
        <v>82</v>
      </c>
      <c r="BO77">
        <v>18.125</v>
      </c>
      <c r="BP77">
        <v>140.09932252349074</v>
      </c>
      <c r="BQ77" s="82">
        <f t="shared" si="31"/>
        <v>-2.2669520899398776E-4</v>
      </c>
      <c r="BR77">
        <v>18.125</v>
      </c>
      <c r="BS77">
        <v>23506.560266391556</v>
      </c>
      <c r="BT77" t="s">
        <v>82</v>
      </c>
      <c r="BU77">
        <v>18.125</v>
      </c>
      <c r="BV77">
        <v>140.10330710780534</v>
      </c>
      <c r="BW77" s="82">
        <f t="shared" si="32"/>
        <v>6.9797325181752967E-5</v>
      </c>
      <c r="BX77">
        <v>18.125</v>
      </c>
      <c r="BY77">
        <v>24384.499175893554</v>
      </c>
      <c r="BZ77" t="s">
        <v>82</v>
      </c>
      <c r="CA77">
        <v>18.125</v>
      </c>
      <c r="CB77">
        <v>139.96140182738239</v>
      </c>
      <c r="CC77" s="82">
        <f t="shared" si="33"/>
        <v>-1.6533611006991578E-2</v>
      </c>
      <c r="CD77">
        <v>18.125</v>
      </c>
      <c r="CE77">
        <v>50508.572206479686</v>
      </c>
      <c r="CF77" t="s">
        <v>82</v>
      </c>
      <c r="CG77">
        <v>18.125</v>
      </c>
      <c r="CH77">
        <v>139.38131809989628</v>
      </c>
      <c r="CI77" s="82">
        <f t="shared" si="34"/>
        <v>-3.2471906741648127E-2</v>
      </c>
      <c r="CJ77">
        <v>18.125</v>
      </c>
      <c r="CK77">
        <v>74698.804265396466</v>
      </c>
      <c r="CL77" t="s">
        <v>82</v>
      </c>
      <c r="CM77">
        <v>18.125</v>
      </c>
      <c r="CN77">
        <v>138.6027694838171</v>
      </c>
      <c r="CO77" s="82">
        <f t="shared" si="35"/>
        <v>-3.8815682353515513E-2</v>
      </c>
      <c r="CP77">
        <v>18.125</v>
      </c>
      <c r="CQ77">
        <v>84914.527751333444</v>
      </c>
      <c r="CR77" t="s">
        <v>82</v>
      </c>
      <c r="CS77">
        <v>18.125</v>
      </c>
      <c r="CT77">
        <v>137.76120099965613</v>
      </c>
      <c r="CU77" s="82">
        <f t="shared" si="36"/>
        <v>-4.0953882172942713E-2</v>
      </c>
      <c r="CV77">
        <v>18.125</v>
      </c>
      <c r="CW77">
        <v>89028.233556519859</v>
      </c>
      <c r="CX77" t="s">
        <v>82</v>
      </c>
      <c r="CY77">
        <v>18.125</v>
      </c>
      <c r="CZ77">
        <v>136.90429892651375</v>
      </c>
      <c r="DA77" s="82">
        <f t="shared" si="37"/>
        <v>-4.203226035787111E-2</v>
      </c>
      <c r="DB77">
        <v>18.125</v>
      </c>
      <c r="DC77">
        <v>91650.836784454295</v>
      </c>
      <c r="DD77" t="s">
        <v>82</v>
      </c>
      <c r="DG77" s="82">
        <f t="shared" si="38"/>
        <v>0</v>
      </c>
      <c r="DM77" s="82">
        <f t="shared" si="39"/>
        <v>0</v>
      </c>
    </row>
    <row r="78" spans="1:117" x14ac:dyDescent="0.2">
      <c r="A78">
        <v>18.375</v>
      </c>
      <c r="B78">
        <v>139.92439328476289</v>
      </c>
      <c r="C78" s="82">
        <f t="shared" si="20"/>
        <v>5.8741340160054278E-2</v>
      </c>
      <c r="D78">
        <v>18.375</v>
      </c>
      <c r="E78">
        <v>107219.57555494316</v>
      </c>
      <c r="F78" t="s">
        <v>82</v>
      </c>
      <c r="G78">
        <v>18.375</v>
      </c>
      <c r="H78">
        <v>139.8973076337748</v>
      </c>
      <c r="I78" s="82">
        <f t="shared" si="21"/>
        <v>5.2349768148530984E-2</v>
      </c>
      <c r="J78">
        <v>18.375</v>
      </c>
      <c r="K78">
        <v>97940.690586576049</v>
      </c>
      <c r="L78" t="s">
        <v>82</v>
      </c>
      <c r="M78">
        <v>18.375</v>
      </c>
      <c r="N78">
        <v>139.87025699496257</v>
      </c>
      <c r="O78" s="82">
        <f t="shared" si="22"/>
        <v>4.5843922196127096E-2</v>
      </c>
      <c r="P78">
        <v>18.375</v>
      </c>
      <c r="Q78">
        <v>88511.416989574558</v>
      </c>
      <c r="R78" t="s">
        <v>82</v>
      </c>
      <c r="S78">
        <v>18.375</v>
      </c>
      <c r="T78">
        <v>139.86305246668391</v>
      </c>
      <c r="U78" s="82">
        <f t="shared" si="23"/>
        <v>3.9358661609838919E-2</v>
      </c>
      <c r="V78">
        <v>18.375</v>
      </c>
      <c r="W78">
        <v>79117.6753729786</v>
      </c>
      <c r="X78" t="s">
        <v>82</v>
      </c>
      <c r="Y78">
        <v>18.375</v>
      </c>
      <c r="Z78">
        <v>139.86131516425894</v>
      </c>
      <c r="AA78" s="82">
        <f t="shared" si="24"/>
        <v>3.2791009776047986E-2</v>
      </c>
      <c r="AB78">
        <v>18.375</v>
      </c>
      <c r="AC78">
        <v>69620.784574860314</v>
      </c>
      <c r="AD78" t="s">
        <v>82</v>
      </c>
      <c r="AE78">
        <v>18.375</v>
      </c>
      <c r="AF78">
        <v>139.85999337914205</v>
      </c>
      <c r="AG78" s="82">
        <f t="shared" si="25"/>
        <v>2.6107731680724555E-2</v>
      </c>
      <c r="AH78">
        <v>18.375</v>
      </c>
      <c r="AI78">
        <v>59977.65219168819</v>
      </c>
      <c r="AJ78" t="s">
        <v>82</v>
      </c>
      <c r="AK78">
        <v>18.375</v>
      </c>
      <c r="AL78">
        <v>139.85915807340652</v>
      </c>
      <c r="AM78" s="82">
        <f t="shared" si="26"/>
        <v>1.9311352386893077E-2</v>
      </c>
      <c r="AN78">
        <v>18.375</v>
      </c>
      <c r="AO78">
        <v>50194.592510281327</v>
      </c>
      <c r="AP78" t="s">
        <v>82</v>
      </c>
      <c r="AQ78">
        <v>18.375</v>
      </c>
      <c r="AR78">
        <v>139.8920868812051</v>
      </c>
      <c r="AS78" s="82">
        <f t="shared" si="27"/>
        <v>1.3159784487584147E-2</v>
      </c>
      <c r="AT78">
        <v>18.375</v>
      </c>
      <c r="AU78">
        <v>41351.677306852056</v>
      </c>
      <c r="AV78" t="s">
        <v>82</v>
      </c>
      <c r="AW78">
        <v>18.375</v>
      </c>
      <c r="AX78">
        <v>139.93334950176424</v>
      </c>
      <c r="AY78" s="82">
        <f t="shared" si="28"/>
        <v>7.0557952981857852E-3</v>
      </c>
      <c r="AZ78">
        <v>18.375</v>
      </c>
      <c r="BA78">
        <v>32602.663270922931</v>
      </c>
      <c r="BB78" t="s">
        <v>82</v>
      </c>
      <c r="BC78">
        <v>18.375</v>
      </c>
      <c r="BD78">
        <v>139.97768665028715</v>
      </c>
      <c r="BE78" s="82">
        <f t="shared" si="29"/>
        <v>1.05183341082693E-3</v>
      </c>
      <c r="BF78">
        <v>18.375</v>
      </c>
      <c r="BG78">
        <v>24030.319477616235</v>
      </c>
      <c r="BH78" t="s">
        <v>82</v>
      </c>
      <c r="BI78">
        <v>18.375</v>
      </c>
      <c r="BJ78">
        <v>140.05733975833928</v>
      </c>
      <c r="BK78" s="82">
        <f t="shared" si="30"/>
        <v>-1.1125756033720791E-3</v>
      </c>
      <c r="BL78">
        <v>18.375</v>
      </c>
      <c r="BM78">
        <v>23832.387082336289</v>
      </c>
      <c r="BN78" t="s">
        <v>82</v>
      </c>
      <c r="BO78">
        <v>18.375</v>
      </c>
      <c r="BP78">
        <v>140.09924274276352</v>
      </c>
      <c r="BQ78" s="82">
        <f t="shared" si="31"/>
        <v>-7.9780727219258551E-5</v>
      </c>
      <c r="BR78">
        <v>18.375</v>
      </c>
      <c r="BS78">
        <v>23302.793196130708</v>
      </c>
      <c r="BT78" t="s">
        <v>82</v>
      </c>
      <c r="BU78">
        <v>18.375</v>
      </c>
      <c r="BV78">
        <v>140.10353649285429</v>
      </c>
      <c r="BW78" s="82">
        <f t="shared" si="32"/>
        <v>2.2938504895364531E-4</v>
      </c>
      <c r="BX78">
        <v>18.375</v>
      </c>
      <c r="BY78">
        <v>24656.473418013444</v>
      </c>
      <c r="BZ78" t="s">
        <v>82</v>
      </c>
      <c r="CA78">
        <v>18.375</v>
      </c>
      <c r="CB78">
        <v>139.94378348546761</v>
      </c>
      <c r="CC78" s="82">
        <f t="shared" si="33"/>
        <v>-1.7618341914783286E-2</v>
      </c>
      <c r="CD78">
        <v>18.375</v>
      </c>
      <c r="CE78">
        <v>52061.927249085093</v>
      </c>
      <c r="CF78" t="s">
        <v>82</v>
      </c>
      <c r="CG78">
        <v>18.375</v>
      </c>
      <c r="CH78">
        <v>139.34841557579151</v>
      </c>
      <c r="CI78" s="82">
        <f t="shared" si="34"/>
        <v>-3.2902524104770237E-2</v>
      </c>
      <c r="CJ78">
        <v>18.375</v>
      </c>
      <c r="CK78">
        <v>75298.006122847524</v>
      </c>
      <c r="CL78" t="s">
        <v>82</v>
      </c>
      <c r="CM78">
        <v>18.375</v>
      </c>
      <c r="CN78">
        <v>138.56380197501889</v>
      </c>
      <c r="CO78" s="82">
        <f t="shared" si="35"/>
        <v>-3.8967508798208428E-2</v>
      </c>
      <c r="CP78">
        <v>18.375</v>
      </c>
      <c r="CQ78">
        <v>85107.511501806803</v>
      </c>
      <c r="CR78" t="s">
        <v>82</v>
      </c>
      <c r="CS78">
        <v>18.375</v>
      </c>
      <c r="CT78">
        <v>137.7202061210123</v>
      </c>
      <c r="CU78" s="82">
        <f t="shared" si="36"/>
        <v>-4.0994878643829225E-2</v>
      </c>
      <c r="CV78">
        <v>18.375</v>
      </c>
      <c r="CW78">
        <v>89060.20735257538</v>
      </c>
      <c r="CX78" t="s">
        <v>82</v>
      </c>
      <c r="CY78">
        <v>18.375</v>
      </c>
      <c r="CZ78">
        <v>136.86229648723392</v>
      </c>
      <c r="DA78" s="82">
        <f t="shared" si="37"/>
        <v>-4.2002439279826831E-2</v>
      </c>
      <c r="DB78">
        <v>18.375</v>
      </c>
      <c r="DC78">
        <v>91580.263350875466</v>
      </c>
      <c r="DD78" t="s">
        <v>82</v>
      </c>
      <c r="DG78" s="82">
        <f t="shared" si="38"/>
        <v>0</v>
      </c>
      <c r="DM78" s="82">
        <f t="shared" si="39"/>
        <v>0</v>
      </c>
    </row>
    <row r="79" spans="1:117" x14ac:dyDescent="0.2">
      <c r="A79">
        <v>18.625</v>
      </c>
      <c r="B79">
        <v>139.98719058120525</v>
      </c>
      <c r="C79" s="82">
        <f t="shared" si="20"/>
        <v>6.2797296442369088E-2</v>
      </c>
      <c r="D79">
        <v>18.625</v>
      </c>
      <c r="E79">
        <v>113345.80478405704</v>
      </c>
      <c r="F79" t="s">
        <v>82</v>
      </c>
      <c r="G79">
        <v>18.625</v>
      </c>
      <c r="H79">
        <v>139.95346851707015</v>
      </c>
      <c r="I79" s="82">
        <f t="shared" si="21"/>
        <v>5.6160883295348185E-2</v>
      </c>
      <c r="J79">
        <v>18.625</v>
      </c>
      <c r="K79">
        <v>103698.17529291817</v>
      </c>
      <c r="L79" t="s">
        <v>82</v>
      </c>
      <c r="M79">
        <v>18.625</v>
      </c>
      <c r="N79">
        <v>139.91965896414499</v>
      </c>
      <c r="O79" s="82">
        <f t="shared" si="22"/>
        <v>4.9401969182412131E-2</v>
      </c>
      <c r="P79">
        <v>18.625</v>
      </c>
      <c r="Q79">
        <v>93887.569236493611</v>
      </c>
      <c r="R79" t="s">
        <v>82</v>
      </c>
      <c r="S79">
        <v>18.625</v>
      </c>
      <c r="T79">
        <v>139.90568442810692</v>
      </c>
      <c r="U79" s="82">
        <f t="shared" si="23"/>
        <v>4.2631961423012399E-2</v>
      </c>
      <c r="V79">
        <v>18.625</v>
      </c>
      <c r="W79">
        <v>84065.028554756951</v>
      </c>
      <c r="X79" t="s">
        <v>82</v>
      </c>
      <c r="Y79">
        <v>18.625</v>
      </c>
      <c r="Z79">
        <v>139.89707965499252</v>
      </c>
      <c r="AA79" s="82">
        <f t="shared" si="24"/>
        <v>3.5764490733583898E-2</v>
      </c>
      <c r="AB79">
        <v>18.625</v>
      </c>
      <c r="AC79">
        <v>74116.510943085217</v>
      </c>
      <c r="AD79" t="s">
        <v>82</v>
      </c>
      <c r="AE79">
        <v>18.625</v>
      </c>
      <c r="AF79">
        <v>139.88876540094978</v>
      </c>
      <c r="AG79" s="82">
        <f t="shared" si="25"/>
        <v>2.8772021807725423E-2</v>
      </c>
      <c r="AH79">
        <v>18.625</v>
      </c>
      <c r="AI79">
        <v>64007.360414458752</v>
      </c>
      <c r="AJ79" t="s">
        <v>82</v>
      </c>
      <c r="AK79">
        <v>18.625</v>
      </c>
      <c r="AL79">
        <v>139.88081473113172</v>
      </c>
      <c r="AM79" s="82">
        <f t="shared" si="26"/>
        <v>2.1656657725202422E-2</v>
      </c>
      <c r="AN79">
        <v>18.625</v>
      </c>
      <c r="AO79">
        <v>53743.2153261118</v>
      </c>
      <c r="AP79" t="s">
        <v>82</v>
      </c>
      <c r="AQ79">
        <v>18.625</v>
      </c>
      <c r="AR79">
        <v>139.90719220747084</v>
      </c>
      <c r="AS79" s="82">
        <f t="shared" si="27"/>
        <v>1.5105326265739905E-2</v>
      </c>
      <c r="AT79">
        <v>18.625</v>
      </c>
      <c r="AU79">
        <v>44299.061526744459</v>
      </c>
      <c r="AV79" t="s">
        <v>82</v>
      </c>
      <c r="AW79">
        <v>18.625</v>
      </c>
      <c r="AX79">
        <v>139.94192434307607</v>
      </c>
      <c r="AY79" s="82">
        <f t="shared" si="28"/>
        <v>8.5748413118267308E-3</v>
      </c>
      <c r="AZ79">
        <v>18.625</v>
      </c>
      <c r="BA79">
        <v>34908.603627882301</v>
      </c>
      <c r="BB79" t="s">
        <v>82</v>
      </c>
      <c r="BC79">
        <v>18.625</v>
      </c>
      <c r="BD79">
        <v>139.97980501868054</v>
      </c>
      <c r="BE79" s="82">
        <f t="shared" si="29"/>
        <v>2.1183683933827524E-3</v>
      </c>
      <c r="BF79">
        <v>18.625</v>
      </c>
      <c r="BG79">
        <v>25655.691627254393</v>
      </c>
      <c r="BH79" t="s">
        <v>82</v>
      </c>
      <c r="BI79">
        <v>18.625</v>
      </c>
      <c r="BJ79">
        <v>140.05656863230732</v>
      </c>
      <c r="BK79" s="82">
        <f t="shared" si="30"/>
        <v>-7.7112603196383134E-4</v>
      </c>
      <c r="BL79">
        <v>18.625</v>
      </c>
      <c r="BM79">
        <v>23241.235304461497</v>
      </c>
      <c r="BN79" t="s">
        <v>82</v>
      </c>
      <c r="BO79">
        <v>18.625</v>
      </c>
      <c r="BP79">
        <v>140.09938864301694</v>
      </c>
      <c r="BQ79" s="82">
        <f t="shared" si="31"/>
        <v>1.4590025341476576E-4</v>
      </c>
      <c r="BR79">
        <v>18.625</v>
      </c>
      <c r="BS79">
        <v>23673.165164552927</v>
      </c>
      <c r="BT79" t="s">
        <v>82</v>
      </c>
      <c r="BU79">
        <v>18.625</v>
      </c>
      <c r="BV79">
        <v>140.10400471483399</v>
      </c>
      <c r="BW79" s="82">
        <f t="shared" si="32"/>
        <v>4.6822197970186608E-4</v>
      </c>
      <c r="BX79">
        <v>18.625</v>
      </c>
      <c r="BY79">
        <v>25046.823412137423</v>
      </c>
      <c r="BZ79" t="s">
        <v>82</v>
      </c>
      <c r="CA79">
        <v>18.625</v>
      </c>
      <c r="CB79">
        <v>139.92513033556889</v>
      </c>
      <c r="CC79" s="82">
        <f t="shared" si="33"/>
        <v>-1.8653149898710808E-2</v>
      </c>
      <c r="CD79">
        <v>18.625</v>
      </c>
      <c r="CE79">
        <v>53542.193928454493</v>
      </c>
      <c r="CF79" t="s">
        <v>82</v>
      </c>
      <c r="CG79">
        <v>18.625</v>
      </c>
      <c r="CH79">
        <v>139.31510593595794</v>
      </c>
      <c r="CI79" s="82">
        <f t="shared" si="34"/>
        <v>-3.3309639833561278E-2</v>
      </c>
      <c r="CJ79">
        <v>18.625</v>
      </c>
      <c r="CK79">
        <v>75862.660043298223</v>
      </c>
      <c r="CL79" t="s">
        <v>82</v>
      </c>
      <c r="CM79">
        <v>18.625</v>
      </c>
      <c r="CN79">
        <v>138.52469446317281</v>
      </c>
      <c r="CO79" s="82">
        <f t="shared" si="35"/>
        <v>-3.9107511846083298E-2</v>
      </c>
      <c r="CP79">
        <v>18.625</v>
      </c>
      <c r="CQ79">
        <v>85282.993323198039</v>
      </c>
      <c r="CR79" t="s">
        <v>82</v>
      </c>
      <c r="CS79">
        <v>18.625</v>
      </c>
      <c r="CT79">
        <v>137.67917705557934</v>
      </c>
      <c r="CU79" s="82">
        <f t="shared" si="36"/>
        <v>-4.1029065432951484E-2</v>
      </c>
      <c r="CV79">
        <v>18.625</v>
      </c>
      <c r="CW79">
        <v>89082.005014871189</v>
      </c>
      <c r="CX79" t="s">
        <v>82</v>
      </c>
      <c r="CY79">
        <v>18.625</v>
      </c>
      <c r="CZ79">
        <v>136.82032719487393</v>
      </c>
      <c r="DA79" s="82">
        <f t="shared" si="37"/>
        <v>-4.1969292359993915E-2</v>
      </c>
      <c r="DB79">
        <v>18.625</v>
      </c>
      <c r="DC79">
        <v>91504.607543948165</v>
      </c>
      <c r="DD79" t="s">
        <v>82</v>
      </c>
      <c r="DG79" s="82">
        <f t="shared" si="38"/>
        <v>0</v>
      </c>
      <c r="DM79" s="82">
        <f t="shared" si="39"/>
        <v>0</v>
      </c>
    </row>
    <row r="80" spans="1:117" x14ac:dyDescent="0.2">
      <c r="A80">
        <v>18.875</v>
      </c>
      <c r="B80">
        <v>140.05419222147441</v>
      </c>
      <c r="C80" s="82">
        <f t="shared" si="20"/>
        <v>6.700164026915445E-2</v>
      </c>
      <c r="D80">
        <v>18.875</v>
      </c>
      <c r="E80">
        <v>119696.21434392195</v>
      </c>
      <c r="F80" t="s">
        <v>82</v>
      </c>
      <c r="G80">
        <v>18.875</v>
      </c>
      <c r="H80">
        <v>140.0135832108042</v>
      </c>
      <c r="I80" s="82">
        <f t="shared" si="21"/>
        <v>6.0114693734050206E-2</v>
      </c>
      <c r="J80">
        <v>18.875</v>
      </c>
      <c r="K80">
        <v>109671.27409127257</v>
      </c>
      <c r="L80" t="s">
        <v>82</v>
      </c>
      <c r="M80">
        <v>18.875</v>
      </c>
      <c r="N80">
        <v>139.97275555340698</v>
      </c>
      <c r="O80" s="82">
        <f t="shared" si="22"/>
        <v>5.3096589261997451E-2</v>
      </c>
      <c r="P80">
        <v>18.875</v>
      </c>
      <c r="Q80">
        <v>99470.115512828808</v>
      </c>
      <c r="R80" t="s">
        <v>82</v>
      </c>
      <c r="S80">
        <v>18.875</v>
      </c>
      <c r="T80">
        <v>139.95171977288371</v>
      </c>
      <c r="U80" s="82">
        <f t="shared" si="23"/>
        <v>4.6035344776782949E-2</v>
      </c>
      <c r="V80">
        <v>18.875</v>
      </c>
      <c r="W80">
        <v>89208.972085306115</v>
      </c>
      <c r="X80" t="s">
        <v>82</v>
      </c>
      <c r="Y80">
        <v>18.875</v>
      </c>
      <c r="Z80">
        <v>139.93594073543036</v>
      </c>
      <c r="AA80" s="82">
        <f t="shared" si="24"/>
        <v>3.8861080437840201E-2</v>
      </c>
      <c r="AB80">
        <v>18.875</v>
      </c>
      <c r="AC80">
        <v>78798.277446827356</v>
      </c>
      <c r="AD80" t="s">
        <v>82</v>
      </c>
      <c r="AE80">
        <v>18.875</v>
      </c>
      <c r="AF80">
        <v>139.92031728870711</v>
      </c>
      <c r="AG80" s="82">
        <f t="shared" si="25"/>
        <v>3.1551887757331087E-2</v>
      </c>
      <c r="AH80">
        <v>18.875</v>
      </c>
      <c r="AI80">
        <v>68211.706077871335</v>
      </c>
      <c r="AJ80" t="s">
        <v>82</v>
      </c>
      <c r="AK80">
        <v>18.875</v>
      </c>
      <c r="AL80">
        <v>139.90492412509312</v>
      </c>
      <c r="AM80" s="82">
        <f t="shared" si="26"/>
        <v>2.4109393961396108E-2</v>
      </c>
      <c r="AN80">
        <v>18.875</v>
      </c>
      <c r="AO80">
        <v>57454.137504618513</v>
      </c>
      <c r="AP80" t="s">
        <v>82</v>
      </c>
      <c r="AQ80">
        <v>18.875</v>
      </c>
      <c r="AR80">
        <v>139.92434255679404</v>
      </c>
      <c r="AS80" s="82">
        <f t="shared" si="27"/>
        <v>1.7150349323202363E-2</v>
      </c>
      <c r="AT80">
        <v>18.875</v>
      </c>
      <c r="AU80">
        <v>47396.595894237129</v>
      </c>
      <c r="AV80" t="s">
        <v>82</v>
      </c>
      <c r="AW80">
        <v>18.875</v>
      </c>
      <c r="AX80">
        <v>139.95210926446114</v>
      </c>
      <c r="AY80" s="82">
        <f t="shared" si="28"/>
        <v>1.018492138507554E-2</v>
      </c>
      <c r="AZ80">
        <v>18.875</v>
      </c>
      <c r="BA80">
        <v>37351.752818366032</v>
      </c>
      <c r="BB80" t="s">
        <v>82</v>
      </c>
      <c r="BC80">
        <v>18.875</v>
      </c>
      <c r="BD80">
        <v>139.98307204394243</v>
      </c>
      <c r="BE80" s="82">
        <f t="shared" si="29"/>
        <v>3.2670252618913764E-3</v>
      </c>
      <c r="BF80">
        <v>18.875</v>
      </c>
      <c r="BG80">
        <v>27404.58729900459</v>
      </c>
      <c r="BH80" t="s">
        <v>82</v>
      </c>
      <c r="BI80">
        <v>18.875</v>
      </c>
      <c r="BJ80">
        <v>140.05621676667806</v>
      </c>
      <c r="BK80" s="82">
        <f t="shared" si="30"/>
        <v>-3.5186562925559883E-4</v>
      </c>
      <c r="BL80">
        <v>18.875</v>
      </c>
      <c r="BM80">
        <v>22533.795920698383</v>
      </c>
      <c r="BN80" t="s">
        <v>82</v>
      </c>
      <c r="BO80">
        <v>18.875</v>
      </c>
      <c r="BP80">
        <v>140.09983933778577</v>
      </c>
      <c r="BQ80" s="82">
        <f t="shared" si="31"/>
        <v>4.5069476882986237E-4</v>
      </c>
      <c r="BR80">
        <v>18.875</v>
      </c>
      <c r="BS80">
        <v>24161.774029538152</v>
      </c>
      <c r="BT80" t="s">
        <v>82</v>
      </c>
      <c r="BU80">
        <v>18.875</v>
      </c>
      <c r="BV80">
        <v>140.1047914031729</v>
      </c>
      <c r="BW80" s="82">
        <f t="shared" si="32"/>
        <v>7.8668833890560563E-4</v>
      </c>
      <c r="BX80">
        <v>18.875</v>
      </c>
      <c r="BY80">
        <v>25556.205112583346</v>
      </c>
      <c r="BZ80" t="s">
        <v>82</v>
      </c>
      <c r="CA80">
        <v>18.875</v>
      </c>
      <c r="CB80">
        <v>139.90549064559926</v>
      </c>
      <c r="CC80" s="82">
        <f t="shared" si="33"/>
        <v>-1.963968996963672E-2</v>
      </c>
      <c r="CD80">
        <v>18.875</v>
      </c>
      <c r="CE80">
        <v>54951.769981018122</v>
      </c>
      <c r="CF80" t="s">
        <v>82</v>
      </c>
      <c r="CG80">
        <v>18.875</v>
      </c>
      <c r="CH80">
        <v>139.28141209008564</v>
      </c>
      <c r="CI80" s="82">
        <f t="shared" si="34"/>
        <v>-3.3693845872306838E-2</v>
      </c>
      <c r="CJ80">
        <v>18.875</v>
      </c>
      <c r="CK80">
        <v>76393.616975474753</v>
      </c>
      <c r="CL80" t="s">
        <v>82</v>
      </c>
      <c r="CM80">
        <v>18.875</v>
      </c>
      <c r="CN80">
        <v>138.48545864766371</v>
      </c>
      <c r="CO80" s="82">
        <f t="shared" si="35"/>
        <v>-3.9235815509101712E-2</v>
      </c>
      <c r="CP80">
        <v>18.875</v>
      </c>
      <c r="CQ80">
        <v>85441.142021527063</v>
      </c>
      <c r="CR80" t="s">
        <v>82</v>
      </c>
      <c r="CS80">
        <v>18.875</v>
      </c>
      <c r="CT80">
        <v>137.63812068005404</v>
      </c>
      <c r="CU80" s="82">
        <f t="shared" si="36"/>
        <v>-4.1056375525300837E-2</v>
      </c>
      <c r="CV80">
        <v>18.875</v>
      </c>
      <c r="CW80">
        <v>89093.517249303914</v>
      </c>
      <c r="CX80" t="s">
        <v>82</v>
      </c>
      <c r="CY80">
        <v>18.875</v>
      </c>
      <c r="CZ80">
        <v>136.77839457047568</v>
      </c>
      <c r="DA80" s="82">
        <f t="shared" si="37"/>
        <v>-4.1932624398242524E-2</v>
      </c>
      <c r="DB80">
        <v>18.875</v>
      </c>
      <c r="DC80">
        <v>91423.573800548649</v>
      </c>
      <c r="DD80" t="s">
        <v>82</v>
      </c>
      <c r="DG80" s="82">
        <f t="shared" si="38"/>
        <v>0</v>
      </c>
      <c r="DM80" s="82">
        <f t="shared" si="39"/>
        <v>0</v>
      </c>
    </row>
    <row r="81" spans="1:117" x14ac:dyDescent="0.2">
      <c r="A81">
        <v>19.125</v>
      </c>
      <c r="B81">
        <v>140.12555100804249</v>
      </c>
      <c r="C81" s="82">
        <f t="shared" si="20"/>
        <v>7.1358786568083588E-2</v>
      </c>
      <c r="D81">
        <v>19.125</v>
      </c>
      <c r="E81">
        <v>126277.47686732416</v>
      </c>
      <c r="F81" t="s">
        <v>82</v>
      </c>
      <c r="G81">
        <v>19.125</v>
      </c>
      <c r="H81">
        <v>140.07779868380666</v>
      </c>
      <c r="I81" s="82">
        <f t="shared" si="21"/>
        <v>6.4215473002462886E-2</v>
      </c>
      <c r="J81">
        <v>19.125</v>
      </c>
      <c r="K81">
        <v>115866.44964074696</v>
      </c>
      <c r="L81" t="s">
        <v>82</v>
      </c>
      <c r="M81">
        <v>19.125</v>
      </c>
      <c r="N81">
        <v>140.02968745043694</v>
      </c>
      <c r="O81" s="82">
        <f t="shared" si="22"/>
        <v>5.6931897029954825E-2</v>
      </c>
      <c r="P81">
        <v>19.125</v>
      </c>
      <c r="Q81">
        <v>105265.28184229878</v>
      </c>
      <c r="R81" t="s">
        <v>82</v>
      </c>
      <c r="S81">
        <v>19.125</v>
      </c>
      <c r="T81">
        <v>140.00129249276065</v>
      </c>
      <c r="U81" s="82">
        <f t="shared" si="23"/>
        <v>4.9572719876948668E-2</v>
      </c>
      <c r="V81">
        <v>19.125</v>
      </c>
      <c r="W81">
        <v>94555.424484541451</v>
      </c>
      <c r="X81" t="s">
        <v>82</v>
      </c>
      <c r="Y81">
        <v>19.125</v>
      </c>
      <c r="Z81">
        <v>139.97802518535349</v>
      </c>
      <c r="AA81" s="82">
        <f t="shared" si="24"/>
        <v>4.2084449923123657E-2</v>
      </c>
      <c r="AB81">
        <v>19.125</v>
      </c>
      <c r="AC81">
        <v>83671.648775843627</v>
      </c>
      <c r="AD81" t="s">
        <v>82</v>
      </c>
      <c r="AE81">
        <v>19.125</v>
      </c>
      <c r="AF81">
        <v>139.95476802507514</v>
      </c>
      <c r="AG81" s="82">
        <f t="shared" si="25"/>
        <v>3.4450736368029311E-2</v>
      </c>
      <c r="AH81">
        <v>19.125</v>
      </c>
      <c r="AI81">
        <v>72595.858945694854</v>
      </c>
      <c r="AJ81" t="s">
        <v>82</v>
      </c>
      <c r="AK81">
        <v>19.125</v>
      </c>
      <c r="AL81">
        <v>139.93159679861165</v>
      </c>
      <c r="AM81" s="82">
        <f t="shared" si="26"/>
        <v>2.6672673518532974E-2</v>
      </c>
      <c r="AN81">
        <v>19.125</v>
      </c>
      <c r="AO81">
        <v>61332.088143332323</v>
      </c>
      <c r="AP81" t="s">
        <v>82</v>
      </c>
      <c r="AQ81">
        <v>19.125</v>
      </c>
      <c r="AR81">
        <v>139.94364009919761</v>
      </c>
      <c r="AS81" s="82">
        <f t="shared" si="27"/>
        <v>1.9297542403563739E-2</v>
      </c>
      <c r="AT81">
        <v>19.125</v>
      </c>
      <c r="AU81">
        <v>50648.376783434098</v>
      </c>
      <c r="AV81" t="s">
        <v>82</v>
      </c>
      <c r="AW81">
        <v>19.125</v>
      </c>
      <c r="AX81">
        <v>139.9639974984554</v>
      </c>
      <c r="AY81" s="82">
        <f t="shared" si="28"/>
        <v>1.188823399425587E-2</v>
      </c>
      <c r="AZ81">
        <v>19.125</v>
      </c>
      <c r="BA81">
        <v>39935.474023650131</v>
      </c>
      <c r="BB81" t="s">
        <v>82</v>
      </c>
      <c r="BC81">
        <v>19.125</v>
      </c>
      <c r="BD81">
        <v>139.98757148364672</v>
      </c>
      <c r="BE81" s="82">
        <f t="shared" si="29"/>
        <v>4.4994397042898981E-3</v>
      </c>
      <c r="BF81">
        <v>19.125</v>
      </c>
      <c r="BG81">
        <v>29279.525827092064</v>
      </c>
      <c r="BH81" t="s">
        <v>82</v>
      </c>
      <c r="BI81">
        <v>19.125</v>
      </c>
      <c r="BJ81">
        <v>140.05636259540893</v>
      </c>
      <c r="BK81" s="82">
        <f t="shared" si="30"/>
        <v>1.4582873086510517E-4</v>
      </c>
      <c r="BL81">
        <v>19.125</v>
      </c>
      <c r="BM81">
        <v>23002.676046858782</v>
      </c>
      <c r="BN81" t="s">
        <v>82</v>
      </c>
      <c r="BO81">
        <v>19.125</v>
      </c>
      <c r="BP81">
        <v>140.10067440795885</v>
      </c>
      <c r="BQ81" s="82">
        <f t="shared" si="31"/>
        <v>8.3507017308193099E-4</v>
      </c>
      <c r="BR81">
        <v>19.125</v>
      </c>
      <c r="BS81">
        <v>24769.400488607153</v>
      </c>
      <c r="BT81" t="s">
        <v>82</v>
      </c>
      <c r="BU81">
        <v>19.125</v>
      </c>
      <c r="BV81">
        <v>140.105976693233</v>
      </c>
      <c r="BW81" s="82">
        <f t="shared" si="32"/>
        <v>1.185290060107036E-3</v>
      </c>
      <c r="BX81">
        <v>19.125</v>
      </c>
      <c r="BY81">
        <v>26185.461128679231</v>
      </c>
      <c r="BZ81" t="s">
        <v>82</v>
      </c>
      <c r="CA81">
        <v>19.125</v>
      </c>
      <c r="CB81">
        <v>139.88491111338959</v>
      </c>
      <c r="CC81" s="82">
        <f t="shared" si="33"/>
        <v>-2.057953220966624E-2</v>
      </c>
      <c r="CD81">
        <v>19.125</v>
      </c>
      <c r="CE81">
        <v>56292.929625995086</v>
      </c>
      <c r="CF81" t="s">
        <v>82</v>
      </c>
      <c r="CG81">
        <v>19.125</v>
      </c>
      <c r="CH81">
        <v>139.24735639717858</v>
      </c>
      <c r="CI81" s="82">
        <f t="shared" si="34"/>
        <v>-3.405569290706012E-2</v>
      </c>
      <c r="CJ81">
        <v>19.125</v>
      </c>
      <c r="CK81">
        <v>76891.667240869647</v>
      </c>
      <c r="CL81" t="s">
        <v>82</v>
      </c>
      <c r="CM81">
        <v>19.125</v>
      </c>
      <c r="CN81">
        <v>138.44610612528817</v>
      </c>
      <c r="CO81" s="82">
        <f t="shared" si="35"/>
        <v>-3.9352522375537546E-2</v>
      </c>
      <c r="CP81">
        <v>19.125</v>
      </c>
      <c r="CQ81">
        <v>85582.094679754679</v>
      </c>
      <c r="CR81" t="s">
        <v>82</v>
      </c>
      <c r="CS81">
        <v>19.125</v>
      </c>
      <c r="CT81">
        <v>137.5970439509245</v>
      </c>
      <c r="CU81" s="82">
        <f t="shared" si="36"/>
        <v>-4.1076729129542855E-2</v>
      </c>
      <c r="CV81">
        <v>19.125</v>
      </c>
      <c r="CW81">
        <v>89094.615652290027</v>
      </c>
      <c r="CX81" t="s">
        <v>82</v>
      </c>
      <c r="CY81">
        <v>19.125</v>
      </c>
      <c r="CZ81">
        <v>136.73650233678347</v>
      </c>
      <c r="DA81" s="82">
        <f t="shared" si="37"/>
        <v>-4.1892233692209402E-2</v>
      </c>
      <c r="DB81">
        <v>19.125</v>
      </c>
      <c r="DC81">
        <v>91336.856599320308</v>
      </c>
      <c r="DD81" t="s">
        <v>82</v>
      </c>
      <c r="DG81" s="82">
        <f t="shared" si="38"/>
        <v>0</v>
      </c>
      <c r="DM81" s="82">
        <f t="shared" si="39"/>
        <v>0</v>
      </c>
    </row>
    <row r="82" spans="1:117" x14ac:dyDescent="0.2">
      <c r="A82">
        <v>19.375</v>
      </c>
      <c r="B82">
        <v>140.20142430391297</v>
      </c>
      <c r="C82" s="82">
        <f t="shared" si="20"/>
        <v>7.5873295870479751E-2</v>
      </c>
      <c r="D82">
        <v>19.375</v>
      </c>
      <c r="E82">
        <v>133096.48389863086</v>
      </c>
      <c r="F82" t="s">
        <v>82</v>
      </c>
      <c r="G82">
        <v>19.375</v>
      </c>
      <c r="H82">
        <v>140.14626632335748</v>
      </c>
      <c r="I82" s="82">
        <f t="shared" si="21"/>
        <v>6.8467639550817694E-2</v>
      </c>
      <c r="J82">
        <v>19.375</v>
      </c>
      <c r="K82">
        <v>122290.3825281997</v>
      </c>
      <c r="L82" t="s">
        <v>82</v>
      </c>
      <c r="M82">
        <v>19.375</v>
      </c>
      <c r="N82">
        <v>140.09059960109903</v>
      </c>
      <c r="O82" s="82">
        <f t="shared" si="22"/>
        <v>6.091215066209088E-2</v>
      </c>
      <c r="P82">
        <v>19.375</v>
      </c>
      <c r="Q82">
        <v>111279.51033183398</v>
      </c>
      <c r="R82" t="s">
        <v>82</v>
      </c>
      <c r="S82">
        <v>19.375</v>
      </c>
      <c r="T82">
        <v>140.05454062945893</v>
      </c>
      <c r="U82" s="82">
        <f t="shared" si="23"/>
        <v>5.3248136698272219E-2</v>
      </c>
      <c r="V82">
        <v>19.375</v>
      </c>
      <c r="W82">
        <v>100110.51771190594</v>
      </c>
      <c r="X82" t="s">
        <v>82</v>
      </c>
      <c r="Y82">
        <v>19.375</v>
      </c>
      <c r="Z82">
        <v>140.02346359480543</v>
      </c>
      <c r="AA82" s="82">
        <f t="shared" si="24"/>
        <v>4.5438409451946882E-2</v>
      </c>
      <c r="AB82">
        <v>19.375</v>
      </c>
      <c r="AC82">
        <v>88742.399202678003</v>
      </c>
      <c r="AD82" t="s">
        <v>82</v>
      </c>
      <c r="AE82">
        <v>19.375</v>
      </c>
      <c r="AF82">
        <v>139.99224013522615</v>
      </c>
      <c r="AG82" s="82">
        <f t="shared" si="25"/>
        <v>3.7472110151014704E-2</v>
      </c>
      <c r="AH82">
        <v>19.375</v>
      </c>
      <c r="AI82">
        <v>77165.193140481802</v>
      </c>
      <c r="AJ82" t="s">
        <v>82</v>
      </c>
      <c r="AK82">
        <v>19.375</v>
      </c>
      <c r="AL82">
        <v>139.96094653848016</v>
      </c>
      <c r="AM82" s="82">
        <f t="shared" si="26"/>
        <v>2.934973986850764E-2</v>
      </c>
      <c r="AN82">
        <v>19.375</v>
      </c>
      <c r="AO82">
        <v>65381.993682504348</v>
      </c>
      <c r="AP82" t="s">
        <v>82</v>
      </c>
      <c r="AQ82">
        <v>19.375</v>
      </c>
      <c r="AR82">
        <v>139.96518981992671</v>
      </c>
      <c r="AS82" s="82">
        <f t="shared" si="27"/>
        <v>2.1549720729097999E-2</v>
      </c>
      <c r="AT82">
        <v>19.375</v>
      </c>
      <c r="AU82">
        <v>54058.690837834081</v>
      </c>
      <c r="AV82" t="s">
        <v>82</v>
      </c>
      <c r="AW82">
        <v>19.375</v>
      </c>
      <c r="AX82">
        <v>139.97768459688507</v>
      </c>
      <c r="AY82" s="82">
        <f t="shared" si="28"/>
        <v>1.3687098429670641E-2</v>
      </c>
      <c r="AZ82">
        <v>19.375</v>
      </c>
      <c r="BA82">
        <v>42663.312045377788</v>
      </c>
      <c r="BB82" t="s">
        <v>82</v>
      </c>
      <c r="BC82">
        <v>19.375</v>
      </c>
      <c r="BD82">
        <v>139.99338884498434</v>
      </c>
      <c r="BE82" s="82">
        <f t="shared" si="29"/>
        <v>5.8173613376197864E-3</v>
      </c>
      <c r="BF82">
        <v>19.375</v>
      </c>
      <c r="BG82">
        <v>31283.197967803932</v>
      </c>
      <c r="BH82" t="s">
        <v>82</v>
      </c>
      <c r="BI82">
        <v>19.375</v>
      </c>
      <c r="BJ82">
        <v>140.05708529007919</v>
      </c>
      <c r="BK82" s="82">
        <f t="shared" si="30"/>
        <v>7.2269467025876111E-4</v>
      </c>
      <c r="BL82">
        <v>19.375</v>
      </c>
      <c r="BM82">
        <v>23897.02971864575</v>
      </c>
      <c r="BN82" t="s">
        <v>82</v>
      </c>
      <c r="BO82">
        <v>19.375</v>
      </c>
      <c r="BP82">
        <v>140.10197402230406</v>
      </c>
      <c r="BQ82" s="82">
        <f t="shared" si="31"/>
        <v>1.2996143452141951E-3</v>
      </c>
      <c r="BR82">
        <v>19.375</v>
      </c>
      <c r="BS82">
        <v>25497.004455600236</v>
      </c>
      <c r="BT82" t="s">
        <v>82</v>
      </c>
      <c r="BU82">
        <v>19.375</v>
      </c>
      <c r="BV82">
        <v>140.10764135230153</v>
      </c>
      <c r="BW82" s="82">
        <f t="shared" si="32"/>
        <v>1.6646590685240881E-3</v>
      </c>
      <c r="BX82">
        <v>19.375</v>
      </c>
      <c r="BY82">
        <v>26935.621545247162</v>
      </c>
      <c r="BZ82" t="s">
        <v>82</v>
      </c>
      <c r="CA82">
        <v>19.375</v>
      </c>
      <c r="CB82">
        <v>139.86343694867188</v>
      </c>
      <c r="CC82" s="82">
        <f t="shared" si="33"/>
        <v>-2.1474164717716349E-2</v>
      </c>
      <c r="CD82">
        <v>19.375</v>
      </c>
      <c r="CE82">
        <v>57567.827682041418</v>
      </c>
      <c r="CF82" t="s">
        <v>82</v>
      </c>
      <c r="CG82">
        <v>19.375</v>
      </c>
      <c r="CH82">
        <v>139.21296070567934</v>
      </c>
      <c r="CI82" s="82">
        <f t="shared" si="34"/>
        <v>-3.4395691499241821E-2</v>
      </c>
      <c r="CJ82">
        <v>19.375</v>
      </c>
      <c r="CK82">
        <v>77357.542171702749</v>
      </c>
      <c r="CL82" t="s">
        <v>82</v>
      </c>
      <c r="CM82">
        <v>19.375</v>
      </c>
      <c r="CN82">
        <v>138.40664841142004</v>
      </c>
      <c r="CO82" s="82">
        <f t="shared" si="35"/>
        <v>-3.945771386813135E-2</v>
      </c>
      <c r="CP82">
        <v>19.375</v>
      </c>
      <c r="CQ82">
        <v>85705.957023316907</v>
      </c>
      <c r="CR82" t="s">
        <v>82</v>
      </c>
      <c r="CS82">
        <v>19.375</v>
      </c>
      <c r="CT82">
        <v>137.55595391736014</v>
      </c>
      <c r="CU82" s="82">
        <f t="shared" si="36"/>
        <v>-4.1090033564358919E-2</v>
      </c>
      <c r="CV82">
        <v>19.375</v>
      </c>
      <c r="CW82">
        <v>89085.1525250751</v>
      </c>
      <c r="CX82" t="s">
        <v>82</v>
      </c>
      <c r="CY82">
        <v>19.375</v>
      </c>
      <c r="CZ82">
        <v>136.69465442511688</v>
      </c>
      <c r="DA82" s="82">
        <f t="shared" si="37"/>
        <v>-4.1847911666593518E-2</v>
      </c>
      <c r="DB82">
        <v>19.375</v>
      </c>
      <c r="DC82">
        <v>91244.139908044584</v>
      </c>
      <c r="DD82" t="s">
        <v>82</v>
      </c>
      <c r="DG82" s="82">
        <f t="shared" si="38"/>
        <v>0</v>
      </c>
      <c r="DM82" s="82">
        <f t="shared" si="39"/>
        <v>0</v>
      </c>
    </row>
    <row r="83" spans="1:117" x14ac:dyDescent="0.2">
      <c r="A83">
        <v>19.625</v>
      </c>
      <c r="B83">
        <v>140.28197418196083</v>
      </c>
      <c r="C83" s="82">
        <f t="shared" si="20"/>
        <v>8.0549878047861512E-2</v>
      </c>
      <c r="D83">
        <v>19.625</v>
      </c>
      <c r="E83">
        <v>140160.3514631147</v>
      </c>
      <c r="F83" t="s">
        <v>82</v>
      </c>
      <c r="G83">
        <v>19.625</v>
      </c>
      <c r="H83">
        <v>140.21914208384959</v>
      </c>
      <c r="I83" s="82">
        <f t="shared" si="21"/>
        <v>7.2875760492109976E-2</v>
      </c>
      <c r="J83">
        <v>19.625</v>
      </c>
      <c r="K83">
        <v>128949.97697594717</v>
      </c>
      <c r="L83" t="s">
        <v>82</v>
      </c>
      <c r="M83">
        <v>19.625</v>
      </c>
      <c r="N83">
        <v>140.15564135682592</v>
      </c>
      <c r="O83" s="82">
        <f t="shared" si="22"/>
        <v>6.504175572689519E-2</v>
      </c>
      <c r="P83">
        <v>19.625</v>
      </c>
      <c r="Q83">
        <v>117519.46491313814</v>
      </c>
      <c r="R83" t="s">
        <v>82</v>
      </c>
      <c r="S83">
        <v>19.625</v>
      </c>
      <c r="T83">
        <v>140.11160642023691</v>
      </c>
      <c r="U83" s="82">
        <f t="shared" si="23"/>
        <v>5.7065790777983239E-2</v>
      </c>
      <c r="V83">
        <v>19.625</v>
      </c>
      <c r="W83">
        <v>105880.60284668503</v>
      </c>
      <c r="X83" t="s">
        <v>82</v>
      </c>
      <c r="Y83">
        <v>19.625</v>
      </c>
      <c r="Z83">
        <v>140.07239050699616</v>
      </c>
      <c r="AA83" s="82">
        <f t="shared" si="24"/>
        <v>4.892691219072276E-2</v>
      </c>
      <c r="AB83">
        <v>19.625</v>
      </c>
      <c r="AC83">
        <v>94016.518227843364</v>
      </c>
      <c r="AD83" t="s">
        <v>82</v>
      </c>
      <c r="AE83">
        <v>19.625</v>
      </c>
      <c r="AF83">
        <v>140.03285982613693</v>
      </c>
      <c r="AG83" s="82">
        <f t="shared" si="25"/>
        <v>4.0619690910773443E-2</v>
      </c>
      <c r="AH83">
        <v>19.625</v>
      </c>
      <c r="AI83">
        <v>81925.292511113294</v>
      </c>
      <c r="AJ83" t="s">
        <v>82</v>
      </c>
      <c r="AK83">
        <v>19.625</v>
      </c>
      <c r="AL83">
        <v>139.99309050944009</v>
      </c>
      <c r="AM83" s="82">
        <f t="shared" si="26"/>
        <v>3.2143970959936041E-2</v>
      </c>
      <c r="AN83">
        <v>19.625</v>
      </c>
      <c r="AO83">
        <v>69608.983092197479</v>
      </c>
      <c r="AP83" t="s">
        <v>82</v>
      </c>
      <c r="AQ83">
        <v>19.625</v>
      </c>
      <c r="AR83">
        <v>139.98909964898198</v>
      </c>
      <c r="AS83" s="82">
        <f t="shared" si="27"/>
        <v>2.3909829055270393E-2</v>
      </c>
      <c r="AT83">
        <v>19.625</v>
      </c>
      <c r="AU83">
        <v>57632.019667298518</v>
      </c>
      <c r="AV83" t="s">
        <v>82</v>
      </c>
      <c r="AW83">
        <v>19.625</v>
      </c>
      <c r="AX83">
        <v>139.99326855425639</v>
      </c>
      <c r="AY83" s="82">
        <f t="shared" si="28"/>
        <v>1.5583957371319457E-2</v>
      </c>
      <c r="AZ83">
        <v>19.625</v>
      </c>
      <c r="BA83">
        <v>45538.997211060268</v>
      </c>
      <c r="BB83" t="s">
        <v>82</v>
      </c>
      <c r="BC83">
        <v>19.625</v>
      </c>
      <c r="BD83">
        <v>140.00061150063914</v>
      </c>
      <c r="BE83" s="82">
        <f t="shared" si="29"/>
        <v>7.2226556548002918E-3</v>
      </c>
      <c r="BF83">
        <v>19.625</v>
      </c>
      <c r="BG83">
        <v>33418.468767416365</v>
      </c>
      <c r="BH83" t="s">
        <v>82</v>
      </c>
      <c r="BI83">
        <v>19.625</v>
      </c>
      <c r="BJ83">
        <v>140.05846487474943</v>
      </c>
      <c r="BK83" s="82">
        <f t="shared" si="30"/>
        <v>1.3795846702464587E-3</v>
      </c>
      <c r="BL83">
        <v>19.625</v>
      </c>
      <c r="BM83">
        <v>24911.322938173897</v>
      </c>
      <c r="BN83" t="s">
        <v>82</v>
      </c>
      <c r="BO83">
        <v>19.625</v>
      </c>
      <c r="BP83">
        <v>140.10381905839384</v>
      </c>
      <c r="BQ83" s="82">
        <f t="shared" si="31"/>
        <v>1.845036089775931E-3</v>
      </c>
      <c r="BR83">
        <v>19.625</v>
      </c>
      <c r="BS83">
        <v>26347.597135296492</v>
      </c>
      <c r="BT83" t="s">
        <v>82</v>
      </c>
      <c r="BU83">
        <v>19.625</v>
      </c>
      <c r="BV83">
        <v>140.10986690606555</v>
      </c>
      <c r="BW83" s="82">
        <f t="shared" si="32"/>
        <v>2.2255537640205603E-3</v>
      </c>
      <c r="BX83">
        <v>19.625</v>
      </c>
      <c r="BY83">
        <v>27811.858041050338</v>
      </c>
      <c r="BZ83" t="s">
        <v>82</v>
      </c>
      <c r="CA83">
        <v>19.625</v>
      </c>
      <c r="CB83">
        <v>139.84111195232617</v>
      </c>
      <c r="CC83" s="82">
        <f t="shared" si="33"/>
        <v>-2.2324996345702175E-2</v>
      </c>
      <c r="CD83">
        <v>19.625</v>
      </c>
      <c r="CE83">
        <v>58778.503392905906</v>
      </c>
      <c r="CF83" t="s">
        <v>82</v>
      </c>
      <c r="CG83">
        <v>19.625</v>
      </c>
      <c r="CH83">
        <v>139.17824639261178</v>
      </c>
      <c r="CI83" s="82">
        <f t="shared" si="34"/>
        <v>-3.4714313067553348E-2</v>
      </c>
      <c r="CJ83">
        <v>19.625</v>
      </c>
      <c r="CK83">
        <v>77791.915516085341</v>
      </c>
      <c r="CL83" t="s">
        <v>82</v>
      </c>
      <c r="CM83">
        <v>19.625</v>
      </c>
      <c r="CN83">
        <v>138.36709696095289</v>
      </c>
      <c r="CO83" s="82">
        <f t="shared" si="35"/>
        <v>-3.9551450467143923E-2</v>
      </c>
      <c r="CP83">
        <v>19.625</v>
      </c>
      <c r="CQ83">
        <v>85812.803721622724</v>
      </c>
      <c r="CR83" t="s">
        <v>82</v>
      </c>
      <c r="CS83">
        <v>19.625</v>
      </c>
      <c r="CT83">
        <v>137.51485773420848</v>
      </c>
      <c r="CU83" s="82">
        <f t="shared" si="36"/>
        <v>-4.1096183151665855E-2</v>
      </c>
      <c r="CV83">
        <v>19.625</v>
      </c>
      <c r="CW83">
        <v>89064.960704691388</v>
      </c>
      <c r="CX83" t="s">
        <v>82</v>
      </c>
      <c r="CY83">
        <v>19.625</v>
      </c>
      <c r="CZ83">
        <v>136.65285498261755</v>
      </c>
      <c r="DA83" s="82">
        <f t="shared" si="37"/>
        <v>-4.1799442499325323E-2</v>
      </c>
      <c r="DB83">
        <v>19.625</v>
      </c>
      <c r="DC83">
        <v>91145.096605384577</v>
      </c>
      <c r="DD83" t="s">
        <v>82</v>
      </c>
      <c r="DG83" s="82">
        <f t="shared" si="38"/>
        <v>0</v>
      </c>
      <c r="DM83" s="82">
        <f t="shared" si="39"/>
        <v>0</v>
      </c>
    </row>
    <row r="84" spans="1:117" x14ac:dyDescent="0.2">
      <c r="A84">
        <v>19.875</v>
      </c>
      <c r="B84">
        <v>140.36736757809203</v>
      </c>
      <c r="C84" s="82">
        <f t="shared" si="20"/>
        <v>8.5393396131195232E-2</v>
      </c>
      <c r="D84">
        <v>19.875</v>
      </c>
      <c r="E84">
        <v>147476.42581391163</v>
      </c>
      <c r="F84" t="s">
        <v>82</v>
      </c>
      <c r="G84">
        <v>19.875</v>
      </c>
      <c r="H84">
        <v>140.29658663936775</v>
      </c>
      <c r="I84" s="82">
        <f t="shared" si="21"/>
        <v>7.7444555518155767E-2</v>
      </c>
      <c r="J84">
        <v>19.875</v>
      </c>
      <c r="K84">
        <v>135852.36664626788</v>
      </c>
      <c r="L84" t="s">
        <v>82</v>
      </c>
      <c r="M84">
        <v>19.875</v>
      </c>
      <c r="N84">
        <v>140.22496662595225</v>
      </c>
      <c r="O84" s="82">
        <f t="shared" si="22"/>
        <v>6.9325269126323974E-2</v>
      </c>
      <c r="P84">
        <v>19.875</v>
      </c>
      <c r="Q84">
        <v>123992.03721743029</v>
      </c>
      <c r="R84" t="s">
        <v>82</v>
      </c>
      <c r="S84">
        <v>19.875</v>
      </c>
      <c r="T84">
        <v>140.17263644735758</v>
      </c>
      <c r="U84" s="82">
        <f t="shared" si="23"/>
        <v>6.1030027120665409E-2</v>
      </c>
      <c r="V84">
        <v>19.875</v>
      </c>
      <c r="W84">
        <v>111872.2559680292</v>
      </c>
      <c r="X84" t="s">
        <v>82</v>
      </c>
      <c r="Y84">
        <v>19.875</v>
      </c>
      <c r="Z84">
        <v>140.12494456508551</v>
      </c>
      <c r="AA84" s="82">
        <f t="shared" si="24"/>
        <v>5.2554058089356204E-2</v>
      </c>
      <c r="AB84">
        <v>19.875</v>
      </c>
      <c r="AC84">
        <v>99500.216335049292</v>
      </c>
      <c r="AD84" t="s">
        <v>82</v>
      </c>
      <c r="AE84">
        <v>19.875</v>
      </c>
      <c r="AF84">
        <v>140.07675712959065</v>
      </c>
      <c r="AG84" s="82">
        <f t="shared" si="25"/>
        <v>4.389730345371845E-2</v>
      </c>
      <c r="AH84">
        <v>19.875</v>
      </c>
      <c r="AI84">
        <v>86881.956305189335</v>
      </c>
      <c r="AJ84" t="s">
        <v>82</v>
      </c>
      <c r="AK84">
        <v>19.875</v>
      </c>
      <c r="AL84">
        <v>140.02814939221625</v>
      </c>
      <c r="AM84" s="82">
        <f t="shared" si="26"/>
        <v>3.5058882776155542E-2</v>
      </c>
      <c r="AN84">
        <v>19.875</v>
      </c>
      <c r="AO84">
        <v>74018.393271337118</v>
      </c>
      <c r="AP84" t="s">
        <v>82</v>
      </c>
      <c r="AQ84">
        <v>19.875</v>
      </c>
      <c r="AR84">
        <v>140.01548059388386</v>
      </c>
      <c r="AS84" s="82">
        <f t="shared" si="27"/>
        <v>2.6380944901887915E-2</v>
      </c>
      <c r="AT84">
        <v>19.875</v>
      </c>
      <c r="AU84">
        <v>61373.044676578014</v>
      </c>
      <c r="AV84" t="s">
        <v>82</v>
      </c>
      <c r="AW84">
        <v>19.875</v>
      </c>
      <c r="AX84">
        <v>140.01084993386212</v>
      </c>
      <c r="AY84" s="82">
        <f t="shared" si="28"/>
        <v>1.7581379605729808E-2</v>
      </c>
      <c r="AZ84">
        <v>19.875</v>
      </c>
      <c r="BA84">
        <v>48566.449527291617</v>
      </c>
      <c r="BB84" t="s">
        <v>82</v>
      </c>
      <c r="BC84">
        <v>19.875</v>
      </c>
      <c r="BD84">
        <v>140.0093288067512</v>
      </c>
      <c r="BE84" s="82">
        <f t="shared" si="29"/>
        <v>8.7173061120608963E-3</v>
      </c>
      <c r="BF84">
        <v>19.875</v>
      </c>
      <c r="BG84">
        <v>35688.380712359351</v>
      </c>
      <c r="BH84" t="s">
        <v>82</v>
      </c>
      <c r="BI84">
        <v>19.875</v>
      </c>
      <c r="BJ84">
        <v>140.06058234135241</v>
      </c>
      <c r="BK84" s="82">
        <f t="shared" si="30"/>
        <v>2.1174666029821765E-3</v>
      </c>
      <c r="BL84">
        <v>19.875</v>
      </c>
      <c r="BM84">
        <v>26047.077378473317</v>
      </c>
      <c r="BN84" t="s">
        <v>82</v>
      </c>
      <c r="BO84">
        <v>19.875</v>
      </c>
      <c r="BP84">
        <v>140.10629371991658</v>
      </c>
      <c r="BQ84" s="82">
        <f t="shared" si="31"/>
        <v>2.4746615227400071E-3</v>
      </c>
      <c r="BR84">
        <v>19.875</v>
      </c>
      <c r="BS84">
        <v>27284.278235635862</v>
      </c>
      <c r="BT84" t="s">
        <v>82</v>
      </c>
      <c r="BU84">
        <v>19.875</v>
      </c>
      <c r="BV84">
        <v>140.11274103946261</v>
      </c>
      <c r="BW84" s="82">
        <f t="shared" si="32"/>
        <v>2.8741333970572214E-3</v>
      </c>
      <c r="BX84">
        <v>19.875</v>
      </c>
      <c r="BY84">
        <v>28735.002070631537</v>
      </c>
      <c r="BZ84" t="s">
        <v>82</v>
      </c>
      <c r="CA84">
        <v>19.875</v>
      </c>
      <c r="CB84">
        <v>139.8179785929926</v>
      </c>
      <c r="CC84" s="82">
        <f t="shared" si="33"/>
        <v>-2.3133359333570525E-2</v>
      </c>
      <c r="CD84">
        <v>19.875</v>
      </c>
      <c r="CE84">
        <v>59926.884144554533</v>
      </c>
      <c r="CF84" t="s">
        <v>82</v>
      </c>
      <c r="CG84">
        <v>19.875</v>
      </c>
      <c r="CH84">
        <v>139.14323440174667</v>
      </c>
      <c r="CI84" s="82">
        <f t="shared" si="34"/>
        <v>-3.5011990865115195E-2</v>
      </c>
      <c r="CJ84">
        <v>19.875</v>
      </c>
      <c r="CK84">
        <v>78195.404835122419</v>
      </c>
      <c r="CL84" t="s">
        <v>82</v>
      </c>
      <c r="CM84">
        <v>19.875</v>
      </c>
      <c r="CN84">
        <v>138.32746318907641</v>
      </c>
      <c r="CO84" s="82">
        <f t="shared" si="35"/>
        <v>-3.9633771876481205E-2</v>
      </c>
      <c r="CP84">
        <v>19.875</v>
      </c>
      <c r="CQ84">
        <v>85902.678597729813</v>
      </c>
      <c r="CR84" t="s">
        <v>82</v>
      </c>
      <c r="CS84">
        <v>19.875</v>
      </c>
      <c r="CT84">
        <v>137.47376267516998</v>
      </c>
      <c r="CU84" s="82">
        <f t="shared" si="36"/>
        <v>-4.1095059038497084E-2</v>
      </c>
      <c r="CV84">
        <v>19.875</v>
      </c>
      <c r="CW84">
        <v>89033.853264483128</v>
      </c>
      <c r="CX84" t="s">
        <v>82</v>
      </c>
      <c r="CY84">
        <v>19.875</v>
      </c>
      <c r="CZ84">
        <v>136.61110837988511</v>
      </c>
      <c r="DA84" s="82">
        <f t="shared" si="37"/>
        <v>-4.1746602732445126E-2</v>
      </c>
      <c r="DB84">
        <v>19.875</v>
      </c>
      <c r="DC84">
        <v>91039.387897389825</v>
      </c>
      <c r="DD84" t="s">
        <v>82</v>
      </c>
      <c r="DG84" s="82">
        <f t="shared" si="38"/>
        <v>0</v>
      </c>
      <c r="DM84" s="82">
        <f t="shared" si="39"/>
        <v>0</v>
      </c>
    </row>
    <row r="85" spans="1:117" x14ac:dyDescent="0.2">
      <c r="A85">
        <v>20.125</v>
      </c>
      <c r="B85">
        <v>140.45777644834629</v>
      </c>
      <c r="C85" s="82">
        <f t="shared" si="20"/>
        <v>9.0408870254265139E-2</v>
      </c>
      <c r="D85">
        <v>20.125</v>
      </c>
      <c r="E85">
        <v>155052.28922166547</v>
      </c>
      <c r="F85" t="s">
        <v>82</v>
      </c>
      <c r="G85">
        <v>20.125</v>
      </c>
      <c r="H85">
        <v>140.37876554024913</v>
      </c>
      <c r="I85" s="82">
        <f t="shared" si="21"/>
        <v>8.2178900881388017E-2</v>
      </c>
      <c r="J85">
        <v>20.125</v>
      </c>
      <c r="K85">
        <v>143004.92060976685</v>
      </c>
      <c r="L85" t="s">
        <v>82</v>
      </c>
      <c r="M85">
        <v>20.125</v>
      </c>
      <c r="N85">
        <v>140.29873402908595</v>
      </c>
      <c r="O85" s="82">
        <f t="shared" si="22"/>
        <v>7.3767403133700782E-2</v>
      </c>
      <c r="P85">
        <v>20.125</v>
      </c>
      <c r="Q85">
        <v>130704.35262144278</v>
      </c>
      <c r="R85" t="s">
        <v>82</v>
      </c>
      <c r="S85">
        <v>20.125</v>
      </c>
      <c r="T85">
        <v>140.23778179159652</v>
      </c>
      <c r="U85" s="82">
        <f t="shared" si="23"/>
        <v>6.5145344238942471E-2</v>
      </c>
      <c r="V85">
        <v>20.125</v>
      </c>
      <c r="W85">
        <v>118092.2841959997</v>
      </c>
      <c r="X85" t="s">
        <v>82</v>
      </c>
      <c r="Y85">
        <v>20.125</v>
      </c>
      <c r="Z85">
        <v>140.18126866291479</v>
      </c>
      <c r="AA85" s="82">
        <f t="shared" si="24"/>
        <v>5.6324097829275388E-2</v>
      </c>
      <c r="AB85">
        <v>20.125</v>
      </c>
      <c r="AC85">
        <v>105199.93097611055</v>
      </c>
      <c r="AD85" t="s">
        <v>82</v>
      </c>
      <c r="AE85">
        <v>20.125</v>
      </c>
      <c r="AF85">
        <v>140.12406604905999</v>
      </c>
      <c r="AG85" s="82">
        <f t="shared" si="25"/>
        <v>4.7308919469344346E-2</v>
      </c>
      <c r="AH85">
        <v>20.125</v>
      </c>
      <c r="AI85">
        <v>92041.204987274061</v>
      </c>
      <c r="AJ85" t="s">
        <v>82</v>
      </c>
      <c r="AK85">
        <v>20.125</v>
      </c>
      <c r="AL85">
        <v>140.06624752527168</v>
      </c>
      <c r="AM85" s="82">
        <f t="shared" si="26"/>
        <v>3.8098133055427752E-2</v>
      </c>
      <c r="AN85">
        <v>20.125</v>
      </c>
      <c r="AO85">
        <v>78615.774628513434</v>
      </c>
      <c r="AP85" t="s">
        <v>82</v>
      </c>
      <c r="AQ85">
        <v>20.125</v>
      </c>
      <c r="AR85">
        <v>140.04444687576628</v>
      </c>
      <c r="AS85" s="82">
        <f t="shared" si="27"/>
        <v>2.8966281882418343E-2</v>
      </c>
      <c r="AT85">
        <v>20.125</v>
      </c>
      <c r="AU85">
        <v>65286.652175983872</v>
      </c>
      <c r="AV85" t="s">
        <v>82</v>
      </c>
      <c r="AW85">
        <v>20.125</v>
      </c>
      <c r="AX85">
        <v>140.03053199677433</v>
      </c>
      <c r="AY85" s="82">
        <f t="shared" si="28"/>
        <v>1.9682062912210085E-2</v>
      </c>
      <c r="AZ85">
        <v>20.125</v>
      </c>
      <c r="BA85">
        <v>51749.783031082283</v>
      </c>
      <c r="BB85" t="s">
        <v>82</v>
      </c>
      <c r="BC85">
        <v>20.125</v>
      </c>
      <c r="BD85">
        <v>140.01963222314183</v>
      </c>
      <c r="BE85" s="82">
        <f t="shared" si="29"/>
        <v>1.0303416390627262E-2</v>
      </c>
      <c r="BF85">
        <v>20.125</v>
      </c>
      <c r="BG85">
        <v>38096.157075601594</v>
      </c>
      <c r="BH85" t="s">
        <v>82</v>
      </c>
      <c r="BI85">
        <v>20.125</v>
      </c>
      <c r="BJ85">
        <v>140.06351976576735</v>
      </c>
      <c r="BK85" s="82">
        <f t="shared" si="30"/>
        <v>2.9374244149380502E-3</v>
      </c>
      <c r="BL85">
        <v>20.125</v>
      </c>
      <c r="BM85">
        <v>27305.988674118846</v>
      </c>
      <c r="BN85" t="s">
        <v>82</v>
      </c>
      <c r="BO85">
        <v>20.125</v>
      </c>
      <c r="BP85">
        <v>140.1094297344396</v>
      </c>
      <c r="BQ85" s="82">
        <f t="shared" si="31"/>
        <v>3.1360145230223679E-3</v>
      </c>
      <c r="BR85">
        <v>20.125</v>
      </c>
      <c r="BS85">
        <v>27388.189807020666</v>
      </c>
      <c r="BT85" t="s">
        <v>82</v>
      </c>
      <c r="BU85">
        <v>20.125</v>
      </c>
      <c r="BV85">
        <v>140.11623975548406</v>
      </c>
      <c r="BW85" s="82">
        <f t="shared" si="32"/>
        <v>3.4987160214541291E-3</v>
      </c>
      <c r="BX85">
        <v>20.125</v>
      </c>
      <c r="BY85">
        <v>27785.205403612632</v>
      </c>
      <c r="BZ85" t="s">
        <v>82</v>
      </c>
      <c r="CA85">
        <v>20.125</v>
      </c>
      <c r="CB85">
        <v>139.79407808118276</v>
      </c>
      <c r="CC85" s="82">
        <f t="shared" si="33"/>
        <v>-2.3900511809841873E-2</v>
      </c>
      <c r="CD85">
        <v>20.125</v>
      </c>
      <c r="CE85">
        <v>61014.789018697404</v>
      </c>
      <c r="CF85" t="s">
        <v>82</v>
      </c>
      <c r="CG85">
        <v>20.125</v>
      </c>
      <c r="CH85">
        <v>139.10794528088823</v>
      </c>
      <c r="CI85" s="82">
        <f t="shared" si="34"/>
        <v>-3.5289120858436718E-2</v>
      </c>
      <c r="CJ85">
        <v>20.125</v>
      </c>
      <c r="CK85">
        <v>78568.572770536528</v>
      </c>
      <c r="CL85" t="s">
        <v>82</v>
      </c>
      <c r="CM85">
        <v>20.125</v>
      </c>
      <c r="CN85">
        <v>138.28775849187309</v>
      </c>
      <c r="CO85" s="82">
        <f t="shared" si="35"/>
        <v>-3.9704697203319483E-2</v>
      </c>
      <c r="CP85">
        <v>20.125</v>
      </c>
      <c r="CQ85">
        <v>85975.594885165439</v>
      </c>
      <c r="CR85" t="s">
        <v>82</v>
      </c>
      <c r="CS85">
        <v>20.125</v>
      </c>
      <c r="CT85">
        <v>137.43267614610764</v>
      </c>
      <c r="CU85" s="82">
        <f t="shared" si="36"/>
        <v>-4.108652906234056E-2</v>
      </c>
      <c r="CV85">
        <v>20.125</v>
      </c>
      <c r="CW85">
        <v>88991.623315182267</v>
      </c>
      <c r="CX85" t="s">
        <v>82</v>
      </c>
      <c r="CY85">
        <v>20.125</v>
      </c>
      <c r="CZ85">
        <v>136.56941921901435</v>
      </c>
      <c r="DA85" s="82">
        <f t="shared" si="37"/>
        <v>-4.1689160870760134E-2</v>
      </c>
      <c r="DB85">
        <v>20.125</v>
      </c>
      <c r="DC85">
        <v>90926.662715618542</v>
      </c>
      <c r="DD85" t="s">
        <v>82</v>
      </c>
      <c r="DG85" s="82">
        <f t="shared" si="38"/>
        <v>0</v>
      </c>
      <c r="DM85" s="82">
        <f t="shared" si="39"/>
        <v>0</v>
      </c>
    </row>
    <row r="86" spans="1:117" x14ac:dyDescent="0.2">
      <c r="A86">
        <v>20.375</v>
      </c>
      <c r="B86">
        <v>140.55337792997662</v>
      </c>
      <c r="C86" s="82">
        <f t="shared" si="20"/>
        <v>9.5601481630325225E-2</v>
      </c>
      <c r="D86">
        <v>20.375</v>
      </c>
      <c r="E86">
        <v>162895.76600185892</v>
      </c>
      <c r="F86" t="s">
        <v>82</v>
      </c>
      <c r="G86">
        <v>20.375</v>
      </c>
      <c r="H86">
        <v>140.46584937374934</v>
      </c>
      <c r="I86" s="82">
        <f t="shared" si="21"/>
        <v>8.708383350020199E-2</v>
      </c>
      <c r="J86">
        <v>20.375</v>
      </c>
      <c r="K86">
        <v>150415.24944564982</v>
      </c>
      <c r="L86" t="s">
        <v>82</v>
      </c>
      <c r="M86">
        <v>20.375</v>
      </c>
      <c r="N86">
        <v>140.37710705863043</v>
      </c>
      <c r="O86" s="82">
        <f t="shared" si="22"/>
        <v>7.8373029544479778E-2</v>
      </c>
      <c r="P86">
        <v>20.375</v>
      </c>
      <c r="Q86">
        <v>137663.77647053145</v>
      </c>
      <c r="R86" t="s">
        <v>82</v>
      </c>
      <c r="S86">
        <v>20.375</v>
      </c>
      <c r="T86">
        <v>140.30719818989738</v>
      </c>
      <c r="U86" s="82">
        <f t="shared" si="23"/>
        <v>6.9416398300859328E-2</v>
      </c>
      <c r="V86">
        <v>20.375</v>
      </c>
      <c r="W86">
        <v>124547.73191548456</v>
      </c>
      <c r="X86" t="s">
        <v>82</v>
      </c>
      <c r="Y86">
        <v>20.375</v>
      </c>
      <c r="Z86">
        <v>140.2415100998561</v>
      </c>
      <c r="AA86" s="82">
        <f t="shared" si="24"/>
        <v>6.0241436941311122E-2</v>
      </c>
      <c r="AB86">
        <v>20.375</v>
      </c>
      <c r="AC86">
        <v>111122.33274705085</v>
      </c>
      <c r="AD86" t="s">
        <v>82</v>
      </c>
      <c r="AE86">
        <v>20.375</v>
      </c>
      <c r="AF86">
        <v>140.17492471059822</v>
      </c>
      <c r="AG86" s="82">
        <f t="shared" si="25"/>
        <v>5.0858661538228489E-2</v>
      </c>
      <c r="AH86">
        <v>20.375</v>
      </c>
      <c r="AI86">
        <v>97409.286269385761</v>
      </c>
      <c r="AJ86" t="s">
        <v>82</v>
      </c>
      <c r="AK86">
        <v>20.375</v>
      </c>
      <c r="AL86">
        <v>140.1075130503944</v>
      </c>
      <c r="AM86" s="82">
        <f t="shared" si="26"/>
        <v>4.1265525122724966E-2</v>
      </c>
      <c r="AN86">
        <v>20.375</v>
      </c>
      <c r="AO86">
        <v>83406.896931339274</v>
      </c>
      <c r="AP86" t="s">
        <v>82</v>
      </c>
      <c r="AQ86">
        <v>20.375</v>
      </c>
      <c r="AR86">
        <v>140.07611606898533</v>
      </c>
      <c r="AS86" s="82">
        <f t="shared" si="27"/>
        <v>3.1669193219045155E-2</v>
      </c>
      <c r="AT86">
        <v>20.375</v>
      </c>
      <c r="AU86">
        <v>69377.938687480622</v>
      </c>
      <c r="AV86" t="s">
        <v>82</v>
      </c>
      <c r="AW86">
        <v>20.375</v>
      </c>
      <c r="AX86">
        <v>140.05242083384869</v>
      </c>
      <c r="AY86" s="82">
        <f t="shared" si="28"/>
        <v>2.188883707435707E-2</v>
      </c>
      <c r="AZ86">
        <v>20.375</v>
      </c>
      <c r="BA86">
        <v>55093.310393571468</v>
      </c>
      <c r="BB86" t="s">
        <v>82</v>
      </c>
      <c r="BC86">
        <v>20.375</v>
      </c>
      <c r="BD86">
        <v>140.03161543592995</v>
      </c>
      <c r="BE86" s="82">
        <f t="shared" si="29"/>
        <v>1.1983212788123865E-2</v>
      </c>
      <c r="BF86">
        <v>20.375</v>
      </c>
      <c r="BG86">
        <v>40645.205516274371</v>
      </c>
      <c r="BH86" t="s">
        <v>82</v>
      </c>
      <c r="BI86">
        <v>20.375</v>
      </c>
      <c r="BJ86">
        <v>140.06736042481032</v>
      </c>
      <c r="BK86" s="82">
        <f t="shared" si="30"/>
        <v>3.8406590429644893E-3</v>
      </c>
      <c r="BL86">
        <v>20.375</v>
      </c>
      <c r="BM86">
        <v>28689.928083340037</v>
      </c>
      <c r="BN86" t="s">
        <v>82</v>
      </c>
      <c r="BO86">
        <v>20.375</v>
      </c>
      <c r="BP86">
        <v>140.11207837445042</v>
      </c>
      <c r="BQ86" s="82">
        <f t="shared" si="31"/>
        <v>2.6486400108183261E-3</v>
      </c>
      <c r="BR86">
        <v>20.375</v>
      </c>
      <c r="BS86">
        <v>26725.238352764816</v>
      </c>
      <c r="BT86" t="s">
        <v>82</v>
      </c>
      <c r="BU86">
        <v>20.375</v>
      </c>
      <c r="BV86">
        <v>140.11785602861713</v>
      </c>
      <c r="BW86" s="82">
        <f t="shared" si="32"/>
        <v>1.6162731330666702E-3</v>
      </c>
      <c r="BX86">
        <v>20.375</v>
      </c>
      <c r="BY86">
        <v>25071.981895573201</v>
      </c>
      <c r="BZ86" t="s">
        <v>82</v>
      </c>
      <c r="CA86">
        <v>20.375</v>
      </c>
      <c r="CB86">
        <v>139.76945044106441</v>
      </c>
      <c r="CC86" s="82">
        <f t="shared" si="33"/>
        <v>-2.4627640118353611E-2</v>
      </c>
      <c r="CD86">
        <v>20.375</v>
      </c>
      <c r="CE86">
        <v>62043.932091807088</v>
      </c>
      <c r="CF86" t="s">
        <v>82</v>
      </c>
      <c r="CG86">
        <v>20.375</v>
      </c>
      <c r="CH86">
        <v>139.07239921835532</v>
      </c>
      <c r="CI86" s="82">
        <f t="shared" si="34"/>
        <v>-3.5546062532915812E-2</v>
      </c>
      <c r="CJ86">
        <v>20.375</v>
      </c>
      <c r="CK86">
        <v>78911.928185754994</v>
      </c>
      <c r="CL86" t="s">
        <v>82</v>
      </c>
      <c r="CM86">
        <v>20.375</v>
      </c>
      <c r="CN86">
        <v>138.24799426685746</v>
      </c>
      <c r="CO86" s="82">
        <f t="shared" si="35"/>
        <v>-3.9764225015630927E-2</v>
      </c>
      <c r="CP86">
        <v>20.375</v>
      </c>
      <c r="CQ86">
        <v>86031.535266682346</v>
      </c>
      <c r="CR86" t="s">
        <v>82</v>
      </c>
      <c r="CS86">
        <v>20.375</v>
      </c>
      <c r="CT86">
        <v>137.3916056985986</v>
      </c>
      <c r="CU86" s="82">
        <f t="shared" si="36"/>
        <v>-4.1070447509042651E-2</v>
      </c>
      <c r="CV86">
        <v>20.375</v>
      </c>
      <c r="CW86">
        <v>88938.043613665955</v>
      </c>
      <c r="CX86" t="s">
        <v>82</v>
      </c>
      <c r="CY86">
        <v>20.375</v>
      </c>
      <c r="CZ86">
        <v>136.52779234204536</v>
      </c>
      <c r="DA86" s="82">
        <f t="shared" si="37"/>
        <v>-4.16268769689907E-2</v>
      </c>
      <c r="DB86">
        <v>20.375</v>
      </c>
      <c r="DC86">
        <v>90806.557077355406</v>
      </c>
      <c r="DD86" t="s">
        <v>82</v>
      </c>
      <c r="DG86" s="82">
        <f t="shared" si="38"/>
        <v>0</v>
      </c>
      <c r="DM86" s="82">
        <f t="shared" si="39"/>
        <v>0</v>
      </c>
    </row>
    <row r="87" spans="1:117" x14ac:dyDescent="0.2">
      <c r="A87">
        <v>20.625</v>
      </c>
      <c r="B87">
        <v>140.65435450665666</v>
      </c>
      <c r="C87" s="82">
        <f t="shared" si="20"/>
        <v>0.1009765766800399</v>
      </c>
      <c r="D87">
        <v>20.625</v>
      </c>
      <c r="E87">
        <v>171014.92859298334</v>
      </c>
      <c r="F87" t="s">
        <v>82</v>
      </c>
      <c r="G87">
        <v>20.625</v>
      </c>
      <c r="H87">
        <v>140.55801392888364</v>
      </c>
      <c r="I87" s="82">
        <f t="shared" si="21"/>
        <v>9.2164555134303328E-2</v>
      </c>
      <c r="J87">
        <v>20.625</v>
      </c>
      <c r="K87">
        <v>158091.21151879843</v>
      </c>
      <c r="L87" t="s">
        <v>82</v>
      </c>
      <c r="M87">
        <v>20.625</v>
      </c>
      <c r="N87">
        <v>140.4602542425786</v>
      </c>
      <c r="O87" s="82">
        <f t="shared" si="22"/>
        <v>8.3147183948170778E-2</v>
      </c>
      <c r="P87">
        <v>20.625</v>
      </c>
      <c r="Q87">
        <v>144877.92044673429</v>
      </c>
      <c r="R87" t="s">
        <v>82</v>
      </c>
      <c r="S87">
        <v>20.625</v>
      </c>
      <c r="T87">
        <v>140.38104619730316</v>
      </c>
      <c r="U87" s="82">
        <f t="shared" si="23"/>
        <v>7.384800740578612E-2</v>
      </c>
      <c r="V87">
        <v>20.625</v>
      </c>
      <c r="W87">
        <v>131245.88720431586</v>
      </c>
      <c r="X87" t="s">
        <v>82</v>
      </c>
      <c r="Y87">
        <v>20.625</v>
      </c>
      <c r="Z87">
        <v>140.30582073990089</v>
      </c>
      <c r="AA87" s="82">
        <f t="shared" si="24"/>
        <v>6.4310640044794809E-2</v>
      </c>
      <c r="AB87">
        <v>20.625</v>
      </c>
      <c r="AC87">
        <v>117274.33173113006</v>
      </c>
      <c r="AD87" t="s">
        <v>82</v>
      </c>
      <c r="AE87">
        <v>20.625</v>
      </c>
      <c r="AF87">
        <v>140.22947551787081</v>
      </c>
      <c r="AG87" s="82">
        <f t="shared" si="25"/>
        <v>5.4550807272590873E-2</v>
      </c>
      <c r="AH87">
        <v>20.625</v>
      </c>
      <c r="AI87">
        <v>102992.68135052656</v>
      </c>
      <c r="AJ87" t="s">
        <v>82</v>
      </c>
      <c r="AK87">
        <v>20.625</v>
      </c>
      <c r="AL87">
        <v>140.15207806230228</v>
      </c>
      <c r="AM87" s="82">
        <f t="shared" si="26"/>
        <v>4.4565011907877761E-2</v>
      </c>
      <c r="AN87">
        <v>20.625</v>
      </c>
      <c r="AO87">
        <v>88397.755303102982</v>
      </c>
      <c r="AP87" t="s">
        <v>82</v>
      </c>
      <c r="AQ87">
        <v>20.625</v>
      </c>
      <c r="AR87">
        <v>140.11060924437811</v>
      </c>
      <c r="AS87" s="82">
        <f t="shared" si="27"/>
        <v>3.4493175392782405E-2</v>
      </c>
      <c r="AT87">
        <v>20.625</v>
      </c>
      <c r="AU87">
        <v>73652.216483150609</v>
      </c>
      <c r="AV87" t="s">
        <v>82</v>
      </c>
      <c r="AW87">
        <v>20.625</v>
      </c>
      <c r="AX87">
        <v>140.07662550091555</v>
      </c>
      <c r="AY87" s="82">
        <f t="shared" si="28"/>
        <v>2.4204667066868524E-2</v>
      </c>
      <c r="AZ87">
        <v>20.625</v>
      </c>
      <c r="BA87">
        <v>58601.547748460027</v>
      </c>
      <c r="BB87" t="s">
        <v>82</v>
      </c>
      <c r="BC87">
        <v>20.625</v>
      </c>
      <c r="BD87">
        <v>140.04537448268496</v>
      </c>
      <c r="BE87" s="82">
        <f t="shared" si="29"/>
        <v>1.3759046755012605E-2</v>
      </c>
      <c r="BF87">
        <v>20.625</v>
      </c>
      <c r="BG87">
        <v>43339.121970781329</v>
      </c>
      <c r="BH87" t="s">
        <v>82</v>
      </c>
      <c r="BI87">
        <v>20.625</v>
      </c>
      <c r="BJ87">
        <v>140.07218891437049</v>
      </c>
      <c r="BK87" s="82">
        <f t="shared" si="30"/>
        <v>4.8284895601682365E-3</v>
      </c>
      <c r="BL87">
        <v>20.625</v>
      </c>
      <c r="BM87">
        <v>30200.944415374353</v>
      </c>
      <c r="BN87" t="s">
        <v>82</v>
      </c>
      <c r="BO87">
        <v>20.625</v>
      </c>
      <c r="BP87">
        <v>140.11435816371582</v>
      </c>
      <c r="BQ87" s="82">
        <f t="shared" si="31"/>
        <v>2.2797892654011775E-3</v>
      </c>
      <c r="BR87">
        <v>20.625</v>
      </c>
      <c r="BS87">
        <v>26212.051707338338</v>
      </c>
      <c r="BT87" t="s">
        <v>82</v>
      </c>
      <c r="BU87">
        <v>20.625</v>
      </c>
      <c r="BV87">
        <v>140.11774632703074</v>
      </c>
      <c r="BW87" s="82">
        <f t="shared" si="32"/>
        <v>-1.097015863820161E-4</v>
      </c>
      <c r="BX87">
        <v>20.625</v>
      </c>
      <c r="BY87">
        <v>25314.076534640692</v>
      </c>
      <c r="BZ87" t="s">
        <v>82</v>
      </c>
      <c r="CA87">
        <v>20.625</v>
      </c>
      <c r="CB87">
        <v>139.74413457999805</v>
      </c>
      <c r="CC87" s="82">
        <f t="shared" si="33"/>
        <v>-2.5315861066360412E-2</v>
      </c>
      <c r="CD87">
        <v>20.625</v>
      </c>
      <c r="CE87">
        <v>63015.925646775773</v>
      </c>
      <c r="CF87" t="s">
        <v>82</v>
      </c>
      <c r="CG87">
        <v>20.625</v>
      </c>
      <c r="CH87">
        <v>139.03661607870811</v>
      </c>
      <c r="CI87" s="82">
        <f t="shared" si="34"/>
        <v>-3.5783139647207918E-2</v>
      </c>
      <c r="CJ87">
        <v>20.625</v>
      </c>
      <c r="CK87">
        <v>79225.927247785701</v>
      </c>
      <c r="CL87" t="s">
        <v>82</v>
      </c>
      <c r="CM87">
        <v>20.625</v>
      </c>
      <c r="CN87">
        <v>138.20818193338732</v>
      </c>
      <c r="CO87" s="82">
        <f t="shared" si="35"/>
        <v>-3.9812333470138128E-2</v>
      </c>
      <c r="CP87">
        <v>20.625</v>
      </c>
      <c r="CQ87">
        <v>86070.452059075295</v>
      </c>
      <c r="CR87" t="s">
        <v>82</v>
      </c>
      <c r="CS87">
        <v>20.625</v>
      </c>
      <c r="CT87">
        <v>137.35055904366652</v>
      </c>
      <c r="CU87" s="82">
        <f t="shared" si="36"/>
        <v>-4.1046654932074489E-2</v>
      </c>
      <c r="CV87">
        <v>20.625</v>
      </c>
      <c r="CW87">
        <v>88872.866278047877</v>
      </c>
      <c r="CX87" t="s">
        <v>82</v>
      </c>
      <c r="CY87">
        <v>20.625</v>
      </c>
      <c r="CZ87">
        <v>136.48623283985472</v>
      </c>
      <c r="DA87" s="82">
        <f t="shared" si="37"/>
        <v>-4.1559502190636977E-2</v>
      </c>
      <c r="DB87">
        <v>20.625</v>
      </c>
      <c r="DC87">
        <v>90678.693427706559</v>
      </c>
      <c r="DD87" t="s">
        <v>82</v>
      </c>
      <c r="DG87" s="82">
        <f t="shared" si="38"/>
        <v>0</v>
      </c>
      <c r="DM87" s="82">
        <f t="shared" si="39"/>
        <v>0</v>
      </c>
    </row>
    <row r="88" spans="1:117" x14ac:dyDescent="0.2">
      <c r="A88">
        <v>20.875</v>
      </c>
      <c r="B88">
        <v>140.76089417786028</v>
      </c>
      <c r="C88" s="82">
        <f t="shared" si="20"/>
        <v>0.1065396712036204</v>
      </c>
      <c r="D88">
        <v>20.875</v>
      </c>
      <c r="E88">
        <v>179418.10377292329</v>
      </c>
      <c r="F88" t="s">
        <v>82</v>
      </c>
      <c r="G88">
        <v>20.875</v>
      </c>
      <c r="H88">
        <v>140.65544036558268</v>
      </c>
      <c r="I88" s="82">
        <f t="shared" si="21"/>
        <v>9.7426436699038277E-2</v>
      </c>
      <c r="J88">
        <v>20.875</v>
      </c>
      <c r="K88">
        <v>166040.91936923814</v>
      </c>
      <c r="L88" t="s">
        <v>82</v>
      </c>
      <c r="M88">
        <v>20.875</v>
      </c>
      <c r="N88">
        <v>140.54834931267501</v>
      </c>
      <c r="O88" s="82">
        <f t="shared" si="22"/>
        <v>8.8095070096414929E-2</v>
      </c>
      <c r="P88">
        <v>20.875</v>
      </c>
      <c r="Q88">
        <v>152354.64910886288</v>
      </c>
      <c r="R88" t="s">
        <v>82</v>
      </c>
      <c r="S88">
        <v>20.875</v>
      </c>
      <c r="T88">
        <v>140.45949135329465</v>
      </c>
      <c r="U88" s="82">
        <f t="shared" si="23"/>
        <v>7.8445155991488491E-2</v>
      </c>
      <c r="V88">
        <v>20.875</v>
      </c>
      <c r="W88">
        <v>138194.28840467855</v>
      </c>
      <c r="X88" t="s">
        <v>82</v>
      </c>
      <c r="Y88">
        <v>20.875</v>
      </c>
      <c r="Z88">
        <v>140.374357175103</v>
      </c>
      <c r="AA88" s="82">
        <f t="shared" si="24"/>
        <v>6.8536435202105395E-2</v>
      </c>
      <c r="AB88">
        <v>20.875</v>
      </c>
      <c r="AC88">
        <v>123663.08407178578</v>
      </c>
      <c r="AD88" t="s">
        <v>82</v>
      </c>
      <c r="AE88">
        <v>20.875</v>
      </c>
      <c r="AF88">
        <v>140.28786531147526</v>
      </c>
      <c r="AG88" s="82">
        <f t="shared" si="25"/>
        <v>5.8389793604447959E-2</v>
      </c>
      <c r="AH88">
        <v>20.875</v>
      </c>
      <c r="AI88">
        <v>108798.11139315981</v>
      </c>
      <c r="AJ88" t="s">
        <v>82</v>
      </c>
      <c r="AK88">
        <v>20.875</v>
      </c>
      <c r="AL88">
        <v>140.20007876237617</v>
      </c>
      <c r="AM88" s="82">
        <f t="shared" si="26"/>
        <v>4.8000700073885127E-2</v>
      </c>
      <c r="AN88">
        <v>20.875</v>
      </c>
      <c r="AO88">
        <v>93594.576486580016</v>
      </c>
      <c r="AP88" t="s">
        <v>82</v>
      </c>
      <c r="AQ88">
        <v>20.875</v>
      </c>
      <c r="AR88">
        <v>140.14805111633021</v>
      </c>
      <c r="AS88" s="82">
        <f t="shared" si="27"/>
        <v>3.7441871952097472E-2</v>
      </c>
      <c r="AT88">
        <v>20.875</v>
      </c>
      <c r="AU88">
        <v>78115.019353610231</v>
      </c>
      <c r="AV88" t="s">
        <v>82</v>
      </c>
      <c r="AW88">
        <v>20.875</v>
      </c>
      <c r="AX88">
        <v>140.10325815730397</v>
      </c>
      <c r="AY88" s="82">
        <f t="shared" si="28"/>
        <v>2.6632656388414944E-2</v>
      </c>
      <c r="AZ88">
        <v>20.875</v>
      </c>
      <c r="BA88">
        <v>62279.219763185916</v>
      </c>
      <c r="BB88" t="s">
        <v>82</v>
      </c>
      <c r="BC88">
        <v>20.875</v>
      </c>
      <c r="BD88">
        <v>140.06100788031998</v>
      </c>
      <c r="BE88" s="82">
        <f t="shared" si="29"/>
        <v>1.5633397635014035E-2</v>
      </c>
      <c r="BF88">
        <v>20.875</v>
      </c>
      <c r="BG88">
        <v>46181.694714445257</v>
      </c>
      <c r="BH88" t="s">
        <v>82</v>
      </c>
      <c r="BI88">
        <v>20.875</v>
      </c>
      <c r="BJ88">
        <v>140.07809126892354</v>
      </c>
      <c r="BK88" s="82">
        <f t="shared" si="30"/>
        <v>5.9023545530578758E-3</v>
      </c>
      <c r="BL88">
        <v>20.875</v>
      </c>
      <c r="BM88">
        <v>31841.266219055731</v>
      </c>
      <c r="BN88" t="s">
        <v>82</v>
      </c>
      <c r="BO88">
        <v>20.875</v>
      </c>
      <c r="BP88">
        <v>140.1163514437643</v>
      </c>
      <c r="BQ88" s="82">
        <f t="shared" si="31"/>
        <v>1.9932800484809832E-3</v>
      </c>
      <c r="BR88">
        <v>20.875</v>
      </c>
      <c r="BS88">
        <v>25821.230082100697</v>
      </c>
      <c r="BT88" t="s">
        <v>82</v>
      </c>
      <c r="BU88">
        <v>20.875</v>
      </c>
      <c r="BV88">
        <v>140.11598933626703</v>
      </c>
      <c r="BW88" s="82">
        <f t="shared" si="32"/>
        <v>-1.7569907637096094E-3</v>
      </c>
      <c r="BX88">
        <v>20.875</v>
      </c>
      <c r="BY88">
        <v>27684.313879664303</v>
      </c>
      <c r="BZ88" t="s">
        <v>82</v>
      </c>
      <c r="CA88">
        <v>20.875</v>
      </c>
      <c r="CB88">
        <v>139.71816835598233</v>
      </c>
      <c r="CC88" s="82">
        <f t="shared" si="33"/>
        <v>-2.5966224015718353E-2</v>
      </c>
      <c r="CD88">
        <v>20.875</v>
      </c>
      <c r="CE88">
        <v>63932.283152532902</v>
      </c>
      <c r="CF88" t="s">
        <v>82</v>
      </c>
      <c r="CG88">
        <v>20.875</v>
      </c>
      <c r="CH88">
        <v>139.00061543778898</v>
      </c>
      <c r="CI88" s="82">
        <f t="shared" si="34"/>
        <v>-3.6000640919127136E-2</v>
      </c>
      <c r="CJ88">
        <v>20.875</v>
      </c>
      <c r="CK88">
        <v>79510.974393227778</v>
      </c>
      <c r="CL88" t="s">
        <v>82</v>
      </c>
      <c r="CM88">
        <v>20.875</v>
      </c>
      <c r="CN88">
        <v>138.16833295309192</v>
      </c>
      <c r="CO88" s="82">
        <f t="shared" si="35"/>
        <v>-3.984898029540318E-2</v>
      </c>
      <c r="CP88">
        <v>20.875</v>
      </c>
      <c r="CQ88">
        <v>86092.267142241661</v>
      </c>
      <c r="CR88" t="s">
        <v>82</v>
      </c>
      <c r="CS88">
        <v>20.875</v>
      </c>
      <c r="CT88">
        <v>137.30954406578039</v>
      </c>
      <c r="CU88" s="82">
        <f t="shared" si="36"/>
        <v>-4.1014977886135284E-2</v>
      </c>
      <c r="CV88">
        <v>20.875</v>
      </c>
      <c r="CW88">
        <v>88795.822379920384</v>
      </c>
      <c r="CX88" t="s">
        <v>82</v>
      </c>
      <c r="CY88">
        <v>20.875</v>
      </c>
      <c r="CZ88">
        <v>136.44474606146704</v>
      </c>
      <c r="DA88" s="82">
        <f t="shared" si="37"/>
        <v>-4.1486778387678669E-2</v>
      </c>
      <c r="DB88">
        <v>20.875</v>
      </c>
      <c r="DC88">
        <v>90542.680000073902</v>
      </c>
      <c r="DD88" t="s">
        <v>82</v>
      </c>
      <c r="DG88" s="82">
        <f t="shared" si="38"/>
        <v>0</v>
      </c>
      <c r="DM88" s="82">
        <f t="shared" si="39"/>
        <v>0</v>
      </c>
    </row>
    <row r="89" spans="1:117" x14ac:dyDescent="0.2">
      <c r="A89">
        <v>21.125</v>
      </c>
      <c r="B89">
        <v>140.87319063250544</v>
      </c>
      <c r="C89" s="82">
        <f t="shared" si="20"/>
        <v>0.11229645464516125</v>
      </c>
      <c r="D89">
        <v>21.125</v>
      </c>
      <c r="E89">
        <v>188113.87901811232</v>
      </c>
      <c r="F89" t="s">
        <v>82</v>
      </c>
      <c r="G89">
        <v>21.125</v>
      </c>
      <c r="H89">
        <v>140.75831538822578</v>
      </c>
      <c r="I89" s="82">
        <f t="shared" si="21"/>
        <v>0.10287502264310433</v>
      </c>
      <c r="J89">
        <v>21.125</v>
      </c>
      <c r="K89">
        <v>174272.74626217506</v>
      </c>
      <c r="L89" t="s">
        <v>82</v>
      </c>
      <c r="M89">
        <v>21.125</v>
      </c>
      <c r="N89">
        <v>140.64157137706718</v>
      </c>
      <c r="O89" s="82">
        <f t="shared" si="22"/>
        <v>9.3222064392165294E-2</v>
      </c>
      <c r="P89">
        <v>21.125</v>
      </c>
      <c r="Q89">
        <v>160102.08660926737</v>
      </c>
      <c r="R89" t="s">
        <v>82</v>
      </c>
      <c r="S89">
        <v>21.125</v>
      </c>
      <c r="T89">
        <v>140.54270435264795</v>
      </c>
      <c r="U89" s="82">
        <f t="shared" si="23"/>
        <v>8.3212999353293071E-2</v>
      </c>
      <c r="V89">
        <v>21.125</v>
      </c>
      <c r="W89">
        <v>145400.73090603735</v>
      </c>
      <c r="X89" t="s">
        <v>82</v>
      </c>
      <c r="Y89">
        <v>21.125</v>
      </c>
      <c r="Z89">
        <v>140.44728089354288</v>
      </c>
      <c r="AA89" s="82">
        <f t="shared" si="24"/>
        <v>7.2923718439881213E-2</v>
      </c>
      <c r="AB89">
        <v>21.125</v>
      </c>
      <c r="AC89">
        <v>130295.99871365426</v>
      </c>
      <c r="AD89" t="s">
        <v>82</v>
      </c>
      <c r="AE89">
        <v>21.125</v>
      </c>
      <c r="AF89">
        <v>140.3502455327004</v>
      </c>
      <c r="AG89" s="82">
        <f t="shared" si="25"/>
        <v>6.2380221225140531E-2</v>
      </c>
      <c r="AH89">
        <v>21.125</v>
      </c>
      <c r="AI89">
        <v>114832.54415544651</v>
      </c>
      <c r="AJ89" t="s">
        <v>82</v>
      </c>
      <c r="AK89">
        <v>21.125</v>
      </c>
      <c r="AL89">
        <v>140.25165561669183</v>
      </c>
      <c r="AM89" s="82">
        <f t="shared" si="26"/>
        <v>5.1576854315669607E-2</v>
      </c>
      <c r="AN89">
        <v>21.125</v>
      </c>
      <c r="AO89">
        <v>99003.825324508347</v>
      </c>
      <c r="AP89" t="s">
        <v>82</v>
      </c>
      <c r="AQ89">
        <v>21.125</v>
      </c>
      <c r="AR89">
        <v>140.18857019380965</v>
      </c>
      <c r="AS89" s="82">
        <f t="shared" si="27"/>
        <v>4.0519077479444832E-2</v>
      </c>
      <c r="AT89">
        <v>21.125</v>
      </c>
      <c r="AU89">
        <v>82772.108594438629</v>
      </c>
      <c r="AV89" t="s">
        <v>82</v>
      </c>
      <c r="AW89">
        <v>21.125</v>
      </c>
      <c r="AX89">
        <v>140.13243420786392</v>
      </c>
      <c r="AY89" s="82">
        <f t="shared" si="28"/>
        <v>2.9176050559954092E-2</v>
      </c>
      <c r="AZ89">
        <v>21.125</v>
      </c>
      <c r="BA89">
        <v>66131.264948198368</v>
      </c>
      <c r="BB89" t="s">
        <v>82</v>
      </c>
      <c r="BC89">
        <v>21.125</v>
      </c>
      <c r="BD89">
        <v>140.07861675581591</v>
      </c>
      <c r="BE89" s="82">
        <f t="shared" si="29"/>
        <v>1.7608875495938037E-2</v>
      </c>
      <c r="BF89">
        <v>21.125</v>
      </c>
      <c r="BG89">
        <v>49176.908751768096</v>
      </c>
      <c r="BH89" t="s">
        <v>82</v>
      </c>
      <c r="BI89">
        <v>21.125</v>
      </c>
      <c r="BJ89">
        <v>140.08515508261533</v>
      </c>
      <c r="BK89" s="82">
        <f t="shared" si="30"/>
        <v>7.0638136917864358E-3</v>
      </c>
      <c r="BL89">
        <v>21.125</v>
      </c>
      <c r="BM89">
        <v>33613.304215554759</v>
      </c>
      <c r="BN89" t="s">
        <v>82</v>
      </c>
      <c r="BO89">
        <v>21.125</v>
      </c>
      <c r="BP89">
        <v>140.11814011255271</v>
      </c>
      <c r="BQ89" s="82">
        <f t="shared" si="31"/>
        <v>1.7886687884072217E-3</v>
      </c>
      <c r="BR89">
        <v>21.125</v>
      </c>
      <c r="BS89">
        <v>25552.21033709457</v>
      </c>
      <c r="BT89" t="s">
        <v>82</v>
      </c>
      <c r="BU89">
        <v>21.125</v>
      </c>
      <c r="BV89">
        <v>140.11266113886794</v>
      </c>
      <c r="BW89" s="82">
        <f t="shared" si="32"/>
        <v>-3.3281973990995084E-3</v>
      </c>
      <c r="BX89">
        <v>21.125</v>
      </c>
      <c r="BY89">
        <v>29943.449207735575</v>
      </c>
      <c r="BZ89" t="s">
        <v>82</v>
      </c>
      <c r="CA89">
        <v>21.125</v>
      </c>
      <c r="CB89">
        <v>139.69158864312155</v>
      </c>
      <c r="CC89" s="82">
        <f t="shared" si="33"/>
        <v>-2.6579712860780091E-2</v>
      </c>
      <c r="CD89">
        <v>21.125</v>
      </c>
      <c r="CE89">
        <v>64794.422105065947</v>
      </c>
      <c r="CF89" t="s">
        <v>82</v>
      </c>
      <c r="CG89">
        <v>21.125</v>
      </c>
      <c r="CH89">
        <v>138.96441661714144</v>
      </c>
      <c r="CI89" s="82">
        <f t="shared" si="34"/>
        <v>-3.6198820647541652E-2</v>
      </c>
      <c r="CJ89">
        <v>21.125</v>
      </c>
      <c r="CK89">
        <v>79767.42321563157</v>
      </c>
      <c r="CL89" t="s">
        <v>82</v>
      </c>
      <c r="CM89">
        <v>21.125</v>
      </c>
      <c r="CN89">
        <v>138.12845885026411</v>
      </c>
      <c r="CO89" s="82">
        <f t="shared" si="35"/>
        <v>-3.9874102827809565E-2</v>
      </c>
      <c r="CP89">
        <v>21.125</v>
      </c>
      <c r="CQ89">
        <v>86096.871998559654</v>
      </c>
      <c r="CR89" t="s">
        <v>82</v>
      </c>
      <c r="CS89">
        <v>21.125</v>
      </c>
      <c r="CT89">
        <v>137.26856883712583</v>
      </c>
      <c r="CU89" s="82">
        <f t="shared" si="36"/>
        <v>-4.0975228654559714E-2</v>
      </c>
      <c r="CV89">
        <v>21.125</v>
      </c>
      <c r="CW89">
        <v>88706.621507955846</v>
      </c>
      <c r="CX89" t="s">
        <v>82</v>
      </c>
      <c r="CY89">
        <v>21.125</v>
      </c>
      <c r="CZ89">
        <v>136.4033376238564</v>
      </c>
      <c r="DA89" s="82">
        <f t="shared" si="37"/>
        <v>-4.1408437610641613E-2</v>
      </c>
      <c r="DB89">
        <v>21.125</v>
      </c>
      <c r="DC89">
        <v>90398.110073245567</v>
      </c>
      <c r="DD89" t="s">
        <v>82</v>
      </c>
      <c r="DG89" s="82">
        <f t="shared" si="38"/>
        <v>0</v>
      </c>
      <c r="DM89" s="82">
        <f t="shared" si="39"/>
        <v>0</v>
      </c>
    </row>
    <row r="90" spans="1:117" x14ac:dyDescent="0.2">
      <c r="A90">
        <v>21.375</v>
      </c>
      <c r="B90">
        <v>140.99144342695521</v>
      </c>
      <c r="C90" s="82">
        <f t="shared" si="20"/>
        <v>0.11825279444977355</v>
      </c>
      <c r="D90">
        <v>21.375</v>
      </c>
      <c r="E90">
        <v>197111.10895278442</v>
      </c>
      <c r="F90" t="s">
        <v>82</v>
      </c>
      <c r="G90">
        <v>21.375</v>
      </c>
      <c r="H90">
        <v>140.86683142367144</v>
      </c>
      <c r="I90" s="82">
        <f t="shared" si="21"/>
        <v>0.10851603544566046</v>
      </c>
      <c r="J90">
        <v>21.375</v>
      </c>
      <c r="K90">
        <v>182795.33283342971</v>
      </c>
      <c r="L90" t="s">
        <v>82</v>
      </c>
      <c r="M90">
        <v>21.375</v>
      </c>
      <c r="N90">
        <v>140.74010509756621</v>
      </c>
      <c r="O90" s="82">
        <f t="shared" si="22"/>
        <v>9.8533720499034416E-2</v>
      </c>
      <c r="P90">
        <v>21.375</v>
      </c>
      <c r="Q90">
        <v>168128.62349836534</v>
      </c>
      <c r="R90" t="s">
        <v>82</v>
      </c>
      <c r="S90">
        <v>21.375</v>
      </c>
      <c r="T90">
        <v>140.63086122094103</v>
      </c>
      <c r="U90" s="82">
        <f t="shared" si="23"/>
        <v>8.8156868293083335E-2</v>
      </c>
      <c r="V90">
        <v>21.375</v>
      </c>
      <c r="W90">
        <v>152873.27407135908</v>
      </c>
      <c r="X90" t="s">
        <v>82</v>
      </c>
      <c r="Y90">
        <v>21.375</v>
      </c>
      <c r="Z90">
        <v>140.52475845191125</v>
      </c>
      <c r="AA90" s="82">
        <f t="shared" si="24"/>
        <v>7.7477558368372001E-2</v>
      </c>
      <c r="AB90">
        <v>21.375</v>
      </c>
      <c r="AC90">
        <v>137180.74436688743</v>
      </c>
      <c r="AD90" t="s">
        <v>82</v>
      </c>
      <c r="AE90">
        <v>21.375</v>
      </c>
      <c r="AF90">
        <v>140.41677239185333</v>
      </c>
      <c r="AG90" s="82">
        <f t="shared" si="25"/>
        <v>6.6526859152929774E-2</v>
      </c>
      <c r="AH90">
        <v>21.375</v>
      </c>
      <c r="AI90">
        <v>121103.20088568483</v>
      </c>
      <c r="AJ90" t="s">
        <v>82</v>
      </c>
      <c r="AK90">
        <v>21.375</v>
      </c>
      <c r="AL90">
        <v>140.30695351850491</v>
      </c>
      <c r="AM90" s="82">
        <f t="shared" si="26"/>
        <v>5.5297901813077033E-2</v>
      </c>
      <c r="AN90">
        <v>21.375</v>
      </c>
      <c r="AO90">
        <v>104632.21143389755</v>
      </c>
      <c r="AP90" t="s">
        <v>82</v>
      </c>
      <c r="AQ90">
        <v>21.375</v>
      </c>
      <c r="AR90">
        <v>140.23229893552258</v>
      </c>
      <c r="AS90" s="82">
        <f t="shared" si="27"/>
        <v>4.3728741712925512E-2</v>
      </c>
      <c r="AT90">
        <v>21.375</v>
      </c>
      <c r="AU90">
        <v>87629.479237564738</v>
      </c>
      <c r="AV90" t="s">
        <v>82</v>
      </c>
      <c r="AW90">
        <v>21.375</v>
      </c>
      <c r="AX90">
        <v>140.16427244864838</v>
      </c>
      <c r="AY90" s="82">
        <f t="shared" si="28"/>
        <v>3.183824078445241E-2</v>
      </c>
      <c r="AZ90">
        <v>21.375</v>
      </c>
      <c r="BA90">
        <v>70162.841183761499</v>
      </c>
      <c r="BB90" t="s">
        <v>82</v>
      </c>
      <c r="BC90">
        <v>21.375</v>
      </c>
      <c r="BD90">
        <v>140.09830498000102</v>
      </c>
      <c r="BE90" s="82">
        <f t="shared" si="29"/>
        <v>1.9688224185102854E-2</v>
      </c>
      <c r="BF90">
        <v>21.375</v>
      </c>
      <c r="BG90">
        <v>52328.950389321115</v>
      </c>
      <c r="BH90" t="s">
        <v>82</v>
      </c>
      <c r="BI90">
        <v>21.375</v>
      </c>
      <c r="BJ90">
        <v>140.09346963211803</v>
      </c>
      <c r="BK90" s="82">
        <f t="shared" si="30"/>
        <v>8.3145495026997196E-3</v>
      </c>
      <c r="BL90">
        <v>21.375</v>
      </c>
      <c r="BM90">
        <v>35519.654007425328</v>
      </c>
      <c r="BN90" t="s">
        <v>82</v>
      </c>
      <c r="BO90">
        <v>21.375</v>
      </c>
      <c r="BP90">
        <v>140.11980575039851</v>
      </c>
      <c r="BQ90" s="82">
        <f t="shared" si="31"/>
        <v>1.665637845803758E-3</v>
      </c>
      <c r="BR90">
        <v>21.375</v>
      </c>
      <c r="BS90">
        <v>25404.61506047938</v>
      </c>
      <c r="BT90" t="s">
        <v>82</v>
      </c>
      <c r="BU90">
        <v>21.375</v>
      </c>
      <c r="BV90">
        <v>140.10783534263908</v>
      </c>
      <c r="BW90" s="82">
        <f t="shared" si="32"/>
        <v>-4.8257962288573708E-3</v>
      </c>
      <c r="BX90">
        <v>21.375</v>
      </c>
      <c r="BY90">
        <v>32094.97479899547</v>
      </c>
      <c r="BZ90" t="s">
        <v>82</v>
      </c>
      <c r="CA90">
        <v>21.375</v>
      </c>
      <c r="CB90">
        <v>139.66443139521849</v>
      </c>
      <c r="CC90" s="82">
        <f t="shared" si="33"/>
        <v>-2.7157247903062398E-2</v>
      </c>
      <c r="CD90">
        <v>21.375</v>
      </c>
      <c r="CE90">
        <v>65603.666691767416</v>
      </c>
      <c r="CF90" t="s">
        <v>82</v>
      </c>
      <c r="CG90">
        <v>21.375</v>
      </c>
      <c r="CH90">
        <v>138.92803871787464</v>
      </c>
      <c r="CI90" s="82">
        <f t="shared" si="34"/>
        <v>-3.6377899266796021E-2</v>
      </c>
      <c r="CJ90">
        <v>21.375</v>
      </c>
      <c r="CK90">
        <v>79995.577243541484</v>
      </c>
      <c r="CL90" t="s">
        <v>82</v>
      </c>
      <c r="CM90">
        <v>21.375</v>
      </c>
      <c r="CN90">
        <v>138.08857123230678</v>
      </c>
      <c r="CO90" s="82">
        <f t="shared" si="35"/>
        <v>-3.9887617957333532E-2</v>
      </c>
      <c r="CP90">
        <v>21.375</v>
      </c>
      <c r="CQ90">
        <v>86084.127599906104</v>
      </c>
      <c r="CR90" t="s">
        <v>82</v>
      </c>
      <c r="CS90">
        <v>21.375</v>
      </c>
      <c r="CT90">
        <v>137.22764163214885</v>
      </c>
      <c r="CU90" s="82">
        <f t="shared" si="36"/>
        <v>-4.0927204976981102E-2</v>
      </c>
      <c r="CV90">
        <v>21.375</v>
      </c>
      <c r="CW90">
        <v>88604.951354570236</v>
      </c>
      <c r="CX90" t="s">
        <v>82</v>
      </c>
      <c r="CY90">
        <v>21.375</v>
      </c>
      <c r="CZ90">
        <v>136.36201342220329</v>
      </c>
      <c r="DA90" s="82">
        <f t="shared" si="37"/>
        <v>-4.1324201653111459E-2</v>
      </c>
      <c r="DB90">
        <v>21.375</v>
      </c>
      <c r="DC90">
        <v>90244.561276180699</v>
      </c>
      <c r="DD90" t="s">
        <v>82</v>
      </c>
      <c r="DG90" s="82">
        <f t="shared" si="38"/>
        <v>0</v>
      </c>
      <c r="DM90" s="82">
        <f t="shared" si="39"/>
        <v>0</v>
      </c>
    </row>
    <row r="91" spans="1:117" x14ac:dyDescent="0.2">
      <c r="A91">
        <v>21.625</v>
      </c>
      <c r="B91">
        <v>141.11585816744329</v>
      </c>
      <c r="C91" s="82">
        <f t="shared" si="20"/>
        <v>0.12441474048807777</v>
      </c>
      <c r="D91">
        <v>21.625</v>
      </c>
      <c r="E91">
        <v>206418.9218989519</v>
      </c>
      <c r="F91" t="s">
        <v>82</v>
      </c>
      <c r="G91">
        <v>21.625</v>
      </c>
      <c r="H91">
        <v>140.98118680384357</v>
      </c>
      <c r="I91" s="82">
        <f t="shared" si="21"/>
        <v>0.11435538017212821</v>
      </c>
      <c r="J91">
        <v>21.625</v>
      </c>
      <c r="K91">
        <v>191617.59394823993</v>
      </c>
      <c r="L91" t="s">
        <v>82</v>
      </c>
      <c r="M91">
        <v>21.625</v>
      </c>
      <c r="N91">
        <v>140.84414087157734</v>
      </c>
      <c r="O91" s="82">
        <f t="shared" si="22"/>
        <v>0.10403577401112329</v>
      </c>
      <c r="P91">
        <v>21.625</v>
      </c>
      <c r="Q91">
        <v>176442.92379705299</v>
      </c>
      <c r="R91" t="s">
        <v>82</v>
      </c>
      <c r="S91">
        <v>21.625</v>
      </c>
      <c r="T91">
        <v>140.72414349482281</v>
      </c>
      <c r="U91" s="82">
        <f t="shared" si="23"/>
        <v>9.328227388178334E-2</v>
      </c>
      <c r="V91">
        <v>21.625</v>
      </c>
      <c r="W91">
        <v>160620.24840030706</v>
      </c>
      <c r="X91" t="s">
        <v>82</v>
      </c>
      <c r="Y91">
        <v>21.625</v>
      </c>
      <c r="Z91">
        <v>140.60696165287706</v>
      </c>
      <c r="AA91" s="82">
        <f t="shared" si="24"/>
        <v>8.2203200965807355E-2</v>
      </c>
      <c r="AB91">
        <v>21.625</v>
      </c>
      <c r="AC91">
        <v>144325.25666068454</v>
      </c>
      <c r="AD91" t="s">
        <v>82</v>
      </c>
      <c r="AE91">
        <v>21.625</v>
      </c>
      <c r="AF91">
        <v>140.48760704131291</v>
      </c>
      <c r="AG91" s="82">
        <f t="shared" si="25"/>
        <v>7.0834649459584398E-2</v>
      </c>
      <c r="AH91">
        <v>21.625</v>
      </c>
      <c r="AI91">
        <v>127617.56340648026</v>
      </c>
      <c r="AJ91" t="s">
        <v>82</v>
      </c>
      <c r="AK91">
        <v>21.625</v>
      </c>
      <c r="AL91">
        <v>140.36612195532524</v>
      </c>
      <c r="AM91" s="82">
        <f t="shared" si="26"/>
        <v>5.9168436820328907E-2</v>
      </c>
      <c r="AN91">
        <v>21.625</v>
      </c>
      <c r="AO91">
        <v>110486.69615996754</v>
      </c>
      <c r="AP91" t="s">
        <v>82</v>
      </c>
      <c r="AQ91">
        <v>21.625</v>
      </c>
      <c r="AR91">
        <v>140.27937390934846</v>
      </c>
      <c r="AS91" s="82">
        <f t="shared" si="27"/>
        <v>4.7074973825885991E-2</v>
      </c>
      <c r="AT91">
        <v>21.625</v>
      </c>
      <c r="AU91">
        <v>92693.366533449022</v>
      </c>
      <c r="AV91" t="s">
        <v>82</v>
      </c>
      <c r="AW91">
        <v>21.625</v>
      </c>
      <c r="AX91">
        <v>140.19889521640883</v>
      </c>
      <c r="AY91" s="82">
        <f t="shared" si="28"/>
        <v>3.4622767760453144E-2</v>
      </c>
      <c r="AZ91">
        <v>21.625</v>
      </c>
      <c r="BA91">
        <v>74379.331548669259</v>
      </c>
      <c r="BB91" t="s">
        <v>82</v>
      </c>
      <c r="BC91">
        <v>21.625</v>
      </c>
      <c r="BD91">
        <v>140.12017930450452</v>
      </c>
      <c r="BE91" s="82">
        <f t="shared" si="29"/>
        <v>2.187432450350002E-2</v>
      </c>
      <c r="BF91">
        <v>21.625</v>
      </c>
      <c r="BG91">
        <v>55642.21209798981</v>
      </c>
      <c r="BH91" t="s">
        <v>82</v>
      </c>
      <c r="BI91">
        <v>21.625</v>
      </c>
      <c r="BJ91">
        <v>140.1031260014407</v>
      </c>
      <c r="BK91" s="82">
        <f t="shared" si="30"/>
        <v>9.6563693226698888E-3</v>
      </c>
      <c r="BL91">
        <v>21.625</v>
      </c>
      <c r="BM91">
        <v>37563.099020104499</v>
      </c>
      <c r="BN91" t="s">
        <v>82</v>
      </c>
      <c r="BO91">
        <v>21.625</v>
      </c>
      <c r="BP91">
        <v>140.12142974487264</v>
      </c>
      <c r="BQ91" s="82">
        <f t="shared" si="31"/>
        <v>1.623994474130086E-3</v>
      </c>
      <c r="BR91">
        <v>21.625</v>
      </c>
      <c r="BS91">
        <v>25378.251024041401</v>
      </c>
      <c r="BT91" t="s">
        <v>82</v>
      </c>
      <c r="BU91">
        <v>21.625</v>
      </c>
      <c r="BV91">
        <v>140.10158320449702</v>
      </c>
      <c r="BW91" s="82">
        <f t="shared" si="32"/>
        <v>-6.2521381420594935E-3</v>
      </c>
      <c r="BX91">
        <v>21.625</v>
      </c>
      <c r="BY91">
        <v>34142.23465847101</v>
      </c>
      <c r="BZ91" t="s">
        <v>82</v>
      </c>
      <c r="CA91">
        <v>21.625</v>
      </c>
      <c r="CB91">
        <v>139.63673170762775</v>
      </c>
      <c r="CC91" s="82">
        <f t="shared" si="33"/>
        <v>-2.7699687590740041E-2</v>
      </c>
      <c r="CD91">
        <v>21.625</v>
      </c>
      <c r="CE91">
        <v>66361.250299214473</v>
      </c>
      <c r="CF91" t="s">
        <v>82</v>
      </c>
      <c r="CG91">
        <v>21.625</v>
      </c>
      <c r="CH91">
        <v>138.89150065400835</v>
      </c>
      <c r="CI91" s="82">
        <f t="shared" si="34"/>
        <v>-3.6538063866288439E-2</v>
      </c>
      <c r="CJ91">
        <v>21.625</v>
      </c>
      <c r="CK91">
        <v>80195.690668081719</v>
      </c>
      <c r="CL91" t="s">
        <v>82</v>
      </c>
      <c r="CM91">
        <v>21.625</v>
      </c>
      <c r="CN91">
        <v>138.04868181025111</v>
      </c>
      <c r="CO91" s="82">
        <f t="shared" si="35"/>
        <v>-3.9889422055665591E-2</v>
      </c>
      <c r="CP91">
        <v>21.625</v>
      </c>
      <c r="CQ91">
        <v>86053.864272850653</v>
      </c>
      <c r="CR91" t="s">
        <v>82</v>
      </c>
      <c r="CS91">
        <v>21.625</v>
      </c>
      <c r="CT91">
        <v>137.1867709424485</v>
      </c>
      <c r="CU91" s="82">
        <f t="shared" si="36"/>
        <v>-4.0870689700341245E-2</v>
      </c>
      <c r="CV91">
        <v>21.625</v>
      </c>
      <c r="CW91">
        <v>88490.477169955208</v>
      </c>
      <c r="CX91" t="s">
        <v>82</v>
      </c>
      <c r="CY91">
        <v>21.625</v>
      </c>
      <c r="CZ91">
        <v>136.32077964065729</v>
      </c>
      <c r="DA91" s="82">
        <f t="shared" si="37"/>
        <v>-4.1233781545997772E-2</v>
      </c>
      <c r="DB91">
        <v>21.625</v>
      </c>
      <c r="DC91">
        <v>90081.594830498536</v>
      </c>
      <c r="DD91" t="s">
        <v>82</v>
      </c>
      <c r="DG91" s="82">
        <f t="shared" si="38"/>
        <v>0</v>
      </c>
      <c r="DM91" s="82">
        <f t="shared" si="39"/>
        <v>0</v>
      </c>
    </row>
    <row r="92" spans="1:117" x14ac:dyDescent="0.2">
      <c r="A92">
        <v>21.875</v>
      </c>
      <c r="B92">
        <v>141.24664669698475</v>
      </c>
      <c r="C92" s="82">
        <f t="shared" si="20"/>
        <v>0.13078852954146214</v>
      </c>
      <c r="D92">
        <v>21.875</v>
      </c>
      <c r="E92">
        <v>216046.7265587289</v>
      </c>
      <c r="F92" t="s">
        <v>82</v>
      </c>
      <c r="G92">
        <v>21.875</v>
      </c>
      <c r="H92">
        <v>141.10158595302062</v>
      </c>
      <c r="I92" s="82">
        <f t="shared" si="21"/>
        <v>0.12039914917704664</v>
      </c>
      <c r="J92">
        <v>21.875</v>
      </c>
      <c r="K92">
        <v>200748.7255844966</v>
      </c>
      <c r="L92" t="s">
        <v>82</v>
      </c>
      <c r="M92">
        <v>21.875</v>
      </c>
      <c r="N92">
        <v>140.95387501887865</v>
      </c>
      <c r="O92" s="82">
        <f t="shared" si="22"/>
        <v>0.10973414730131026</v>
      </c>
      <c r="P92">
        <v>21.875</v>
      </c>
      <c r="Q92">
        <v>185053.93211275421</v>
      </c>
      <c r="R92" t="s">
        <v>82</v>
      </c>
      <c r="S92">
        <v>21.875</v>
      </c>
      <c r="T92">
        <v>140.82273840718756</v>
      </c>
      <c r="U92" s="82">
        <f t="shared" si="23"/>
        <v>9.8594912364745824E-2</v>
      </c>
      <c r="V92">
        <v>21.875</v>
      </c>
      <c r="W92">
        <v>168650.26277848589</v>
      </c>
      <c r="X92" t="s">
        <v>82</v>
      </c>
      <c r="Y92">
        <v>21.875</v>
      </c>
      <c r="Z92">
        <v>140.69406772736889</v>
      </c>
      <c r="AA92" s="82">
        <f t="shared" si="24"/>
        <v>8.7106074491828167E-2</v>
      </c>
      <c r="AB92">
        <v>21.875</v>
      </c>
      <c r="AC92">
        <v>151737.74545529418</v>
      </c>
      <c r="AD92" t="s">
        <v>82</v>
      </c>
      <c r="AE92">
        <v>21.875</v>
      </c>
      <c r="AF92">
        <v>140.56291575345182</v>
      </c>
      <c r="AG92" s="82">
        <f t="shared" si="25"/>
        <v>7.5308712138905776E-2</v>
      </c>
      <c r="AH92">
        <v>21.875</v>
      </c>
      <c r="AI92">
        <v>134383.38141290663</v>
      </c>
      <c r="AJ92" t="s">
        <v>82</v>
      </c>
      <c r="AK92">
        <v>21.875</v>
      </c>
      <c r="AL92">
        <v>140.42931518076617</v>
      </c>
      <c r="AM92" s="82">
        <f t="shared" si="26"/>
        <v>6.3193225440926426E-2</v>
      </c>
      <c r="AN92">
        <v>21.875</v>
      </c>
      <c r="AO92">
        <v>116574.49969763924</v>
      </c>
      <c r="AP92" t="s">
        <v>82</v>
      </c>
      <c r="AQ92">
        <v>21.875</v>
      </c>
      <c r="AR92">
        <v>140.32993595623267</v>
      </c>
      <c r="AS92" s="82">
        <f t="shared" si="27"/>
        <v>5.0562046884209622E-2</v>
      </c>
      <c r="AT92">
        <v>21.875</v>
      </c>
      <c r="AU92">
        <v>97970.252657365243</v>
      </c>
      <c r="AV92" t="s">
        <v>82</v>
      </c>
      <c r="AW92">
        <v>21.875</v>
      </c>
      <c r="AX92">
        <v>140.23642854209484</v>
      </c>
      <c r="AY92" s="82">
        <f t="shared" si="28"/>
        <v>3.7533325686013086E-2</v>
      </c>
      <c r="AZ92">
        <v>21.875</v>
      </c>
      <c r="BA92">
        <v>78786.350341590543</v>
      </c>
      <c r="BB92" t="s">
        <v>82</v>
      </c>
      <c r="BC92">
        <v>21.875</v>
      </c>
      <c r="BD92">
        <v>140.14434950207587</v>
      </c>
      <c r="BE92" s="82">
        <f t="shared" si="29"/>
        <v>2.4170197571351082E-2</v>
      </c>
      <c r="BF92">
        <v>21.875</v>
      </c>
      <c r="BG92">
        <v>59121.297618108729</v>
      </c>
      <c r="BH92" t="s">
        <v>82</v>
      </c>
      <c r="BI92">
        <v>21.875</v>
      </c>
      <c r="BJ92">
        <v>140.11421720886705</v>
      </c>
      <c r="BK92" s="82">
        <f t="shared" si="30"/>
        <v>1.1091207426346728E-2</v>
      </c>
      <c r="BL92">
        <v>21.875</v>
      </c>
      <c r="BM92">
        <v>39746.613675694833</v>
      </c>
      <c r="BN92" t="s">
        <v>82</v>
      </c>
      <c r="BO92">
        <v>21.875</v>
      </c>
      <c r="BP92">
        <v>140.12309341486613</v>
      </c>
      <c r="BQ92" s="82">
        <f t="shared" si="31"/>
        <v>1.6636699934906574E-3</v>
      </c>
      <c r="BR92">
        <v>21.875</v>
      </c>
      <c r="BS92">
        <v>25473.108031700023</v>
      </c>
      <c r="BT92" t="s">
        <v>82</v>
      </c>
      <c r="BU92">
        <v>21.875</v>
      </c>
      <c r="BV92">
        <v>140.09397375014601</v>
      </c>
      <c r="BW92" s="82">
        <f t="shared" si="32"/>
        <v>-7.6094543510123458E-3</v>
      </c>
      <c r="BX92">
        <v>21.875</v>
      </c>
      <c r="BY92">
        <v>36088.418289326321</v>
      </c>
      <c r="BZ92" t="s">
        <v>82</v>
      </c>
      <c r="CA92">
        <v>21.875</v>
      </c>
      <c r="CB92">
        <v>139.60852387745493</v>
      </c>
      <c r="CC92" s="82">
        <f t="shared" si="33"/>
        <v>-2.8207830172817694E-2</v>
      </c>
      <c r="CD92">
        <v>21.875</v>
      </c>
      <c r="CE92">
        <v>67068.31786563182</v>
      </c>
      <c r="CF92" t="s">
        <v>82</v>
      </c>
      <c r="CG92">
        <v>21.875</v>
      </c>
      <c r="CH92">
        <v>138.85482118540301</v>
      </c>
      <c r="CI92" s="82">
        <f t="shared" si="34"/>
        <v>-3.6679468605342436E-2</v>
      </c>
      <c r="CJ92">
        <v>21.875</v>
      </c>
      <c r="CK92">
        <v>80367.968925702386</v>
      </c>
      <c r="CL92" t="s">
        <v>82</v>
      </c>
      <c r="CM92">
        <v>21.875</v>
      </c>
      <c r="CN92">
        <v>138.00880241937969</v>
      </c>
      <c r="CO92" s="82">
        <f t="shared" si="35"/>
        <v>-3.9879390871419673E-2</v>
      </c>
      <c r="CP92">
        <v>21.875</v>
      </c>
      <c r="CQ92">
        <v>86005.88151754404</v>
      </c>
      <c r="CR92" t="s">
        <v>82</v>
      </c>
      <c r="CS92">
        <v>21.875</v>
      </c>
      <c r="CT92">
        <v>137.14596549199237</v>
      </c>
      <c r="CU92" s="82">
        <f t="shared" si="36"/>
        <v>-4.0805450456133485E-2</v>
      </c>
      <c r="CV92">
        <v>21.875</v>
      </c>
      <c r="CW92">
        <v>88362.841260892848</v>
      </c>
      <c r="CX92" t="s">
        <v>82</v>
      </c>
      <c r="CY92">
        <v>21.875</v>
      </c>
      <c r="CZ92">
        <v>136.27964276360433</v>
      </c>
      <c r="DA92" s="82">
        <f t="shared" si="37"/>
        <v>-4.1136877052963428E-2</v>
      </c>
      <c r="DB92">
        <v>21.875</v>
      </c>
      <c r="DC92">
        <v>89908.754773495893</v>
      </c>
      <c r="DD92" t="s">
        <v>82</v>
      </c>
      <c r="DG92" s="82">
        <f t="shared" si="38"/>
        <v>0</v>
      </c>
      <c r="DM92" s="82">
        <f t="shared" si="39"/>
        <v>0</v>
      </c>
    </row>
    <row r="93" spans="1:117" x14ac:dyDescent="0.2">
      <c r="A93">
        <v>22.125</v>
      </c>
      <c r="B93">
        <v>141.3840272868712</v>
      </c>
      <c r="C93" s="82">
        <f t="shared" si="20"/>
        <v>0.13738058988644752</v>
      </c>
      <c r="D93">
        <v>22.125</v>
      </c>
      <c r="E93">
        <v>226004.2187592618</v>
      </c>
      <c r="F93" t="s">
        <v>82</v>
      </c>
      <c r="G93">
        <v>22.125</v>
      </c>
      <c r="H93">
        <v>141.22823957984414</v>
      </c>
      <c r="I93" s="82">
        <f t="shared" si="21"/>
        <v>0.12665362682352566</v>
      </c>
      <c r="J93">
        <v>22.125</v>
      </c>
      <c r="K93">
        <v>210198.21192182772</v>
      </c>
      <c r="L93" t="s">
        <v>82</v>
      </c>
      <c r="M93">
        <v>22.125</v>
      </c>
      <c r="N93">
        <v>141.0695099732819</v>
      </c>
      <c r="O93" s="82">
        <f t="shared" si="22"/>
        <v>0.115634954403248</v>
      </c>
      <c r="P93">
        <v>22.125</v>
      </c>
      <c r="Q93">
        <v>193970.88096101041</v>
      </c>
      <c r="R93" t="s">
        <v>82</v>
      </c>
      <c r="S93">
        <v>22.125</v>
      </c>
      <c r="T93">
        <v>140.92683907733121</v>
      </c>
      <c r="U93" s="82">
        <f t="shared" si="23"/>
        <v>0.10410067014365154</v>
      </c>
      <c r="V93">
        <v>22.125</v>
      </c>
      <c r="W93">
        <v>176972.21199684931</v>
      </c>
      <c r="X93" t="s">
        <v>82</v>
      </c>
      <c r="Y93">
        <v>22.125</v>
      </c>
      <c r="Z93">
        <v>140.78625952187218</v>
      </c>
      <c r="AA93" s="82">
        <f t="shared" si="24"/>
        <v>9.2191794503293067E-2</v>
      </c>
      <c r="AB93">
        <v>22.125</v>
      </c>
      <c r="AC93">
        <v>159426.7024325738</v>
      </c>
      <c r="AD93" t="s">
        <v>82</v>
      </c>
      <c r="AE93">
        <v>22.125</v>
      </c>
      <c r="AF93">
        <v>140.64287010356867</v>
      </c>
      <c r="AG93" s="82">
        <f t="shared" si="25"/>
        <v>7.9954350116850037E-2</v>
      </c>
      <c r="AH93">
        <v>22.125</v>
      </c>
      <c r="AI93">
        <v>141408.68003025759</v>
      </c>
      <c r="AJ93" t="s">
        <v>82</v>
      </c>
      <c r="AK93">
        <v>22.125</v>
      </c>
      <c r="AL93">
        <v>140.49669239128576</v>
      </c>
      <c r="AM93" s="82">
        <f t="shared" si="26"/>
        <v>6.737721051959511E-2</v>
      </c>
      <c r="AN93">
        <v>22.125</v>
      </c>
      <c r="AO93">
        <v>122903.1085178746</v>
      </c>
      <c r="AP93" t="s">
        <v>82</v>
      </c>
      <c r="AQ93">
        <v>22.125</v>
      </c>
      <c r="AR93">
        <v>140.38413035868908</v>
      </c>
      <c r="AS93" s="82">
        <f t="shared" si="27"/>
        <v>5.4194402456403168E-2</v>
      </c>
      <c r="AT93">
        <v>22.125</v>
      </c>
      <c r="AU93">
        <v>103466.8736706694</v>
      </c>
      <c r="AV93" t="s">
        <v>82</v>
      </c>
      <c r="AW93">
        <v>22.125</v>
      </c>
      <c r="AX93">
        <v>140.2770023085086</v>
      </c>
      <c r="AY93" s="82">
        <f t="shared" si="28"/>
        <v>4.0573766413757539E-2</v>
      </c>
      <c r="AZ93">
        <v>22.125</v>
      </c>
      <c r="BA93">
        <v>83389.749364816395</v>
      </c>
      <c r="BB93" t="s">
        <v>82</v>
      </c>
      <c r="BC93">
        <v>22.125</v>
      </c>
      <c r="BD93">
        <v>140.17092851043722</v>
      </c>
      <c r="BE93" s="82">
        <f t="shared" si="29"/>
        <v>2.6579008361352408E-2</v>
      </c>
      <c r="BF93">
        <v>22.125</v>
      </c>
      <c r="BG93">
        <v>62771.027290426362</v>
      </c>
      <c r="BH93" t="s">
        <v>82</v>
      </c>
      <c r="BI93">
        <v>22.125</v>
      </c>
      <c r="BJ93">
        <v>140.12683833617896</v>
      </c>
      <c r="BK93" s="82">
        <f t="shared" si="30"/>
        <v>1.262112731191678E-2</v>
      </c>
      <c r="BL93">
        <v>22.125</v>
      </c>
      <c r="BM93">
        <v>42073.366843432254</v>
      </c>
      <c r="BN93" t="s">
        <v>82</v>
      </c>
      <c r="BO93">
        <v>22.125</v>
      </c>
      <c r="BP93">
        <v>140.12487813402788</v>
      </c>
      <c r="BQ93" s="82">
        <f t="shared" si="31"/>
        <v>1.7847191617477165E-3</v>
      </c>
      <c r="BR93">
        <v>22.125</v>
      </c>
      <c r="BS93">
        <v>25689.358056196845</v>
      </c>
      <c r="BT93" t="s">
        <v>82</v>
      </c>
      <c r="BU93">
        <v>22.125</v>
      </c>
      <c r="BV93">
        <v>140.08507388976196</v>
      </c>
      <c r="BW93" s="82">
        <f t="shared" si="32"/>
        <v>-8.8998603840479973E-3</v>
      </c>
      <c r="BX93">
        <v>22.125</v>
      </c>
      <c r="BY93">
        <v>37936.559295119609</v>
      </c>
      <c r="BZ93" t="s">
        <v>82</v>
      </c>
      <c r="CA93">
        <v>22.125</v>
      </c>
      <c r="CB93">
        <v>139.57984146221858</v>
      </c>
      <c r="CC93" s="82">
        <f t="shared" si="33"/>
        <v>-2.8682415236346515E-2</v>
      </c>
      <c r="CD93">
        <v>22.125</v>
      </c>
      <c r="CE93">
        <v>67725.928095555486</v>
      </c>
      <c r="CF93" t="s">
        <v>82</v>
      </c>
      <c r="CG93">
        <v>22.125</v>
      </c>
      <c r="CH93">
        <v>138.81801895027516</v>
      </c>
      <c r="CI93" s="82">
        <f t="shared" si="34"/>
        <v>-3.6802235127851191E-2</v>
      </c>
      <c r="CJ93">
        <v>22.125</v>
      </c>
      <c r="CK93">
        <v>80512.569260369113</v>
      </c>
      <c r="CL93" t="s">
        <v>82</v>
      </c>
      <c r="CM93">
        <v>22.125</v>
      </c>
      <c r="CN93">
        <v>137.96894503998453</v>
      </c>
      <c r="CO93" s="82">
        <f t="shared" si="35"/>
        <v>-3.9857379395158432E-2</v>
      </c>
      <c r="CP93">
        <v>22.125</v>
      </c>
      <c r="CQ93">
        <v>85939.947791440558</v>
      </c>
      <c r="CR93" t="s">
        <v>82</v>
      </c>
      <c r="CS93">
        <v>22.125</v>
      </c>
      <c r="CT93">
        <v>137.10523425271057</v>
      </c>
      <c r="CU93" s="82">
        <f t="shared" si="36"/>
        <v>-4.0731239281797116E-2</v>
      </c>
      <c r="CV93">
        <v>22.125</v>
      </c>
      <c r="CW93">
        <v>88221.662414799022</v>
      </c>
      <c r="CX93" t="s">
        <v>82</v>
      </c>
      <c r="CY93">
        <v>22.125</v>
      </c>
      <c r="CZ93">
        <v>136.23860958748469</v>
      </c>
      <c r="DA93" s="82">
        <f t="shared" si="37"/>
        <v>-4.1033176119640302E-2</v>
      </c>
      <c r="DB93">
        <v>22.125</v>
      </c>
      <c r="DC93">
        <v>89725.567126095324</v>
      </c>
      <c r="DD93" t="s">
        <v>82</v>
      </c>
      <c r="DG93" s="82">
        <f t="shared" si="38"/>
        <v>0</v>
      </c>
      <c r="DM93" s="82">
        <f t="shared" si="39"/>
        <v>0</v>
      </c>
    </row>
    <row r="94" spans="1:117" x14ac:dyDescent="0.2">
      <c r="A94">
        <v>22.375</v>
      </c>
      <c r="B94">
        <v>141.5282248327814</v>
      </c>
      <c r="C94" s="82">
        <f t="shared" si="20"/>
        <v>0.14419754591020251</v>
      </c>
      <c r="D94">
        <v>22.375</v>
      </c>
      <c r="E94">
        <v>236301.38826692916</v>
      </c>
      <c r="F94" t="s">
        <v>82</v>
      </c>
      <c r="G94">
        <v>22.375</v>
      </c>
      <c r="H94">
        <v>141.36136487418798</v>
      </c>
      <c r="I94" s="82">
        <f t="shared" si="21"/>
        <v>0.13312529434384146</v>
      </c>
      <c r="J94">
        <v>22.375</v>
      </c>
      <c r="K94">
        <v>219975.83247196325</v>
      </c>
      <c r="L94" t="s">
        <v>82</v>
      </c>
      <c r="M94">
        <v>22.375</v>
      </c>
      <c r="N94">
        <v>141.19125447931773</v>
      </c>
      <c r="O94" s="82">
        <f t="shared" si="22"/>
        <v>0.12174450603583864</v>
      </c>
      <c r="P94">
        <v>22.375</v>
      </c>
      <c r="Q94">
        <v>203203.29821573576</v>
      </c>
      <c r="R94" t="s">
        <v>82</v>
      </c>
      <c r="S94">
        <v>22.375</v>
      </c>
      <c r="T94">
        <v>141.03664470626032</v>
      </c>
      <c r="U94" s="82">
        <f t="shared" si="23"/>
        <v>0.10980562892910939</v>
      </c>
      <c r="V94">
        <v>22.375</v>
      </c>
      <c r="W94">
        <v>185595.28436017976</v>
      </c>
      <c r="X94" t="s">
        <v>82</v>
      </c>
      <c r="Y94">
        <v>22.375</v>
      </c>
      <c r="Z94">
        <v>140.88372569094201</v>
      </c>
      <c r="AA94" s="82">
        <f t="shared" si="24"/>
        <v>9.7466169069832631E-2</v>
      </c>
      <c r="AB94">
        <v>22.375</v>
      </c>
      <c r="AC94">
        <v>167400.90878384636</v>
      </c>
      <c r="AD94" t="s">
        <v>82</v>
      </c>
      <c r="AE94">
        <v>22.375</v>
      </c>
      <c r="AF94">
        <v>140.72764715800614</v>
      </c>
      <c r="AG94" s="82">
        <f t="shared" si="25"/>
        <v>8.4777054437466859E-2</v>
      </c>
      <c r="AH94">
        <v>22.375</v>
      </c>
      <c r="AI94">
        <v>148701.76749339595</v>
      </c>
      <c r="AJ94" t="s">
        <v>82</v>
      </c>
      <c r="AK94">
        <v>22.375</v>
      </c>
      <c r="AL94">
        <v>140.56841790803134</v>
      </c>
      <c r="AM94" s="82">
        <f t="shared" si="26"/>
        <v>7.1725516745573259E-2</v>
      </c>
      <c r="AN94">
        <v>22.375</v>
      </c>
      <c r="AO94">
        <v>129480.28295331825</v>
      </c>
      <c r="AP94" t="s">
        <v>82</v>
      </c>
      <c r="AQ94">
        <v>22.375</v>
      </c>
      <c r="AR94">
        <v>140.4421070140871</v>
      </c>
      <c r="AS94" s="82">
        <f t="shared" si="27"/>
        <v>5.7976655398022103E-2</v>
      </c>
      <c r="AT94">
        <v>22.375</v>
      </c>
      <c r="AU94">
        <v>109190.22672182857</v>
      </c>
      <c r="AV94" t="s">
        <v>82</v>
      </c>
      <c r="AW94">
        <v>22.375</v>
      </c>
      <c r="AX94">
        <v>140.32075041228219</v>
      </c>
      <c r="AY94" s="82">
        <f t="shared" si="28"/>
        <v>4.3748103773594949E-2</v>
      </c>
      <c r="AZ94">
        <v>22.375</v>
      </c>
      <c r="BA94">
        <v>88195.624521119622</v>
      </c>
      <c r="BB94" t="s">
        <v>82</v>
      </c>
      <c r="BC94">
        <v>22.375</v>
      </c>
      <c r="BD94">
        <v>140.20003257981872</v>
      </c>
      <c r="BE94" s="82">
        <f t="shared" si="29"/>
        <v>2.910406938150345E-2</v>
      </c>
      <c r="BF94">
        <v>22.375</v>
      </c>
      <c r="BG94">
        <v>66596.443700658754</v>
      </c>
      <c r="BH94" t="s">
        <v>82</v>
      </c>
      <c r="BI94">
        <v>22.375</v>
      </c>
      <c r="BJ94">
        <v>140.14108666034642</v>
      </c>
      <c r="BK94" s="82">
        <f t="shared" si="30"/>
        <v>1.424832416745403E-2</v>
      </c>
      <c r="BL94">
        <v>22.375</v>
      </c>
      <c r="BM94">
        <v>44546.725526010116</v>
      </c>
      <c r="BN94" t="s">
        <v>82</v>
      </c>
      <c r="BO94">
        <v>22.375</v>
      </c>
      <c r="BP94">
        <v>140.12686545373754</v>
      </c>
      <c r="BQ94" s="82">
        <f t="shared" si="31"/>
        <v>1.9873197096558215E-3</v>
      </c>
      <c r="BR94">
        <v>22.375</v>
      </c>
      <c r="BS94">
        <v>26027.354785742074</v>
      </c>
      <c r="BT94" t="s">
        <v>82</v>
      </c>
      <c r="BU94">
        <v>22.375</v>
      </c>
      <c r="BV94">
        <v>140.07494852989976</v>
      </c>
      <c r="BW94" s="82">
        <f t="shared" si="32"/>
        <v>-1.0125359862200867E-2</v>
      </c>
      <c r="BX94">
        <v>22.375</v>
      </c>
      <c r="BY94">
        <v>39689.536438827759</v>
      </c>
      <c r="BZ94" t="s">
        <v>82</v>
      </c>
      <c r="CA94">
        <v>22.375</v>
      </c>
      <c r="CB94">
        <v>139.55071733709403</v>
      </c>
      <c r="CC94" s="82">
        <f t="shared" si="33"/>
        <v>-2.9124125124553757E-2</v>
      </c>
      <c r="CD94">
        <v>22.375</v>
      </c>
      <c r="CE94">
        <v>68335.055471956104</v>
      </c>
      <c r="CF94" t="s">
        <v>82</v>
      </c>
      <c r="CG94">
        <v>22.375</v>
      </c>
      <c r="CH94">
        <v>138.78111249740758</v>
      </c>
      <c r="CI94" s="82">
        <f t="shared" si="34"/>
        <v>-3.6906452867583539E-2</v>
      </c>
      <c r="CJ94">
        <v>22.375</v>
      </c>
      <c r="CK94">
        <v>80629.601145265042</v>
      </c>
      <c r="CL94" t="s">
        <v>82</v>
      </c>
      <c r="CM94">
        <v>22.375</v>
      </c>
      <c r="CN94">
        <v>137.92912181833299</v>
      </c>
      <c r="CO94" s="82">
        <f t="shared" si="35"/>
        <v>-3.9823221651545282E-2</v>
      </c>
      <c r="CP94">
        <v>22.375</v>
      </c>
      <c r="CQ94">
        <v>85855.800146924026</v>
      </c>
      <c r="CR94" t="s">
        <v>82</v>
      </c>
      <c r="CS94">
        <v>22.375</v>
      </c>
      <c r="CT94">
        <v>137.06458646049344</v>
      </c>
      <c r="CU94" s="82">
        <f t="shared" si="36"/>
        <v>-4.0647792217129108E-2</v>
      </c>
      <c r="CV94">
        <v>22.375</v>
      </c>
      <c r="CW94">
        <v>88066.535271632165</v>
      </c>
      <c r="CX94" t="s">
        <v>82</v>
      </c>
      <c r="CY94">
        <v>22.375</v>
      </c>
      <c r="CZ94">
        <v>136.19768723313186</v>
      </c>
      <c r="DA94" s="82">
        <f t="shared" si="37"/>
        <v>-4.0922354352829871E-2</v>
      </c>
      <c r="DB94">
        <v>22.375</v>
      </c>
      <c r="DC94">
        <v>89531.539111479346</v>
      </c>
      <c r="DD94" t="s">
        <v>82</v>
      </c>
      <c r="DG94" s="82">
        <f t="shared" si="38"/>
        <v>0</v>
      </c>
      <c r="DM94" s="82">
        <f t="shared" si="39"/>
        <v>0</v>
      </c>
    </row>
    <row r="95" spans="1:117" x14ac:dyDescent="0.2">
      <c r="A95">
        <v>22.625</v>
      </c>
      <c r="B95">
        <v>141.67947105556951</v>
      </c>
      <c r="C95" s="82">
        <f t="shared" si="20"/>
        <v>0.15124622278810307</v>
      </c>
      <c r="D95">
        <v>22.625</v>
      </c>
      <c r="E95">
        <v>246948.52572145645</v>
      </c>
      <c r="F95" t="s">
        <v>82</v>
      </c>
      <c r="G95">
        <v>22.625</v>
      </c>
      <c r="H95">
        <v>141.50118570891536</v>
      </c>
      <c r="I95" s="82">
        <f t="shared" si="21"/>
        <v>0.13982083472737372</v>
      </c>
      <c r="J95">
        <v>22.625</v>
      </c>
      <c r="K95">
        <v>230091.66938745591</v>
      </c>
      <c r="L95" t="s">
        <v>82</v>
      </c>
      <c r="M95">
        <v>22.625</v>
      </c>
      <c r="N95">
        <v>141.3193237940271</v>
      </c>
      <c r="O95" s="82">
        <f t="shared" si="22"/>
        <v>0.12806931470936433</v>
      </c>
      <c r="P95">
        <v>22.625</v>
      </c>
      <c r="Q95">
        <v>212761.01469027562</v>
      </c>
      <c r="R95" t="s">
        <v>82</v>
      </c>
      <c r="S95">
        <v>22.625</v>
      </c>
      <c r="T95">
        <v>141.15236077722446</v>
      </c>
      <c r="U95" s="82">
        <f t="shared" si="23"/>
        <v>0.11571607096414027</v>
      </c>
      <c r="V95">
        <v>22.625</v>
      </c>
      <c r="W95">
        <v>194528.969473815</v>
      </c>
      <c r="X95" t="s">
        <v>82</v>
      </c>
      <c r="Y95">
        <v>22.625</v>
      </c>
      <c r="Z95">
        <v>140.98666089498582</v>
      </c>
      <c r="AA95" s="82">
        <f t="shared" si="24"/>
        <v>0.10293520404380274</v>
      </c>
      <c r="AB95">
        <v>22.625</v>
      </c>
      <c r="AC95">
        <v>175669.44318840603</v>
      </c>
      <c r="AD95" t="s">
        <v>82</v>
      </c>
      <c r="AE95">
        <v>22.625</v>
      </c>
      <c r="AF95">
        <v>140.81742966754899</v>
      </c>
      <c r="AG95" s="82">
        <f t="shared" si="25"/>
        <v>8.9782509542857269E-2</v>
      </c>
      <c r="AH95">
        <v>22.625</v>
      </c>
      <c r="AI95">
        <v>156271.24318492148</v>
      </c>
      <c r="AJ95" t="s">
        <v>82</v>
      </c>
      <c r="AK95">
        <v>22.625</v>
      </c>
      <c r="AL95">
        <v>140.64466136389422</v>
      </c>
      <c r="AM95" s="82">
        <f t="shared" si="26"/>
        <v>7.6243455862879728E-2</v>
      </c>
      <c r="AN95">
        <v>22.625</v>
      </c>
      <c r="AO95">
        <v>136314.06508936762</v>
      </c>
      <c r="AP95" t="s">
        <v>82</v>
      </c>
      <c r="AQ95">
        <v>22.625</v>
      </c>
      <c r="AR95">
        <v>140.50402061289159</v>
      </c>
      <c r="AS95" s="82">
        <f t="shared" si="27"/>
        <v>6.1913598804494541E-2</v>
      </c>
      <c r="AT95">
        <v>22.625</v>
      </c>
      <c r="AU95">
        <v>115147.57751737503</v>
      </c>
      <c r="AV95" t="s">
        <v>82</v>
      </c>
      <c r="AW95">
        <v>22.625</v>
      </c>
      <c r="AX95">
        <v>140.36781093038965</v>
      </c>
      <c r="AY95" s="82">
        <f t="shared" si="28"/>
        <v>4.7060518107457483E-2</v>
      </c>
      <c r="AZ95">
        <v>22.625</v>
      </c>
      <c r="BA95">
        <v>93210.322574060192</v>
      </c>
      <c r="BB95" t="s">
        <v>82</v>
      </c>
      <c r="BC95">
        <v>22.625</v>
      </c>
      <c r="BD95">
        <v>140.23178142438519</v>
      </c>
      <c r="BE95" s="82">
        <f t="shared" si="29"/>
        <v>3.1748844566465095E-2</v>
      </c>
      <c r="BF95">
        <v>22.625</v>
      </c>
      <c r="BG95">
        <v>70602.817546063467</v>
      </c>
      <c r="BH95" t="s">
        <v>82</v>
      </c>
      <c r="BI95">
        <v>22.625</v>
      </c>
      <c r="BJ95">
        <v>140.15706178783117</v>
      </c>
      <c r="BK95" s="82">
        <f t="shared" si="30"/>
        <v>1.5975127484750828E-2</v>
      </c>
      <c r="BL95">
        <v>22.625</v>
      </c>
      <c r="BM95">
        <v>47170.258820657669</v>
      </c>
      <c r="BN95" t="s">
        <v>82</v>
      </c>
      <c r="BO95">
        <v>22.625</v>
      </c>
      <c r="BP95">
        <v>140.12913722581698</v>
      </c>
      <c r="BQ95" s="82">
        <f t="shared" si="31"/>
        <v>2.2717720794389606E-3</v>
      </c>
      <c r="BR95">
        <v>22.625</v>
      </c>
      <c r="BS95">
        <v>26487.63349978656</v>
      </c>
      <c r="BT95" t="s">
        <v>82</v>
      </c>
      <c r="BU95">
        <v>22.625</v>
      </c>
      <c r="BV95">
        <v>140.0636606818083</v>
      </c>
      <c r="BW95" s="82">
        <f t="shared" si="32"/>
        <v>-1.1287848091455999E-2</v>
      </c>
      <c r="BX95">
        <v>22.625</v>
      </c>
      <c r="BY95">
        <v>41350.07605121949</v>
      </c>
      <c r="BZ95" t="s">
        <v>82</v>
      </c>
      <c r="CA95">
        <v>22.625</v>
      </c>
      <c r="CB95">
        <v>139.52118375078851</v>
      </c>
      <c r="CC95" s="82">
        <f t="shared" si="33"/>
        <v>-2.9533586305518611E-2</v>
      </c>
      <c r="CD95">
        <v>22.625</v>
      </c>
      <c r="CE95">
        <v>68896.592225369415</v>
      </c>
      <c r="CF95" t="s">
        <v>82</v>
      </c>
      <c r="CG95">
        <v>22.625</v>
      </c>
      <c r="CH95">
        <v>138.74412031807023</v>
      </c>
      <c r="CI95" s="82">
        <f t="shared" si="34"/>
        <v>-3.6992179337346442E-2</v>
      </c>
      <c r="CJ95">
        <v>22.625</v>
      </c>
      <c r="CK95">
        <v>80719.12667352632</v>
      </c>
      <c r="CL95" t="s">
        <v>82</v>
      </c>
      <c r="CM95">
        <v>22.625</v>
      </c>
      <c r="CN95">
        <v>137.88934508780997</v>
      </c>
      <c r="CO95" s="82">
        <f t="shared" si="35"/>
        <v>-3.9776730523016113E-2</v>
      </c>
      <c r="CP95">
        <v>22.625</v>
      </c>
      <c r="CQ95">
        <v>85753.143968974706</v>
      </c>
      <c r="CR95" t="s">
        <v>82</v>
      </c>
      <c r="CS95">
        <v>22.625</v>
      </c>
      <c r="CT95">
        <v>137.02403163160631</v>
      </c>
      <c r="CU95" s="82">
        <f t="shared" si="36"/>
        <v>-4.0554828887138683E-2</v>
      </c>
      <c r="CV95">
        <v>22.625</v>
      </c>
      <c r="CW95">
        <v>87897.029681972272</v>
      </c>
      <c r="CX95" t="s">
        <v>82</v>
      </c>
      <c r="CY95">
        <v>22.625</v>
      </c>
      <c r="CZ95">
        <v>136.15688315871927</v>
      </c>
      <c r="DA95" s="82">
        <f t="shared" si="37"/>
        <v>-4.0804074412591262E-2</v>
      </c>
      <c r="DB95">
        <v>22.625</v>
      </c>
      <c r="DC95">
        <v>89326.15821869811</v>
      </c>
      <c r="DD95" t="s">
        <v>82</v>
      </c>
      <c r="DG95" s="82">
        <f t="shared" si="38"/>
        <v>0</v>
      </c>
      <c r="DM95" s="82">
        <f t="shared" si="39"/>
        <v>0</v>
      </c>
    </row>
    <row r="96" spans="1:117" x14ac:dyDescent="0.2">
      <c r="A96">
        <v>22.875</v>
      </c>
      <c r="B96">
        <v>141.83800470679412</v>
      </c>
      <c r="C96" s="82">
        <f t="shared" si="20"/>
        <v>0.15853365122461582</v>
      </c>
      <c r="D96">
        <v>22.875</v>
      </c>
      <c r="E96">
        <v>257956.22956767207</v>
      </c>
      <c r="F96" t="s">
        <v>82</v>
      </c>
      <c r="G96">
        <v>22.875</v>
      </c>
      <c r="H96">
        <v>141.64793284664316</v>
      </c>
      <c r="I96" s="82">
        <f t="shared" si="21"/>
        <v>0.14674713772780024</v>
      </c>
      <c r="J96">
        <v>22.875</v>
      </c>
      <c r="K96">
        <v>240556.11478316752</v>
      </c>
      <c r="L96" t="s">
        <v>82</v>
      </c>
      <c r="M96">
        <v>22.875</v>
      </c>
      <c r="N96">
        <v>141.45393989395043</v>
      </c>
      <c r="O96" s="82">
        <f t="shared" si="22"/>
        <v>0.13461609992333479</v>
      </c>
      <c r="P96">
        <v>22.875</v>
      </c>
      <c r="Q96">
        <v>222654.1718509596</v>
      </c>
      <c r="R96" t="s">
        <v>82</v>
      </c>
      <c r="S96">
        <v>22.875</v>
      </c>
      <c r="T96">
        <v>141.27419926159186</v>
      </c>
      <c r="U96" s="82">
        <f t="shared" si="23"/>
        <v>0.12183848436740163</v>
      </c>
      <c r="V96">
        <v>22.875</v>
      </c>
      <c r="W96">
        <v>203783.06624944031</v>
      </c>
      <c r="X96" t="s">
        <v>82</v>
      </c>
      <c r="Y96">
        <v>22.875</v>
      </c>
      <c r="Z96">
        <v>141.09526600352513</v>
      </c>
      <c r="AA96" s="82">
        <f t="shared" si="24"/>
        <v>0.10860510853930805</v>
      </c>
      <c r="AB96">
        <v>22.875</v>
      </c>
      <c r="AC96">
        <v>184241.68990429581</v>
      </c>
      <c r="AD96" t="s">
        <v>82</v>
      </c>
      <c r="AE96">
        <v>22.875</v>
      </c>
      <c r="AF96">
        <v>140.91240626633299</v>
      </c>
      <c r="AG96" s="82">
        <f t="shared" si="25"/>
        <v>9.4976598784000998E-2</v>
      </c>
      <c r="AH96">
        <v>22.875</v>
      </c>
      <c r="AI96">
        <v>164126.00572815177</v>
      </c>
      <c r="AJ96" t="s">
        <v>82</v>
      </c>
      <c r="AK96">
        <v>22.875</v>
      </c>
      <c r="AL96">
        <v>140.7255978959804</v>
      </c>
      <c r="AM96" s="82">
        <f t="shared" si="26"/>
        <v>8.0936532086184343E-2</v>
      </c>
      <c r="AN96">
        <v>22.875</v>
      </c>
      <c r="AO96">
        <v>143412.78686063769</v>
      </c>
      <c r="AP96" t="s">
        <v>82</v>
      </c>
      <c r="AQ96">
        <v>22.875</v>
      </c>
      <c r="AR96">
        <v>140.57003082203099</v>
      </c>
      <c r="AS96" s="82">
        <f t="shared" si="27"/>
        <v>6.6010209139392373E-2</v>
      </c>
      <c r="AT96">
        <v>22.875</v>
      </c>
      <c r="AU96">
        <v>121346.46804917051</v>
      </c>
      <c r="AV96" t="s">
        <v>82</v>
      </c>
      <c r="AW96">
        <v>22.875</v>
      </c>
      <c r="AX96">
        <v>140.41832629131537</v>
      </c>
      <c r="AY96" s="82">
        <f t="shared" si="28"/>
        <v>5.0515360925714958E-2</v>
      </c>
      <c r="AZ96">
        <v>22.875</v>
      </c>
      <c r="BA96">
        <v>98440.448288844331</v>
      </c>
      <c r="BB96" t="s">
        <v>82</v>
      </c>
      <c r="BC96">
        <v>22.875</v>
      </c>
      <c r="BD96">
        <v>140.26629837770847</v>
      </c>
      <c r="BE96" s="82">
        <f t="shared" si="29"/>
        <v>3.4516953323276311E-2</v>
      </c>
      <c r="BF96">
        <v>22.875</v>
      </c>
      <c r="BG96">
        <v>74795.653780938053</v>
      </c>
      <c r="BH96" t="s">
        <v>82</v>
      </c>
      <c r="BI96">
        <v>22.875</v>
      </c>
      <c r="BJ96">
        <v>140.17486579168687</v>
      </c>
      <c r="BK96" s="82">
        <f t="shared" si="30"/>
        <v>1.7804003855701467E-2</v>
      </c>
      <c r="BL96">
        <v>22.875</v>
      </c>
      <c r="BM96">
        <v>49947.742114982502</v>
      </c>
      <c r="BN96" t="s">
        <v>82</v>
      </c>
      <c r="BO96">
        <v>22.875</v>
      </c>
      <c r="BP96">
        <v>140.13177572515886</v>
      </c>
      <c r="BQ96" s="82">
        <f t="shared" si="31"/>
        <v>2.638499341884426E-3</v>
      </c>
      <c r="BR96">
        <v>22.875</v>
      </c>
      <c r="BS96">
        <v>27070.911264181625</v>
      </c>
      <c r="BT96" t="s">
        <v>82</v>
      </c>
      <c r="BU96">
        <v>22.875</v>
      </c>
      <c r="BV96">
        <v>140.05127156634578</v>
      </c>
      <c r="BW96" s="82">
        <f t="shared" si="32"/>
        <v>-1.2389115462525524E-2</v>
      </c>
      <c r="BX96">
        <v>22.875</v>
      </c>
      <c r="BY96">
        <v>42920.755116324639</v>
      </c>
      <c r="BZ96" t="s">
        <v>82</v>
      </c>
      <c r="CA96">
        <v>22.875</v>
      </c>
      <c r="CB96">
        <v>139.49127238021623</v>
      </c>
      <c r="CC96" s="82">
        <f t="shared" si="33"/>
        <v>-2.9911370572278884E-2</v>
      </c>
      <c r="CD96">
        <v>22.875</v>
      </c>
      <c r="CE96">
        <v>69411.350039666344</v>
      </c>
      <c r="CF96" t="s">
        <v>82</v>
      </c>
      <c r="CG96">
        <v>22.875</v>
      </c>
      <c r="CH96">
        <v>138.70706087773127</v>
      </c>
      <c r="CI96" s="82">
        <f t="shared" si="34"/>
        <v>-3.7059440338964578E-2</v>
      </c>
      <c r="CJ96">
        <v>22.875</v>
      </c>
      <c r="CK96">
        <v>80781.160826386971</v>
      </c>
      <c r="CL96" t="s">
        <v>82</v>
      </c>
      <c r="CM96">
        <v>22.875</v>
      </c>
      <c r="CN96">
        <v>137.84962739034754</v>
      </c>
      <c r="CO96" s="82">
        <f t="shared" si="35"/>
        <v>-3.9717697462435808E-2</v>
      </c>
      <c r="CP96">
        <v>22.875</v>
      </c>
      <c r="CQ96">
        <v>85631.65250422938</v>
      </c>
      <c r="CR96" t="s">
        <v>82</v>
      </c>
      <c r="CS96">
        <v>22.875</v>
      </c>
      <c r="CT96">
        <v>136.98357957956932</v>
      </c>
      <c r="CU96" s="82">
        <f t="shared" si="36"/>
        <v>-4.0452052036982877E-2</v>
      </c>
      <c r="CV96">
        <v>22.875</v>
      </c>
      <c r="CW96">
        <v>87712.689994683693</v>
      </c>
      <c r="CX96" t="s">
        <v>82</v>
      </c>
      <c r="CY96">
        <v>22.875</v>
      </c>
      <c r="CZ96">
        <v>136.1162051732791</v>
      </c>
      <c r="DA96" s="82">
        <f t="shared" si="37"/>
        <v>-4.0677985440169095E-2</v>
      </c>
      <c r="DB96">
        <v>22.875</v>
      </c>
      <c r="DC96">
        <v>89108.891341236871</v>
      </c>
      <c r="DD96" t="s">
        <v>82</v>
      </c>
      <c r="DG96" s="82">
        <f t="shared" si="38"/>
        <v>0</v>
      </c>
      <c r="DM96" s="82">
        <f t="shared" si="39"/>
        <v>0</v>
      </c>
    </row>
    <row r="97" spans="1:117" x14ac:dyDescent="0.2">
      <c r="A97">
        <v>23.125</v>
      </c>
      <c r="B97">
        <v>142.0040717789997</v>
      </c>
      <c r="C97" s="82">
        <f t="shared" si="20"/>
        <v>0.16606707220557837</v>
      </c>
      <c r="D97">
        <v>23.125</v>
      </c>
      <c r="E97">
        <v>269335.41308831959</v>
      </c>
      <c r="F97" t="s">
        <v>82</v>
      </c>
      <c r="G97">
        <v>23.125</v>
      </c>
      <c r="H97">
        <v>141.80184415152735</v>
      </c>
      <c r="I97" s="82">
        <f t="shared" si="21"/>
        <v>0.1539113048841898</v>
      </c>
      <c r="J97">
        <v>23.125</v>
      </c>
      <c r="K97">
        <v>251379.87818546398</v>
      </c>
      <c r="L97" t="s">
        <v>82</v>
      </c>
      <c r="M97">
        <v>23.125</v>
      </c>
      <c r="N97">
        <v>141.5953316874083</v>
      </c>
      <c r="O97" s="82">
        <f t="shared" si="22"/>
        <v>0.14139179345787056</v>
      </c>
      <c r="P97">
        <v>23.125</v>
      </c>
      <c r="Q97">
        <v>232893.22962711236</v>
      </c>
      <c r="R97" t="s">
        <v>82</v>
      </c>
      <c r="S97">
        <v>23.125</v>
      </c>
      <c r="T97">
        <v>141.40237883021368</v>
      </c>
      <c r="U97" s="82">
        <f t="shared" si="23"/>
        <v>0.12817956862181745</v>
      </c>
      <c r="V97">
        <v>23.125</v>
      </c>
      <c r="W97">
        <v>213367.69096187994</v>
      </c>
      <c r="X97" t="s">
        <v>82</v>
      </c>
      <c r="Y97">
        <v>23.125</v>
      </c>
      <c r="Z97">
        <v>141.2097483040103</v>
      </c>
      <c r="AA97" s="82">
        <f t="shared" si="24"/>
        <v>0.11448230048517871</v>
      </c>
      <c r="AB97">
        <v>23.125</v>
      </c>
      <c r="AC97">
        <v>193127.34707161676</v>
      </c>
      <c r="AD97" t="s">
        <v>82</v>
      </c>
      <c r="AE97">
        <v>23.125</v>
      </c>
      <c r="AF97">
        <v>141.01277167631679</v>
      </c>
      <c r="AG97" s="82">
        <f t="shared" si="25"/>
        <v>0.10036540998379451</v>
      </c>
      <c r="AH97">
        <v>23.125</v>
      </c>
      <c r="AI97">
        <v>172275.26144441139</v>
      </c>
      <c r="AJ97" t="s">
        <v>82</v>
      </c>
      <c r="AK97">
        <v>23.125</v>
      </c>
      <c r="AL97">
        <v>140.81140834364777</v>
      </c>
      <c r="AM97" s="82">
        <f t="shared" si="26"/>
        <v>8.5810447667370227E-2</v>
      </c>
      <c r="AN97">
        <v>23.125</v>
      </c>
      <c r="AO97">
        <v>150785.07836078282</v>
      </c>
      <c r="AP97" t="s">
        <v>82</v>
      </c>
      <c r="AQ97">
        <v>23.125</v>
      </c>
      <c r="AR97">
        <v>140.64030247357724</v>
      </c>
      <c r="AS97" s="82">
        <f t="shared" si="27"/>
        <v>7.0271651546249814E-2</v>
      </c>
      <c r="AT97">
        <v>23.125</v>
      </c>
      <c r="AU97">
        <v>127794.72454328665</v>
      </c>
      <c r="AV97" t="s">
        <v>82</v>
      </c>
      <c r="AW97">
        <v>23.125</v>
      </c>
      <c r="AX97">
        <v>140.47244345112696</v>
      </c>
      <c r="AY97" s="82">
        <f t="shared" si="28"/>
        <v>5.4117159811596593E-2</v>
      </c>
      <c r="AZ97">
        <v>23.125</v>
      </c>
      <c r="BA97">
        <v>103892.87173273193</v>
      </c>
      <c r="BB97" t="s">
        <v>82</v>
      </c>
      <c r="BC97">
        <v>23.125</v>
      </c>
      <c r="BD97">
        <v>140.30371055247699</v>
      </c>
      <c r="BE97" s="82">
        <f t="shared" si="29"/>
        <v>3.7412174768519435E-2</v>
      </c>
      <c r="BF97">
        <v>23.125</v>
      </c>
      <c r="BG97">
        <v>79180.698013501315</v>
      </c>
      <c r="BH97" t="s">
        <v>82</v>
      </c>
      <c r="BI97">
        <v>23.125</v>
      </c>
      <c r="BJ97">
        <v>140.19460335160235</v>
      </c>
      <c r="BK97" s="82">
        <f t="shared" si="30"/>
        <v>1.9737559915483871E-2</v>
      </c>
      <c r="BL97">
        <v>23.125</v>
      </c>
      <c r="BM97">
        <v>52883.161513367922</v>
      </c>
      <c r="BN97" t="s">
        <v>82</v>
      </c>
      <c r="BO97">
        <v>23.125</v>
      </c>
      <c r="BP97">
        <v>140.13486377244769</v>
      </c>
      <c r="BQ97" s="82">
        <f t="shared" si="31"/>
        <v>3.088047288827056E-3</v>
      </c>
      <c r="BR97">
        <v>23.125</v>
      </c>
      <c r="BS97">
        <v>27778.087464858265</v>
      </c>
      <c r="BT97" t="s">
        <v>82</v>
      </c>
      <c r="BU97">
        <v>23.125</v>
      </c>
      <c r="BV97">
        <v>140.03784071566608</v>
      </c>
      <c r="BW97" s="82">
        <f t="shared" si="32"/>
        <v>-1.343085067969696E-2</v>
      </c>
      <c r="BX97">
        <v>23.125</v>
      </c>
      <c r="BY97">
        <v>44404.004705991072</v>
      </c>
      <c r="BZ97" t="s">
        <v>82</v>
      </c>
      <c r="CA97">
        <v>23.125</v>
      </c>
      <c r="CB97">
        <v>139.46101438399759</v>
      </c>
      <c r="CC97" s="82">
        <f t="shared" si="33"/>
        <v>-3.0257996218637118E-2</v>
      </c>
      <c r="CD97">
        <v>23.125</v>
      </c>
      <c r="CE97">
        <v>69880.061724169296</v>
      </c>
      <c r="CF97" t="s">
        <v>82</v>
      </c>
      <c r="CG97">
        <v>23.125</v>
      </c>
      <c r="CH97">
        <v>138.66995264760564</v>
      </c>
      <c r="CI97" s="82">
        <f t="shared" si="34"/>
        <v>-3.7108230125625141E-2</v>
      </c>
      <c r="CJ97">
        <v>23.125</v>
      </c>
      <c r="CK97">
        <v>80815.671676496248</v>
      </c>
      <c r="CL97" t="s">
        <v>82</v>
      </c>
      <c r="CM97">
        <v>23.125</v>
      </c>
      <c r="CN97">
        <v>137.80998149811302</v>
      </c>
      <c r="CO97" s="82">
        <f t="shared" si="35"/>
        <v>-3.9645892234517532E-2</v>
      </c>
      <c r="CP97">
        <v>23.125</v>
      </c>
      <c r="CQ97">
        <v>85490.966457002971</v>
      </c>
      <c r="CR97" t="s">
        <v>82</v>
      </c>
      <c r="CS97">
        <v>23.125</v>
      </c>
      <c r="CT97">
        <v>136.94324043250015</v>
      </c>
      <c r="CU97" s="82">
        <f t="shared" si="36"/>
        <v>-4.0339147069175851E-2</v>
      </c>
      <c r="CV97">
        <v>23.125</v>
      </c>
      <c r="CW97">
        <v>87513.034348832676</v>
      </c>
      <c r="CX97" t="s">
        <v>82</v>
      </c>
      <c r="CY97">
        <v>23.125</v>
      </c>
      <c r="CZ97">
        <v>136.07566145085281</v>
      </c>
      <c r="DA97" s="82">
        <f t="shared" si="37"/>
        <v>-4.0543722426292561E-2</v>
      </c>
      <c r="DB97">
        <v>23.125</v>
      </c>
      <c r="DC97">
        <v>88879.183815706652</v>
      </c>
      <c r="DD97" t="s">
        <v>82</v>
      </c>
      <c r="DG97" s="82">
        <f t="shared" si="38"/>
        <v>0</v>
      </c>
      <c r="DM97" s="82">
        <f t="shared" si="39"/>
        <v>0</v>
      </c>
    </row>
    <row r="98" spans="1:117" x14ac:dyDescent="0.2">
      <c r="A98">
        <v>23.375</v>
      </c>
      <c r="B98">
        <v>142.17792572081021</v>
      </c>
      <c r="C98" s="82">
        <f t="shared" si="20"/>
        <v>0.17385394181050629</v>
      </c>
      <c r="D98">
        <v>23.375</v>
      </c>
      <c r="E98">
        <v>281097.31139702175</v>
      </c>
      <c r="F98" t="s">
        <v>82</v>
      </c>
      <c r="G98">
        <v>23.375</v>
      </c>
      <c r="H98">
        <v>141.963164806149</v>
      </c>
      <c r="I98" s="82">
        <f t="shared" si="21"/>
        <v>0.16132065462164746</v>
      </c>
      <c r="J98">
        <v>23.375</v>
      </c>
      <c r="K98">
        <v>262573.99407169316</v>
      </c>
      <c r="L98" t="s">
        <v>82</v>
      </c>
      <c r="M98">
        <v>23.375</v>
      </c>
      <c r="N98">
        <v>141.74373523213634</v>
      </c>
      <c r="O98" s="82">
        <f t="shared" si="22"/>
        <v>0.14840354472804052</v>
      </c>
      <c r="P98">
        <v>23.375</v>
      </c>
      <c r="Q98">
        <v>243488.9743718406</v>
      </c>
      <c r="R98" t="s">
        <v>82</v>
      </c>
      <c r="S98">
        <v>23.375</v>
      </c>
      <c r="T98">
        <v>141.53712507031921</v>
      </c>
      <c r="U98" s="82">
        <f t="shared" si="23"/>
        <v>0.13474624010552816</v>
      </c>
      <c r="V98">
        <v>23.375</v>
      </c>
      <c r="W98">
        <v>223293.28557509696</v>
      </c>
      <c r="X98" t="s">
        <v>82</v>
      </c>
      <c r="Y98">
        <v>23.375</v>
      </c>
      <c r="Z98">
        <v>141.33032171633255</v>
      </c>
      <c r="AA98" s="82">
        <f t="shared" si="24"/>
        <v>0.12057341232224417</v>
      </c>
      <c r="AB98">
        <v>23.375</v>
      </c>
      <c r="AC98">
        <v>202336.43524554386</v>
      </c>
      <c r="AD98" t="s">
        <v>82</v>
      </c>
      <c r="AE98">
        <v>23.375</v>
      </c>
      <c r="AF98">
        <v>141.11872691755462</v>
      </c>
      <c r="AG98" s="82">
        <f t="shared" si="25"/>
        <v>0.10595524123783662</v>
      </c>
      <c r="AH98">
        <v>23.375</v>
      </c>
      <c r="AI98">
        <v>180728.53291819367</v>
      </c>
      <c r="AJ98" t="s">
        <v>82</v>
      </c>
      <c r="AK98">
        <v>23.375</v>
      </c>
      <c r="AL98">
        <v>140.90227945224845</v>
      </c>
      <c r="AM98" s="82">
        <f t="shared" si="26"/>
        <v>9.0871108600680373E-2</v>
      </c>
      <c r="AN98">
        <v>23.375</v>
      </c>
      <c r="AO98">
        <v>158439.87645667454</v>
      </c>
      <c r="AP98" t="s">
        <v>82</v>
      </c>
      <c r="AQ98">
        <v>23.375</v>
      </c>
      <c r="AR98">
        <v>140.71500575889024</v>
      </c>
      <c r="AS98" s="82">
        <f t="shared" si="27"/>
        <v>7.4703285313006518E-2</v>
      </c>
      <c r="AT98">
        <v>23.375</v>
      </c>
      <c r="AU98">
        <v>134500.4657336685</v>
      </c>
      <c r="AV98" t="s">
        <v>82</v>
      </c>
      <c r="AW98">
        <v>23.375</v>
      </c>
      <c r="AX98">
        <v>140.53031407457865</v>
      </c>
      <c r="AY98" s="82">
        <f t="shared" si="28"/>
        <v>5.7870623451691472E-2</v>
      </c>
      <c r="AZ98">
        <v>23.375</v>
      </c>
      <c r="BA98">
        <v>109574.73591206214</v>
      </c>
      <c r="BB98" t="s">
        <v>82</v>
      </c>
      <c r="BC98">
        <v>23.375</v>
      </c>
      <c r="BD98">
        <v>140.34414900461212</v>
      </c>
      <c r="BE98" s="82">
        <f t="shared" si="29"/>
        <v>4.0438452135134639E-2</v>
      </c>
      <c r="BF98">
        <v>23.375</v>
      </c>
      <c r="BG98">
        <v>83763.943224496732</v>
      </c>
      <c r="BH98" t="s">
        <v>82</v>
      </c>
      <c r="BI98">
        <v>23.375</v>
      </c>
      <c r="BJ98">
        <v>140.21638189703702</v>
      </c>
      <c r="BK98" s="82">
        <f t="shared" si="30"/>
        <v>2.1778545434671059E-2</v>
      </c>
      <c r="BL98">
        <v>23.375</v>
      </c>
      <c r="BM98">
        <v>55980.718596237937</v>
      </c>
      <c r="BN98" t="s">
        <v>82</v>
      </c>
      <c r="BO98">
        <v>23.375</v>
      </c>
      <c r="BP98">
        <v>140.13848485717466</v>
      </c>
      <c r="BQ98" s="82">
        <f t="shared" si="31"/>
        <v>3.6210847269728674E-3</v>
      </c>
      <c r="BR98">
        <v>23.375</v>
      </c>
      <c r="BS98">
        <v>28610.244562080916</v>
      </c>
      <c r="BT98" t="s">
        <v>82</v>
      </c>
      <c r="BU98">
        <v>23.375</v>
      </c>
      <c r="BV98">
        <v>140.02342607186608</v>
      </c>
      <c r="BW98" s="82">
        <f t="shared" si="32"/>
        <v>-1.4414643799995019E-2</v>
      </c>
      <c r="BX98">
        <v>23.375</v>
      </c>
      <c r="BY98">
        <v>45802.113519822633</v>
      </c>
      <c r="BZ98" t="s">
        <v>82</v>
      </c>
      <c r="CA98">
        <v>23.375</v>
      </c>
      <c r="CB98">
        <v>139.43044045492661</v>
      </c>
      <c r="CC98" s="82">
        <f t="shared" si="33"/>
        <v>-3.0573929070982331E-2</v>
      </c>
      <c r="CD98">
        <v>23.375</v>
      </c>
      <c r="CE98">
        <v>70303.382684710668</v>
      </c>
      <c r="CF98" t="s">
        <v>82</v>
      </c>
      <c r="CG98">
        <v>23.375</v>
      </c>
      <c r="CH98">
        <v>138.63281413608576</v>
      </c>
      <c r="CI98" s="82">
        <f t="shared" si="34"/>
        <v>-3.7138511519884787E-2</v>
      </c>
      <c r="CJ98">
        <v>23.375</v>
      </c>
      <c r="CK98">
        <v>80822.580522241347</v>
      </c>
      <c r="CL98" t="s">
        <v>82</v>
      </c>
      <c r="CM98">
        <v>23.375</v>
      </c>
      <c r="CN98">
        <v>137.77042043554749</v>
      </c>
      <c r="CO98" s="82">
        <f t="shared" si="35"/>
        <v>-3.9561062565525162E-2</v>
      </c>
      <c r="CP98">
        <v>23.375</v>
      </c>
      <c r="CQ98">
        <v>85330.693431141321</v>
      </c>
      <c r="CR98" t="s">
        <v>82</v>
      </c>
      <c r="CS98">
        <v>23.375</v>
      </c>
      <c r="CT98">
        <v>136.90302465099668</v>
      </c>
      <c r="CU98" s="82">
        <f t="shared" si="36"/>
        <v>-4.0215781503462722E-2</v>
      </c>
      <c r="CV98">
        <v>23.375</v>
      </c>
      <c r="CW98">
        <v>87297.553837347776</v>
      </c>
      <c r="CX98" t="s">
        <v>82</v>
      </c>
      <c r="CY98">
        <v>23.375</v>
      </c>
      <c r="CZ98">
        <v>136.03526054527723</v>
      </c>
      <c r="DA98" s="82">
        <f t="shared" si="37"/>
        <v>-4.0400905575580737E-2</v>
      </c>
      <c r="DB98">
        <v>23.375</v>
      </c>
      <c r="DC98">
        <v>88636.458454237378</v>
      </c>
      <c r="DD98" t="s">
        <v>82</v>
      </c>
      <c r="DG98" s="82">
        <f t="shared" si="38"/>
        <v>0</v>
      </c>
      <c r="DM98" s="82">
        <f t="shared" si="39"/>
        <v>0</v>
      </c>
    </row>
    <row r="99" spans="1:117" x14ac:dyDescent="0.2">
      <c r="A99">
        <v>23.625</v>
      </c>
      <c r="B99">
        <v>142.35982765681121</v>
      </c>
      <c r="C99" s="82">
        <f t="shared" si="20"/>
        <v>0.18190193600099747</v>
      </c>
      <c r="D99">
        <v>23.625</v>
      </c>
      <c r="E99">
        <v>293253.48852441402</v>
      </c>
      <c r="F99" t="s">
        <v>82</v>
      </c>
      <c r="G99">
        <v>23.625</v>
      </c>
      <c r="H99">
        <v>142.13214753356459</v>
      </c>
      <c r="I99" s="82">
        <f t="shared" si="21"/>
        <v>0.16898272741559595</v>
      </c>
      <c r="J99">
        <v>23.625</v>
      </c>
      <c r="K99">
        <v>274149.82938506315</v>
      </c>
      <c r="L99" t="s">
        <v>82</v>
      </c>
      <c r="M99">
        <v>23.625</v>
      </c>
      <c r="N99">
        <v>141.89939395837527</v>
      </c>
      <c r="O99" s="82">
        <f t="shared" si="22"/>
        <v>0.15565872623892574</v>
      </c>
      <c r="P99">
        <v>23.625</v>
      </c>
      <c r="Q99">
        <v>254452.52687283946</v>
      </c>
      <c r="R99" t="s">
        <v>82</v>
      </c>
      <c r="S99">
        <v>23.625</v>
      </c>
      <c r="T99">
        <v>141.67867070811729</v>
      </c>
      <c r="U99" s="82">
        <f t="shared" si="23"/>
        <v>0.14154563779808882</v>
      </c>
      <c r="V99">
        <v>23.625</v>
      </c>
      <c r="W99">
        <v>233570.62610534509</v>
      </c>
      <c r="X99" t="s">
        <v>82</v>
      </c>
      <c r="Y99">
        <v>23.625</v>
      </c>
      <c r="Z99">
        <v>141.45720701319061</v>
      </c>
      <c r="AA99" s="82">
        <f t="shared" si="24"/>
        <v>0.12688529685806316</v>
      </c>
      <c r="AB99">
        <v>23.625</v>
      </c>
      <c r="AC99">
        <v>211879.30600146539</v>
      </c>
      <c r="AD99" t="s">
        <v>82</v>
      </c>
      <c r="AE99">
        <v>23.625</v>
      </c>
      <c r="AF99">
        <v>141.23047952434945</v>
      </c>
      <c r="AG99" s="82">
        <f t="shared" si="25"/>
        <v>0.11175260679482335</v>
      </c>
      <c r="AH99">
        <v>23.625</v>
      </c>
      <c r="AI99">
        <v>189495.6678471966</v>
      </c>
      <c r="AJ99" t="s">
        <v>82</v>
      </c>
      <c r="AK99">
        <v>23.625</v>
      </c>
      <c r="AL99">
        <v>140.99840408278428</v>
      </c>
      <c r="AM99" s="82">
        <f t="shared" si="26"/>
        <v>9.6124630535825872E-2</v>
      </c>
      <c r="AN99">
        <v>23.625</v>
      </c>
      <c r="AO99">
        <v>166386.4336151859</v>
      </c>
      <c r="AP99" t="s">
        <v>82</v>
      </c>
      <c r="AQ99">
        <v>23.625</v>
      </c>
      <c r="AR99">
        <v>140.7943164284446</v>
      </c>
      <c r="AS99" s="82">
        <f t="shared" si="27"/>
        <v>7.9310669554359947E-2</v>
      </c>
      <c r="AT99">
        <v>23.625</v>
      </c>
      <c r="AU99">
        <v>141472.1113257985</v>
      </c>
      <c r="AV99" t="s">
        <v>82</v>
      </c>
      <c r="AW99">
        <v>23.625</v>
      </c>
      <c r="AX99">
        <v>140.59209472145838</v>
      </c>
      <c r="AY99" s="82">
        <f t="shared" si="28"/>
        <v>6.1780646879725509E-2</v>
      </c>
      <c r="AZ99">
        <v>23.625</v>
      </c>
      <c r="BA99">
        <v>115493.46470105971</v>
      </c>
      <c r="BB99" t="s">
        <v>82</v>
      </c>
      <c r="BC99">
        <v>23.625</v>
      </c>
      <c r="BD99">
        <v>140.38774890200889</v>
      </c>
      <c r="BE99" s="82">
        <f t="shared" si="29"/>
        <v>4.3599897396774168E-2</v>
      </c>
      <c r="BF99">
        <v>23.625</v>
      </c>
      <c r="BG99">
        <v>88551.636700788149</v>
      </c>
      <c r="BH99" t="s">
        <v>82</v>
      </c>
      <c r="BI99">
        <v>23.625</v>
      </c>
      <c r="BJ99">
        <v>140.24031175365931</v>
      </c>
      <c r="BK99" s="82">
        <f t="shared" si="30"/>
        <v>2.3929856622288526E-2</v>
      </c>
      <c r="BL99">
        <v>23.625</v>
      </c>
      <c r="BM99">
        <v>59244.835309373775</v>
      </c>
      <c r="BN99" t="s">
        <v>82</v>
      </c>
      <c r="BO99">
        <v>23.625</v>
      </c>
      <c r="BP99">
        <v>140.14272326109258</v>
      </c>
      <c r="BQ99" s="82">
        <f t="shared" si="31"/>
        <v>4.2384039179239608E-3</v>
      </c>
      <c r="BR99">
        <v>23.625</v>
      </c>
      <c r="BS99">
        <v>29568.649176632429</v>
      </c>
      <c r="BT99" t="s">
        <v>82</v>
      </c>
      <c r="BU99">
        <v>23.625</v>
      </c>
      <c r="BV99">
        <v>140.00808408273713</v>
      </c>
      <c r="BW99" s="82">
        <f t="shared" si="32"/>
        <v>-1.5341989128955902E-2</v>
      </c>
      <c r="BX99">
        <v>23.625</v>
      </c>
      <c r="BY99">
        <v>47117.231473598345</v>
      </c>
      <c r="BZ99" t="s">
        <v>82</v>
      </c>
      <c r="CA99">
        <v>23.625</v>
      </c>
      <c r="CB99">
        <v>139.39958087146644</v>
      </c>
      <c r="CC99" s="82">
        <f t="shared" si="33"/>
        <v>-3.085958346017037E-2</v>
      </c>
      <c r="CD99">
        <v>23.625</v>
      </c>
      <c r="CE99">
        <v>70681.892297242797</v>
      </c>
      <c r="CF99" t="s">
        <v>82</v>
      </c>
      <c r="CG99">
        <v>23.625</v>
      </c>
      <c r="CH99">
        <v>138.59566392012459</v>
      </c>
      <c r="CI99" s="82">
        <f t="shared" si="34"/>
        <v>-3.7150215961162303E-2</v>
      </c>
      <c r="CJ99">
        <v>23.625</v>
      </c>
      <c r="CK99">
        <v>80801.761919368917</v>
      </c>
      <c r="CL99" t="s">
        <v>82</v>
      </c>
      <c r="CM99">
        <v>23.625</v>
      </c>
      <c r="CN99">
        <v>137.73095750174363</v>
      </c>
      <c r="CO99" s="82">
        <f t="shared" si="35"/>
        <v>-3.9462933803861233E-2</v>
      </c>
      <c r="CP99">
        <v>23.625</v>
      </c>
      <c r="CQ99">
        <v>85150.407403275822</v>
      </c>
      <c r="CR99" t="s">
        <v>82</v>
      </c>
      <c r="CS99">
        <v>23.625</v>
      </c>
      <c r="CT99">
        <v>136.86294304653066</v>
      </c>
      <c r="CU99" s="82">
        <f t="shared" si="36"/>
        <v>-4.0081604466024601E-2</v>
      </c>
      <c r="CV99">
        <v>23.625</v>
      </c>
      <c r="CW99">
        <v>87065.71173708167</v>
      </c>
      <c r="CX99" t="s">
        <v>82</v>
      </c>
      <c r="CY99">
        <v>23.625</v>
      </c>
      <c r="CZ99">
        <v>135.99501140563891</v>
      </c>
      <c r="DA99" s="82">
        <f t="shared" si="37"/>
        <v>-4.0249139638319775E-2</v>
      </c>
      <c r="DB99">
        <v>23.625</v>
      </c>
      <c r="DC99">
        <v>88380.114539713148</v>
      </c>
      <c r="DD99" t="s">
        <v>82</v>
      </c>
      <c r="DG99" s="82">
        <f t="shared" si="38"/>
        <v>0</v>
      </c>
      <c r="DM99" s="82">
        <f t="shared" si="39"/>
        <v>0</v>
      </c>
    </row>
    <row r="100" spans="1:117" x14ac:dyDescent="0.2">
      <c r="A100">
        <v>23.875</v>
      </c>
      <c r="B100">
        <v>142.55004661227633</v>
      </c>
      <c r="C100" s="82">
        <f t="shared" si="20"/>
        <v>0.19021895546512724</v>
      </c>
      <c r="D100">
        <v>23.875</v>
      </c>
      <c r="E100">
        <v>305815.8444074479</v>
      </c>
      <c r="F100" t="s">
        <v>82</v>
      </c>
      <c r="G100">
        <v>23.875</v>
      </c>
      <c r="H100">
        <v>142.30905282450362</v>
      </c>
      <c r="I100" s="82">
        <f t="shared" si="21"/>
        <v>0.17690529093903251</v>
      </c>
      <c r="J100">
        <v>23.875</v>
      </c>
      <c r="K100">
        <v>286119.09118268103</v>
      </c>
      <c r="L100" t="s">
        <v>82</v>
      </c>
      <c r="M100">
        <v>23.875</v>
      </c>
      <c r="N100">
        <v>142.06255889744949</v>
      </c>
      <c r="O100" s="82">
        <f t="shared" si="22"/>
        <v>0.16316493907422114</v>
      </c>
      <c r="P100">
        <v>23.875</v>
      </c>
      <c r="Q100">
        <v>265795.35048124648</v>
      </c>
      <c r="R100" t="s">
        <v>82</v>
      </c>
      <c r="S100">
        <v>23.875</v>
      </c>
      <c r="T100">
        <v>141.827255837135</v>
      </c>
      <c r="U100" s="82">
        <f t="shared" si="23"/>
        <v>0.14858512901770382</v>
      </c>
      <c r="V100">
        <v>23.875</v>
      </c>
      <c r="W100">
        <v>244210.83118336991</v>
      </c>
      <c r="X100" t="s">
        <v>82</v>
      </c>
      <c r="Y100">
        <v>23.875</v>
      </c>
      <c r="Z100">
        <v>141.59063204636294</v>
      </c>
      <c r="AA100" s="82">
        <f t="shared" si="24"/>
        <v>0.13342503317232968</v>
      </c>
      <c r="AB100">
        <v>23.875</v>
      </c>
      <c r="AC100">
        <v>221766.65083236768</v>
      </c>
      <c r="AD100" t="s">
        <v>82</v>
      </c>
      <c r="AE100">
        <v>23.875</v>
      </c>
      <c r="AF100">
        <v>141.34824376748321</v>
      </c>
      <c r="AG100" s="82">
        <f t="shared" si="25"/>
        <v>0.1177642431337631</v>
      </c>
      <c r="AH100">
        <v>23.875</v>
      </c>
      <c r="AI100">
        <v>198586.84801822761</v>
      </c>
      <c r="AJ100" t="s">
        <v>82</v>
      </c>
      <c r="AK100">
        <v>23.875</v>
      </c>
      <c r="AL100">
        <v>141.09998142762274</v>
      </c>
      <c r="AM100" s="82">
        <f t="shared" si="26"/>
        <v>0.1015773448384607</v>
      </c>
      <c r="AN100">
        <v>23.875</v>
      </c>
      <c r="AO100">
        <v>174634.32690516324</v>
      </c>
      <c r="AP100" t="s">
        <v>82</v>
      </c>
      <c r="AQ100">
        <v>23.875</v>
      </c>
      <c r="AR100">
        <v>140.87841599747154</v>
      </c>
      <c r="AS100" s="82">
        <f t="shared" si="27"/>
        <v>8.4099569026932386E-2</v>
      </c>
      <c r="AT100">
        <v>23.875</v>
      </c>
      <c r="AU100">
        <v>148718.39081185844</v>
      </c>
      <c r="AV100" t="s">
        <v>82</v>
      </c>
      <c r="AW100">
        <v>23.875</v>
      </c>
      <c r="AX100">
        <v>140.65794703838466</v>
      </c>
      <c r="AY100" s="82">
        <f t="shared" si="28"/>
        <v>6.5852316926282128E-2</v>
      </c>
      <c r="AZ100">
        <v>23.875</v>
      </c>
      <c r="BA100">
        <v>121656.77099980666</v>
      </c>
      <c r="BB100" t="s">
        <v>82</v>
      </c>
      <c r="BC100">
        <v>23.875</v>
      </c>
      <c r="BD100">
        <v>140.43464969804947</v>
      </c>
      <c r="BE100" s="82">
        <f t="shared" si="29"/>
        <v>4.6900796040574733E-2</v>
      </c>
      <c r="BF100">
        <v>23.875</v>
      </c>
      <c r="BG100">
        <v>93550.287324707111</v>
      </c>
      <c r="BH100" t="s">
        <v>82</v>
      </c>
      <c r="BI100">
        <v>23.875</v>
      </c>
      <c r="BJ100">
        <v>140.26650629317655</v>
      </c>
      <c r="BK100" s="82">
        <f t="shared" si="30"/>
        <v>2.6194539517234716E-2</v>
      </c>
      <c r="BL100">
        <v>23.875</v>
      </c>
      <c r="BM100">
        <v>62680.15925026434</v>
      </c>
      <c r="BN100" t="s">
        <v>82</v>
      </c>
      <c r="BO100">
        <v>23.875</v>
      </c>
      <c r="BP100">
        <v>140.14766418232958</v>
      </c>
      <c r="BQ100" s="82">
        <f t="shared" si="31"/>
        <v>4.940921236993745E-3</v>
      </c>
      <c r="BR100">
        <v>23.875</v>
      </c>
      <c r="BS100">
        <v>30654.753369636579</v>
      </c>
      <c r="BT100" t="s">
        <v>82</v>
      </c>
      <c r="BU100">
        <v>23.875</v>
      </c>
      <c r="BV100">
        <v>139.99186979480604</v>
      </c>
      <c r="BW100" s="82">
        <f t="shared" si="32"/>
        <v>-1.6214287931092031E-2</v>
      </c>
      <c r="BX100">
        <v>23.875</v>
      </c>
      <c r="BY100">
        <v>48351.373182011514</v>
      </c>
      <c r="BZ100" t="s">
        <v>82</v>
      </c>
      <c r="CA100">
        <v>23.875</v>
      </c>
      <c r="CB100">
        <v>139.36846554836544</v>
      </c>
      <c r="CC100" s="82">
        <f t="shared" si="33"/>
        <v>-3.1115323101005288E-2</v>
      </c>
      <c r="CD100">
        <v>23.875</v>
      </c>
      <c r="CE100">
        <v>71016.095156226613</v>
      </c>
      <c r="CF100" t="s">
        <v>82</v>
      </c>
      <c r="CG100">
        <v>23.875</v>
      </c>
      <c r="CH100">
        <v>138.55852067660666</v>
      </c>
      <c r="CI100" s="82">
        <f t="shared" si="34"/>
        <v>-3.7143243517931523E-2</v>
      </c>
      <c r="CJ100">
        <v>23.875</v>
      </c>
      <c r="CK100">
        <v>80753.043662684227</v>
      </c>
      <c r="CL100" t="s">
        <v>82</v>
      </c>
      <c r="CM100">
        <v>23.875</v>
      </c>
      <c r="CN100">
        <v>137.69160629322926</v>
      </c>
      <c r="CO100" s="82">
        <f t="shared" si="35"/>
        <v>-3.9351208514375458E-2</v>
      </c>
      <c r="CP100">
        <v>23.875</v>
      </c>
      <c r="CQ100">
        <v>84949.648093706128</v>
      </c>
      <c r="CR100" t="s">
        <v>82</v>
      </c>
      <c r="CS100">
        <v>23.875</v>
      </c>
      <c r="CT100">
        <v>136.82300680044085</v>
      </c>
      <c r="CU100" s="82">
        <f t="shared" si="36"/>
        <v>-3.9936246089808947E-2</v>
      </c>
      <c r="CV100">
        <v>23.875</v>
      </c>
      <c r="CW100">
        <v>86816.942576799105</v>
      </c>
      <c r="CX100" t="s">
        <v>82</v>
      </c>
      <c r="CY100">
        <v>23.875</v>
      </c>
      <c r="CZ100">
        <v>135.95492339242915</v>
      </c>
      <c r="DA100" s="82">
        <f t="shared" si="37"/>
        <v>-4.0088013209754081E-2</v>
      </c>
      <c r="DB100">
        <v>23.875</v>
      </c>
      <c r="DC100">
        <v>88109.526753314</v>
      </c>
      <c r="DD100" t="s">
        <v>82</v>
      </c>
      <c r="DG100" s="82">
        <f t="shared" si="38"/>
        <v>0</v>
      </c>
      <c r="DM100" s="82">
        <f t="shared" si="39"/>
        <v>0</v>
      </c>
    </row>
    <row r="101" spans="1:117" x14ac:dyDescent="0.2">
      <c r="A101">
        <v>24.125</v>
      </c>
      <c r="B101">
        <v>142.74885974268099</v>
      </c>
      <c r="C101" s="82">
        <f t="shared" si="20"/>
        <v>0.19881313040465898</v>
      </c>
      <c r="D101">
        <v>24.125</v>
      </c>
      <c r="E101">
        <v>318796.62188434543</v>
      </c>
      <c r="F101" t="s">
        <v>82</v>
      </c>
      <c r="G101">
        <v>24.125</v>
      </c>
      <c r="H101">
        <v>142.49414916980268</v>
      </c>
      <c r="I101" s="82">
        <f t="shared" si="21"/>
        <v>0.18509634529905838</v>
      </c>
      <c r="J101">
        <v>24.125</v>
      </c>
      <c r="K101">
        <v>298493.83419678494</v>
      </c>
      <c r="L101" t="s">
        <v>82</v>
      </c>
      <c r="M101">
        <v>24.125</v>
      </c>
      <c r="N101">
        <v>142.23348891591846</v>
      </c>
      <c r="O101" s="82">
        <f t="shared" si="22"/>
        <v>0.17093001846896527</v>
      </c>
      <c r="P101">
        <v>24.125</v>
      </c>
      <c r="Q101">
        <v>277529.25928135263</v>
      </c>
      <c r="R101" t="s">
        <v>82</v>
      </c>
      <c r="S101">
        <v>24.125</v>
      </c>
      <c r="T101">
        <v>141.9831281524288</v>
      </c>
      <c r="U101" s="82">
        <f t="shared" si="23"/>
        <v>0.15587231529380574</v>
      </c>
      <c r="V101">
        <v>24.125</v>
      </c>
      <c r="W101">
        <v>255225.37068305459</v>
      </c>
      <c r="X101" t="s">
        <v>82</v>
      </c>
      <c r="Y101">
        <v>24.125</v>
      </c>
      <c r="Z101">
        <v>141.73083197908218</v>
      </c>
      <c r="AA101" s="82">
        <f t="shared" si="24"/>
        <v>0.14019993271924136</v>
      </c>
      <c r="AB101">
        <v>24.125</v>
      </c>
      <c r="AC101">
        <v>232009.5101150205</v>
      </c>
      <c r="AD101" t="s">
        <v>82</v>
      </c>
      <c r="AE101">
        <v>24.125</v>
      </c>
      <c r="AF101">
        <v>141.47224088260811</v>
      </c>
      <c r="AG101" s="82">
        <f t="shared" si="25"/>
        <v>0.12399711512489375</v>
      </c>
      <c r="AH101">
        <v>24.125</v>
      </c>
      <c r="AI101">
        <v>208012.59859715897</v>
      </c>
      <c r="AJ101" t="s">
        <v>82</v>
      </c>
      <c r="AK101">
        <v>24.125</v>
      </c>
      <c r="AL101">
        <v>141.20721723240004</v>
      </c>
      <c r="AM101" s="82">
        <f t="shared" si="26"/>
        <v>0.10723580477730366</v>
      </c>
      <c r="AN101">
        <v>24.125</v>
      </c>
      <c r="AO101">
        <v>183193.46738261043</v>
      </c>
      <c r="AP101" t="s">
        <v>82</v>
      </c>
      <c r="AQ101">
        <v>24.125</v>
      </c>
      <c r="AR101">
        <v>140.96749195765551</v>
      </c>
      <c r="AS101" s="82">
        <f t="shared" si="27"/>
        <v>8.9075960183976122E-2</v>
      </c>
      <c r="AT101">
        <v>24.125</v>
      </c>
      <c r="AU101">
        <v>156248.35245123503</v>
      </c>
      <c r="AV101" t="s">
        <v>82</v>
      </c>
      <c r="AW101">
        <v>24.125</v>
      </c>
      <c r="AX101">
        <v>140.7280379562178</v>
      </c>
      <c r="AY101" s="82">
        <f t="shared" si="28"/>
        <v>7.0090917833141475E-2</v>
      </c>
      <c r="AZ101">
        <v>24.125</v>
      </c>
      <c r="BA101">
        <v>128072.66518022802</v>
      </c>
      <c r="BB101" t="s">
        <v>82</v>
      </c>
      <c r="BC101">
        <v>24.125</v>
      </c>
      <c r="BD101">
        <v>140.48499531013147</v>
      </c>
      <c r="BE101" s="82">
        <f t="shared" si="29"/>
        <v>5.0345612081997615E-2</v>
      </c>
      <c r="BF101">
        <v>24.125</v>
      </c>
      <c r="BG101">
        <v>98766.673082458394</v>
      </c>
      <c r="BH101" t="s">
        <v>82</v>
      </c>
      <c r="BI101">
        <v>24.125</v>
      </c>
      <c r="BJ101">
        <v>140.29508208681796</v>
      </c>
      <c r="BK101" s="82">
        <f t="shared" si="30"/>
        <v>2.8575793641408609E-2</v>
      </c>
      <c r="BL101">
        <v>24.125</v>
      </c>
      <c r="BM101">
        <v>66291.569068482102</v>
      </c>
      <c r="BN101" t="s">
        <v>82</v>
      </c>
      <c r="BO101">
        <v>24.125</v>
      </c>
      <c r="BP101">
        <v>140.1533938603196</v>
      </c>
      <c r="BQ101" s="82">
        <f t="shared" si="31"/>
        <v>5.7296779900184447E-3</v>
      </c>
      <c r="BR101">
        <v>24.125</v>
      </c>
      <c r="BS101">
        <v>31870.196125173163</v>
      </c>
      <c r="BT101" t="s">
        <v>82</v>
      </c>
      <c r="BU101">
        <v>24.125</v>
      </c>
      <c r="BV101">
        <v>139.97483694381543</v>
      </c>
      <c r="BW101" s="82">
        <f t="shared" si="32"/>
        <v>-1.703285099060281E-2</v>
      </c>
      <c r="BX101">
        <v>24.125</v>
      </c>
      <c r="BY101">
        <v>49506.421340914851</v>
      </c>
      <c r="BZ101" t="s">
        <v>82</v>
      </c>
      <c r="CA101">
        <v>24.125</v>
      </c>
      <c r="CB101">
        <v>139.33712408650229</v>
      </c>
      <c r="CC101" s="82">
        <f t="shared" si="33"/>
        <v>-3.1341461863149789E-2</v>
      </c>
      <c r="CD101">
        <v>24.125</v>
      </c>
      <c r="CE101">
        <v>71306.422149895821</v>
      </c>
      <c r="CF101" t="s">
        <v>82</v>
      </c>
      <c r="CG101">
        <v>24.125</v>
      </c>
      <c r="CH101">
        <v>138.52140321377087</v>
      </c>
      <c r="CI101" s="82">
        <f t="shared" si="34"/>
        <v>-3.7117462835794868E-2</v>
      </c>
      <c r="CJ101">
        <v>24.125</v>
      </c>
      <c r="CK101">
        <v>80676.206670426327</v>
      </c>
      <c r="CL101" t="s">
        <v>82</v>
      </c>
      <c r="CM101">
        <v>24.125</v>
      </c>
      <c r="CN101">
        <v>137.65238072719546</v>
      </c>
      <c r="CO101" s="82">
        <f t="shared" si="35"/>
        <v>-3.9225566033792347E-2</v>
      </c>
      <c r="CP101">
        <v>24.125</v>
      </c>
      <c r="CQ101">
        <v>84727.920266019719</v>
      </c>
      <c r="CR101" t="s">
        <v>82</v>
      </c>
      <c r="CS101">
        <v>24.125</v>
      </c>
      <c r="CT101">
        <v>136.78322748351502</v>
      </c>
      <c r="CU101" s="82">
        <f t="shared" si="36"/>
        <v>-3.9779316925830699E-2</v>
      </c>
      <c r="CV101">
        <v>24.125</v>
      </c>
      <c r="CW101">
        <v>86550.651244072447</v>
      </c>
      <c r="CX101" t="s">
        <v>82</v>
      </c>
      <c r="CY101">
        <v>24.125</v>
      </c>
      <c r="CZ101">
        <v>135.91500629441919</v>
      </c>
      <c r="DA101" s="82">
        <f t="shared" si="37"/>
        <v>-3.9917098009965457E-2</v>
      </c>
      <c r="DB101">
        <v>24.125</v>
      </c>
      <c r="DC101">
        <v>87824.044076444829</v>
      </c>
      <c r="DD101" t="s">
        <v>82</v>
      </c>
      <c r="DG101" s="82">
        <f t="shared" si="38"/>
        <v>0</v>
      </c>
      <c r="DM101" s="82">
        <f t="shared" si="39"/>
        <v>0</v>
      </c>
    </row>
    <row r="102" spans="1:117" x14ac:dyDescent="0.2">
      <c r="A102">
        <v>24.375</v>
      </c>
      <c r="B102">
        <v>142.95655256799103</v>
      </c>
      <c r="C102" s="82">
        <f t="shared" si="20"/>
        <v>0.20769282531003341</v>
      </c>
      <c r="D102">
        <v>24.375</v>
      </c>
      <c r="E102">
        <v>332208.41367806913</v>
      </c>
      <c r="F102" t="s">
        <v>82</v>
      </c>
      <c r="G102">
        <v>24.375</v>
      </c>
      <c r="H102">
        <v>142.68771329801422</v>
      </c>
      <c r="I102" s="82">
        <f t="shared" si="21"/>
        <v>0.19356412821153413</v>
      </c>
      <c r="J102">
        <v>24.375</v>
      </c>
      <c r="K102">
        <v>311286.46849630302</v>
      </c>
      <c r="L102" t="s">
        <v>82</v>
      </c>
      <c r="M102">
        <v>24.375</v>
      </c>
      <c r="N102">
        <v>142.41245095532355</v>
      </c>
      <c r="O102" s="82">
        <f t="shared" si="22"/>
        <v>0.17896203940509281</v>
      </c>
      <c r="P102">
        <v>24.375</v>
      </c>
      <c r="Q102">
        <v>289666.42631757149</v>
      </c>
      <c r="R102" t="s">
        <v>82</v>
      </c>
      <c r="S102">
        <v>24.375</v>
      </c>
      <c r="T102">
        <v>142.14654319070468</v>
      </c>
      <c r="U102" s="82">
        <f t="shared" si="23"/>
        <v>0.16341503827587189</v>
      </c>
      <c r="V102">
        <v>24.375</v>
      </c>
      <c r="W102">
        <v>266626.07451129815</v>
      </c>
      <c r="X102" t="s">
        <v>82</v>
      </c>
      <c r="Y102">
        <v>24.375</v>
      </c>
      <c r="Z102">
        <v>141.87804952456213</v>
      </c>
      <c r="AA102" s="82">
        <f t="shared" si="24"/>
        <v>0.14721754547994692</v>
      </c>
      <c r="AB102">
        <v>24.375</v>
      </c>
      <c r="AC102">
        <v>242619.28225433597</v>
      </c>
      <c r="AD102" t="s">
        <v>82</v>
      </c>
      <c r="AE102">
        <v>24.375</v>
      </c>
      <c r="AF102">
        <v>141.6026993050109</v>
      </c>
      <c r="AG102" s="82">
        <f t="shared" si="25"/>
        <v>0.13045842240279626</v>
      </c>
      <c r="AH102">
        <v>24.375</v>
      </c>
      <c r="AI102">
        <v>217783.79749410274</v>
      </c>
      <c r="AJ102" t="s">
        <v>82</v>
      </c>
      <c r="AK102">
        <v>24.375</v>
      </c>
      <c r="AL102">
        <v>141.3203240243605</v>
      </c>
      <c r="AM102" s="82">
        <f t="shared" si="26"/>
        <v>0.11310679196046181</v>
      </c>
      <c r="AN102">
        <v>24.375</v>
      </c>
      <c r="AO102">
        <v>192074.10954585695</v>
      </c>
      <c r="AP102" t="s">
        <v>82</v>
      </c>
      <c r="AQ102">
        <v>24.375</v>
      </c>
      <c r="AR102">
        <v>141.06173799500343</v>
      </c>
      <c r="AS102" s="82">
        <f t="shared" si="27"/>
        <v>9.4246037347915035E-2</v>
      </c>
      <c r="AT102">
        <v>24.375</v>
      </c>
      <c r="AU102">
        <v>164071.37262807714</v>
      </c>
      <c r="AV102" t="s">
        <v>82</v>
      </c>
      <c r="AW102">
        <v>24.375</v>
      </c>
      <c r="AX102">
        <v>140.80253989327548</v>
      </c>
      <c r="AY102" s="82">
        <f t="shared" si="28"/>
        <v>7.4501937057675605E-2</v>
      </c>
      <c r="AZ102">
        <v>24.375</v>
      </c>
      <c r="BA102">
        <v>134749.46390973567</v>
      </c>
      <c r="BB102" t="s">
        <v>82</v>
      </c>
      <c r="BC102">
        <v>24.375</v>
      </c>
      <c r="BD102">
        <v>140.53893430336925</v>
      </c>
      <c r="BE102" s="82">
        <f t="shared" si="29"/>
        <v>5.3938993237778732E-2</v>
      </c>
      <c r="BF102">
        <v>24.375</v>
      </c>
      <c r="BG102">
        <v>104207.8488948719</v>
      </c>
      <c r="BH102" t="s">
        <v>82</v>
      </c>
      <c r="BI102">
        <v>24.375</v>
      </c>
      <c r="BJ102">
        <v>140.32615906255469</v>
      </c>
      <c r="BK102" s="82">
        <f t="shared" si="30"/>
        <v>3.1076975736738177E-2</v>
      </c>
      <c r="BL102">
        <v>24.375</v>
      </c>
      <c r="BM102">
        <v>70084.180293912752</v>
      </c>
      <c r="BN102" t="s">
        <v>82</v>
      </c>
      <c r="BO102">
        <v>24.375</v>
      </c>
      <c r="BP102">
        <v>140.15999970171401</v>
      </c>
      <c r="BQ102" s="82">
        <f t="shared" si="31"/>
        <v>6.6058413944176664E-3</v>
      </c>
      <c r="BR102">
        <v>24.375</v>
      </c>
      <c r="BS102">
        <v>33216.805154270653</v>
      </c>
      <c r="BT102" t="s">
        <v>82</v>
      </c>
      <c r="BU102">
        <v>24.375</v>
      </c>
      <c r="BV102">
        <v>139.95703804278827</v>
      </c>
      <c r="BW102" s="82">
        <f t="shared" si="32"/>
        <v>-1.7798901027163083E-2</v>
      </c>
      <c r="BX102">
        <v>24.375</v>
      </c>
      <c r="BY102">
        <v>50584.129976835604</v>
      </c>
      <c r="BZ102" t="s">
        <v>82</v>
      </c>
      <c r="CA102">
        <v>24.375</v>
      </c>
      <c r="CB102">
        <v>139.30558582200499</v>
      </c>
      <c r="CC102" s="82">
        <f t="shared" si="33"/>
        <v>-3.1538264497299906E-2</v>
      </c>
      <c r="CD102">
        <v>24.375</v>
      </c>
      <c r="CE102">
        <v>71553.231482427116</v>
      </c>
      <c r="CF102" t="s">
        <v>82</v>
      </c>
      <c r="CG102">
        <v>24.375</v>
      </c>
      <c r="CH102">
        <v>138.48433050273457</v>
      </c>
      <c r="CI102" s="82">
        <f t="shared" si="34"/>
        <v>-3.7072711036302053E-2</v>
      </c>
      <c r="CJ102">
        <v>24.375</v>
      </c>
      <c r="CK102">
        <v>80570.984790100003</v>
      </c>
      <c r="CL102" t="s">
        <v>82</v>
      </c>
      <c r="CM102">
        <v>24.375</v>
      </c>
      <c r="CN102">
        <v>137.61329506518797</v>
      </c>
      <c r="CO102" s="82">
        <f t="shared" si="35"/>
        <v>-3.9085662007494193E-2</v>
      </c>
      <c r="CP102">
        <v>24.375</v>
      </c>
      <c r="CQ102">
        <v>84484.693013777389</v>
      </c>
      <c r="CR102" t="s">
        <v>82</v>
      </c>
      <c r="CS102">
        <v>24.375</v>
      </c>
      <c r="CT102">
        <v>136.74361707621122</v>
      </c>
      <c r="CU102" s="82">
        <f t="shared" si="36"/>
        <v>-3.9610407303797501E-2</v>
      </c>
      <c r="CV102">
        <v>24.375</v>
      </c>
      <c r="CW102">
        <v>86266.212013654585</v>
      </c>
      <c r="CX102" t="s">
        <v>82</v>
      </c>
      <c r="CY102">
        <v>24.375</v>
      </c>
      <c r="CZ102">
        <v>135.87527034628096</v>
      </c>
      <c r="DA102" s="82">
        <f t="shared" si="37"/>
        <v>-3.973594813822956E-2</v>
      </c>
      <c r="DB102">
        <v>24.375</v>
      </c>
      <c r="DC102">
        <v>87522.988664354911</v>
      </c>
      <c r="DD102" t="s">
        <v>82</v>
      </c>
      <c r="DG102" s="82">
        <f t="shared" si="38"/>
        <v>0</v>
      </c>
      <c r="DM102" s="82">
        <f t="shared" si="39"/>
        <v>0</v>
      </c>
    </row>
    <row r="103" spans="1:117" x14ac:dyDescent="0.2">
      <c r="A103">
        <v>24.625</v>
      </c>
      <c r="B103">
        <v>143.17341921172397</v>
      </c>
      <c r="C103" s="82">
        <f t="shared" si="20"/>
        <v>0.21686664373294207</v>
      </c>
      <c r="D103">
        <v>24.625</v>
      </c>
      <c r="E103">
        <v>346066.68377358007</v>
      </c>
      <c r="F103" t="s">
        <v>82</v>
      </c>
      <c r="G103">
        <v>24.625</v>
      </c>
      <c r="H103">
        <v>142.89003041825657</v>
      </c>
      <c r="I103" s="82">
        <f t="shared" si="21"/>
        <v>0.20231712024235549</v>
      </c>
      <c r="J103">
        <v>24.625</v>
      </c>
      <c r="K103">
        <v>324515.60339258442</v>
      </c>
      <c r="L103" t="s">
        <v>82</v>
      </c>
      <c r="M103">
        <v>24.625</v>
      </c>
      <c r="N103">
        <v>142.5997202775695</v>
      </c>
      <c r="O103" s="82">
        <f t="shared" si="22"/>
        <v>0.18726932224595316</v>
      </c>
      <c r="P103">
        <v>24.625</v>
      </c>
      <c r="Q103">
        <v>302229.53835338296</v>
      </c>
      <c r="R103" t="s">
        <v>82</v>
      </c>
      <c r="S103">
        <v>24.625</v>
      </c>
      <c r="T103">
        <v>142.31776457646467</v>
      </c>
      <c r="U103" s="82">
        <f t="shared" si="23"/>
        <v>0.17122138575999202</v>
      </c>
      <c r="V103">
        <v>24.625</v>
      </c>
      <c r="W103">
        <v>278439.94677408936</v>
      </c>
      <c r="X103" t="s">
        <v>82</v>
      </c>
      <c r="Y103">
        <v>24.625</v>
      </c>
      <c r="Z103">
        <v>142.03253519079968</v>
      </c>
      <c r="AA103" s="82">
        <f t="shared" si="24"/>
        <v>0.154485666237548</v>
      </c>
      <c r="AB103">
        <v>24.625</v>
      </c>
      <c r="AC103">
        <v>253627.35752725005</v>
      </c>
      <c r="AD103" t="s">
        <v>82</v>
      </c>
      <c r="AE103">
        <v>24.625</v>
      </c>
      <c r="AF103">
        <v>141.73985491080774</v>
      </c>
      <c r="AG103" s="82">
        <f t="shared" si="25"/>
        <v>0.13715560579683483</v>
      </c>
      <c r="AH103">
        <v>24.625</v>
      </c>
      <c r="AI103">
        <v>227936.01891422272</v>
      </c>
      <c r="AJ103" t="s">
        <v>82</v>
      </c>
      <c r="AK103">
        <v>24.625</v>
      </c>
      <c r="AL103">
        <v>141.43952134719007</v>
      </c>
      <c r="AM103" s="82">
        <f t="shared" si="26"/>
        <v>0.11919732282956375</v>
      </c>
      <c r="AN103">
        <v>24.625</v>
      </c>
      <c r="AO103">
        <v>201315.4277550421</v>
      </c>
      <c r="AP103" t="s">
        <v>82</v>
      </c>
      <c r="AQ103">
        <v>24.625</v>
      </c>
      <c r="AR103">
        <v>141.16135421413782</v>
      </c>
      <c r="AS103" s="82">
        <f t="shared" si="27"/>
        <v>9.9616219134389894E-2</v>
      </c>
      <c r="AT103">
        <v>24.625</v>
      </c>
      <c r="AU103">
        <v>172228.22520200614</v>
      </c>
      <c r="AV103" t="s">
        <v>82</v>
      </c>
      <c r="AW103">
        <v>24.625</v>
      </c>
      <c r="AX103">
        <v>140.88163096460733</v>
      </c>
      <c r="AY103" s="82">
        <f t="shared" si="28"/>
        <v>7.9091071331845342E-2</v>
      </c>
      <c r="AZ103">
        <v>24.625</v>
      </c>
      <c r="BA103">
        <v>141727.81856643915</v>
      </c>
      <c r="BB103" t="s">
        <v>82</v>
      </c>
      <c r="BC103">
        <v>24.625</v>
      </c>
      <c r="BD103">
        <v>140.59662007967657</v>
      </c>
      <c r="BE103" s="82">
        <f t="shared" si="29"/>
        <v>5.7685776307323522E-2</v>
      </c>
      <c r="BF103">
        <v>24.625</v>
      </c>
      <c r="BG103">
        <v>109912.22516577393</v>
      </c>
      <c r="BH103" t="s">
        <v>82</v>
      </c>
      <c r="BI103">
        <v>24.625</v>
      </c>
      <c r="BJ103">
        <v>140.35986066633927</v>
      </c>
      <c r="BK103" s="82">
        <f t="shared" si="30"/>
        <v>3.3701603784578538E-2</v>
      </c>
      <c r="BL103">
        <v>24.625</v>
      </c>
      <c r="BM103">
        <v>74089.122925980308</v>
      </c>
      <c r="BN103" t="s">
        <v>82</v>
      </c>
      <c r="BO103">
        <v>24.625</v>
      </c>
      <c r="BP103">
        <v>140.16757040750088</v>
      </c>
      <c r="BQ103" s="82">
        <f t="shared" si="31"/>
        <v>7.5707057868612537E-3</v>
      </c>
      <c r="BR103">
        <v>24.625</v>
      </c>
      <c r="BS103">
        <v>34711.009935662791</v>
      </c>
      <c r="BT103" t="s">
        <v>82</v>
      </c>
      <c r="BU103">
        <v>24.625</v>
      </c>
      <c r="BV103">
        <v>139.93852446783333</v>
      </c>
      <c r="BW103" s="82">
        <f t="shared" si="32"/>
        <v>-1.851357495493744E-2</v>
      </c>
      <c r="BX103">
        <v>24.625</v>
      </c>
      <c r="BY103">
        <v>51586.12753453559</v>
      </c>
      <c r="BZ103" t="s">
        <v>82</v>
      </c>
      <c r="CA103">
        <v>24.625</v>
      </c>
      <c r="CB103">
        <v>139.27387987475797</v>
      </c>
      <c r="CC103" s="82">
        <f t="shared" si="33"/>
        <v>-3.1705947247019139E-2</v>
      </c>
      <c r="CD103">
        <v>24.625</v>
      </c>
      <c r="CE103">
        <v>71756.809523339951</v>
      </c>
      <c r="CF103" t="s">
        <v>82</v>
      </c>
      <c r="CG103">
        <v>24.625</v>
      </c>
      <c r="CH103">
        <v>138.4473217091703</v>
      </c>
      <c r="CI103" s="82">
        <f t="shared" si="34"/>
        <v>-3.7008793564268672E-2</v>
      </c>
      <c r="CJ103">
        <v>24.625</v>
      </c>
      <c r="CK103">
        <v>80437.064536916965</v>
      </c>
      <c r="CL103" t="s">
        <v>82</v>
      </c>
      <c r="CM103">
        <v>24.625</v>
      </c>
      <c r="CN103">
        <v>137.57436393731251</v>
      </c>
      <c r="CO103" s="82">
        <f t="shared" si="35"/>
        <v>-3.8931127875457605E-2</v>
      </c>
      <c r="CP103">
        <v>24.625</v>
      </c>
      <c r="CQ103">
        <v>84219.398968496185</v>
      </c>
      <c r="CR103" t="s">
        <v>82</v>
      </c>
      <c r="CS103">
        <v>24.625</v>
      </c>
      <c r="CT103">
        <v>136.70418798955453</v>
      </c>
      <c r="CU103" s="82">
        <f t="shared" si="36"/>
        <v>-3.9429086656696199E-2</v>
      </c>
      <c r="CV103">
        <v>24.625</v>
      </c>
      <c r="CW103">
        <v>85962.967505707478</v>
      </c>
      <c r="CX103" t="s">
        <v>82</v>
      </c>
      <c r="CY103">
        <v>24.625</v>
      </c>
      <c r="CZ103">
        <v>135.83572624699076</v>
      </c>
      <c r="DA103" s="82">
        <f t="shared" si="37"/>
        <v>-3.9544099290196755E-2</v>
      </c>
      <c r="DB103">
        <v>24.625</v>
      </c>
      <c r="DC103">
        <v>87205.654659782973</v>
      </c>
      <c r="DD103" t="s">
        <v>82</v>
      </c>
      <c r="DG103" s="82">
        <f t="shared" si="38"/>
        <v>0</v>
      </c>
      <c r="DM103" s="82">
        <f t="shared" si="39"/>
        <v>0</v>
      </c>
    </row>
    <row r="104" spans="1:117" x14ac:dyDescent="0.2">
      <c r="A104">
        <v>24.875</v>
      </c>
      <c r="B104">
        <v>143.39976599554473</v>
      </c>
      <c r="C104" s="82">
        <f t="shared" si="20"/>
        <v>0.2263467838207589</v>
      </c>
      <c r="D104">
        <v>24.875</v>
      </c>
      <c r="E104">
        <v>360239.69406669494</v>
      </c>
      <c r="F104" t="s">
        <v>82</v>
      </c>
      <c r="G104">
        <v>24.875</v>
      </c>
      <c r="H104">
        <v>143.10140224453954</v>
      </c>
      <c r="I104" s="82">
        <f t="shared" si="21"/>
        <v>0.21137182628297069</v>
      </c>
      <c r="J104">
        <v>24.875</v>
      </c>
      <c r="K104">
        <v>337968.77092924097</v>
      </c>
      <c r="L104" t="s">
        <v>82</v>
      </c>
      <c r="M104">
        <v>24.875</v>
      </c>
      <c r="N104">
        <v>142.79559423300967</v>
      </c>
      <c r="O104" s="82">
        <f t="shared" si="22"/>
        <v>0.19587395544016317</v>
      </c>
      <c r="P104">
        <v>24.875</v>
      </c>
      <c r="Q104">
        <v>314929.27198177291</v>
      </c>
      <c r="R104" t="s">
        <v>82</v>
      </c>
      <c r="S104">
        <v>24.875</v>
      </c>
      <c r="T104">
        <v>142.49708399452538</v>
      </c>
      <c r="U104" s="82">
        <f t="shared" si="23"/>
        <v>0.1793194180607145</v>
      </c>
      <c r="V104">
        <v>24.875</v>
      </c>
      <c r="W104">
        <v>290311.71390793571</v>
      </c>
      <c r="X104" t="s">
        <v>82</v>
      </c>
      <c r="Y104">
        <v>24.875</v>
      </c>
      <c r="Z104">
        <v>142.19457366623442</v>
      </c>
      <c r="AA104" s="82">
        <f t="shared" si="24"/>
        <v>0.16203847543474126</v>
      </c>
      <c r="AB104">
        <v>24.875</v>
      </c>
      <c r="AC104">
        <v>264621.94641076506</v>
      </c>
      <c r="AD104" t="s">
        <v>82</v>
      </c>
      <c r="AE104">
        <v>24.875</v>
      </c>
      <c r="AF104">
        <v>141.88398366383103</v>
      </c>
      <c r="AG104" s="82">
        <f t="shared" si="25"/>
        <v>0.14412875302329553</v>
      </c>
      <c r="AH104">
        <v>24.875</v>
      </c>
      <c r="AI104">
        <v>238011.45768484389</v>
      </c>
      <c r="AJ104" t="s">
        <v>82</v>
      </c>
      <c r="AK104">
        <v>24.875</v>
      </c>
      <c r="AL104">
        <v>141.56507402739641</v>
      </c>
      <c r="AM104" s="82">
        <f t="shared" si="26"/>
        <v>0.12555268020634003</v>
      </c>
      <c r="AN104">
        <v>24.875</v>
      </c>
      <c r="AO104">
        <v>210426.65901393292</v>
      </c>
      <c r="AP104" t="s">
        <v>82</v>
      </c>
      <c r="AQ104">
        <v>24.875</v>
      </c>
      <c r="AR104">
        <v>141.26658870115133</v>
      </c>
      <c r="AS104" s="82">
        <f t="shared" si="27"/>
        <v>0.10523448701351867</v>
      </c>
      <c r="AT104">
        <v>24.875</v>
      </c>
      <c r="AU104">
        <v>180221.93730374769</v>
      </c>
      <c r="AV104" t="s">
        <v>82</v>
      </c>
      <c r="AW104">
        <v>24.875</v>
      </c>
      <c r="AX104">
        <v>140.96553779111872</v>
      </c>
      <c r="AY104" s="82">
        <f t="shared" si="28"/>
        <v>8.3906826511395138E-2</v>
      </c>
      <c r="AZ104">
        <v>24.875</v>
      </c>
      <c r="BA104">
        <v>148525.79262303049</v>
      </c>
      <c r="BB104" t="s">
        <v>82</v>
      </c>
      <c r="BC104">
        <v>24.875</v>
      </c>
      <c r="BD104">
        <v>140.65825238251475</v>
      </c>
      <c r="BE104" s="82">
        <f t="shared" si="29"/>
        <v>6.1632302838177111E-2</v>
      </c>
      <c r="BF104">
        <v>24.875</v>
      </c>
      <c r="BG104">
        <v>115436.60426039626</v>
      </c>
      <c r="BH104" t="s">
        <v>82</v>
      </c>
      <c r="BI104">
        <v>24.875</v>
      </c>
      <c r="BJ104">
        <v>140.39634827720039</v>
      </c>
      <c r="BK104" s="82">
        <f t="shared" si="30"/>
        <v>3.6487610861115627E-2</v>
      </c>
      <c r="BL104">
        <v>24.875</v>
      </c>
      <c r="BM104">
        <v>77953.350049862929</v>
      </c>
      <c r="BN104" t="s">
        <v>82</v>
      </c>
      <c r="BO104">
        <v>24.875</v>
      </c>
      <c r="BP104">
        <v>140.17621528819311</v>
      </c>
      <c r="BQ104" s="82">
        <f t="shared" si="31"/>
        <v>8.6448806922305721E-3</v>
      </c>
      <c r="BR104">
        <v>24.875</v>
      </c>
      <c r="BS104">
        <v>36160.855629392921</v>
      </c>
      <c r="BT104" t="s">
        <v>82</v>
      </c>
      <c r="BU104">
        <v>24.875</v>
      </c>
      <c r="BV104">
        <v>139.91934654184107</v>
      </c>
      <c r="BW104" s="82">
        <f t="shared" si="32"/>
        <v>-1.9177925992266864E-2</v>
      </c>
      <c r="BX104">
        <v>24.875</v>
      </c>
      <c r="BY104">
        <v>52513.919773474525</v>
      </c>
      <c r="BZ104" t="s">
        <v>82</v>
      </c>
      <c r="CA104">
        <v>24.875</v>
      </c>
      <c r="CB104">
        <v>139.2420351963658</v>
      </c>
      <c r="CC104" s="82">
        <f t="shared" si="33"/>
        <v>-3.1844678392161541E-2</v>
      </c>
      <c r="CD104">
        <v>24.875</v>
      </c>
      <c r="CE104">
        <v>71917.371554996702</v>
      </c>
      <c r="CF104" t="s">
        <v>82</v>
      </c>
      <c r="CG104">
        <v>24.875</v>
      </c>
      <c r="CH104">
        <v>138.41039622518431</v>
      </c>
      <c r="CI104" s="82">
        <f t="shared" si="34"/>
        <v>-3.6925483985982055E-2</v>
      </c>
      <c r="CJ104">
        <v>24.875</v>
      </c>
      <c r="CK104">
        <v>80274.084750324662</v>
      </c>
      <c r="CL104" t="s">
        <v>82</v>
      </c>
      <c r="CM104">
        <v>24.875</v>
      </c>
      <c r="CN104">
        <v>137.53560236700278</v>
      </c>
      <c r="CO104" s="82">
        <f t="shared" si="35"/>
        <v>-3.8761570309731042E-2</v>
      </c>
      <c r="CP104">
        <v>24.875</v>
      </c>
      <c r="CQ104">
        <v>83931.433428288787</v>
      </c>
      <c r="CR104" t="s">
        <v>82</v>
      </c>
      <c r="CS104">
        <v>24.875</v>
      </c>
      <c r="CT104">
        <v>136.66495308674487</v>
      </c>
      <c r="CU104" s="82">
        <f t="shared" si="36"/>
        <v>-3.9234902809653249E-2</v>
      </c>
      <c r="CV104">
        <v>24.875</v>
      </c>
      <c r="CW104">
        <v>85640.22760101626</v>
      </c>
      <c r="CX104" t="s">
        <v>82</v>
      </c>
      <c r="CY104">
        <v>24.875</v>
      </c>
      <c r="CZ104">
        <v>135.79638517905329</v>
      </c>
      <c r="DA104" s="82">
        <f t="shared" si="37"/>
        <v>-3.9341067937471053E-2</v>
      </c>
      <c r="DB104">
        <v>24.875</v>
      </c>
      <c r="DC104">
        <v>86871.306939065587</v>
      </c>
      <c r="DD104" t="s">
        <v>82</v>
      </c>
      <c r="DG104" s="82">
        <f t="shared" si="38"/>
        <v>0</v>
      </c>
      <c r="DM104" s="82">
        <f t="shared" si="39"/>
        <v>0</v>
      </c>
    </row>
    <row r="105" spans="1:117" x14ac:dyDescent="0.2">
      <c r="A105">
        <v>25.125</v>
      </c>
      <c r="B105">
        <v>143.63571171571408</v>
      </c>
      <c r="C105" s="82">
        <f t="shared" si="20"/>
        <v>0.23594572016935444</v>
      </c>
      <c r="D105">
        <v>25.125</v>
      </c>
      <c r="E105">
        <v>360661.99454526894</v>
      </c>
      <c r="F105" t="s">
        <v>82</v>
      </c>
      <c r="G105">
        <v>25.125</v>
      </c>
      <c r="H105">
        <v>143.32183115019819</v>
      </c>
      <c r="I105" s="82">
        <f t="shared" si="21"/>
        <v>0.22042890565865036</v>
      </c>
      <c r="J105">
        <v>25.125</v>
      </c>
      <c r="K105">
        <v>338224.32569859299</v>
      </c>
      <c r="L105" t="s">
        <v>82</v>
      </c>
      <c r="M105">
        <v>25.125</v>
      </c>
      <c r="N105">
        <v>142.99996294736277</v>
      </c>
      <c r="O105" s="82">
        <f t="shared" si="22"/>
        <v>0.20436871435310877</v>
      </c>
      <c r="P105">
        <v>25.125</v>
      </c>
      <c r="Q105">
        <v>315033.18646928406</v>
      </c>
      <c r="R105" t="s">
        <v>82</v>
      </c>
      <c r="S105">
        <v>25.125</v>
      </c>
      <c r="T105">
        <v>142.6842921980174</v>
      </c>
      <c r="U105" s="82">
        <f t="shared" si="23"/>
        <v>0.18720820349201972</v>
      </c>
      <c r="V105">
        <v>25.125</v>
      </c>
      <c r="W105">
        <v>290279.84030817205</v>
      </c>
      <c r="X105" t="s">
        <v>82</v>
      </c>
      <c r="Y105">
        <v>25.125</v>
      </c>
      <c r="Z105">
        <v>142.36386745790858</v>
      </c>
      <c r="AA105" s="82">
        <f t="shared" si="24"/>
        <v>0.16929379167416414</v>
      </c>
      <c r="AB105">
        <v>25.125</v>
      </c>
      <c r="AC105">
        <v>264472.3534965869</v>
      </c>
      <c r="AD105" t="s">
        <v>82</v>
      </c>
      <c r="AE105">
        <v>25.125</v>
      </c>
      <c r="AF105">
        <v>142.03471233528307</v>
      </c>
      <c r="AG105" s="82">
        <f t="shared" si="25"/>
        <v>0.15072867145204327</v>
      </c>
      <c r="AH105">
        <v>25.125</v>
      </c>
      <c r="AI105">
        <v>237764.98761714049</v>
      </c>
      <c r="AJ105" t="s">
        <v>82</v>
      </c>
      <c r="AK105">
        <v>25.125</v>
      </c>
      <c r="AL105">
        <v>141.69654883035386</v>
      </c>
      <c r="AM105" s="82">
        <f t="shared" si="26"/>
        <v>0.13147480295745595</v>
      </c>
      <c r="AN105">
        <v>25.125</v>
      </c>
      <c r="AO105">
        <v>210106.63330072243</v>
      </c>
      <c r="AP105" t="s">
        <v>82</v>
      </c>
      <c r="AQ105">
        <v>25.125</v>
      </c>
      <c r="AR105">
        <v>141.37698071797166</v>
      </c>
      <c r="AS105" s="82">
        <f t="shared" si="27"/>
        <v>0.1103920168203274</v>
      </c>
      <c r="AT105">
        <v>25.125</v>
      </c>
      <c r="AU105">
        <v>179841.39119591034</v>
      </c>
      <c r="AV105" t="s">
        <v>82</v>
      </c>
      <c r="AW105">
        <v>25.125</v>
      </c>
      <c r="AX105">
        <v>141.05379788508617</v>
      </c>
      <c r="AY105" s="82">
        <f t="shared" si="28"/>
        <v>8.8260093967448938E-2</v>
      </c>
      <c r="AZ105">
        <v>25.125</v>
      </c>
      <c r="BA105">
        <v>148111.03278697134</v>
      </c>
      <c r="BB105" t="s">
        <v>82</v>
      </c>
      <c r="BC105">
        <v>25.125</v>
      </c>
      <c r="BD105">
        <v>140.72339582374417</v>
      </c>
      <c r="BE105" s="82">
        <f t="shared" si="29"/>
        <v>6.5143441229423615E-2</v>
      </c>
      <c r="BF105">
        <v>25.125</v>
      </c>
      <c r="BG105">
        <v>115016.20540728516</v>
      </c>
      <c r="BH105" t="s">
        <v>82</v>
      </c>
      <c r="BI105">
        <v>25.125</v>
      </c>
      <c r="BJ105">
        <v>140.43527654252162</v>
      </c>
      <c r="BK105" s="82">
        <f t="shared" si="30"/>
        <v>3.8928265321231947E-2</v>
      </c>
      <c r="BL105">
        <v>25.125</v>
      </c>
      <c r="BM105">
        <v>77488.756079842133</v>
      </c>
      <c r="BN105" t="s">
        <v>82</v>
      </c>
      <c r="BO105">
        <v>25.125</v>
      </c>
      <c r="BP105">
        <v>140.18576768457083</v>
      </c>
      <c r="BQ105" s="82">
        <f t="shared" si="31"/>
        <v>9.5523963777282006E-3</v>
      </c>
      <c r="BR105">
        <v>25.125</v>
      </c>
      <c r="BS105">
        <v>35457.538575813145</v>
      </c>
      <c r="BT105" t="s">
        <v>82</v>
      </c>
      <c r="BU105">
        <v>25.125</v>
      </c>
      <c r="BV105">
        <v>139.89955361618254</v>
      </c>
      <c r="BW105" s="82">
        <f t="shared" si="32"/>
        <v>-1.9792925658521199E-2</v>
      </c>
      <c r="BX105">
        <v>25.125</v>
      </c>
      <c r="BY105">
        <v>53368.892544753704</v>
      </c>
      <c r="BZ105" t="s">
        <v>82</v>
      </c>
      <c r="CA105">
        <v>25.125</v>
      </c>
      <c r="CB105">
        <v>139.21008061765772</v>
      </c>
      <c r="CC105" s="82">
        <f t="shared" si="33"/>
        <v>-3.1954578708081272E-2</v>
      </c>
      <c r="CD105">
        <v>25.125</v>
      </c>
      <c r="CE105">
        <v>72035.062396096298</v>
      </c>
      <c r="CF105" t="s">
        <v>82</v>
      </c>
      <c r="CG105">
        <v>25.125</v>
      </c>
      <c r="CH105">
        <v>138.37357370146037</v>
      </c>
      <c r="CI105" s="82">
        <f t="shared" si="34"/>
        <v>-3.6822523723941458E-2</v>
      </c>
      <c r="CJ105">
        <v>25.125</v>
      </c>
      <c r="CK105">
        <v>80081.6361600901</v>
      </c>
      <c r="CL105" t="s">
        <v>82</v>
      </c>
      <c r="CM105">
        <v>25.125</v>
      </c>
      <c r="CN105">
        <v>137.49702579637182</v>
      </c>
      <c r="CO105" s="82">
        <f t="shared" si="35"/>
        <v>-3.8576570630965534E-2</v>
      </c>
      <c r="CP105">
        <v>25.125</v>
      </c>
      <c r="CQ105">
        <v>83620.153458108674</v>
      </c>
      <c r="CR105" t="s">
        <v>82</v>
      </c>
      <c r="CS105">
        <v>25.125</v>
      </c>
      <c r="CT105">
        <v>136.6259257054906</v>
      </c>
      <c r="CU105" s="82">
        <f t="shared" si="36"/>
        <v>-3.9027381254271631E-2</v>
      </c>
      <c r="CV105">
        <v>25.125</v>
      </c>
      <c r="CW105">
        <v>85297.268335688073</v>
      </c>
      <c r="CX105" t="s">
        <v>82</v>
      </c>
      <c r="CY105">
        <v>25.125</v>
      </c>
      <c r="CZ105">
        <v>135.75725882855443</v>
      </c>
      <c r="DA105" s="82">
        <f t="shared" si="37"/>
        <v>-3.9126350498861484E-2</v>
      </c>
      <c r="DB105">
        <v>25.125</v>
      </c>
      <c r="DC105">
        <v>86519.179861621582</v>
      </c>
      <c r="DD105" t="s">
        <v>82</v>
      </c>
      <c r="DG105" s="82">
        <f t="shared" si="38"/>
        <v>0</v>
      </c>
      <c r="DM105" s="82">
        <f t="shared" si="39"/>
        <v>0</v>
      </c>
    </row>
    <row r="106" spans="1:117" x14ac:dyDescent="0.2">
      <c r="A106">
        <v>25.375</v>
      </c>
      <c r="B106">
        <v>143.86266514287522</v>
      </c>
      <c r="C106" s="82">
        <f t="shared" si="20"/>
        <v>0.22695342716113487</v>
      </c>
      <c r="D106">
        <v>25.375</v>
      </c>
      <c r="E106">
        <v>347609.47887590236</v>
      </c>
      <c r="F106" t="s">
        <v>82</v>
      </c>
      <c r="G106">
        <v>25.375</v>
      </c>
      <c r="H106">
        <v>143.53358370274898</v>
      </c>
      <c r="I106" s="82">
        <f t="shared" si="21"/>
        <v>0.21175255255079151</v>
      </c>
      <c r="J106">
        <v>25.375</v>
      </c>
      <c r="K106">
        <v>325694.07612208242</v>
      </c>
      <c r="L106" t="s">
        <v>82</v>
      </c>
      <c r="M106">
        <v>25.375</v>
      </c>
      <c r="N106">
        <v>143.19601215726581</v>
      </c>
      <c r="O106" s="82">
        <f t="shared" si="22"/>
        <v>0.19604920990303754</v>
      </c>
      <c r="P106">
        <v>25.375</v>
      </c>
      <c r="Q106">
        <v>303075.34183730558</v>
      </c>
      <c r="R106" t="s">
        <v>82</v>
      </c>
      <c r="S106">
        <v>25.375</v>
      </c>
      <c r="T106">
        <v>142.86360287435215</v>
      </c>
      <c r="U106" s="82">
        <f t="shared" si="23"/>
        <v>0.17931067633475095</v>
      </c>
      <c r="V106">
        <v>25.375</v>
      </c>
      <c r="W106">
        <v>278976.86714993679</v>
      </c>
      <c r="X106" t="s">
        <v>82</v>
      </c>
      <c r="Y106">
        <v>25.375</v>
      </c>
      <c r="Z106">
        <v>142.52573764705608</v>
      </c>
      <c r="AA106" s="82">
        <f t="shared" si="24"/>
        <v>0.16187018914749274</v>
      </c>
      <c r="AB106">
        <v>25.375</v>
      </c>
      <c r="AC106">
        <v>253889.88703850581</v>
      </c>
      <c r="AD106" t="s">
        <v>82</v>
      </c>
      <c r="AE106">
        <v>25.375</v>
      </c>
      <c r="AF106">
        <v>142.17854146547191</v>
      </c>
      <c r="AG106" s="82">
        <f t="shared" si="25"/>
        <v>0.14382913018883414</v>
      </c>
      <c r="AH106">
        <v>25.375</v>
      </c>
      <c r="AI106">
        <v>227966.52604377849</v>
      </c>
      <c r="AJ106" t="s">
        <v>82</v>
      </c>
      <c r="AK106">
        <v>25.375</v>
      </c>
      <c r="AL106">
        <v>141.8217021032479</v>
      </c>
      <c r="AM106" s="82">
        <f t="shared" si="26"/>
        <v>0.12515327289403899</v>
      </c>
      <c r="AN106">
        <v>25.375</v>
      </c>
      <c r="AO106">
        <v>201160.92940282525</v>
      </c>
      <c r="AP106" t="s">
        <v>82</v>
      </c>
      <c r="AQ106">
        <v>25.375</v>
      </c>
      <c r="AR106">
        <v>141.48173366643059</v>
      </c>
      <c r="AS106" s="82">
        <f t="shared" si="27"/>
        <v>0.10475294845892336</v>
      </c>
      <c r="AT106">
        <v>25.375</v>
      </c>
      <c r="AU106">
        <v>171885.35881253085</v>
      </c>
      <c r="AV106" t="s">
        <v>82</v>
      </c>
      <c r="AW106">
        <v>25.375</v>
      </c>
      <c r="AX106">
        <v>141.13717661804046</v>
      </c>
      <c r="AY106" s="82">
        <f t="shared" si="28"/>
        <v>8.3378732954287216E-2</v>
      </c>
      <c r="AZ106">
        <v>25.375</v>
      </c>
      <c r="BA106">
        <v>141242.95411238007</v>
      </c>
      <c r="BB106" t="s">
        <v>82</v>
      </c>
      <c r="BC106">
        <v>25.375</v>
      </c>
      <c r="BD106">
        <v>140.78449210185931</v>
      </c>
      <c r="BE106" s="82">
        <f t="shared" si="29"/>
        <v>6.1096278115144287E-2</v>
      </c>
      <c r="BF106">
        <v>25.375</v>
      </c>
      <c r="BG106">
        <v>109336.05754421691</v>
      </c>
      <c r="BH106" t="s">
        <v>82</v>
      </c>
      <c r="BI106">
        <v>25.375</v>
      </c>
      <c r="BJ106">
        <v>140.47116779648792</v>
      </c>
      <c r="BK106" s="82">
        <f t="shared" si="30"/>
        <v>3.5891253966298109E-2</v>
      </c>
      <c r="BL106">
        <v>25.375</v>
      </c>
      <c r="BM106">
        <v>73229.84507026439</v>
      </c>
      <c r="BN106" t="s">
        <v>82</v>
      </c>
      <c r="BO106">
        <v>25.375</v>
      </c>
      <c r="BP106">
        <v>140.19349161636839</v>
      </c>
      <c r="BQ106" s="82">
        <f t="shared" si="31"/>
        <v>7.7239317975568156E-3</v>
      </c>
      <c r="BR106">
        <v>25.375</v>
      </c>
      <c r="BS106">
        <v>32877.341823624927</v>
      </c>
      <c r="BT106" t="s">
        <v>82</v>
      </c>
      <c r="BU106">
        <v>25.375</v>
      </c>
      <c r="BV106">
        <v>139.87919415059471</v>
      </c>
      <c r="BW106" s="82">
        <f t="shared" si="32"/>
        <v>-2.0359465587830528E-2</v>
      </c>
      <c r="BX106">
        <v>25.375</v>
      </c>
      <c r="BY106">
        <v>54152.314305860629</v>
      </c>
      <c r="BZ106" t="s">
        <v>82</v>
      </c>
      <c r="CA106">
        <v>25.375</v>
      </c>
      <c r="CB106">
        <v>139.17804489579166</v>
      </c>
      <c r="CC106" s="82">
        <f t="shared" si="33"/>
        <v>-3.2035721866066069E-2</v>
      </c>
      <c r="CD106">
        <v>25.375</v>
      </c>
      <c r="CE106">
        <v>72109.956946226157</v>
      </c>
      <c r="CF106" t="s">
        <v>82</v>
      </c>
      <c r="CG106">
        <v>25.375</v>
      </c>
      <c r="CH106">
        <v>138.336874079692</v>
      </c>
      <c r="CI106" s="82">
        <f t="shared" si="34"/>
        <v>-3.669962176837771E-2</v>
      </c>
      <c r="CJ106">
        <v>25.375</v>
      </c>
      <c r="CK106">
        <v>79859.260929028518</v>
      </c>
      <c r="CL106" t="s">
        <v>82</v>
      </c>
      <c r="CM106">
        <v>25.375</v>
      </c>
      <c r="CN106">
        <v>137.45865011220388</v>
      </c>
      <c r="CO106" s="82">
        <f t="shared" si="35"/>
        <v>-3.8375684167931468E-2</v>
      </c>
      <c r="CP106">
        <v>25.375</v>
      </c>
      <c r="CQ106">
        <v>83284.876904882301</v>
      </c>
      <c r="CR106" t="s">
        <v>82</v>
      </c>
      <c r="CS106">
        <v>25.375</v>
      </c>
      <c r="CT106">
        <v>136.58711968113286</v>
      </c>
      <c r="CU106" s="82">
        <f t="shared" si="36"/>
        <v>-3.8806024357739943E-2</v>
      </c>
      <c r="CV106">
        <v>25.375</v>
      </c>
      <c r="CW106">
        <v>84933.330699448008</v>
      </c>
      <c r="CX106" t="s">
        <v>82</v>
      </c>
      <c r="CY106">
        <v>25.375</v>
      </c>
      <c r="CZ106">
        <v>135.71835940611206</v>
      </c>
      <c r="DA106" s="82">
        <f t="shared" si="37"/>
        <v>-3.8899422442369769E-2</v>
      </c>
      <c r="DB106">
        <v>25.375</v>
      </c>
      <c r="DC106">
        <v>86148.475895045107</v>
      </c>
      <c r="DD106" t="s">
        <v>82</v>
      </c>
      <c r="DG106" s="82">
        <f t="shared" si="38"/>
        <v>0</v>
      </c>
      <c r="DM106" s="82">
        <f t="shared" si="39"/>
        <v>0</v>
      </c>
    </row>
    <row r="107" spans="1:117" x14ac:dyDescent="0.2">
      <c r="A107">
        <v>25.625</v>
      </c>
      <c r="B107">
        <v>144.08111043575582</v>
      </c>
      <c r="C107" s="82">
        <f t="shared" si="20"/>
        <v>0.21844529288060244</v>
      </c>
      <c r="D107">
        <v>25.625</v>
      </c>
      <c r="E107">
        <v>335142.31184417038</v>
      </c>
      <c r="F107" t="s">
        <v>82</v>
      </c>
      <c r="G107">
        <v>25.625</v>
      </c>
      <c r="H107">
        <v>143.73721518824109</v>
      </c>
      <c r="I107" s="82">
        <f t="shared" si="21"/>
        <v>0.20363148549211019</v>
      </c>
      <c r="J107">
        <v>25.625</v>
      </c>
      <c r="K107">
        <v>313795.91322728503</v>
      </c>
      <c r="L107" t="s">
        <v>82</v>
      </c>
      <c r="M107">
        <v>25.625</v>
      </c>
      <c r="N107">
        <v>143.38435368540709</v>
      </c>
      <c r="O107" s="82">
        <f t="shared" si="22"/>
        <v>0.18834152814127947</v>
      </c>
      <c r="P107">
        <v>25.625</v>
      </c>
      <c r="Q107">
        <v>291784.61926860834</v>
      </c>
      <c r="R107" t="s">
        <v>82</v>
      </c>
      <c r="S107">
        <v>25.625</v>
      </c>
      <c r="T107">
        <v>143.03566476913102</v>
      </c>
      <c r="U107" s="82">
        <f t="shared" si="23"/>
        <v>0.17206189477886369</v>
      </c>
      <c r="V107">
        <v>25.625</v>
      </c>
      <c r="W107">
        <v>268360.06348888669</v>
      </c>
      <c r="X107" t="s">
        <v>82</v>
      </c>
      <c r="Y107">
        <v>25.625</v>
      </c>
      <c r="Z107">
        <v>142.68085400914848</v>
      </c>
      <c r="AA107" s="82">
        <f t="shared" si="24"/>
        <v>0.1551163620924001</v>
      </c>
      <c r="AB107">
        <v>25.625</v>
      </c>
      <c r="AC107">
        <v>243999.60448715393</v>
      </c>
      <c r="AD107" t="s">
        <v>82</v>
      </c>
      <c r="AE107">
        <v>25.625</v>
      </c>
      <c r="AF107">
        <v>142.31614670291992</v>
      </c>
      <c r="AG107" s="82">
        <f t="shared" si="25"/>
        <v>0.1376052374480139</v>
      </c>
      <c r="AH107">
        <v>25.625</v>
      </c>
      <c r="AI107">
        <v>218853.75777379522</v>
      </c>
      <c r="AJ107" t="s">
        <v>82</v>
      </c>
      <c r="AK107">
        <v>25.625</v>
      </c>
      <c r="AL107">
        <v>141.9411996091487</v>
      </c>
      <c r="AM107" s="82">
        <f t="shared" si="26"/>
        <v>0.11949750590079589</v>
      </c>
      <c r="AN107">
        <v>25.625</v>
      </c>
      <c r="AO107">
        <v>192881.32744983415</v>
      </c>
      <c r="AP107" t="s">
        <v>82</v>
      </c>
      <c r="AQ107">
        <v>25.625</v>
      </c>
      <c r="AR107">
        <v>141.58147817891131</v>
      </c>
      <c r="AS107" s="82">
        <f t="shared" si="27"/>
        <v>9.9744512480725689E-2</v>
      </c>
      <c r="AT107">
        <v>25.625</v>
      </c>
      <c r="AU107">
        <v>164554.46042320158</v>
      </c>
      <c r="AV107" t="s">
        <v>82</v>
      </c>
      <c r="AW107">
        <v>25.625</v>
      </c>
      <c r="AX107">
        <v>141.21625072352276</v>
      </c>
      <c r="AY107" s="82">
        <f t="shared" si="28"/>
        <v>7.9074105482305868E-2</v>
      </c>
      <c r="AZ107">
        <v>25.625</v>
      </c>
      <c r="BA107">
        <v>134943.00258133069</v>
      </c>
      <c r="BB107" t="s">
        <v>82</v>
      </c>
      <c r="BC107">
        <v>25.625</v>
      </c>
      <c r="BD107">
        <v>140.84204503168155</v>
      </c>
      <c r="BE107" s="82">
        <f t="shared" si="29"/>
        <v>5.7552929822236365E-2</v>
      </c>
      <c r="BF107">
        <v>25.625</v>
      </c>
      <c r="BG107">
        <v>104150.6646293348</v>
      </c>
      <c r="BH107" t="s">
        <v>82</v>
      </c>
      <c r="BI107">
        <v>25.625</v>
      </c>
      <c r="BJ107">
        <v>140.50441389814256</v>
      </c>
      <c r="BK107" s="82">
        <f t="shared" si="30"/>
        <v>3.324610165464037E-2</v>
      </c>
      <c r="BL107">
        <v>25.625</v>
      </c>
      <c r="BM107">
        <v>69358.592563536964</v>
      </c>
      <c r="BN107" t="s">
        <v>82</v>
      </c>
      <c r="BO107">
        <v>25.625</v>
      </c>
      <c r="BP107">
        <v>140.19961526158031</v>
      </c>
      <c r="BQ107" s="82">
        <f t="shared" si="31"/>
        <v>6.1236452119146634E-3</v>
      </c>
      <c r="BR107">
        <v>25.625</v>
      </c>
      <c r="BS107">
        <v>30533.905107125738</v>
      </c>
      <c r="BT107" t="s">
        <v>82</v>
      </c>
      <c r="BU107">
        <v>25.625</v>
      </c>
      <c r="BV107">
        <v>139.85831579132551</v>
      </c>
      <c r="BW107" s="82">
        <f t="shared" si="32"/>
        <v>-2.0878359269204338E-2</v>
      </c>
      <c r="BX107">
        <v>25.625</v>
      </c>
      <c r="BY107">
        <v>54865.338559847631</v>
      </c>
      <c r="BZ107" t="s">
        <v>82</v>
      </c>
      <c r="CA107">
        <v>25.625</v>
      </c>
      <c r="CB107">
        <v>139.14595676108001</v>
      </c>
      <c r="CC107" s="82">
        <f t="shared" si="33"/>
        <v>-3.2088134711642624E-2</v>
      </c>
      <c r="CD107">
        <v>25.625</v>
      </c>
      <c r="CE107">
        <v>72142.060531281997</v>
      </c>
      <c r="CF107" t="s">
        <v>82</v>
      </c>
      <c r="CG107">
        <v>25.625</v>
      </c>
      <c r="CH107">
        <v>138.30031762540909</v>
      </c>
      <c r="CI107" s="82">
        <f t="shared" si="34"/>
        <v>-3.6556454282901996E-2</v>
      </c>
      <c r="CJ107">
        <v>25.625</v>
      </c>
      <c r="CK107">
        <v>79606.452011893634</v>
      </c>
      <c r="CL107" t="s">
        <v>82</v>
      </c>
      <c r="CM107">
        <v>25.625</v>
      </c>
      <c r="CN107">
        <v>137.42049167262314</v>
      </c>
      <c r="CO107" s="82">
        <f t="shared" si="35"/>
        <v>-3.8158439580740833E-2</v>
      </c>
      <c r="CP107">
        <v>25.625</v>
      </c>
      <c r="CQ107">
        <v>82924.881356544211</v>
      </c>
      <c r="CR107" t="s">
        <v>82</v>
      </c>
      <c r="CS107">
        <v>25.625</v>
      </c>
      <c r="CT107">
        <v>136.54854937059275</v>
      </c>
      <c r="CU107" s="82">
        <f t="shared" si="36"/>
        <v>-3.8570310540109176E-2</v>
      </c>
      <c r="CV107">
        <v>25.625</v>
      </c>
      <c r="CW107">
        <v>84547.619369955588</v>
      </c>
      <c r="CX107" t="s">
        <v>82</v>
      </c>
      <c r="CY107">
        <v>25.625</v>
      </c>
      <c r="CZ107">
        <v>135.67969966872727</v>
      </c>
      <c r="DA107" s="82">
        <f t="shared" si="37"/>
        <v>-3.865973738479056E-2</v>
      </c>
      <c r="DB107">
        <v>25.625</v>
      </c>
      <c r="DC107">
        <v>85758.364251783612</v>
      </c>
      <c r="DD107" t="s">
        <v>82</v>
      </c>
      <c r="DG107" s="82">
        <f t="shared" si="38"/>
        <v>0</v>
      </c>
      <c r="DM107" s="82">
        <f t="shared" si="39"/>
        <v>0</v>
      </c>
    </row>
    <row r="108" spans="1:117" x14ac:dyDescent="0.2">
      <c r="A108">
        <v>25.875</v>
      </c>
      <c r="B108">
        <v>144.29134913912054</v>
      </c>
      <c r="C108" s="82">
        <f t="shared" si="20"/>
        <v>0.21023870336472328</v>
      </c>
      <c r="D108">
        <v>25.875</v>
      </c>
      <c r="E108">
        <v>323116.77216158988</v>
      </c>
      <c r="F108" t="s">
        <v>82</v>
      </c>
      <c r="G108">
        <v>25.875</v>
      </c>
      <c r="H108">
        <v>143.93301810142475</v>
      </c>
      <c r="I108" s="82">
        <f t="shared" si="21"/>
        <v>0.19580291318365539</v>
      </c>
      <c r="J108">
        <v>25.875</v>
      </c>
      <c r="K108">
        <v>302326.10903299088</v>
      </c>
      <c r="L108" t="s">
        <v>82</v>
      </c>
      <c r="M108">
        <v>25.875</v>
      </c>
      <c r="N108">
        <v>143.56526992043217</v>
      </c>
      <c r="O108" s="82">
        <f t="shared" si="22"/>
        <v>0.18091623502508014</v>
      </c>
      <c r="P108">
        <v>25.875</v>
      </c>
      <c r="Q108">
        <v>280907.4445059342</v>
      </c>
      <c r="R108" t="s">
        <v>82</v>
      </c>
      <c r="S108">
        <v>25.875</v>
      </c>
      <c r="T108">
        <v>143.20074841073034</v>
      </c>
      <c r="U108" s="82">
        <f t="shared" si="23"/>
        <v>0.16508364159932398</v>
      </c>
      <c r="V108">
        <v>25.875</v>
      </c>
      <c r="W108">
        <v>258139.43546773546</v>
      </c>
      <c r="X108" t="s">
        <v>82</v>
      </c>
      <c r="Y108">
        <v>25.875</v>
      </c>
      <c r="Z108">
        <v>142.8294736881171</v>
      </c>
      <c r="AA108" s="82">
        <f t="shared" si="24"/>
        <v>0.14861967896862893</v>
      </c>
      <c r="AB108">
        <v>25.875</v>
      </c>
      <c r="AC108">
        <v>234485.90027169738</v>
      </c>
      <c r="AD108" t="s">
        <v>82</v>
      </c>
      <c r="AE108">
        <v>25.875</v>
      </c>
      <c r="AF108">
        <v>142.4477702558346</v>
      </c>
      <c r="AG108" s="82">
        <f t="shared" si="25"/>
        <v>0.1316235529146752</v>
      </c>
      <c r="AH108">
        <v>25.875</v>
      </c>
      <c r="AI108">
        <v>210095.70724378628</v>
      </c>
      <c r="AJ108" t="s">
        <v>82</v>
      </c>
      <c r="AK108">
        <v>25.875</v>
      </c>
      <c r="AL108">
        <v>142.05526687951996</v>
      </c>
      <c r="AM108" s="82">
        <f t="shared" si="26"/>
        <v>0.11406727037126529</v>
      </c>
      <c r="AN108">
        <v>25.875</v>
      </c>
      <c r="AO108">
        <v>184932.04302104426</v>
      </c>
      <c r="AP108" t="s">
        <v>82</v>
      </c>
      <c r="AQ108">
        <v>25.875</v>
      </c>
      <c r="AR108">
        <v>141.67641980490555</v>
      </c>
      <c r="AS108" s="82">
        <f t="shared" si="27"/>
        <v>9.4941625994238166E-2</v>
      </c>
      <c r="AT108">
        <v>25.875</v>
      </c>
      <c r="AU108">
        <v>157524.65825857306</v>
      </c>
      <c r="AV108" t="s">
        <v>82</v>
      </c>
      <c r="AW108">
        <v>25.875</v>
      </c>
      <c r="AX108">
        <v>141.29120312114816</v>
      </c>
      <c r="AY108" s="82">
        <f t="shared" si="28"/>
        <v>7.4952397625395406E-2</v>
      </c>
      <c r="AZ108">
        <v>25.875</v>
      </c>
      <c r="BA108">
        <v>128911.06534801438</v>
      </c>
      <c r="BB108" t="s">
        <v>82</v>
      </c>
      <c r="BC108">
        <v>25.875</v>
      </c>
      <c r="BD108">
        <v>140.89621207262803</v>
      </c>
      <c r="BE108" s="82">
        <f t="shared" si="29"/>
        <v>5.4167040946481393E-2</v>
      </c>
      <c r="BF108">
        <v>25.875</v>
      </c>
      <c r="BG108">
        <v>99196.07956124749</v>
      </c>
      <c r="BH108" t="s">
        <v>82</v>
      </c>
      <c r="BI108">
        <v>25.875</v>
      </c>
      <c r="BJ108">
        <v>140.53514086158754</v>
      </c>
      <c r="BK108" s="82">
        <f t="shared" si="30"/>
        <v>3.0726963444976718E-2</v>
      </c>
      <c r="BL108">
        <v>25.875</v>
      </c>
      <c r="BM108">
        <v>65672.214031367883</v>
      </c>
      <c r="BN108" t="s">
        <v>82</v>
      </c>
      <c r="BO108">
        <v>25.875</v>
      </c>
      <c r="BP108">
        <v>140.20422648211826</v>
      </c>
      <c r="BQ108" s="82">
        <f t="shared" si="31"/>
        <v>4.6112205379529314E-3</v>
      </c>
      <c r="BR108">
        <v>25.875</v>
      </c>
      <c r="BS108">
        <v>28319.629906772672</v>
      </c>
      <c r="BT108" t="s">
        <v>82</v>
      </c>
      <c r="BU108">
        <v>25.875</v>
      </c>
      <c r="BV108">
        <v>139.83696544771473</v>
      </c>
      <c r="BW108" s="82">
        <f t="shared" si="32"/>
        <v>-2.1350343610777145E-2</v>
      </c>
      <c r="BX108">
        <v>25.875</v>
      </c>
      <c r="BY108">
        <v>55509.006046119932</v>
      </c>
      <c r="BZ108" t="s">
        <v>82</v>
      </c>
      <c r="CA108">
        <v>25.875</v>
      </c>
      <c r="CB108">
        <v>139.11384496355598</v>
      </c>
      <c r="CC108" s="82">
        <f t="shared" si="33"/>
        <v>-3.2111797524038366E-2</v>
      </c>
      <c r="CD108">
        <v>25.875</v>
      </c>
      <c r="CE108">
        <v>72131.309241801864</v>
      </c>
      <c r="CF108" t="s">
        <v>82</v>
      </c>
      <c r="CG108">
        <v>25.875</v>
      </c>
      <c r="CH108">
        <v>138.26392496118845</v>
      </c>
      <c r="CI108" s="82">
        <f t="shared" si="34"/>
        <v>-3.6392664220642246E-2</v>
      </c>
      <c r="CJ108">
        <v>25.875</v>
      </c>
      <c r="CK108">
        <v>79322.652551660227</v>
      </c>
      <c r="CL108" t="s">
        <v>82</v>
      </c>
      <c r="CM108">
        <v>25.875</v>
      </c>
      <c r="CN108">
        <v>137.38256733447352</v>
      </c>
      <c r="CO108" s="82">
        <f t="shared" si="35"/>
        <v>-3.7924338149622372E-2</v>
      </c>
      <c r="CP108">
        <v>25.875</v>
      </c>
      <c r="CQ108">
        <v>82539.403056238618</v>
      </c>
      <c r="CR108" t="s">
        <v>82</v>
      </c>
      <c r="CS108">
        <v>25.875</v>
      </c>
      <c r="CT108">
        <v>136.51022967715102</v>
      </c>
      <c r="CU108" s="82">
        <f t="shared" si="36"/>
        <v>-3.8319693441735581E-2</v>
      </c>
      <c r="CV108">
        <v>25.875</v>
      </c>
      <c r="CW108">
        <v>84139.301456903311</v>
      </c>
      <c r="CX108" t="s">
        <v>82</v>
      </c>
      <c r="CY108">
        <v>25.875</v>
      </c>
      <c r="CZ108">
        <v>135.64129294259089</v>
      </c>
      <c r="DA108" s="82">
        <f t="shared" si="37"/>
        <v>-3.8406726136372527E-2</v>
      </c>
      <c r="DB108">
        <v>25.875</v>
      </c>
      <c r="DC108">
        <v>85347.979441371819</v>
      </c>
      <c r="DD108" t="s">
        <v>82</v>
      </c>
      <c r="DG108" s="82">
        <f t="shared" si="38"/>
        <v>0</v>
      </c>
      <c r="DM108" s="82">
        <f t="shared" si="39"/>
        <v>0</v>
      </c>
    </row>
    <row r="109" spans="1:117" x14ac:dyDescent="0.2">
      <c r="A109">
        <v>26.125</v>
      </c>
      <c r="B109">
        <v>144.49367356141107</v>
      </c>
      <c r="C109" s="82">
        <f t="shared" si="20"/>
        <v>0.20232442229053049</v>
      </c>
      <c r="D109">
        <v>26.125</v>
      </c>
      <c r="E109">
        <v>311519.39134590497</v>
      </c>
      <c r="F109" t="s">
        <v>82</v>
      </c>
      <c r="G109">
        <v>26.125</v>
      </c>
      <c r="H109">
        <v>144.12127590423239</v>
      </c>
      <c r="I109" s="82">
        <f t="shared" si="21"/>
        <v>0.18825780280764093</v>
      </c>
      <c r="J109">
        <v>26.125</v>
      </c>
      <c r="K109">
        <v>291271.49450009473</v>
      </c>
      <c r="L109" t="s">
        <v>82</v>
      </c>
      <c r="M109">
        <v>26.125</v>
      </c>
      <c r="N109">
        <v>143.73903446196664</v>
      </c>
      <c r="O109" s="82">
        <f t="shared" si="22"/>
        <v>0.1737645415344673</v>
      </c>
      <c r="P109">
        <v>26.125</v>
      </c>
      <c r="Q109">
        <v>270431.00666819862</v>
      </c>
      <c r="R109" t="s">
        <v>82</v>
      </c>
      <c r="S109">
        <v>26.125</v>
      </c>
      <c r="T109">
        <v>143.35911584797935</v>
      </c>
      <c r="U109" s="82">
        <f t="shared" si="23"/>
        <v>0.15836743724901226</v>
      </c>
      <c r="V109">
        <v>26.125</v>
      </c>
      <c r="W109">
        <v>248302.62626677204</v>
      </c>
      <c r="X109" t="s">
        <v>82</v>
      </c>
      <c r="Y109">
        <v>26.125</v>
      </c>
      <c r="Z109">
        <v>142.97184571801148</v>
      </c>
      <c r="AA109" s="82">
        <f t="shared" si="24"/>
        <v>0.14237202989437492</v>
      </c>
      <c r="AB109">
        <v>26.125</v>
      </c>
      <c r="AC109">
        <v>225336.95935261343</v>
      </c>
      <c r="AD109" t="s">
        <v>82</v>
      </c>
      <c r="AE109">
        <v>26.125</v>
      </c>
      <c r="AF109">
        <v>142.57364665680623</v>
      </c>
      <c r="AG109" s="82">
        <f t="shared" si="25"/>
        <v>0.12587640097163444</v>
      </c>
      <c r="AH109">
        <v>26.125</v>
      </c>
      <c r="AI109">
        <v>201681.19548203915</v>
      </c>
      <c r="AJ109" t="s">
        <v>82</v>
      </c>
      <c r="AK109">
        <v>26.125</v>
      </c>
      <c r="AL109">
        <v>142.16412227880934</v>
      </c>
      <c r="AM109" s="82">
        <f t="shared" si="26"/>
        <v>0.10885539928938215</v>
      </c>
      <c r="AN109">
        <v>26.125</v>
      </c>
      <c r="AO109">
        <v>177302.64156775014</v>
      </c>
      <c r="AP109" t="s">
        <v>82</v>
      </c>
      <c r="AQ109">
        <v>26.125</v>
      </c>
      <c r="AR109">
        <v>141.76675757030787</v>
      </c>
      <c r="AS109" s="82">
        <f t="shared" si="27"/>
        <v>9.0337765402324521E-2</v>
      </c>
      <c r="AT109">
        <v>26.125</v>
      </c>
      <c r="AU109">
        <v>150786.45885487812</v>
      </c>
      <c r="AV109" t="s">
        <v>82</v>
      </c>
      <c r="AW109">
        <v>26.125</v>
      </c>
      <c r="AX109">
        <v>141.36221096769145</v>
      </c>
      <c r="AY109" s="82">
        <f t="shared" si="28"/>
        <v>7.1007846543295727E-2</v>
      </c>
      <c r="AZ109">
        <v>26.125</v>
      </c>
      <c r="BA109">
        <v>123138.76109908987</v>
      </c>
      <c r="BB109" t="s">
        <v>82</v>
      </c>
      <c r="BC109">
        <v>26.125</v>
      </c>
      <c r="BD109">
        <v>140.94714581220714</v>
      </c>
      <c r="BE109" s="82">
        <f t="shared" si="29"/>
        <v>5.0933739579107851E-2</v>
      </c>
      <c r="BF109">
        <v>26.125</v>
      </c>
      <c r="BG109">
        <v>94465.222942760331</v>
      </c>
      <c r="BH109" t="s">
        <v>82</v>
      </c>
      <c r="BI109">
        <v>26.125</v>
      </c>
      <c r="BJ109">
        <v>140.56347097850212</v>
      </c>
      <c r="BK109" s="82">
        <f t="shared" si="30"/>
        <v>2.8330116914588643E-2</v>
      </c>
      <c r="BL109">
        <v>26.125</v>
      </c>
      <c r="BM109">
        <v>62165.309076694117</v>
      </c>
      <c r="BN109" t="s">
        <v>82</v>
      </c>
      <c r="BO109">
        <v>26.125</v>
      </c>
      <c r="BP109">
        <v>140.20741086773901</v>
      </c>
      <c r="BQ109" s="82">
        <f t="shared" si="31"/>
        <v>3.1843856207558474E-3</v>
      </c>
      <c r="BR109">
        <v>26.125</v>
      </c>
      <c r="BS109">
        <v>26231.232694959486</v>
      </c>
      <c r="BT109" t="s">
        <v>82</v>
      </c>
      <c r="BU109">
        <v>26.125</v>
      </c>
      <c r="BV109">
        <v>139.81518936731786</v>
      </c>
      <c r="BW109" s="82">
        <f t="shared" si="32"/>
        <v>-2.1776080396875841E-2</v>
      </c>
      <c r="BX109">
        <v>26.125</v>
      </c>
      <c r="BY109">
        <v>56084.246774192965</v>
      </c>
      <c r="BZ109" t="s">
        <v>82</v>
      </c>
      <c r="CA109">
        <v>26.125</v>
      </c>
      <c r="CB109">
        <v>139.08173831939902</v>
      </c>
      <c r="CC109" s="82">
        <f t="shared" si="33"/>
        <v>-3.2106644156954189E-2</v>
      </c>
      <c r="CD109">
        <v>26.125</v>
      </c>
      <c r="CE109">
        <v>72077.570087132917</v>
      </c>
      <c r="CF109" t="s">
        <v>82</v>
      </c>
      <c r="CG109">
        <v>26.125</v>
      </c>
      <c r="CH109">
        <v>138.22771710034775</v>
      </c>
      <c r="CI109" s="82">
        <f t="shared" si="34"/>
        <v>-3.6207860840704598E-2</v>
      </c>
      <c r="CJ109">
        <v>26.125</v>
      </c>
      <c r="CK109">
        <v>79007.255118028697</v>
      </c>
      <c r="CL109" t="s">
        <v>82</v>
      </c>
      <c r="CM109">
        <v>26.125</v>
      </c>
      <c r="CN109">
        <v>137.3448944814798</v>
      </c>
      <c r="CO109" s="82">
        <f t="shared" si="35"/>
        <v>-3.7672852993722472E-2</v>
      </c>
      <c r="CP109">
        <v>26.125</v>
      </c>
      <c r="CQ109">
        <v>82127.63569766318</v>
      </c>
      <c r="CR109" t="s">
        <v>82</v>
      </c>
      <c r="CS109">
        <v>26.125</v>
      </c>
      <c r="CT109">
        <v>136.4721760761627</v>
      </c>
      <c r="CU109" s="82">
        <f t="shared" si="36"/>
        <v>-3.8053600988320113E-2</v>
      </c>
      <c r="CV109">
        <v>26.125</v>
      </c>
      <c r="CW109">
        <v>83707.505061524615</v>
      </c>
      <c r="CX109" t="s">
        <v>82</v>
      </c>
      <c r="CY109">
        <v>26.125</v>
      </c>
      <c r="CZ109">
        <v>135.60315314688191</v>
      </c>
      <c r="DA109" s="82">
        <f t="shared" si="37"/>
        <v>-3.8139795708985957E-2</v>
      </c>
      <c r="DB109">
        <v>26.125</v>
      </c>
      <c r="DC109">
        <v>84916.419764035134</v>
      </c>
      <c r="DD109" t="s">
        <v>82</v>
      </c>
      <c r="DG109" s="82">
        <f t="shared" si="38"/>
        <v>0</v>
      </c>
      <c r="DM109" s="82">
        <f t="shared" si="39"/>
        <v>0</v>
      </c>
    </row>
    <row r="110" spans="1:117" x14ac:dyDescent="0.2">
      <c r="A110">
        <v>26.375</v>
      </c>
      <c r="B110">
        <v>144.68836710481159</v>
      </c>
      <c r="C110" s="82">
        <f t="shared" si="20"/>
        <v>0.19469354340051837</v>
      </c>
      <c r="D110">
        <v>26.375</v>
      </c>
      <c r="E110">
        <v>300337.18284438259</v>
      </c>
      <c r="F110" t="s">
        <v>82</v>
      </c>
      <c r="G110">
        <v>26.375</v>
      </c>
      <c r="H110">
        <v>144.30226335545225</v>
      </c>
      <c r="I110" s="82">
        <f t="shared" si="21"/>
        <v>0.18098745121986326</v>
      </c>
      <c r="J110">
        <v>26.375</v>
      </c>
      <c r="K110">
        <v>280619.38189064572</v>
      </c>
      <c r="L110" t="s">
        <v>82</v>
      </c>
      <c r="M110">
        <v>26.375</v>
      </c>
      <c r="N110">
        <v>143.90591244839334</v>
      </c>
      <c r="O110" s="82">
        <f t="shared" si="22"/>
        <v>0.16687798642669804</v>
      </c>
      <c r="P110">
        <v>26.375</v>
      </c>
      <c r="Q110">
        <v>260342.9735021856</v>
      </c>
      <c r="R110" t="s">
        <v>82</v>
      </c>
      <c r="S110">
        <v>26.375</v>
      </c>
      <c r="T110">
        <v>143.51102097372888</v>
      </c>
      <c r="U110" s="82">
        <f t="shared" si="23"/>
        <v>0.15190512574952209</v>
      </c>
      <c r="V110">
        <v>26.375</v>
      </c>
      <c r="W110">
        <v>238837.75147962276</v>
      </c>
      <c r="X110" t="s">
        <v>82</v>
      </c>
      <c r="Y110">
        <v>26.375</v>
      </c>
      <c r="Z110">
        <v>143.10821134001006</v>
      </c>
      <c r="AA110" s="82">
        <f t="shared" si="24"/>
        <v>0.13636562199857849</v>
      </c>
      <c r="AB110">
        <v>26.375</v>
      </c>
      <c r="AC110">
        <v>216541.42963113115</v>
      </c>
      <c r="AD110" t="s">
        <v>82</v>
      </c>
      <c r="AE110">
        <v>26.375</v>
      </c>
      <c r="AF110">
        <v>142.69400307068014</v>
      </c>
      <c r="AG110" s="82">
        <f t="shared" si="25"/>
        <v>0.12035641387390683</v>
      </c>
      <c r="AH110">
        <v>26.375</v>
      </c>
      <c r="AI110">
        <v>193599.49314820091</v>
      </c>
      <c r="AJ110" t="s">
        <v>82</v>
      </c>
      <c r="AK110">
        <v>26.375</v>
      </c>
      <c r="AL110">
        <v>142.2679773000927</v>
      </c>
      <c r="AM110" s="82">
        <f t="shared" si="26"/>
        <v>0.10385502128335133</v>
      </c>
      <c r="AN110">
        <v>26.375</v>
      </c>
      <c r="AO110">
        <v>169983.12040495756</v>
      </c>
      <c r="AP110" t="s">
        <v>82</v>
      </c>
      <c r="AQ110">
        <v>26.375</v>
      </c>
      <c r="AR110">
        <v>141.85268425547358</v>
      </c>
      <c r="AS110" s="82">
        <f t="shared" si="27"/>
        <v>8.5926685165702565E-2</v>
      </c>
      <c r="AT110">
        <v>26.375</v>
      </c>
      <c r="AU110">
        <v>144330.77495037878</v>
      </c>
      <c r="AV110" t="s">
        <v>82</v>
      </c>
      <c r="AW110">
        <v>26.375</v>
      </c>
      <c r="AX110">
        <v>141.42944591247812</v>
      </c>
      <c r="AY110" s="82">
        <f t="shared" si="28"/>
        <v>6.7234944786662254E-2</v>
      </c>
      <c r="AZ110">
        <v>26.375</v>
      </c>
      <c r="BA110">
        <v>117618.08177641917</v>
      </c>
      <c r="BB110" t="s">
        <v>82</v>
      </c>
      <c r="BC110">
        <v>26.375</v>
      </c>
      <c r="BD110">
        <v>140.99499419291953</v>
      </c>
      <c r="BE110" s="82">
        <f t="shared" si="29"/>
        <v>4.7848380712395056E-2</v>
      </c>
      <c r="BF110">
        <v>26.375</v>
      </c>
      <c r="BG110">
        <v>89951.347270982355</v>
      </c>
      <c r="BH110" t="s">
        <v>82</v>
      </c>
      <c r="BI110">
        <v>26.375</v>
      </c>
      <c r="BJ110">
        <v>140.589523005573</v>
      </c>
      <c r="BK110" s="82">
        <f t="shared" si="30"/>
        <v>2.6052027070875283E-2</v>
      </c>
      <c r="BL110">
        <v>26.375</v>
      </c>
      <c r="BM110">
        <v>58832.751767226146</v>
      </c>
      <c r="BN110" t="s">
        <v>82</v>
      </c>
      <c r="BO110">
        <v>26.375</v>
      </c>
      <c r="BP110">
        <v>140.2092518708148</v>
      </c>
      <c r="BQ110" s="82">
        <f t="shared" si="31"/>
        <v>1.841003075782055E-3</v>
      </c>
      <c r="BR110">
        <v>26.375</v>
      </c>
      <c r="BS110">
        <v>24265.627625239147</v>
      </c>
      <c r="BT110" t="s">
        <v>82</v>
      </c>
      <c r="BU110">
        <v>26.375</v>
      </c>
      <c r="BV110">
        <v>139.79303320969035</v>
      </c>
      <c r="BW110" s="82">
        <f t="shared" si="32"/>
        <v>-2.2156157627506445E-2</v>
      </c>
      <c r="BX110">
        <v>26.375</v>
      </c>
      <c r="BY110">
        <v>56591.881902665904</v>
      </c>
      <c r="BZ110" t="s">
        <v>82</v>
      </c>
      <c r="CA110">
        <v>26.375</v>
      </c>
      <c r="CB110">
        <v>139.04966575727866</v>
      </c>
      <c r="CC110" s="82">
        <f t="shared" si="33"/>
        <v>-3.2072562120362136E-2</v>
      </c>
      <c r="CD110">
        <v>26.375</v>
      </c>
      <c r="CE110">
        <v>71980.641057995905</v>
      </c>
      <c r="CF110" t="s">
        <v>82</v>
      </c>
      <c r="CG110">
        <v>26.375</v>
      </c>
      <c r="CH110">
        <v>138.1917154811596</v>
      </c>
      <c r="CI110" s="82">
        <f t="shared" si="34"/>
        <v>-3.6001619188141376E-2</v>
      </c>
      <c r="CJ110">
        <v>26.375</v>
      </c>
      <c r="CK110">
        <v>78659.6008958046</v>
      </c>
      <c r="CL110" t="s">
        <v>82</v>
      </c>
      <c r="CM110">
        <v>26.375</v>
      </c>
      <c r="CN110">
        <v>137.30749105319231</v>
      </c>
      <c r="CO110" s="82">
        <f t="shared" si="35"/>
        <v>-3.7403428287490215E-2</v>
      </c>
      <c r="CP110">
        <v>26.375</v>
      </c>
      <c r="CQ110">
        <v>81688.729234558035</v>
      </c>
      <c r="CR110" t="s">
        <v>82</v>
      </c>
      <c r="CS110">
        <v>26.375</v>
      </c>
      <c r="CT110">
        <v>136.43440464166838</v>
      </c>
      <c r="CU110" s="82">
        <f t="shared" si="36"/>
        <v>-3.7771434494317191E-2</v>
      </c>
      <c r="CV110">
        <v>26.375</v>
      </c>
      <c r="CW110">
        <v>83251.317925722804</v>
      </c>
      <c r="CX110" t="s">
        <v>82</v>
      </c>
      <c r="CY110">
        <v>26.375</v>
      </c>
      <c r="CZ110">
        <v>135.56529481859818</v>
      </c>
      <c r="DA110" s="82">
        <f t="shared" si="37"/>
        <v>-3.785832828373259E-2</v>
      </c>
      <c r="DB110">
        <v>26.375</v>
      </c>
      <c r="DC110">
        <v>84462.745731989969</v>
      </c>
      <c r="DD110" t="s">
        <v>82</v>
      </c>
      <c r="DG110" s="82">
        <f t="shared" si="38"/>
        <v>0</v>
      </c>
      <c r="DM110" s="82">
        <f t="shared" si="39"/>
        <v>0</v>
      </c>
    </row>
    <row r="111" spans="1:117" x14ac:dyDescent="0.2">
      <c r="A111">
        <v>26.625</v>
      </c>
      <c r="B111">
        <v>144.87570458610696</v>
      </c>
      <c r="C111" s="82">
        <f t="shared" si="20"/>
        <v>0.18733748129537275</v>
      </c>
      <c r="D111">
        <v>26.625</v>
      </c>
      <c r="E111">
        <v>289557.62862763694</v>
      </c>
      <c r="F111" t="s">
        <v>82</v>
      </c>
      <c r="G111">
        <v>26.625</v>
      </c>
      <c r="H111">
        <v>144.47624683091354</v>
      </c>
      <c r="I111" s="82">
        <f t="shared" si="21"/>
        <v>0.17398347546128434</v>
      </c>
      <c r="J111">
        <v>26.625</v>
      </c>
      <c r="K111">
        <v>270357.5510102011</v>
      </c>
      <c r="L111" t="s">
        <v>82</v>
      </c>
      <c r="M111">
        <v>26.625</v>
      </c>
      <c r="N111">
        <v>144.06616087500967</v>
      </c>
      <c r="O111" s="82">
        <f t="shared" si="22"/>
        <v>0.16024842661633443</v>
      </c>
      <c r="P111">
        <v>26.625</v>
      </c>
      <c r="Q111">
        <v>250631.47726025202</v>
      </c>
      <c r="R111" t="s">
        <v>82</v>
      </c>
      <c r="S111">
        <v>26.625</v>
      </c>
      <c r="T111">
        <v>143.65670983863316</v>
      </c>
      <c r="U111" s="82">
        <f t="shared" si="23"/>
        <v>0.14568886490428667</v>
      </c>
      <c r="V111">
        <v>26.625</v>
      </c>
      <c r="W111">
        <v>229733.38493905618</v>
      </c>
      <c r="X111" t="s">
        <v>82</v>
      </c>
      <c r="Y111">
        <v>26.625</v>
      </c>
      <c r="Z111">
        <v>143.23880430967176</v>
      </c>
      <c r="AA111" s="82">
        <f t="shared" si="24"/>
        <v>0.13059296966170564</v>
      </c>
      <c r="AB111">
        <v>26.625</v>
      </c>
      <c r="AC111">
        <v>208088.40771325567</v>
      </c>
      <c r="AD111" t="s">
        <v>82</v>
      </c>
      <c r="AE111">
        <v>26.625</v>
      </c>
      <c r="AF111">
        <v>142.80905959275589</v>
      </c>
      <c r="AG111" s="82">
        <f t="shared" si="25"/>
        <v>0.11505652207574713</v>
      </c>
      <c r="AH111">
        <v>26.625</v>
      </c>
      <c r="AI111">
        <v>185840.30643353346</v>
      </c>
      <c r="AJ111" t="s">
        <v>82</v>
      </c>
      <c r="AK111">
        <v>26.625</v>
      </c>
      <c r="AL111">
        <v>142.36703685128711</v>
      </c>
      <c r="AM111" s="82">
        <f t="shared" si="26"/>
        <v>9.9059551194415008E-2</v>
      </c>
      <c r="AN111">
        <v>26.625</v>
      </c>
      <c r="AO111">
        <v>162963.89496785359</v>
      </c>
      <c r="AP111" t="s">
        <v>82</v>
      </c>
      <c r="AQ111">
        <v>26.625</v>
      </c>
      <c r="AR111">
        <v>141.93438666425541</v>
      </c>
      <c r="AS111" s="82">
        <f t="shared" si="27"/>
        <v>8.1702408781836766E-2</v>
      </c>
      <c r="AT111">
        <v>26.625</v>
      </c>
      <c r="AU111">
        <v>138148.91252291689</v>
      </c>
      <c r="AV111" t="s">
        <v>82</v>
      </c>
      <c r="AW111">
        <v>26.625</v>
      </c>
      <c r="AX111">
        <v>141.49307434446507</v>
      </c>
      <c r="AY111" s="82">
        <f t="shared" si="28"/>
        <v>6.3628431986956002E-2</v>
      </c>
      <c r="AZ111">
        <v>26.625</v>
      </c>
      <c r="BA111">
        <v>112341.38060792637</v>
      </c>
      <c r="BB111" t="s">
        <v>82</v>
      </c>
      <c r="BC111">
        <v>26.625</v>
      </c>
      <c r="BD111">
        <v>141.03990073187353</v>
      </c>
      <c r="BE111" s="82">
        <f t="shared" si="29"/>
        <v>4.4906538953995323E-2</v>
      </c>
      <c r="BF111">
        <v>26.625</v>
      </c>
      <c r="BG111">
        <v>85648.02638721354</v>
      </c>
      <c r="BH111" t="s">
        <v>82</v>
      </c>
      <c r="BI111">
        <v>26.625</v>
      </c>
      <c r="BJ111">
        <v>140.61341234612271</v>
      </c>
      <c r="BK111" s="82">
        <f t="shared" si="30"/>
        <v>2.3889340549715143E-2</v>
      </c>
      <c r="BL111">
        <v>26.625</v>
      </c>
      <c r="BM111">
        <v>55669.682206785932</v>
      </c>
      <c r="BN111" t="s">
        <v>82</v>
      </c>
      <c r="BO111">
        <v>26.625</v>
      </c>
      <c r="BP111">
        <v>140.20983093736888</v>
      </c>
      <c r="BQ111" s="82">
        <f t="shared" si="31"/>
        <v>5.7906655408146435E-4</v>
      </c>
      <c r="BR111">
        <v>26.625</v>
      </c>
      <c r="BS111">
        <v>22456.011370203443</v>
      </c>
      <c r="BT111" t="s">
        <v>82</v>
      </c>
      <c r="BU111">
        <v>26.625</v>
      </c>
      <c r="BV111">
        <v>139.77054211895987</v>
      </c>
      <c r="BW111" s="82">
        <f t="shared" si="32"/>
        <v>-2.2491090730483165E-2</v>
      </c>
      <c r="BX111">
        <v>26.625</v>
      </c>
      <c r="BY111">
        <v>57032.625434165559</v>
      </c>
      <c r="BZ111" t="s">
        <v>82</v>
      </c>
      <c r="CA111">
        <v>26.625</v>
      </c>
      <c r="CB111">
        <v>139.01765636469253</v>
      </c>
      <c r="CC111" s="82">
        <f t="shared" si="33"/>
        <v>-3.200939258613289E-2</v>
      </c>
      <c r="CD111">
        <v>26.625</v>
      </c>
      <c r="CE111">
        <v>71840.251080450776</v>
      </c>
      <c r="CF111" t="s">
        <v>82</v>
      </c>
      <c r="CG111">
        <v>26.625</v>
      </c>
      <c r="CH111">
        <v>138.15594200162937</v>
      </c>
      <c r="CI111" s="82">
        <f t="shared" si="34"/>
        <v>-3.5773479530234908E-2</v>
      </c>
      <c r="CJ111">
        <v>26.625</v>
      </c>
      <c r="CK111">
        <v>78278.978807405627</v>
      </c>
      <c r="CL111" t="s">
        <v>82</v>
      </c>
      <c r="CM111">
        <v>26.625</v>
      </c>
      <c r="CN111">
        <v>137.27037557481944</v>
      </c>
      <c r="CO111" s="82">
        <f t="shared" si="35"/>
        <v>-3.7115478372868438E-2</v>
      </c>
      <c r="CP111">
        <v>26.625</v>
      </c>
      <c r="CQ111">
        <v>81221.788510856262</v>
      </c>
      <c r="CR111" t="s">
        <v>82</v>
      </c>
      <c r="CS111">
        <v>26.625</v>
      </c>
      <c r="CT111">
        <v>136.39693207402772</v>
      </c>
      <c r="CU111" s="82">
        <f t="shared" si="36"/>
        <v>-3.7472567640662646E-2</v>
      </c>
      <c r="CV111">
        <v>26.625</v>
      </c>
      <c r="CW111">
        <v>82769.785865511163</v>
      </c>
      <c r="CX111" t="s">
        <v>82</v>
      </c>
      <c r="CY111">
        <v>26.625</v>
      </c>
      <c r="CZ111">
        <v>135.52773313846075</v>
      </c>
      <c r="DA111" s="82">
        <f t="shared" si="37"/>
        <v>-3.7561680137429221E-2</v>
      </c>
      <c r="DB111">
        <v>26.625</v>
      </c>
      <c r="DC111">
        <v>83985.978444419874</v>
      </c>
      <c r="DD111" t="s">
        <v>82</v>
      </c>
      <c r="DG111" s="82">
        <f t="shared" si="38"/>
        <v>0</v>
      </c>
      <c r="DM111" s="82">
        <f t="shared" si="39"/>
        <v>0</v>
      </c>
    </row>
    <row r="112" spans="1:117" x14ac:dyDescent="0.2">
      <c r="A112">
        <v>26.875</v>
      </c>
      <c r="B112">
        <v>145.05595254851394</v>
      </c>
      <c r="C112" s="82">
        <f t="shared" si="20"/>
        <v>0.18024796240698038</v>
      </c>
      <c r="D112">
        <v>26.875</v>
      </c>
      <c r="E112">
        <v>279168.66607096785</v>
      </c>
      <c r="F112" t="s">
        <v>82</v>
      </c>
      <c r="G112">
        <v>26.875</v>
      </c>
      <c r="H112">
        <v>144.64348463442732</v>
      </c>
      <c r="I112" s="82">
        <f t="shared" si="21"/>
        <v>0.16723780351378537</v>
      </c>
      <c r="J112">
        <v>26.875</v>
      </c>
      <c r="K112">
        <v>260474.23580958552</v>
      </c>
      <c r="L112" t="s">
        <v>82</v>
      </c>
      <c r="M112">
        <v>26.875</v>
      </c>
      <c r="N112">
        <v>144.22002890272034</v>
      </c>
      <c r="O112" s="82">
        <f t="shared" si="22"/>
        <v>0.1538680277106721</v>
      </c>
      <c r="P112">
        <v>26.875</v>
      </c>
      <c r="Q112">
        <v>241285.10108677068</v>
      </c>
      <c r="R112" t="s">
        <v>82</v>
      </c>
      <c r="S112">
        <v>26.875</v>
      </c>
      <c r="T112">
        <v>143.79642095545753</v>
      </c>
      <c r="U112" s="82">
        <f t="shared" si="23"/>
        <v>0.13971111682437254</v>
      </c>
      <c r="V112">
        <v>26.875</v>
      </c>
      <c r="W112">
        <v>220978.54492295801</v>
      </c>
      <c r="X112" t="s">
        <v>82</v>
      </c>
      <c r="Y112">
        <v>26.875</v>
      </c>
      <c r="Z112">
        <v>143.36385119468972</v>
      </c>
      <c r="AA112" s="82">
        <f t="shared" si="24"/>
        <v>0.12504688501795158</v>
      </c>
      <c r="AB112">
        <v>26.875</v>
      </c>
      <c r="AC112">
        <v>199967.42514938422</v>
      </c>
      <c r="AD112" t="s">
        <v>82</v>
      </c>
      <c r="AE112">
        <v>26.875</v>
      </c>
      <c r="AF112">
        <v>142.91902953760578</v>
      </c>
      <c r="AG112" s="82">
        <f t="shared" si="25"/>
        <v>0.10996994484989386</v>
      </c>
      <c r="AH112">
        <v>26.875</v>
      </c>
      <c r="AI112">
        <v>178393.76349469737</v>
      </c>
      <c r="AJ112" t="s">
        <v>82</v>
      </c>
      <c r="AK112">
        <v>26.875</v>
      </c>
      <c r="AL112">
        <v>142.46149953223684</v>
      </c>
      <c r="AM112" s="82">
        <f t="shared" si="26"/>
        <v>9.4462680949732203E-2</v>
      </c>
      <c r="AN112">
        <v>26.875</v>
      </c>
      <c r="AO112">
        <v>156235.78563697345</v>
      </c>
      <c r="AP112" t="s">
        <v>82</v>
      </c>
      <c r="AQ112">
        <v>26.875</v>
      </c>
      <c r="AR112">
        <v>142.01204588444941</v>
      </c>
      <c r="AS112" s="82">
        <f t="shared" si="27"/>
        <v>7.7659220193993406E-2</v>
      </c>
      <c r="AT112">
        <v>26.875</v>
      </c>
      <c r="AU112">
        <v>132232.55824305452</v>
      </c>
      <c r="AV112" t="s">
        <v>82</v>
      </c>
      <c r="AW112">
        <v>26.875</v>
      </c>
      <c r="AX112">
        <v>141.55325763140848</v>
      </c>
      <c r="AY112" s="82">
        <f t="shared" si="28"/>
        <v>6.018328694341335E-2</v>
      </c>
      <c r="AZ112">
        <v>26.875</v>
      </c>
      <c r="BA112">
        <v>107301.36060287183</v>
      </c>
      <c r="BB112" t="s">
        <v>82</v>
      </c>
      <c r="BC112">
        <v>26.875</v>
      </c>
      <c r="BD112">
        <v>141.08200473344397</v>
      </c>
      <c r="BE112" s="82">
        <f t="shared" si="29"/>
        <v>4.2104001570436367E-2</v>
      </c>
      <c r="BF112">
        <v>26.875</v>
      </c>
      <c r="BG112">
        <v>81549.145337902126</v>
      </c>
      <c r="BH112" t="s">
        <v>82</v>
      </c>
      <c r="BI112">
        <v>26.875</v>
      </c>
      <c r="BJ112">
        <v>140.63525122618785</v>
      </c>
      <c r="BK112" s="82">
        <f t="shared" si="30"/>
        <v>2.1838880065132571E-2</v>
      </c>
      <c r="BL112">
        <v>26.875</v>
      </c>
      <c r="BM112">
        <v>52671.498586334717</v>
      </c>
      <c r="BN112" t="s">
        <v>82</v>
      </c>
      <c r="BO112">
        <v>26.875</v>
      </c>
      <c r="BP112">
        <v>140.20922763459473</v>
      </c>
      <c r="BQ112" s="82">
        <f t="shared" si="31"/>
        <v>-6.0330277415232558E-4</v>
      </c>
      <c r="BR112">
        <v>26.875</v>
      </c>
      <c r="BS112">
        <v>24133.083247824037</v>
      </c>
      <c r="BT112" t="s">
        <v>82</v>
      </c>
      <c r="BU112">
        <v>26.875</v>
      </c>
      <c r="BV112">
        <v>139.74776079530562</v>
      </c>
      <c r="BW112" s="82">
        <f t="shared" si="32"/>
        <v>-2.2781323654243124E-2</v>
      </c>
      <c r="BX112">
        <v>26.875</v>
      </c>
      <c r="BY112">
        <v>57407.085733411528</v>
      </c>
      <c r="BZ112" t="s">
        <v>82</v>
      </c>
      <c r="CA112">
        <v>26.875</v>
      </c>
      <c r="CB112">
        <v>138.98573943436034</v>
      </c>
      <c r="CC112" s="82">
        <f t="shared" si="33"/>
        <v>-3.1916930332187121E-2</v>
      </c>
      <c r="CD112">
        <v>26.875</v>
      </c>
      <c r="CE112">
        <v>71656.059883500464</v>
      </c>
      <c r="CF112" t="s">
        <v>82</v>
      </c>
      <c r="CG112">
        <v>26.875</v>
      </c>
      <c r="CH112">
        <v>138.12041905492524</v>
      </c>
      <c r="CI112" s="82">
        <f t="shared" si="34"/>
        <v>-3.5522946704134029E-2</v>
      </c>
      <c r="CJ112">
        <v>26.875</v>
      </c>
      <c r="CK112">
        <v>77864.624491907991</v>
      </c>
      <c r="CL112" t="s">
        <v>82</v>
      </c>
      <c r="CM112">
        <v>26.875</v>
      </c>
      <c r="CN112">
        <v>137.23356718792593</v>
      </c>
      <c r="CO112" s="82">
        <f t="shared" si="35"/>
        <v>-3.6808386893511624E-2</v>
      </c>
      <c r="CP112">
        <v>26.875</v>
      </c>
      <c r="CQ112">
        <v>80725.87194770074</v>
      </c>
      <c r="CR112" t="s">
        <v>82</v>
      </c>
      <c r="CS112">
        <v>26.875</v>
      </c>
      <c r="CT112">
        <v>136.35977572855455</v>
      </c>
      <c r="CU112" s="82">
        <f t="shared" si="36"/>
        <v>-3.7156345473164265E-2</v>
      </c>
      <c r="CV112">
        <v>26.875</v>
      </c>
      <c r="CW112">
        <v>82261.911247537791</v>
      </c>
      <c r="CX112" t="s">
        <v>82</v>
      </c>
      <c r="CY112">
        <v>26.875</v>
      </c>
      <c r="CZ112">
        <v>135.49048395792269</v>
      </c>
      <c r="DA112" s="82">
        <f t="shared" si="37"/>
        <v>-3.7249180538054816E-2</v>
      </c>
      <c r="DB112">
        <v>26.875</v>
      </c>
      <c r="DC112">
        <v>83485.097914839658</v>
      </c>
      <c r="DD112" t="s">
        <v>82</v>
      </c>
      <c r="DG112" s="82">
        <f t="shared" si="38"/>
        <v>0</v>
      </c>
      <c r="DM112" s="82">
        <f t="shared" si="39"/>
        <v>0</v>
      </c>
    </row>
    <row r="113" spans="1:117" x14ac:dyDescent="0.2">
      <c r="A113">
        <v>27.125</v>
      </c>
      <c r="B113">
        <v>145.22936956468982</v>
      </c>
      <c r="C113" s="82">
        <f t="shared" si="20"/>
        <v>0.17341701617587546</v>
      </c>
      <c r="D113">
        <v>27.125</v>
      </c>
      <c r="E113">
        <v>269152.95313105022</v>
      </c>
      <c r="F113" t="s">
        <v>82</v>
      </c>
      <c r="G113">
        <v>27.125</v>
      </c>
      <c r="H113">
        <v>144.80422729973904</v>
      </c>
      <c r="I113" s="82">
        <f t="shared" si="21"/>
        <v>0.16074266531171588</v>
      </c>
      <c r="J113">
        <v>27.125</v>
      </c>
      <c r="K113">
        <v>250952.5764242188</v>
      </c>
      <c r="L113" t="s">
        <v>82</v>
      </c>
      <c r="M113">
        <v>27.125</v>
      </c>
      <c r="N113">
        <v>144.36775815761641</v>
      </c>
      <c r="O113" s="82">
        <f t="shared" si="22"/>
        <v>0.14772925489606337</v>
      </c>
      <c r="P113">
        <v>27.125</v>
      </c>
      <c r="Q113">
        <v>232287.54654842435</v>
      </c>
      <c r="R113" t="s">
        <v>82</v>
      </c>
      <c r="S113">
        <v>27.125</v>
      </c>
      <c r="T113">
        <v>143.93038559416746</v>
      </c>
      <c r="U113" s="82">
        <f t="shared" si="23"/>
        <v>0.13396463870992648</v>
      </c>
      <c r="V113">
        <v>27.125</v>
      </c>
      <c r="W113">
        <v>212557.59923781097</v>
      </c>
      <c r="X113" t="s">
        <v>82</v>
      </c>
      <c r="Y113">
        <v>27.125</v>
      </c>
      <c r="Z113">
        <v>143.48357166347873</v>
      </c>
      <c r="AA113" s="82">
        <f t="shared" si="24"/>
        <v>0.1197204687890121</v>
      </c>
      <c r="AB113">
        <v>27.125</v>
      </c>
      <c r="AC113">
        <v>192163.62060030003</v>
      </c>
      <c r="AD113" t="s">
        <v>82</v>
      </c>
      <c r="AE113">
        <v>27.125</v>
      </c>
      <c r="AF113">
        <v>143.02411971886869</v>
      </c>
      <c r="AG113" s="82">
        <f t="shared" si="25"/>
        <v>0.10509018126290925</v>
      </c>
      <c r="AH113">
        <v>27.125</v>
      </c>
      <c r="AI113">
        <v>171245.88734966991</v>
      </c>
      <c r="AJ113" t="s">
        <v>82</v>
      </c>
      <c r="AK113">
        <v>27.125</v>
      </c>
      <c r="AL113">
        <v>142.55155790305596</v>
      </c>
      <c r="AM113" s="82">
        <f t="shared" si="26"/>
        <v>9.0058370819122047E-2</v>
      </c>
      <c r="AN113">
        <v>27.125</v>
      </c>
      <c r="AO113">
        <v>149785.82800471882</v>
      </c>
      <c r="AP113" t="s">
        <v>82</v>
      </c>
      <c r="AQ113">
        <v>27.125</v>
      </c>
      <c r="AR113">
        <v>142.0858375399319</v>
      </c>
      <c r="AS113" s="82">
        <f t="shared" si="27"/>
        <v>7.3791655482494889E-2</v>
      </c>
      <c r="AT113">
        <v>27.125</v>
      </c>
      <c r="AU113">
        <v>126569.94259184705</v>
      </c>
      <c r="AV113" t="s">
        <v>82</v>
      </c>
      <c r="AW113">
        <v>27.125</v>
      </c>
      <c r="AX113">
        <v>141.61015235142273</v>
      </c>
      <c r="AY113" s="82">
        <f t="shared" si="28"/>
        <v>5.6894720014241784E-2</v>
      </c>
      <c r="AZ113">
        <v>27.125</v>
      </c>
      <c r="BA113">
        <v>102487.6249427599</v>
      </c>
      <c r="BB113" t="s">
        <v>82</v>
      </c>
      <c r="BC113">
        <v>27.125</v>
      </c>
      <c r="BD113">
        <v>141.12144149524593</v>
      </c>
      <c r="BE113" s="82">
        <f t="shared" si="29"/>
        <v>3.9436761801965758E-2</v>
      </c>
      <c r="BF113">
        <v>27.125</v>
      </c>
      <c r="BG113">
        <v>77645.877248304081</v>
      </c>
      <c r="BH113" t="s">
        <v>82</v>
      </c>
      <c r="BI113">
        <v>27.125</v>
      </c>
      <c r="BJ113">
        <v>140.6551488653634</v>
      </c>
      <c r="BK113" s="82">
        <f t="shared" si="30"/>
        <v>1.989763917555365E-2</v>
      </c>
      <c r="BL113">
        <v>27.125</v>
      </c>
      <c r="BM113">
        <v>49831.12674961071</v>
      </c>
      <c r="BN113" t="s">
        <v>82</v>
      </c>
      <c r="BO113">
        <v>27.125</v>
      </c>
      <c r="BP113">
        <v>140.20751977503477</v>
      </c>
      <c r="BQ113" s="82">
        <f t="shared" si="31"/>
        <v>-1.7078595599571145E-3</v>
      </c>
      <c r="BR113">
        <v>27.125</v>
      </c>
      <c r="BS113">
        <v>25702.158608564059</v>
      </c>
      <c r="BT113" t="s">
        <v>82</v>
      </c>
      <c r="BU113">
        <v>27.125</v>
      </c>
      <c r="BV113">
        <v>139.72473356545447</v>
      </c>
      <c r="BW113" s="82">
        <f t="shared" si="32"/>
        <v>-2.3027229851152242E-2</v>
      </c>
      <c r="BX113">
        <v>27.125</v>
      </c>
      <c r="BY113">
        <v>57721.22122648501</v>
      </c>
      <c r="BZ113" t="s">
        <v>82</v>
      </c>
      <c r="CA113">
        <v>27.125</v>
      </c>
      <c r="CB113">
        <v>138.95394451077684</v>
      </c>
      <c r="CC113" s="82">
        <f t="shared" si="33"/>
        <v>-3.1794923583504442E-2</v>
      </c>
      <c r="CD113">
        <v>27.125</v>
      </c>
      <c r="CE113">
        <v>71429.134964707075</v>
      </c>
      <c r="CF113" t="s">
        <v>82</v>
      </c>
      <c r="CG113">
        <v>27.125</v>
      </c>
      <c r="CH113">
        <v>138.08516956547024</v>
      </c>
      <c r="CI113" s="82">
        <f t="shared" si="34"/>
        <v>-3.5249489454997729E-2</v>
      </c>
      <c r="CJ113">
        <v>27.125</v>
      </c>
      <c r="CK113">
        <v>77415.719283109676</v>
      </c>
      <c r="CL113" t="s">
        <v>82</v>
      </c>
      <c r="CM113">
        <v>27.125</v>
      </c>
      <c r="CN113">
        <v>137.19708568211573</v>
      </c>
      <c r="CO113" s="82">
        <f t="shared" si="35"/>
        <v>-3.6481505810201043E-2</v>
      </c>
      <c r="CP113">
        <v>27.125</v>
      </c>
      <c r="CQ113">
        <v>80199.990032798305</v>
      </c>
      <c r="CR113" t="s">
        <v>82</v>
      </c>
      <c r="CS113">
        <v>27.125</v>
      </c>
      <c r="CT113">
        <v>136.32295364524211</v>
      </c>
      <c r="CU113" s="82">
        <f t="shared" si="36"/>
        <v>-3.6822083312443965E-2</v>
      </c>
      <c r="CV113">
        <v>27.125</v>
      </c>
      <c r="CW113">
        <v>81726.651333304253</v>
      </c>
      <c r="CX113" t="s">
        <v>82</v>
      </c>
      <c r="CY113">
        <v>27.125</v>
      </c>
      <c r="CZ113">
        <v>135.45356382735932</v>
      </c>
      <c r="DA113" s="82">
        <f t="shared" si="37"/>
        <v>-3.6920130563373732E-2</v>
      </c>
      <c r="DB113">
        <v>27.125</v>
      </c>
      <c r="DC113">
        <v>82959.041270653557</v>
      </c>
      <c r="DD113" t="s">
        <v>82</v>
      </c>
      <c r="DG113" s="82">
        <f t="shared" si="38"/>
        <v>0</v>
      </c>
      <c r="DM113" s="82">
        <f t="shared" si="39"/>
        <v>0</v>
      </c>
    </row>
    <row r="114" spans="1:117" x14ac:dyDescent="0.2">
      <c r="A114">
        <v>27.375</v>
      </c>
      <c r="B114">
        <v>145.3961906203607</v>
      </c>
      <c r="C114" s="82">
        <f t="shared" si="20"/>
        <v>0.16682105567088001</v>
      </c>
      <c r="D114">
        <v>27.375</v>
      </c>
      <c r="E114">
        <v>259475.40159607664</v>
      </c>
      <c r="F114" t="s">
        <v>82</v>
      </c>
      <c r="G114">
        <v>27.375</v>
      </c>
      <c r="H114">
        <v>144.95870274007751</v>
      </c>
      <c r="I114" s="82">
        <f t="shared" si="21"/>
        <v>0.15447544033847294</v>
      </c>
      <c r="J114">
        <v>27.375</v>
      </c>
      <c r="K114">
        <v>241758.20823609288</v>
      </c>
      <c r="L114" t="s">
        <v>82</v>
      </c>
      <c r="M114">
        <v>27.375</v>
      </c>
      <c r="N114">
        <v>144.50956869918863</v>
      </c>
      <c r="O114" s="82">
        <f t="shared" si="22"/>
        <v>0.14181054157222661</v>
      </c>
      <c r="P114">
        <v>27.375</v>
      </c>
      <c r="Q114">
        <v>223605.2376078901</v>
      </c>
      <c r="R114" t="s">
        <v>82</v>
      </c>
      <c r="S114">
        <v>27.375</v>
      </c>
      <c r="T114">
        <v>144.058814594338</v>
      </c>
      <c r="U114" s="82">
        <f t="shared" si="23"/>
        <v>0.12842900017054149</v>
      </c>
      <c r="V114">
        <v>27.375</v>
      </c>
      <c r="W114">
        <v>204437.83807141698</v>
      </c>
      <c r="X114" t="s">
        <v>82</v>
      </c>
      <c r="Y114">
        <v>27.375</v>
      </c>
      <c r="Z114">
        <v>143.59816618972951</v>
      </c>
      <c r="AA114" s="82">
        <f t="shared" si="24"/>
        <v>0.1145945262507837</v>
      </c>
      <c r="AB114">
        <v>27.375</v>
      </c>
      <c r="AC114">
        <v>184645.45158778375</v>
      </c>
      <c r="AD114" t="s">
        <v>82</v>
      </c>
      <c r="AE114">
        <v>27.375</v>
      </c>
      <c r="AF114">
        <v>143.12451910442215</v>
      </c>
      <c r="AG114" s="82">
        <f t="shared" si="25"/>
        <v>0.10039938555345884</v>
      </c>
      <c r="AH114">
        <v>27.375</v>
      </c>
      <c r="AI114">
        <v>164366.43405211103</v>
      </c>
      <c r="AJ114" t="s">
        <v>82</v>
      </c>
      <c r="AK114">
        <v>27.375</v>
      </c>
      <c r="AL114">
        <v>142.63738815194912</v>
      </c>
      <c r="AM114" s="82">
        <f t="shared" si="26"/>
        <v>8.5830248893159933E-2</v>
      </c>
      <c r="AN114">
        <v>27.375</v>
      </c>
      <c r="AO114">
        <v>143585.20337051633</v>
      </c>
      <c r="AP114" t="s">
        <v>82</v>
      </c>
      <c r="AQ114">
        <v>27.375</v>
      </c>
      <c r="AR114">
        <v>142.15592247058288</v>
      </c>
      <c r="AS114" s="82">
        <f t="shared" si="27"/>
        <v>7.0084930650978094E-2</v>
      </c>
      <c r="AT114">
        <v>27.375</v>
      </c>
      <c r="AU114">
        <v>121133.8237402791</v>
      </c>
      <c r="AV114" t="s">
        <v>82</v>
      </c>
      <c r="AW114">
        <v>27.375</v>
      </c>
      <c r="AX114">
        <v>141.66390203405874</v>
      </c>
      <c r="AY114" s="82">
        <f t="shared" si="28"/>
        <v>5.3749682636009766E-2</v>
      </c>
      <c r="AZ114">
        <v>27.375</v>
      </c>
      <c r="BA114">
        <v>97874.674809366974</v>
      </c>
      <c r="BB114" t="s">
        <v>82</v>
      </c>
      <c r="BC114">
        <v>27.375</v>
      </c>
      <c r="BD114">
        <v>141.1583351704399</v>
      </c>
      <c r="BE114" s="82">
        <f t="shared" si="29"/>
        <v>3.6893675193965692E-2</v>
      </c>
      <c r="BF114">
        <v>27.375</v>
      </c>
      <c r="BG114">
        <v>73914.657763686133</v>
      </c>
      <c r="BH114" t="s">
        <v>82</v>
      </c>
      <c r="BI114">
        <v>27.375</v>
      </c>
      <c r="BJ114">
        <v>140.67320508632486</v>
      </c>
      <c r="BK114" s="82">
        <f t="shared" si="30"/>
        <v>1.8056220961454983E-2</v>
      </c>
      <c r="BL114">
        <v>27.375</v>
      </c>
      <c r="BM114">
        <v>47126.990132194209</v>
      </c>
      <c r="BN114" t="s">
        <v>82</v>
      </c>
      <c r="BO114">
        <v>27.375</v>
      </c>
      <c r="BP114">
        <v>140.20477750261858</v>
      </c>
      <c r="BQ114" s="82">
        <f t="shared" si="31"/>
        <v>-2.7422724161851875E-3</v>
      </c>
      <c r="BR114">
        <v>27.375</v>
      </c>
      <c r="BS114">
        <v>27195.108341153096</v>
      </c>
      <c r="BT114" t="s">
        <v>82</v>
      </c>
      <c r="BU114">
        <v>27.375</v>
      </c>
      <c r="BV114">
        <v>139.70149929137125</v>
      </c>
      <c r="BW114" s="82">
        <f t="shared" si="32"/>
        <v>-2.3234274083222317E-2</v>
      </c>
      <c r="BX114">
        <v>27.375</v>
      </c>
      <c r="BY114">
        <v>58004.616463576116</v>
      </c>
      <c r="BZ114" t="s">
        <v>82</v>
      </c>
      <c r="CA114">
        <v>27.375</v>
      </c>
      <c r="CB114">
        <v>138.92230002643421</v>
      </c>
      <c r="CC114" s="82">
        <f t="shared" si="33"/>
        <v>-3.1644484342621126E-2</v>
      </c>
      <c r="CD114">
        <v>27.375</v>
      </c>
      <c r="CE114">
        <v>71182.619423001495</v>
      </c>
      <c r="CF114" t="s">
        <v>82</v>
      </c>
      <c r="CG114">
        <v>27.375</v>
      </c>
      <c r="CH114">
        <v>138.05021702579225</v>
      </c>
      <c r="CI114" s="82">
        <f t="shared" si="34"/>
        <v>-3.495253967798817E-2</v>
      </c>
      <c r="CJ114">
        <v>27.375</v>
      </c>
      <c r="CK114">
        <v>76940.263091960471</v>
      </c>
      <c r="CL114" t="s">
        <v>82</v>
      </c>
      <c r="CM114">
        <v>27.375</v>
      </c>
      <c r="CN114">
        <v>137.16095152769219</v>
      </c>
      <c r="CO114" s="82">
        <f t="shared" si="35"/>
        <v>-3.6134154423535847E-2</v>
      </c>
      <c r="CP114">
        <v>27.375</v>
      </c>
      <c r="CQ114">
        <v>79643.103830063046</v>
      </c>
      <c r="CR114" t="s">
        <v>82</v>
      </c>
      <c r="CS114">
        <v>27.375</v>
      </c>
      <c r="CT114">
        <v>136.28648457960176</v>
      </c>
      <c r="CU114" s="82">
        <f t="shared" si="36"/>
        <v>-3.6469065640346798E-2</v>
      </c>
      <c r="CV114">
        <v>27.375</v>
      </c>
      <c r="CW114">
        <v>81162.916584979612</v>
      </c>
      <c r="CX114" t="s">
        <v>82</v>
      </c>
      <c r="CY114">
        <v>27.375</v>
      </c>
      <c r="CZ114">
        <v>135.41699002545752</v>
      </c>
      <c r="DA114" s="82">
        <f t="shared" si="37"/>
        <v>-3.6573801901795377E-2</v>
      </c>
      <c r="DB114">
        <v>27.375</v>
      </c>
      <c r="DC114">
        <v>82406.700928456878</v>
      </c>
      <c r="DD114" t="s">
        <v>82</v>
      </c>
      <c r="DG114" s="82">
        <f t="shared" si="38"/>
        <v>0</v>
      </c>
      <c r="DM114" s="82">
        <f t="shared" si="39"/>
        <v>0</v>
      </c>
    </row>
    <row r="115" spans="1:117" x14ac:dyDescent="0.2">
      <c r="A115">
        <v>27.625</v>
      </c>
      <c r="B115">
        <v>145.55662654037585</v>
      </c>
      <c r="C115" s="82">
        <f t="shared" si="20"/>
        <v>0.16043592001514639</v>
      </c>
      <c r="D115">
        <v>27.625</v>
      </c>
      <c r="E115">
        <v>250106.38753972843</v>
      </c>
      <c r="F115" t="s">
        <v>82</v>
      </c>
      <c r="G115">
        <v>27.625</v>
      </c>
      <c r="H115">
        <v>145.10711376865325</v>
      </c>
      <c r="I115" s="82">
        <f t="shared" si="21"/>
        <v>0.14841102857573674</v>
      </c>
      <c r="J115">
        <v>27.625</v>
      </c>
      <c r="K115">
        <v>232860.61100974036</v>
      </c>
      <c r="L115" t="s">
        <v>82</v>
      </c>
      <c r="M115">
        <v>27.625</v>
      </c>
      <c r="N115">
        <v>144.64565451904679</v>
      </c>
      <c r="O115" s="82">
        <f t="shared" si="22"/>
        <v>0.13608581985815249</v>
      </c>
      <c r="P115">
        <v>27.625</v>
      </c>
      <c r="Q115">
        <v>215206.7495749472</v>
      </c>
      <c r="R115" t="s">
        <v>82</v>
      </c>
      <c r="S115">
        <v>27.625</v>
      </c>
      <c r="T115">
        <v>144.1818917862648</v>
      </c>
      <c r="U115" s="82">
        <f t="shared" si="23"/>
        <v>0.12307719192679656</v>
      </c>
      <c r="V115">
        <v>27.625</v>
      </c>
      <c r="W115">
        <v>196586.99063113437</v>
      </c>
      <c r="X115" t="s">
        <v>82</v>
      </c>
      <c r="Y115">
        <v>27.625</v>
      </c>
      <c r="Z115">
        <v>143.70780786336618</v>
      </c>
      <c r="AA115" s="82">
        <f t="shared" si="24"/>
        <v>0.10964167363667343</v>
      </c>
      <c r="AB115">
        <v>27.625</v>
      </c>
      <c r="AC115">
        <v>177380.23977213423</v>
      </c>
      <c r="AD115" t="s">
        <v>82</v>
      </c>
      <c r="AE115">
        <v>27.625</v>
      </c>
      <c r="AF115">
        <v>143.22038896797278</v>
      </c>
      <c r="AG115" s="82">
        <f t="shared" si="25"/>
        <v>9.5869863550632317E-2</v>
      </c>
      <c r="AH115">
        <v>27.625</v>
      </c>
      <c r="AI115">
        <v>157722.37563806662</v>
      </c>
      <c r="AJ115" t="s">
        <v>82</v>
      </c>
      <c r="AK115">
        <v>27.625</v>
      </c>
      <c r="AL115">
        <v>142.71913848678062</v>
      </c>
      <c r="AM115" s="82">
        <f t="shared" si="26"/>
        <v>8.1750334831497184E-2</v>
      </c>
      <c r="AN115">
        <v>27.625</v>
      </c>
      <c r="AO115">
        <v>137600.56664418452</v>
      </c>
      <c r="AP115" t="s">
        <v>82</v>
      </c>
      <c r="AQ115">
        <v>27.625</v>
      </c>
      <c r="AR115">
        <v>142.2224333596146</v>
      </c>
      <c r="AS115" s="82">
        <f t="shared" si="27"/>
        <v>6.6510889031718534E-2</v>
      </c>
      <c r="AT115">
        <v>27.625</v>
      </c>
      <c r="AU115">
        <v>115890.69090057087</v>
      </c>
      <c r="AV115" t="s">
        <v>82</v>
      </c>
      <c r="AW115">
        <v>27.625</v>
      </c>
      <c r="AX115">
        <v>141.71462194002936</v>
      </c>
      <c r="AY115" s="82">
        <f t="shared" si="28"/>
        <v>5.0719905970623813E-2</v>
      </c>
      <c r="AZ115">
        <v>27.625</v>
      </c>
      <c r="BA115">
        <v>93428.922682737262</v>
      </c>
      <c r="BB115" t="s">
        <v>82</v>
      </c>
      <c r="BC115">
        <v>27.625</v>
      </c>
      <c r="BD115">
        <v>141.19278159747512</v>
      </c>
      <c r="BE115" s="82">
        <f t="shared" si="29"/>
        <v>3.4446427035220495E-2</v>
      </c>
      <c r="BF115">
        <v>27.625</v>
      </c>
      <c r="BG115">
        <v>70321.91311954573</v>
      </c>
      <c r="BH115" t="s">
        <v>82</v>
      </c>
      <c r="BI115">
        <v>27.625</v>
      </c>
      <c r="BJ115">
        <v>140.68949189903856</v>
      </c>
      <c r="BK115" s="82">
        <f t="shared" si="30"/>
        <v>1.6286812713701693E-2</v>
      </c>
      <c r="BL115">
        <v>27.625</v>
      </c>
      <c r="BM115">
        <v>44526.190713670861</v>
      </c>
      <c r="BN115" t="s">
        <v>82</v>
      </c>
      <c r="BO115">
        <v>27.625</v>
      </c>
      <c r="BP115">
        <v>140.20104412612253</v>
      </c>
      <c r="BQ115" s="82">
        <f t="shared" si="31"/>
        <v>-3.7333764960578719E-3</v>
      </c>
      <c r="BR115">
        <v>27.625</v>
      </c>
      <c r="BS115">
        <v>28630.650901165969</v>
      </c>
      <c r="BT115" t="s">
        <v>82</v>
      </c>
      <c r="BU115">
        <v>27.625</v>
      </c>
      <c r="BV115">
        <v>139.67807108542212</v>
      </c>
      <c r="BW115" s="82">
        <f t="shared" si="32"/>
        <v>-2.3428205949130643E-2</v>
      </c>
      <c r="BX115">
        <v>27.625</v>
      </c>
      <c r="BY115">
        <v>58275.665514167616</v>
      </c>
      <c r="BZ115" t="s">
        <v>82</v>
      </c>
      <c r="CA115">
        <v>27.625</v>
      </c>
      <c r="CB115">
        <v>138.89081278957255</v>
      </c>
      <c r="CC115" s="82">
        <f t="shared" si="33"/>
        <v>-3.1487236861664769E-2</v>
      </c>
      <c r="CD115">
        <v>27.625</v>
      </c>
      <c r="CE115">
        <v>70940.913722731872</v>
      </c>
      <c r="CF115" t="s">
        <v>82</v>
      </c>
      <c r="CG115">
        <v>27.625</v>
      </c>
      <c r="CH115">
        <v>138.0155769798472</v>
      </c>
      <c r="CI115" s="82">
        <f t="shared" si="34"/>
        <v>-3.4640045945053544E-2</v>
      </c>
      <c r="CJ115">
        <v>27.625</v>
      </c>
      <c r="CK115">
        <v>76467.397747799783</v>
      </c>
      <c r="CL115" t="s">
        <v>82</v>
      </c>
      <c r="CM115">
        <v>27.625</v>
      </c>
      <c r="CN115">
        <v>137.12518590938615</v>
      </c>
      <c r="CO115" s="82">
        <f t="shared" si="35"/>
        <v>-3.5765618306044189E-2</v>
      </c>
      <c r="CP115">
        <v>27.625</v>
      </c>
      <c r="CQ115">
        <v>79067.63623272095</v>
      </c>
      <c r="CR115" t="s">
        <v>82</v>
      </c>
      <c r="CS115">
        <v>27.625</v>
      </c>
      <c r="CT115">
        <v>136.25038803469019</v>
      </c>
      <c r="CU115" s="82">
        <f t="shared" si="36"/>
        <v>-3.6096544911572437E-2</v>
      </c>
      <c r="CV115">
        <v>27.625</v>
      </c>
      <c r="CW115">
        <v>80569.568851286094</v>
      </c>
      <c r="CX115" t="s">
        <v>82</v>
      </c>
      <c r="CY115">
        <v>27.625</v>
      </c>
      <c r="CZ115">
        <v>135.38078058986324</v>
      </c>
      <c r="DA115" s="82">
        <f t="shared" si="37"/>
        <v>-3.6209435594287243E-2</v>
      </c>
      <c r="DB115">
        <v>27.625</v>
      </c>
      <c r="DC115">
        <v>81826.922688094564</v>
      </c>
      <c r="DD115" t="s">
        <v>82</v>
      </c>
      <c r="DG115" s="82">
        <f t="shared" si="38"/>
        <v>0</v>
      </c>
      <c r="DM115" s="82">
        <f t="shared" si="39"/>
        <v>0</v>
      </c>
    </row>
    <row r="116" spans="1:117" x14ac:dyDescent="0.2">
      <c r="A116">
        <v>27.875</v>
      </c>
      <c r="B116">
        <v>145.71088125041075</v>
      </c>
      <c r="C116" s="82">
        <f t="shared" si="20"/>
        <v>0.15425471003490543</v>
      </c>
      <c r="D116">
        <v>27.875</v>
      </c>
      <c r="E116">
        <v>241035.82312184924</v>
      </c>
      <c r="F116" t="s">
        <v>82</v>
      </c>
      <c r="G116">
        <v>27.875</v>
      </c>
      <c r="H116">
        <v>145.24965647388495</v>
      </c>
      <c r="I116" s="82">
        <f t="shared" si="21"/>
        <v>0.14254270523170476</v>
      </c>
      <c r="J116">
        <v>27.875</v>
      </c>
      <c r="K116">
        <v>224249.95295211615</v>
      </c>
      <c r="L116" t="s">
        <v>82</v>
      </c>
      <c r="M116">
        <v>27.875</v>
      </c>
      <c r="N116">
        <v>144.77620308930173</v>
      </c>
      <c r="O116" s="82">
        <f t="shared" si="22"/>
        <v>0.13054857025494471</v>
      </c>
      <c r="P116">
        <v>27.875</v>
      </c>
      <c r="Q116">
        <v>207082.55179259041</v>
      </c>
      <c r="R116" t="s">
        <v>82</v>
      </c>
      <c r="S116">
        <v>27.875</v>
      </c>
      <c r="T116">
        <v>144.29979473600815</v>
      </c>
      <c r="U116" s="82">
        <f t="shared" si="23"/>
        <v>0.11790294974335325</v>
      </c>
      <c r="V116">
        <v>27.875</v>
      </c>
      <c r="W116">
        <v>188995.90043015222</v>
      </c>
      <c r="X116" t="s">
        <v>82</v>
      </c>
      <c r="Y116">
        <v>27.875</v>
      </c>
      <c r="Z116">
        <v>143.81266323535269</v>
      </c>
      <c r="AA116" s="82">
        <f t="shared" si="24"/>
        <v>0.10485537198650263</v>
      </c>
      <c r="AB116">
        <v>27.875</v>
      </c>
      <c r="AC116">
        <v>170358.6326227434</v>
      </c>
      <c r="AD116" t="s">
        <v>82</v>
      </c>
      <c r="AE116">
        <v>27.875</v>
      </c>
      <c r="AF116">
        <v>143.31188373648897</v>
      </c>
      <c r="AG116" s="82">
        <f t="shared" si="25"/>
        <v>9.1494768516184877E-2</v>
      </c>
      <c r="AH116">
        <v>27.875</v>
      </c>
      <c r="AI116">
        <v>151304.15121580713</v>
      </c>
      <c r="AJ116" t="s">
        <v>82</v>
      </c>
      <c r="AK116">
        <v>27.875</v>
      </c>
      <c r="AL116">
        <v>142.7969499779835</v>
      </c>
      <c r="AM116" s="82">
        <f t="shared" si="26"/>
        <v>7.7811491202879779E-2</v>
      </c>
      <c r="AN116">
        <v>27.875</v>
      </c>
      <c r="AO116">
        <v>131822.19508194472</v>
      </c>
      <c r="AP116" t="s">
        <v>82</v>
      </c>
      <c r="AQ116">
        <v>27.875</v>
      </c>
      <c r="AR116">
        <v>142.28549556237175</v>
      </c>
      <c r="AS116" s="82">
        <f t="shared" si="27"/>
        <v>6.3062202757151908E-2</v>
      </c>
      <c r="AT116">
        <v>27.875</v>
      </c>
      <c r="AU116">
        <v>110830.81303970424</v>
      </c>
      <c r="AV116" t="s">
        <v>82</v>
      </c>
      <c r="AW116">
        <v>27.875</v>
      </c>
      <c r="AX116">
        <v>141.76241986621017</v>
      </c>
      <c r="AY116" s="82">
        <f t="shared" si="28"/>
        <v>4.7797926180805916E-2</v>
      </c>
      <c r="AZ116">
        <v>27.875</v>
      </c>
      <c r="BA116">
        <v>89140.728058312001</v>
      </c>
      <c r="BB116" t="s">
        <v>82</v>
      </c>
      <c r="BC116">
        <v>27.875</v>
      </c>
      <c r="BD116">
        <v>141.22486907130471</v>
      </c>
      <c r="BE116" s="82">
        <f t="shared" si="29"/>
        <v>3.2087473829591318E-2</v>
      </c>
      <c r="BF116">
        <v>27.875</v>
      </c>
      <c r="BG116">
        <v>66858.197697523821</v>
      </c>
      <c r="BH116" t="s">
        <v>82</v>
      </c>
      <c r="BI116">
        <v>27.875</v>
      </c>
      <c r="BJ116">
        <v>140.70407391467657</v>
      </c>
      <c r="BK116" s="82">
        <f t="shared" si="30"/>
        <v>1.4582015638012535E-2</v>
      </c>
      <c r="BL116">
        <v>27.875</v>
      </c>
      <c r="BM116">
        <v>42019.795761594927</v>
      </c>
      <c r="BN116" t="s">
        <v>82</v>
      </c>
      <c r="BO116">
        <v>27.875</v>
      </c>
      <c r="BP116">
        <v>140.19635594813732</v>
      </c>
      <c r="BQ116" s="82">
        <f t="shared" si="31"/>
        <v>-4.6881779852014915E-3</v>
      </c>
      <c r="BR116">
        <v>27.875</v>
      </c>
      <c r="BS116">
        <v>30013.231697574181</v>
      </c>
      <c r="BT116" t="s">
        <v>82</v>
      </c>
      <c r="BU116">
        <v>27.875</v>
      </c>
      <c r="BV116">
        <v>139.65445519191897</v>
      </c>
      <c r="BW116" s="82">
        <f t="shared" si="32"/>
        <v>-2.36158935031483E-2</v>
      </c>
      <c r="BX116">
        <v>27.875</v>
      </c>
      <c r="BY116">
        <v>58537.604859865271</v>
      </c>
      <c r="BZ116" t="s">
        <v>82</v>
      </c>
      <c r="CA116">
        <v>27.875</v>
      </c>
      <c r="CB116">
        <v>138.85947542725401</v>
      </c>
      <c r="CC116" s="82">
        <f t="shared" si="33"/>
        <v>-3.1337362318538453E-2</v>
      </c>
      <c r="CD116">
        <v>27.875</v>
      </c>
      <c r="CE116">
        <v>70709.97834529377</v>
      </c>
      <c r="CF116" t="s">
        <v>82</v>
      </c>
      <c r="CG116">
        <v>27.875</v>
      </c>
      <c r="CH116">
        <v>137.98124033733657</v>
      </c>
      <c r="CI116" s="82">
        <f t="shared" si="34"/>
        <v>-3.433664251062396E-2</v>
      </c>
      <c r="CJ116">
        <v>27.875</v>
      </c>
      <c r="CK116">
        <v>76012.57788349266</v>
      </c>
      <c r="CL116" t="s">
        <v>82</v>
      </c>
      <c r="CM116">
        <v>27.875</v>
      </c>
      <c r="CN116">
        <v>137.08979761481342</v>
      </c>
      <c r="CO116" s="82">
        <f t="shared" si="35"/>
        <v>-3.5388294572726409E-2</v>
      </c>
      <c r="CP116">
        <v>27.875</v>
      </c>
      <c r="CQ116">
        <v>78502.444066184675</v>
      </c>
      <c r="CR116" t="s">
        <v>82</v>
      </c>
      <c r="CS116">
        <v>27.875</v>
      </c>
      <c r="CT116">
        <v>136.2146842943435</v>
      </c>
      <c r="CU116" s="82">
        <f t="shared" si="36"/>
        <v>-3.5703740346690438E-2</v>
      </c>
      <c r="CV116">
        <v>27.875</v>
      </c>
      <c r="CW116">
        <v>79955.049337101125</v>
      </c>
      <c r="CX116" t="s">
        <v>82</v>
      </c>
      <c r="CY116">
        <v>27.875</v>
      </c>
      <c r="CZ116">
        <v>135.3449543491509</v>
      </c>
      <c r="DA116" s="82">
        <f t="shared" si="37"/>
        <v>-3.5826240712339086E-2</v>
      </c>
      <c r="DB116">
        <v>27.875</v>
      </c>
      <c r="DC116">
        <v>81218.503721674686</v>
      </c>
      <c r="DD116" t="s">
        <v>82</v>
      </c>
      <c r="DG116" s="82">
        <f t="shared" si="38"/>
        <v>0</v>
      </c>
      <c r="DM116" s="82">
        <f t="shared" si="39"/>
        <v>0</v>
      </c>
    </row>
    <row r="117" spans="1:117" x14ac:dyDescent="0.2">
      <c r="A117">
        <v>28.125</v>
      </c>
      <c r="B117">
        <v>145.85915199883394</v>
      </c>
      <c r="C117" s="82">
        <f t="shared" si="20"/>
        <v>0.14827074842318666</v>
      </c>
      <c r="D117">
        <v>28.125</v>
      </c>
      <c r="E117">
        <v>232253.94438215331</v>
      </c>
      <c r="F117" t="s">
        <v>82</v>
      </c>
      <c r="G117">
        <v>28.125</v>
      </c>
      <c r="H117">
        <v>145.38652043908732</v>
      </c>
      <c r="I117" s="82">
        <f t="shared" si="21"/>
        <v>0.13686396520236599</v>
      </c>
      <c r="J117">
        <v>28.125</v>
      </c>
      <c r="K117">
        <v>215916.72294235477</v>
      </c>
      <c r="L117" t="s">
        <v>82</v>
      </c>
      <c r="M117">
        <v>28.125</v>
      </c>
      <c r="N117">
        <v>144.90139557891069</v>
      </c>
      <c r="O117" s="82">
        <f t="shared" si="22"/>
        <v>0.12519248960896334</v>
      </c>
      <c r="P117">
        <v>28.125</v>
      </c>
      <c r="Q117">
        <v>199223.42941329943</v>
      </c>
      <c r="R117" t="s">
        <v>82</v>
      </c>
      <c r="S117">
        <v>28.125</v>
      </c>
      <c r="T117">
        <v>144.41269495661311</v>
      </c>
      <c r="U117" s="82">
        <f t="shared" si="23"/>
        <v>0.1129002206049563</v>
      </c>
      <c r="V117">
        <v>28.125</v>
      </c>
      <c r="W117">
        <v>181655.71927724965</v>
      </c>
      <c r="X117" t="s">
        <v>82</v>
      </c>
      <c r="Y117">
        <v>28.125</v>
      </c>
      <c r="Z117">
        <v>143.91289309807581</v>
      </c>
      <c r="AA117" s="82">
        <f t="shared" si="24"/>
        <v>0.10022986272312551</v>
      </c>
      <c r="AB117">
        <v>28.125</v>
      </c>
      <c r="AC117">
        <v>163572.21330027145</v>
      </c>
      <c r="AD117" t="s">
        <v>82</v>
      </c>
      <c r="AE117">
        <v>28.125</v>
      </c>
      <c r="AF117">
        <v>143.39915241928082</v>
      </c>
      <c r="AG117" s="82">
        <f t="shared" si="25"/>
        <v>8.726868279185851E-2</v>
      </c>
      <c r="AH117">
        <v>28.125</v>
      </c>
      <c r="AI117">
        <v>145103.84314267815</v>
      </c>
      <c r="AJ117" t="s">
        <v>82</v>
      </c>
      <c r="AK117">
        <v>28.125</v>
      </c>
      <c r="AL117">
        <v>142.8709586722928</v>
      </c>
      <c r="AM117" s="82">
        <f t="shared" si="26"/>
        <v>7.4008694309299017E-2</v>
      </c>
      <c r="AN117">
        <v>28.125</v>
      </c>
      <c r="AO117">
        <v>126242.74768043372</v>
      </c>
      <c r="AP117" t="s">
        <v>82</v>
      </c>
      <c r="AQ117">
        <v>28.125</v>
      </c>
      <c r="AR117">
        <v>142.34522990055237</v>
      </c>
      <c r="AS117" s="82">
        <f t="shared" si="27"/>
        <v>5.9734338180618352E-2</v>
      </c>
      <c r="AT117">
        <v>28.125</v>
      </c>
      <c r="AU117">
        <v>105947.56602082546</v>
      </c>
      <c r="AV117" t="s">
        <v>82</v>
      </c>
      <c r="AW117">
        <v>28.125</v>
      </c>
      <c r="AX117">
        <v>141.80739964821066</v>
      </c>
      <c r="AY117" s="82">
        <f t="shared" si="28"/>
        <v>4.4979782000496016E-2</v>
      </c>
      <c r="AZ117">
        <v>28.125</v>
      </c>
      <c r="BA117">
        <v>85004.303880287523</v>
      </c>
      <c r="BB117" t="s">
        <v>82</v>
      </c>
      <c r="BC117">
        <v>28.125</v>
      </c>
      <c r="BD117">
        <v>141.2546825884836</v>
      </c>
      <c r="BE117" s="82">
        <f t="shared" si="29"/>
        <v>2.9813517178894244E-2</v>
      </c>
      <c r="BF117">
        <v>28.125</v>
      </c>
      <c r="BG117">
        <v>63518.693564659261</v>
      </c>
      <c r="BH117" t="s">
        <v>82</v>
      </c>
      <c r="BI117">
        <v>28.125</v>
      </c>
      <c r="BJ117">
        <v>140.71701328900133</v>
      </c>
      <c r="BK117" s="82">
        <f t="shared" si="30"/>
        <v>1.2939374324759001E-2</v>
      </c>
      <c r="BL117">
        <v>28.125</v>
      </c>
      <c r="BM117">
        <v>39604.219644117293</v>
      </c>
      <c r="BN117" t="s">
        <v>82</v>
      </c>
      <c r="BO117">
        <v>28.125</v>
      </c>
      <c r="BP117">
        <v>140.19074786651282</v>
      </c>
      <c r="BQ117" s="82">
        <f t="shared" si="31"/>
        <v>-5.6080816245014375E-3</v>
      </c>
      <c r="BR117">
        <v>28.125</v>
      </c>
      <c r="BS117">
        <v>31344.891022134543</v>
      </c>
      <c r="BT117" t="s">
        <v>82</v>
      </c>
      <c r="BU117">
        <v>28.125</v>
      </c>
      <c r="BV117">
        <v>139.63065760755541</v>
      </c>
      <c r="BW117" s="82">
        <f t="shared" si="32"/>
        <v>-2.3797584363563828E-2</v>
      </c>
      <c r="BX117">
        <v>28.125</v>
      </c>
      <c r="BY117">
        <v>58790.796100516796</v>
      </c>
      <c r="BZ117" t="s">
        <v>82</v>
      </c>
      <c r="CA117">
        <v>28.125</v>
      </c>
      <c r="CB117">
        <v>138.82828085994953</v>
      </c>
      <c r="CC117" s="82">
        <f t="shared" si="33"/>
        <v>-3.119456730448178E-2</v>
      </c>
      <c r="CD117">
        <v>28.125</v>
      </c>
      <c r="CE117">
        <v>70489.384991156097</v>
      </c>
      <c r="CF117" t="s">
        <v>82</v>
      </c>
      <c r="CG117">
        <v>28.125</v>
      </c>
      <c r="CH117">
        <v>137.94719382995751</v>
      </c>
      <c r="CI117" s="82">
        <f t="shared" si="34"/>
        <v>-3.4046507379059676E-2</v>
      </c>
      <c r="CJ117">
        <v>28.125</v>
      </c>
      <c r="CK117">
        <v>75577.126329336446</v>
      </c>
      <c r="CL117" t="s">
        <v>82</v>
      </c>
      <c r="CM117">
        <v>28.125</v>
      </c>
      <c r="CN117">
        <v>137.05477291247888</v>
      </c>
      <c r="CO117" s="82">
        <f t="shared" si="35"/>
        <v>-3.5024702334538915E-2</v>
      </c>
      <c r="CP117">
        <v>28.125</v>
      </c>
      <c r="CQ117">
        <v>77960.102136396948</v>
      </c>
      <c r="CR117" t="s">
        <v>82</v>
      </c>
      <c r="CS117">
        <v>28.125</v>
      </c>
      <c r="CT117">
        <v>136.17938500328694</v>
      </c>
      <c r="CU117" s="82">
        <f t="shared" si="36"/>
        <v>-3.5299291056560378E-2</v>
      </c>
      <c r="CV117">
        <v>28.125</v>
      </c>
      <c r="CW117">
        <v>79348.467306855615</v>
      </c>
      <c r="CX117" t="s">
        <v>82</v>
      </c>
      <c r="CY117">
        <v>28.125</v>
      </c>
      <c r="CZ117">
        <v>135.30953095614004</v>
      </c>
      <c r="DA117" s="82">
        <f t="shared" si="37"/>
        <v>-3.5423393010859172E-2</v>
      </c>
      <c r="DB117">
        <v>28.125</v>
      </c>
      <c r="DC117">
        <v>80584.208639878241</v>
      </c>
      <c r="DD117" t="s">
        <v>82</v>
      </c>
      <c r="DG117" s="82">
        <f t="shared" si="38"/>
        <v>0</v>
      </c>
      <c r="DM117" s="82">
        <f t="shared" si="39"/>
        <v>0</v>
      </c>
    </row>
    <row r="118" spans="1:117" x14ac:dyDescent="0.2">
      <c r="A118">
        <v>28.375</v>
      </c>
      <c r="B118">
        <v>146.00162957174194</v>
      </c>
      <c r="C118" s="82">
        <f t="shared" si="20"/>
        <v>0.14247757290800678</v>
      </c>
      <c r="D118">
        <v>28.375</v>
      </c>
      <c r="E118">
        <v>223751.30135395654</v>
      </c>
      <c r="F118" t="s">
        <v>82</v>
      </c>
      <c r="G118">
        <v>28.375</v>
      </c>
      <c r="H118">
        <v>145.51788895522171</v>
      </c>
      <c r="I118" s="82">
        <f t="shared" si="21"/>
        <v>0.13136851613438694</v>
      </c>
      <c r="J118">
        <v>28.375</v>
      </c>
      <c r="K118">
        <v>207851.72043927771</v>
      </c>
      <c r="L118" t="s">
        <v>82</v>
      </c>
      <c r="M118">
        <v>28.375</v>
      </c>
      <c r="N118">
        <v>145.02140706304738</v>
      </c>
      <c r="O118" s="82">
        <f t="shared" si="22"/>
        <v>0.12001148413668261</v>
      </c>
      <c r="P118">
        <v>28.375</v>
      </c>
      <c r="Q118">
        <v>191620.47321591206</v>
      </c>
      <c r="R118" t="s">
        <v>82</v>
      </c>
      <c r="S118">
        <v>28.375</v>
      </c>
      <c r="T118">
        <v>144.52075811234585</v>
      </c>
      <c r="U118" s="82">
        <f t="shared" si="23"/>
        <v>0.1080631557327365</v>
      </c>
      <c r="V118">
        <v>28.375</v>
      </c>
      <c r="W118">
        <v>174557.8970853526</v>
      </c>
      <c r="X118" t="s">
        <v>82</v>
      </c>
      <c r="Y118">
        <v>28.375</v>
      </c>
      <c r="Z118">
        <v>144.00865268275425</v>
      </c>
      <c r="AA118" s="82">
        <f t="shared" si="24"/>
        <v>9.575958467843293E-2</v>
      </c>
      <c r="AB118">
        <v>28.375</v>
      </c>
      <c r="AC118">
        <v>157012.85307817941</v>
      </c>
      <c r="AD118" t="s">
        <v>82</v>
      </c>
      <c r="AE118">
        <v>28.375</v>
      </c>
      <c r="AF118">
        <v>143.48233879670101</v>
      </c>
      <c r="AG118" s="82">
        <f t="shared" si="25"/>
        <v>8.3186377420190638E-2</v>
      </c>
      <c r="AH118">
        <v>28.375</v>
      </c>
      <c r="AI118">
        <v>139113.80915920285</v>
      </c>
      <c r="AJ118" t="s">
        <v>82</v>
      </c>
      <c r="AK118">
        <v>28.375</v>
      </c>
      <c r="AL118">
        <v>142.94129577054852</v>
      </c>
      <c r="AM118" s="82">
        <f t="shared" si="26"/>
        <v>7.0337098255720321E-2</v>
      </c>
      <c r="AN118">
        <v>28.375</v>
      </c>
      <c r="AO118">
        <v>120855.14294504833</v>
      </c>
      <c r="AP118" t="s">
        <v>82</v>
      </c>
      <c r="AQ118">
        <v>28.375</v>
      </c>
      <c r="AR118">
        <v>142.40175282531885</v>
      </c>
      <c r="AS118" s="82">
        <f t="shared" si="27"/>
        <v>5.6522924766483129E-2</v>
      </c>
      <c r="AT118">
        <v>28.375</v>
      </c>
      <c r="AU118">
        <v>101234.56374551421</v>
      </c>
      <c r="AV118" t="s">
        <v>82</v>
      </c>
      <c r="AW118">
        <v>28.375</v>
      </c>
      <c r="AX118">
        <v>141.84966130528136</v>
      </c>
      <c r="AY118" s="82">
        <f t="shared" si="28"/>
        <v>4.2261657070696401E-2</v>
      </c>
      <c r="AZ118">
        <v>28.375</v>
      </c>
      <c r="BA118">
        <v>81014.074547950295</v>
      </c>
      <c r="BB118" t="s">
        <v>82</v>
      </c>
      <c r="BC118">
        <v>28.375</v>
      </c>
      <c r="BD118">
        <v>141.28230396984713</v>
      </c>
      <c r="BE118" s="82">
        <f t="shared" si="29"/>
        <v>2.7621381363530872E-2</v>
      </c>
      <c r="BF118">
        <v>28.375</v>
      </c>
      <c r="BG118">
        <v>60298.761874696596</v>
      </c>
      <c r="BH118" t="s">
        <v>82</v>
      </c>
      <c r="BI118">
        <v>28.375</v>
      </c>
      <c r="BJ118">
        <v>140.72836981523781</v>
      </c>
      <c r="BK118" s="82">
        <f t="shared" si="30"/>
        <v>1.1356526236482978E-2</v>
      </c>
      <c r="BL118">
        <v>28.375</v>
      </c>
      <c r="BM118">
        <v>37276.012491623384</v>
      </c>
      <c r="BN118" t="s">
        <v>82</v>
      </c>
      <c r="BO118">
        <v>28.375</v>
      </c>
      <c r="BP118">
        <v>140.18425342840058</v>
      </c>
      <c r="BQ118" s="82">
        <f t="shared" si="31"/>
        <v>-6.4944381122415962E-3</v>
      </c>
      <c r="BR118">
        <v>28.375</v>
      </c>
      <c r="BS118">
        <v>32627.592990045781</v>
      </c>
      <c r="BT118" t="s">
        <v>82</v>
      </c>
      <c r="BU118">
        <v>28.375</v>
      </c>
      <c r="BV118">
        <v>139.60668409108922</v>
      </c>
      <c r="BW118" s="82">
        <f t="shared" si="32"/>
        <v>-2.3973516466185174E-2</v>
      </c>
      <c r="BX118">
        <v>28.375</v>
      </c>
      <c r="BY118">
        <v>59035.58670459615</v>
      </c>
      <c r="BZ118" t="s">
        <v>82</v>
      </c>
      <c r="CA118">
        <v>28.375</v>
      </c>
      <c r="CB118">
        <v>138.79722228984033</v>
      </c>
      <c r="CC118" s="82">
        <f t="shared" si="33"/>
        <v>-3.1058570109195216E-2</v>
      </c>
      <c r="CD118">
        <v>28.375</v>
      </c>
      <c r="CE118">
        <v>70278.722429968053</v>
      </c>
      <c r="CF118" t="s">
        <v>82</v>
      </c>
      <c r="CG118">
        <v>28.375</v>
      </c>
      <c r="CH118">
        <v>137.91342472871824</v>
      </c>
      <c r="CI118" s="82">
        <f t="shared" si="34"/>
        <v>-3.3769101239272459E-2</v>
      </c>
      <c r="CJ118">
        <v>28.375</v>
      </c>
      <c r="CK118">
        <v>75160.256092365598</v>
      </c>
      <c r="CL118" t="s">
        <v>82</v>
      </c>
      <c r="CM118">
        <v>28.375</v>
      </c>
      <c r="CN118">
        <v>137.02009593410071</v>
      </c>
      <c r="CO118" s="82">
        <f t="shared" si="35"/>
        <v>-3.4676978378172407E-2</v>
      </c>
      <c r="CP118">
        <v>28.375</v>
      </c>
      <c r="CQ118">
        <v>77440.913252549522</v>
      </c>
      <c r="CR118" t="s">
        <v>82</v>
      </c>
      <c r="CS118">
        <v>28.375</v>
      </c>
      <c r="CT118">
        <v>136.14447722512907</v>
      </c>
      <c r="CU118" s="82">
        <f t="shared" si="36"/>
        <v>-3.4907778157872826E-2</v>
      </c>
      <c r="CV118">
        <v>28.375</v>
      </c>
      <c r="CW118">
        <v>78765.733720583463</v>
      </c>
      <c r="CX118" t="s">
        <v>82</v>
      </c>
      <c r="CY118">
        <v>28.375</v>
      </c>
      <c r="CZ118">
        <v>135.27452694569047</v>
      </c>
      <c r="DA118" s="82">
        <f t="shared" si="37"/>
        <v>-3.5004010449569023E-2</v>
      </c>
      <c r="DB118">
        <v>28.375</v>
      </c>
      <c r="DC118">
        <v>79949.119438176669</v>
      </c>
      <c r="DD118" t="s">
        <v>82</v>
      </c>
      <c r="DG118" s="82">
        <f t="shared" si="38"/>
        <v>0</v>
      </c>
      <c r="DM118" s="82">
        <f t="shared" si="39"/>
        <v>0</v>
      </c>
    </row>
    <row r="119" spans="1:117" x14ac:dyDescent="0.2">
      <c r="A119">
        <v>28.625</v>
      </c>
      <c r="B119">
        <v>146.13849850137433</v>
      </c>
      <c r="C119" s="82">
        <f t="shared" si="20"/>
        <v>0.13686892963238506</v>
      </c>
      <c r="D119">
        <v>28.625</v>
      </c>
      <c r="E119">
        <v>215518.74833599734</v>
      </c>
      <c r="F119" t="s">
        <v>82</v>
      </c>
      <c r="G119">
        <v>28.625</v>
      </c>
      <c r="H119">
        <v>145.64393922690132</v>
      </c>
      <c r="I119" s="82">
        <f t="shared" si="21"/>
        <v>0.1260502716796168</v>
      </c>
      <c r="J119">
        <v>28.625</v>
      </c>
      <c r="K119">
        <v>200046.04567323328</v>
      </c>
      <c r="L119" t="s">
        <v>82</v>
      </c>
      <c r="M119">
        <v>28.625</v>
      </c>
      <c r="N119">
        <v>145.13640672567496</v>
      </c>
      <c r="O119" s="82">
        <f t="shared" si="22"/>
        <v>0.11499966262758221</v>
      </c>
      <c r="P119">
        <v>28.625</v>
      </c>
      <c r="Q119">
        <v>184265.06969843808</v>
      </c>
      <c r="R119" t="s">
        <v>82</v>
      </c>
      <c r="S119">
        <v>28.625</v>
      </c>
      <c r="T119">
        <v>144.62414421613917</v>
      </c>
      <c r="U119" s="82">
        <f t="shared" si="23"/>
        <v>0.10338610379332636</v>
      </c>
      <c r="V119">
        <v>28.625</v>
      </c>
      <c r="W119">
        <v>167694.17201268466</v>
      </c>
      <c r="X119" t="s">
        <v>82</v>
      </c>
      <c r="Y119">
        <v>28.625</v>
      </c>
      <c r="Z119">
        <v>144.10009185012365</v>
      </c>
      <c r="AA119" s="82">
        <f t="shared" si="24"/>
        <v>9.1439167369401275E-2</v>
      </c>
      <c r="AB119">
        <v>28.625</v>
      </c>
      <c r="AC119">
        <v>150672.70158752362</v>
      </c>
      <c r="AD119" t="s">
        <v>82</v>
      </c>
      <c r="AE119">
        <v>28.625</v>
      </c>
      <c r="AF119">
        <v>143.56158160227289</v>
      </c>
      <c r="AG119" s="82">
        <f t="shared" si="25"/>
        <v>7.9242805571880126E-2</v>
      </c>
      <c r="AH119">
        <v>28.625</v>
      </c>
      <c r="AI119">
        <v>133326.67288501802</v>
      </c>
      <c r="AJ119" t="s">
        <v>82</v>
      </c>
      <c r="AK119">
        <v>28.625</v>
      </c>
      <c r="AL119">
        <v>143.00808779919686</v>
      </c>
      <c r="AM119" s="82">
        <f t="shared" si="26"/>
        <v>6.6792028648336554E-2</v>
      </c>
      <c r="AN119">
        <v>28.625</v>
      </c>
      <c r="AO119">
        <v>115652.54970657306</v>
      </c>
      <c r="AP119" t="s">
        <v>82</v>
      </c>
      <c r="AQ119">
        <v>28.625</v>
      </c>
      <c r="AR119">
        <v>142.45517657448181</v>
      </c>
      <c r="AS119" s="82">
        <f t="shared" si="27"/>
        <v>5.3423749162959666E-2</v>
      </c>
      <c r="AT119">
        <v>28.625</v>
      </c>
      <c r="AU119">
        <v>96685.64961215292</v>
      </c>
      <c r="AV119" t="s">
        <v>82</v>
      </c>
      <c r="AW119">
        <v>28.625</v>
      </c>
      <c r="AX119">
        <v>141.88930117982952</v>
      </c>
      <c r="AY119" s="82">
        <f t="shared" si="28"/>
        <v>3.963987454815765E-2</v>
      </c>
      <c r="AZ119">
        <v>28.625</v>
      </c>
      <c r="BA119">
        <v>77164.668168766744</v>
      </c>
      <c r="BB119" t="s">
        <v>82</v>
      </c>
      <c r="BC119">
        <v>28.625</v>
      </c>
      <c r="BD119">
        <v>141.30781197855856</v>
      </c>
      <c r="BE119" s="82">
        <f t="shared" si="29"/>
        <v>2.5508008711426555E-2</v>
      </c>
      <c r="BF119">
        <v>28.625</v>
      </c>
      <c r="BG119">
        <v>57193.936149062305</v>
      </c>
      <c r="BH119" t="s">
        <v>82</v>
      </c>
      <c r="BI119">
        <v>28.625</v>
      </c>
      <c r="BJ119">
        <v>140.7382010134159</v>
      </c>
      <c r="BK119" s="82">
        <f t="shared" si="30"/>
        <v>9.8311981780909719E-3</v>
      </c>
      <c r="BL119">
        <v>28.625</v>
      </c>
      <c r="BM119">
        <v>35031.854979560645</v>
      </c>
      <c r="BN119" t="s">
        <v>82</v>
      </c>
      <c r="BO119">
        <v>28.625</v>
      </c>
      <c r="BP119">
        <v>140.17690488221663</v>
      </c>
      <c r="BQ119" s="82">
        <f t="shared" si="31"/>
        <v>-7.3485461839482014E-3</v>
      </c>
      <c r="BR119">
        <v>28.625</v>
      </c>
      <c r="BS119">
        <v>33863.227844001231</v>
      </c>
      <c r="BT119" t="s">
        <v>82</v>
      </c>
      <c r="BU119">
        <v>28.625</v>
      </c>
      <c r="BV119">
        <v>139.58254017263604</v>
      </c>
      <c r="BW119" s="82">
        <f t="shared" si="32"/>
        <v>-2.4143918453177093E-2</v>
      </c>
      <c r="BX119">
        <v>28.625</v>
      </c>
      <c r="BY119">
        <v>59272.310578847544</v>
      </c>
      <c r="BZ119" t="s">
        <v>82</v>
      </c>
      <c r="CA119">
        <v>28.625</v>
      </c>
      <c r="CB119">
        <v>138.76629318957248</v>
      </c>
      <c r="CC119" s="82">
        <f t="shared" si="33"/>
        <v>-3.0929100267854892E-2</v>
      </c>
      <c r="CD119">
        <v>28.625</v>
      </c>
      <c r="CE119">
        <v>70077.595845141725</v>
      </c>
      <c r="CF119" t="s">
        <v>82</v>
      </c>
      <c r="CG119">
        <v>28.625</v>
      </c>
      <c r="CH119">
        <v>137.87992082207222</v>
      </c>
      <c r="CI119" s="82">
        <f t="shared" si="34"/>
        <v>-3.3503906646018322E-2</v>
      </c>
      <c r="CJ119">
        <v>28.625</v>
      </c>
      <c r="CK119">
        <v>74761.212074776704</v>
      </c>
      <c r="CL119" t="s">
        <v>82</v>
      </c>
      <c r="CM119">
        <v>28.625</v>
      </c>
      <c r="CN119">
        <v>136.98575146872139</v>
      </c>
      <c r="CO119" s="82">
        <f t="shared" si="35"/>
        <v>-3.43444653793199E-2</v>
      </c>
      <c r="CP119">
        <v>28.625</v>
      </c>
      <c r="CQ119">
        <v>76943.918530760042</v>
      </c>
      <c r="CR119" t="s">
        <v>82</v>
      </c>
      <c r="CS119">
        <v>28.625</v>
      </c>
      <c r="CT119">
        <v>136.10994373942469</v>
      </c>
      <c r="CU119" s="82">
        <f t="shared" si="36"/>
        <v>-3.4533485704372424E-2</v>
      </c>
      <c r="CV119">
        <v>28.625</v>
      </c>
      <c r="CW119">
        <v>78208.11544008083</v>
      </c>
      <c r="CX119" t="s">
        <v>82</v>
      </c>
      <c r="CY119">
        <v>28.625</v>
      </c>
      <c r="CZ119">
        <v>135.23993550303402</v>
      </c>
      <c r="DA119" s="82">
        <f t="shared" si="37"/>
        <v>-3.459144265644909E-2</v>
      </c>
      <c r="DB119">
        <v>28.625</v>
      </c>
      <c r="DC119">
        <v>79336.043052116816</v>
      </c>
      <c r="DD119" t="s">
        <v>82</v>
      </c>
      <c r="DG119" s="82">
        <f t="shared" si="38"/>
        <v>0</v>
      </c>
      <c r="DM119" s="82">
        <f t="shared" si="39"/>
        <v>0</v>
      </c>
    </row>
    <row r="120" spans="1:117" x14ac:dyDescent="0.2">
      <c r="A120">
        <v>28.875</v>
      </c>
      <c r="B120">
        <v>146.26993726802129</v>
      </c>
      <c r="C120" s="82">
        <f t="shared" si="20"/>
        <v>0.13143876664696563</v>
      </c>
      <c r="D120">
        <v>28.875</v>
      </c>
      <c r="E120">
        <v>207547.43444743485</v>
      </c>
      <c r="F120" t="s">
        <v>82</v>
      </c>
      <c r="G120">
        <v>28.875</v>
      </c>
      <c r="H120">
        <v>145.76484257184282</v>
      </c>
      <c r="I120" s="82">
        <f t="shared" si="21"/>
        <v>0.12090334494149602</v>
      </c>
      <c r="J120">
        <v>28.875</v>
      </c>
      <c r="K120">
        <v>192491.09008192204</v>
      </c>
      <c r="L120" t="s">
        <v>82</v>
      </c>
      <c r="M120">
        <v>28.875</v>
      </c>
      <c r="N120">
        <v>145.2465580555139</v>
      </c>
      <c r="O120" s="82">
        <f t="shared" si="22"/>
        <v>0.11015132983894205</v>
      </c>
      <c r="P120">
        <v>28.875</v>
      </c>
      <c r="Q120">
        <v>177148.89146218123</v>
      </c>
      <c r="R120" t="s">
        <v>82</v>
      </c>
      <c r="S120">
        <v>28.875</v>
      </c>
      <c r="T120">
        <v>144.72300782047276</v>
      </c>
      <c r="U120" s="82">
        <f t="shared" si="23"/>
        <v>9.8863604333587318E-2</v>
      </c>
      <c r="V120">
        <v>28.875</v>
      </c>
      <c r="W120">
        <v>161056.56084060125</v>
      </c>
      <c r="X120" t="s">
        <v>82</v>
      </c>
      <c r="Y120">
        <v>28.875</v>
      </c>
      <c r="Z120">
        <v>144.18735527463963</v>
      </c>
      <c r="AA120" s="82">
        <f t="shared" si="24"/>
        <v>8.7263424515981569E-2</v>
      </c>
      <c r="AB120">
        <v>28.875</v>
      </c>
      <c r="AC120">
        <v>144544.17733170884</v>
      </c>
      <c r="AD120" t="s">
        <v>82</v>
      </c>
      <c r="AE120">
        <v>28.875</v>
      </c>
      <c r="AF120">
        <v>143.63701469850577</v>
      </c>
      <c r="AG120" s="82">
        <f t="shared" si="25"/>
        <v>7.5433096232870867E-2</v>
      </c>
      <c r="AH120">
        <v>28.875</v>
      </c>
      <c r="AI120">
        <v>127735.31455935651</v>
      </c>
      <c r="AJ120" t="s">
        <v>82</v>
      </c>
      <c r="AK120">
        <v>28.875</v>
      </c>
      <c r="AL120">
        <v>143.07145677569724</v>
      </c>
      <c r="AM120" s="82">
        <f t="shared" si="26"/>
        <v>6.3368976500385088E-2</v>
      </c>
      <c r="AN120">
        <v>28.875</v>
      </c>
      <c r="AO120">
        <v>110628.3782617751</v>
      </c>
      <c r="AP120" t="s">
        <v>82</v>
      </c>
      <c r="AQ120">
        <v>28.875</v>
      </c>
      <c r="AR120">
        <v>142.50560932402729</v>
      </c>
      <c r="AS120" s="82">
        <f t="shared" si="27"/>
        <v>5.0432749545478828E-2</v>
      </c>
      <c r="AT120">
        <v>28.875</v>
      </c>
      <c r="AU120">
        <v>92294.888139136194</v>
      </c>
      <c r="AV120" t="s">
        <v>82</v>
      </c>
      <c r="AW120">
        <v>28.875</v>
      </c>
      <c r="AX120">
        <v>141.92641207180566</v>
      </c>
      <c r="AY120" s="82">
        <f t="shared" si="28"/>
        <v>3.7110891976141147E-2</v>
      </c>
      <c r="AZ120">
        <v>28.875</v>
      </c>
      <c r="BA120">
        <v>73450.909027235946</v>
      </c>
      <c r="BB120" t="s">
        <v>82</v>
      </c>
      <c r="BC120">
        <v>28.875</v>
      </c>
      <c r="BD120">
        <v>141.33128243371192</v>
      </c>
      <c r="BE120" s="82">
        <f t="shared" si="29"/>
        <v>2.3470455153358216E-2</v>
      </c>
      <c r="BF120">
        <v>28.875</v>
      </c>
      <c r="BG120">
        <v>54199.915794937449</v>
      </c>
      <c r="BH120" t="s">
        <v>82</v>
      </c>
      <c r="BI120">
        <v>28.875</v>
      </c>
      <c r="BJ120">
        <v>140.74656221624929</v>
      </c>
      <c r="BK120" s="82">
        <f t="shared" si="30"/>
        <v>8.3612028333845956E-3</v>
      </c>
      <c r="BL120">
        <v>28.875</v>
      </c>
      <c r="BM120">
        <v>32868.553400339508</v>
      </c>
      <c r="BN120" t="s">
        <v>82</v>
      </c>
      <c r="BO120">
        <v>28.875</v>
      </c>
      <c r="BP120">
        <v>140.16873322755413</v>
      </c>
      <c r="BQ120" s="82">
        <f t="shared" si="31"/>
        <v>-8.1716546625045794E-3</v>
      </c>
      <c r="BR120">
        <v>28.875</v>
      </c>
      <c r="BS120">
        <v>35053.614435719064</v>
      </c>
      <c r="BT120" t="s">
        <v>82</v>
      </c>
      <c r="BU120">
        <v>28.875</v>
      </c>
      <c r="BV120">
        <v>139.55823116260416</v>
      </c>
      <c r="BW120" s="82">
        <f t="shared" si="32"/>
        <v>-2.4309010031885236E-2</v>
      </c>
      <c r="BX120">
        <v>28.875</v>
      </c>
      <c r="BY120">
        <v>59501.288585394803</v>
      </c>
      <c r="BZ120" t="s">
        <v>82</v>
      </c>
      <c r="CA120">
        <v>28.875</v>
      </c>
      <c r="CB120">
        <v>138.73548729148504</v>
      </c>
      <c r="CC120" s="82">
        <f t="shared" si="33"/>
        <v>-3.080589808743639E-2</v>
      </c>
      <c r="CD120">
        <v>28.875</v>
      </c>
      <c r="CE120">
        <v>69885.626134742692</v>
      </c>
      <c r="CF120" t="s">
        <v>82</v>
      </c>
      <c r="CG120">
        <v>28.875</v>
      </c>
      <c r="CH120">
        <v>137.84667039495611</v>
      </c>
      <c r="CI120" s="82">
        <f t="shared" si="34"/>
        <v>-3.3250427116115588E-2</v>
      </c>
      <c r="CJ120">
        <v>28.875</v>
      </c>
      <c r="CK120">
        <v>74379.269752484077</v>
      </c>
      <c r="CL120" t="s">
        <v>82</v>
      </c>
      <c r="CM120">
        <v>28.875</v>
      </c>
      <c r="CN120">
        <v>136.95172493560722</v>
      </c>
      <c r="CO120" s="82">
        <f t="shared" si="35"/>
        <v>-3.4026533114172253E-2</v>
      </c>
      <c r="CP120">
        <v>28.875</v>
      </c>
      <c r="CQ120">
        <v>76468.198609416781</v>
      </c>
      <c r="CR120" t="s">
        <v>82</v>
      </c>
      <c r="CS120">
        <v>28.875</v>
      </c>
      <c r="CT120">
        <v>136.07576805248806</v>
      </c>
      <c r="CU120" s="82">
        <f t="shared" si="36"/>
        <v>-3.4175686936634975E-2</v>
      </c>
      <c r="CV120">
        <v>28.875</v>
      </c>
      <c r="CW120">
        <v>77674.552665782394</v>
      </c>
      <c r="CX120" t="s">
        <v>82</v>
      </c>
      <c r="CY120">
        <v>28.875</v>
      </c>
      <c r="CZ120">
        <v>135.20573829515214</v>
      </c>
      <c r="DA120" s="82">
        <f t="shared" si="37"/>
        <v>-3.4197207881874192E-2</v>
      </c>
      <c r="DB120">
        <v>28.875</v>
      </c>
      <c r="DC120">
        <v>78749.693096210307</v>
      </c>
      <c r="DD120" t="s">
        <v>82</v>
      </c>
      <c r="DG120" s="82">
        <f t="shared" si="38"/>
        <v>0</v>
      </c>
      <c r="DM120" s="82">
        <f t="shared" si="39"/>
        <v>0</v>
      </c>
    </row>
    <row r="121" spans="1:117" x14ac:dyDescent="0.2">
      <c r="A121">
        <v>29.125</v>
      </c>
      <c r="B121">
        <v>146.39611849561874</v>
      </c>
      <c r="C121" s="82">
        <f t="shared" si="20"/>
        <v>0.1261812275974421</v>
      </c>
      <c r="D121">
        <v>29.125</v>
      </c>
      <c r="E121">
        <v>199828.79443520581</v>
      </c>
      <c r="F121" t="s">
        <v>82</v>
      </c>
      <c r="G121">
        <v>29.125</v>
      </c>
      <c r="H121">
        <v>145.88076461393371</v>
      </c>
      <c r="I121" s="82">
        <f t="shared" si="21"/>
        <v>0.11592204209088663</v>
      </c>
      <c r="J121">
        <v>29.125</v>
      </c>
      <c r="K121">
        <v>185178.52699850878</v>
      </c>
      <c r="L121" t="s">
        <v>82</v>
      </c>
      <c r="M121">
        <v>29.125</v>
      </c>
      <c r="N121">
        <v>145.35201903559533</v>
      </c>
      <c r="O121" s="82">
        <f t="shared" si="22"/>
        <v>0.1054609800814319</v>
      </c>
      <c r="P121">
        <v>29.125</v>
      </c>
      <c r="Q121">
        <v>170263.8878872288</v>
      </c>
      <c r="R121" t="s">
        <v>82</v>
      </c>
      <c r="S121">
        <v>29.125</v>
      </c>
      <c r="T121">
        <v>144.81749820184635</v>
      </c>
      <c r="U121" s="82">
        <f t="shared" si="23"/>
        <v>9.4490381373589116E-2</v>
      </c>
      <c r="V121">
        <v>29.125</v>
      </c>
      <c r="W121">
        <v>154637.34972418394</v>
      </c>
      <c r="X121" t="s">
        <v>82</v>
      </c>
      <c r="Y121">
        <v>29.125</v>
      </c>
      <c r="Z121">
        <v>144.27058262236926</v>
      </c>
      <c r="AA121" s="82">
        <f t="shared" si="24"/>
        <v>8.3227347729632584E-2</v>
      </c>
      <c r="AB121">
        <v>29.125</v>
      </c>
      <c r="AC121">
        <v>138619.95856682883</v>
      </c>
      <c r="AD121" t="s">
        <v>82</v>
      </c>
      <c r="AE121">
        <v>29.125</v>
      </c>
      <c r="AF121">
        <v>143.70876724656216</v>
      </c>
      <c r="AG121" s="82">
        <f t="shared" si="25"/>
        <v>7.1752548056394971E-2</v>
      </c>
      <c r="AH121">
        <v>29.125</v>
      </c>
      <c r="AI121">
        <v>122332.86212824578</v>
      </c>
      <c r="AJ121" t="s">
        <v>82</v>
      </c>
      <c r="AK121">
        <v>29.125</v>
      </c>
      <c r="AL121">
        <v>143.13152036805775</v>
      </c>
      <c r="AM121" s="82">
        <f t="shared" si="26"/>
        <v>6.0063592360506846E-2</v>
      </c>
      <c r="AN121">
        <v>29.125</v>
      </c>
      <c r="AO121">
        <v>105776.27176781326</v>
      </c>
      <c r="AP121" t="s">
        <v>82</v>
      </c>
      <c r="AQ121">
        <v>29.125</v>
      </c>
      <c r="AR121">
        <v>142.55315533409549</v>
      </c>
      <c r="AS121" s="82">
        <f t="shared" si="27"/>
        <v>4.7546010068202804E-2</v>
      </c>
      <c r="AT121">
        <v>29.125</v>
      </c>
      <c r="AU121">
        <v>88056.557021788074</v>
      </c>
      <c r="AV121" t="s">
        <v>82</v>
      </c>
      <c r="AW121">
        <v>29.125</v>
      </c>
      <c r="AX121">
        <v>141.96108336810883</v>
      </c>
      <c r="AY121" s="82">
        <f t="shared" si="28"/>
        <v>3.4671296303173449E-2</v>
      </c>
      <c r="AZ121">
        <v>29.125</v>
      </c>
      <c r="BA121">
        <v>69867.810322626829</v>
      </c>
      <c r="BB121" t="s">
        <v>82</v>
      </c>
      <c r="BC121">
        <v>29.125</v>
      </c>
      <c r="BD121">
        <v>141.35278831964584</v>
      </c>
      <c r="BE121" s="82">
        <f t="shared" si="29"/>
        <v>2.1505885933919444E-2</v>
      </c>
      <c r="BF121">
        <v>29.125</v>
      </c>
      <c r="BG121">
        <v>51312.559885766947</v>
      </c>
      <c r="BH121" t="s">
        <v>82</v>
      </c>
      <c r="BI121">
        <v>29.125</v>
      </c>
      <c r="BJ121">
        <v>140.75350665173451</v>
      </c>
      <c r="BK121" s="82">
        <f t="shared" si="30"/>
        <v>6.9444354852237211E-3</v>
      </c>
      <c r="BL121">
        <v>29.125</v>
      </c>
      <c r="BM121">
        <v>30783.034891474523</v>
      </c>
      <c r="BN121" t="s">
        <v>82</v>
      </c>
      <c r="BO121">
        <v>29.125</v>
      </c>
      <c r="BP121">
        <v>140.15976826313579</v>
      </c>
      <c r="BQ121" s="82">
        <f t="shared" si="31"/>
        <v>-8.9649644183396049E-3</v>
      </c>
      <c r="BR121">
        <v>29.125</v>
      </c>
      <c r="BS121">
        <v>36200.502732914043</v>
      </c>
      <c r="BT121" t="s">
        <v>82</v>
      </c>
      <c r="BU121">
        <v>29.125</v>
      </c>
      <c r="BV121">
        <v>139.53376216025654</v>
      </c>
      <c r="BW121" s="82">
        <f t="shared" si="32"/>
        <v>-2.4469002347615287E-2</v>
      </c>
      <c r="BX121">
        <v>29.125</v>
      </c>
      <c r="BY121">
        <v>59722.829093666602</v>
      </c>
      <c r="BZ121" t="s">
        <v>82</v>
      </c>
      <c r="CA121">
        <v>29.125</v>
      </c>
      <c r="CB121">
        <v>138.70479857726451</v>
      </c>
      <c r="CC121" s="82">
        <f t="shared" si="33"/>
        <v>-3.068871422053121E-2</v>
      </c>
      <c r="CD121">
        <v>29.125</v>
      </c>
      <c r="CE121">
        <v>69702.449294728634</v>
      </c>
      <c r="CF121" t="s">
        <v>82</v>
      </c>
      <c r="CG121">
        <v>29.125</v>
      </c>
      <c r="CH121">
        <v>137.81366220869677</v>
      </c>
      <c r="CI121" s="82">
        <f t="shared" si="34"/>
        <v>-3.3008186259337435E-2</v>
      </c>
      <c r="CJ121">
        <v>29.125</v>
      </c>
      <c r="CK121">
        <v>74013.733908817288</v>
      </c>
      <c r="CL121" t="s">
        <v>82</v>
      </c>
      <c r="CM121">
        <v>29.125</v>
      </c>
      <c r="CN121">
        <v>136.91800235830954</v>
      </c>
      <c r="CO121" s="82">
        <f t="shared" si="35"/>
        <v>-3.37225772976808E-2</v>
      </c>
      <c r="CP121">
        <v>29.125</v>
      </c>
      <c r="CQ121">
        <v>76012.871948013853</v>
      </c>
      <c r="CR121" t="s">
        <v>82</v>
      </c>
      <c r="CS121">
        <v>29.125</v>
      </c>
      <c r="CT121">
        <v>136.04193436696761</v>
      </c>
      <c r="CU121" s="82">
        <f t="shared" si="36"/>
        <v>-3.3833685520448853E-2</v>
      </c>
      <c r="CV121">
        <v>29.125</v>
      </c>
      <c r="CW121">
        <v>77164.029940982888</v>
      </c>
      <c r="CX121" t="s">
        <v>82</v>
      </c>
      <c r="CY121">
        <v>29.125</v>
      </c>
      <c r="CZ121">
        <v>135.17191777762505</v>
      </c>
      <c r="DA121" s="82">
        <f t="shared" si="37"/>
        <v>-3.3820517527090033E-2</v>
      </c>
      <c r="DB121">
        <v>29.125</v>
      </c>
      <c r="DC121">
        <v>78188.919995852382</v>
      </c>
      <c r="DD121" t="s">
        <v>82</v>
      </c>
      <c r="DG121" s="82">
        <f t="shared" si="38"/>
        <v>0</v>
      </c>
      <c r="DM121" s="82">
        <f t="shared" si="39"/>
        <v>0</v>
      </c>
    </row>
    <row r="122" spans="1:117" x14ac:dyDescent="0.2">
      <c r="A122">
        <v>29.375</v>
      </c>
      <c r="B122">
        <v>146.51720914119852</v>
      </c>
      <c r="C122" s="82">
        <f t="shared" si="20"/>
        <v>0.121090645579784</v>
      </c>
      <c r="D122">
        <v>29.375</v>
      </c>
      <c r="E122">
        <v>192354.53969644607</v>
      </c>
      <c r="F122" t="s">
        <v>82</v>
      </c>
      <c r="G122">
        <v>29.375</v>
      </c>
      <c r="H122">
        <v>145.99186547008608</v>
      </c>
      <c r="I122" s="82">
        <f t="shared" si="21"/>
        <v>0.11110085615237608</v>
      </c>
      <c r="J122">
        <v>29.375</v>
      </c>
      <c r="K122">
        <v>178100.30262013123</v>
      </c>
      <c r="L122" t="s">
        <v>82</v>
      </c>
      <c r="M122">
        <v>29.375</v>
      </c>
      <c r="N122">
        <v>145.45294232660419</v>
      </c>
      <c r="O122" s="82">
        <f t="shared" si="22"/>
        <v>0.10092329100885422</v>
      </c>
      <c r="P122">
        <v>29.375</v>
      </c>
      <c r="Q122">
        <v>163602.2760339471</v>
      </c>
      <c r="R122" t="s">
        <v>82</v>
      </c>
      <c r="S122">
        <v>29.375</v>
      </c>
      <c r="T122">
        <v>144.90775953909875</v>
      </c>
      <c r="U122" s="82">
        <f t="shared" si="23"/>
        <v>9.0261337252400153E-2</v>
      </c>
      <c r="V122">
        <v>29.375</v>
      </c>
      <c r="W122">
        <v>148429.08512407535</v>
      </c>
      <c r="X122" t="s">
        <v>82</v>
      </c>
      <c r="Y122">
        <v>29.375</v>
      </c>
      <c r="Z122">
        <v>144.34990872282538</v>
      </c>
      <c r="AA122" s="82">
        <f t="shared" si="24"/>
        <v>7.9326100456114546E-2</v>
      </c>
      <c r="AB122">
        <v>29.375</v>
      </c>
      <c r="AC122">
        <v>132892.97436691608</v>
      </c>
      <c r="AD122" t="s">
        <v>82</v>
      </c>
      <c r="AE122">
        <v>29.375</v>
      </c>
      <c r="AF122">
        <v>143.77696387000967</v>
      </c>
      <c r="AG122" s="82">
        <f t="shared" si="25"/>
        <v>6.8196623447505544E-2</v>
      </c>
      <c r="AH122">
        <v>29.375</v>
      </c>
      <c r="AI122">
        <v>117112.68259554352</v>
      </c>
      <c r="AJ122" t="s">
        <v>82</v>
      </c>
      <c r="AK122">
        <v>29.375</v>
      </c>
      <c r="AL122">
        <v>143.18839204866376</v>
      </c>
      <c r="AM122" s="82">
        <f t="shared" si="26"/>
        <v>5.6871680606008113E-2</v>
      </c>
      <c r="AN122">
        <v>29.375</v>
      </c>
      <c r="AO122">
        <v>101090.09799507247</v>
      </c>
      <c r="AP122" t="s">
        <v>82</v>
      </c>
      <c r="AQ122">
        <v>29.375</v>
      </c>
      <c r="AR122">
        <v>142.59791508969917</v>
      </c>
      <c r="AS122" s="82">
        <f t="shared" si="27"/>
        <v>4.4759755603678286E-2</v>
      </c>
      <c r="AT122">
        <v>29.375</v>
      </c>
      <c r="AU122">
        <v>83965.139364160306</v>
      </c>
      <c r="AV122" t="s">
        <v>82</v>
      </c>
      <c r="AW122">
        <v>29.375</v>
      </c>
      <c r="AX122">
        <v>141.9934011671852</v>
      </c>
      <c r="AY122" s="82">
        <f t="shared" si="28"/>
        <v>3.2317799076366782E-2</v>
      </c>
      <c r="AZ122">
        <v>29.375</v>
      </c>
      <c r="BA122">
        <v>66410.567228977146</v>
      </c>
      <c r="BB122" t="s">
        <v>82</v>
      </c>
      <c r="BC122">
        <v>29.375</v>
      </c>
      <c r="BD122">
        <v>141.37239989114218</v>
      </c>
      <c r="BE122" s="82">
        <f t="shared" si="29"/>
        <v>1.9611571496341185E-2</v>
      </c>
      <c r="BF122">
        <v>29.375</v>
      </c>
      <c r="BG122">
        <v>48527.881128309506</v>
      </c>
      <c r="BH122" t="s">
        <v>82</v>
      </c>
      <c r="BI122">
        <v>29.375</v>
      </c>
      <c r="BJ122">
        <v>140.75908552256766</v>
      </c>
      <c r="BK122" s="82">
        <f t="shared" si="30"/>
        <v>5.5788708331476755E-3</v>
      </c>
      <c r="BL122">
        <v>29.375</v>
      </c>
      <c r="BM122">
        <v>28772.342858593609</v>
      </c>
      <c r="BN122" t="s">
        <v>82</v>
      </c>
      <c r="BO122">
        <v>29.375</v>
      </c>
      <c r="BP122">
        <v>140.15003863290218</v>
      </c>
      <c r="BQ122" s="82">
        <f t="shared" si="31"/>
        <v>-9.7296302336076224E-3</v>
      </c>
      <c r="BR122">
        <v>29.375</v>
      </c>
      <c r="BS122">
        <v>37305.576271687583</v>
      </c>
      <c r="BT122" t="s">
        <v>82</v>
      </c>
      <c r="BU122">
        <v>29.375</v>
      </c>
      <c r="BV122">
        <v>139.50913806193961</v>
      </c>
      <c r="BW122" s="82">
        <f t="shared" si="32"/>
        <v>-2.4624098316934351E-2</v>
      </c>
      <c r="BX122">
        <v>29.375</v>
      </c>
      <c r="BY122">
        <v>59937.228461485043</v>
      </c>
      <c r="BZ122" t="s">
        <v>82</v>
      </c>
      <c r="CA122">
        <v>29.375</v>
      </c>
      <c r="CB122">
        <v>138.67422126801327</v>
      </c>
      <c r="CC122" s="82">
        <f t="shared" si="33"/>
        <v>-3.0577309251242468E-2</v>
      </c>
      <c r="CD122">
        <v>29.375</v>
      </c>
      <c r="CE122">
        <v>69527.715815095216</v>
      </c>
      <c r="CF122" t="s">
        <v>82</v>
      </c>
      <c r="CG122">
        <v>29.375</v>
      </c>
      <c r="CH122">
        <v>137.78088548172713</v>
      </c>
      <c r="CI122" s="82">
        <f t="shared" si="34"/>
        <v>-3.2776726969643732E-2</v>
      </c>
      <c r="CJ122">
        <v>29.375</v>
      </c>
      <c r="CK122">
        <v>73663.93746355013</v>
      </c>
      <c r="CL122" t="s">
        <v>82</v>
      </c>
      <c r="CM122">
        <v>29.375</v>
      </c>
      <c r="CN122">
        <v>136.88457033981064</v>
      </c>
      <c r="CO122" s="82">
        <f t="shared" si="35"/>
        <v>-3.3432018498899652E-2</v>
      </c>
      <c r="CP122">
        <v>29.375</v>
      </c>
      <c r="CQ122">
        <v>75577.09323887022</v>
      </c>
      <c r="CR122" t="s">
        <v>82</v>
      </c>
      <c r="CS122">
        <v>29.375</v>
      </c>
      <c r="CT122">
        <v>136.00842755270625</v>
      </c>
      <c r="CU122" s="82">
        <f t="shared" si="36"/>
        <v>-3.3506814261357931E-2</v>
      </c>
      <c r="CV122">
        <v>29.375</v>
      </c>
      <c r="CW122">
        <v>76675.574282326634</v>
      </c>
      <c r="CX122" t="s">
        <v>82</v>
      </c>
      <c r="CY122">
        <v>29.375</v>
      </c>
      <c r="CZ122">
        <v>135.13845716106175</v>
      </c>
      <c r="DA122" s="82">
        <f t="shared" si="37"/>
        <v>-3.3460616563303347E-2</v>
      </c>
      <c r="DB122">
        <v>29.375</v>
      </c>
      <c r="DC122">
        <v>77652.623084899242</v>
      </c>
      <c r="DD122" t="s">
        <v>82</v>
      </c>
      <c r="DG122" s="82">
        <f t="shared" si="38"/>
        <v>0</v>
      </c>
      <c r="DM122" s="82">
        <f t="shared" si="39"/>
        <v>0</v>
      </c>
    </row>
    <row r="123" spans="1:117" x14ac:dyDescent="0.2">
      <c r="A123">
        <v>29.625</v>
      </c>
      <c r="B123">
        <v>146.63337067834391</v>
      </c>
      <c r="C123" s="82">
        <f t="shared" si="20"/>
        <v>0.11616153714538768</v>
      </c>
      <c r="D123">
        <v>29.625</v>
      </c>
      <c r="E123">
        <v>185116.64956632908</v>
      </c>
      <c r="F123" t="s">
        <v>82</v>
      </c>
      <c r="G123">
        <v>29.625</v>
      </c>
      <c r="H123">
        <v>146.09829993107002</v>
      </c>
      <c r="I123" s="82">
        <f t="shared" si="21"/>
        <v>0.10643446098393383</v>
      </c>
      <c r="J123">
        <v>29.625</v>
      </c>
      <c r="K123">
        <v>171248.62720453093</v>
      </c>
      <c r="L123" t="s">
        <v>82</v>
      </c>
      <c r="M123">
        <v>29.625</v>
      </c>
      <c r="N123">
        <v>145.5494754441599</v>
      </c>
      <c r="O123" s="82">
        <f t="shared" si="22"/>
        <v>9.6533117555708259E-2</v>
      </c>
      <c r="P123">
        <v>29.625</v>
      </c>
      <c r="Q123">
        <v>157156.53185777355</v>
      </c>
      <c r="R123" t="s">
        <v>82</v>
      </c>
      <c r="S123">
        <v>29.625</v>
      </c>
      <c r="T123">
        <v>144.99393108569348</v>
      </c>
      <c r="U123" s="82">
        <f t="shared" si="23"/>
        <v>8.6171546594727033E-2</v>
      </c>
      <c r="V123">
        <v>29.625</v>
      </c>
      <c r="W123">
        <v>142424.56511249824</v>
      </c>
      <c r="X123" t="s">
        <v>82</v>
      </c>
      <c r="Y123">
        <v>29.625</v>
      </c>
      <c r="Z123">
        <v>144.42546373486135</v>
      </c>
      <c r="AA123" s="82">
        <f t="shared" si="24"/>
        <v>7.5555012035977143E-2</v>
      </c>
      <c r="AB123">
        <v>29.625</v>
      </c>
      <c r="AC123">
        <v>127356.39609351395</v>
      </c>
      <c r="AD123" t="s">
        <v>82</v>
      </c>
      <c r="AE123">
        <v>29.625</v>
      </c>
      <c r="AF123">
        <v>143.8417248128321</v>
      </c>
      <c r="AG123" s="82">
        <f t="shared" si="25"/>
        <v>6.4760942822431389E-2</v>
      </c>
      <c r="AH123">
        <v>29.625</v>
      </c>
      <c r="AI123">
        <v>112068.37368789902</v>
      </c>
      <c r="AJ123" t="s">
        <v>82</v>
      </c>
      <c r="AK123">
        <v>29.625</v>
      </c>
      <c r="AL123">
        <v>143.24218124264203</v>
      </c>
      <c r="AM123" s="82">
        <f t="shared" si="26"/>
        <v>5.3789193978275307E-2</v>
      </c>
      <c r="AN123">
        <v>29.625</v>
      </c>
      <c r="AO123">
        <v>96563.941301483763</v>
      </c>
      <c r="AP123" t="s">
        <v>82</v>
      </c>
      <c r="AQ123">
        <v>29.625</v>
      </c>
      <c r="AR123">
        <v>142.6399854362966</v>
      </c>
      <c r="AS123" s="82">
        <f t="shared" si="27"/>
        <v>4.2070346597427033E-2</v>
      </c>
      <c r="AT123">
        <v>29.625</v>
      </c>
      <c r="AU123">
        <v>80015.316231904915</v>
      </c>
      <c r="AV123" t="s">
        <v>82</v>
      </c>
      <c r="AW123">
        <v>29.625</v>
      </c>
      <c r="AX123">
        <v>142.02344839903452</v>
      </c>
      <c r="AY123" s="82">
        <f t="shared" si="28"/>
        <v>3.0047231849323452E-2</v>
      </c>
      <c r="AZ123">
        <v>29.625</v>
      </c>
      <c r="BA123">
        <v>63074.550126095652</v>
      </c>
      <c r="BB123" t="s">
        <v>82</v>
      </c>
      <c r="BC123">
        <v>29.625</v>
      </c>
      <c r="BD123">
        <v>141.39018477462963</v>
      </c>
      <c r="BE123" s="82">
        <f t="shared" si="29"/>
        <v>1.7784883487450998E-2</v>
      </c>
      <c r="BF123">
        <v>29.625</v>
      </c>
      <c r="BG123">
        <v>45842.040141726182</v>
      </c>
      <c r="BH123" t="s">
        <v>82</v>
      </c>
      <c r="BI123">
        <v>29.625</v>
      </c>
      <c r="BJ123">
        <v>140.76334808249709</v>
      </c>
      <c r="BK123" s="82">
        <f t="shared" si="30"/>
        <v>4.262559929429699E-3</v>
      </c>
      <c r="BL123">
        <v>29.625</v>
      </c>
      <c r="BM123">
        <v>26833.632638517342</v>
      </c>
      <c r="BN123" t="s">
        <v>82</v>
      </c>
      <c r="BO123">
        <v>29.625</v>
      </c>
      <c r="BP123">
        <v>140.13957187028208</v>
      </c>
      <c r="BQ123" s="82">
        <f t="shared" si="31"/>
        <v>-1.0466762620097825E-2</v>
      </c>
      <c r="BR123">
        <v>29.625</v>
      </c>
      <c r="BS123">
        <v>38370.454618560652</v>
      </c>
      <c r="BT123" t="s">
        <v>82</v>
      </c>
      <c r="BU123">
        <v>29.625</v>
      </c>
      <c r="BV123">
        <v>139.48436356899035</v>
      </c>
      <c r="BW123" s="82">
        <f t="shared" si="32"/>
        <v>-2.4774492949262594E-2</v>
      </c>
      <c r="BX123">
        <v>29.625</v>
      </c>
      <c r="BY123">
        <v>60144.771503253411</v>
      </c>
      <c r="BZ123" t="s">
        <v>82</v>
      </c>
      <c r="CA123">
        <v>29.625</v>
      </c>
      <c r="CB123">
        <v>138.64374981473821</v>
      </c>
      <c r="CC123" s="82">
        <f t="shared" si="33"/>
        <v>-3.0471453275055183E-2</v>
      </c>
      <c r="CD123">
        <v>29.625</v>
      </c>
      <c r="CE123">
        <v>69361.090064099597</v>
      </c>
      <c r="CF123" t="s">
        <v>82</v>
      </c>
      <c r="CG123">
        <v>29.625</v>
      </c>
      <c r="CH123">
        <v>137.74832987113047</v>
      </c>
      <c r="CI123" s="82">
        <f t="shared" si="34"/>
        <v>-3.255561059665979E-2</v>
      </c>
      <c r="CJ123">
        <v>29.625</v>
      </c>
      <c r="CK123">
        <v>73329.24025190348</v>
      </c>
      <c r="CL123" t="s">
        <v>82</v>
      </c>
      <c r="CM123">
        <v>29.625</v>
      </c>
      <c r="CN123">
        <v>136.85141603869678</v>
      </c>
      <c r="CO123" s="82">
        <f t="shared" si="35"/>
        <v>-3.3154301113853535E-2</v>
      </c>
      <c r="CP123">
        <v>29.625</v>
      </c>
      <c r="CQ123">
        <v>75160.0519264779</v>
      </c>
      <c r="CR123" t="s">
        <v>82</v>
      </c>
      <c r="CS123">
        <v>29.625</v>
      </c>
      <c r="CT123">
        <v>135.97523311885118</v>
      </c>
      <c r="CU123" s="82">
        <f t="shared" si="36"/>
        <v>-3.3194433855072702E-2</v>
      </c>
      <c r="CV123">
        <v>29.625</v>
      </c>
      <c r="CW123">
        <v>76208.253355375695</v>
      </c>
      <c r="CX123" t="s">
        <v>82</v>
      </c>
      <c r="CY123">
        <v>29.625</v>
      </c>
      <c r="CZ123">
        <v>135.10534037898989</v>
      </c>
      <c r="DA123" s="82">
        <f t="shared" si="37"/>
        <v>-3.3116782071857642E-2</v>
      </c>
      <c r="DB123">
        <v>29.625</v>
      </c>
      <c r="DC123">
        <v>77139.748475145811</v>
      </c>
      <c r="DD123" t="s">
        <v>82</v>
      </c>
      <c r="DG123" s="82">
        <f t="shared" si="38"/>
        <v>0</v>
      </c>
      <c r="DM123" s="82">
        <f t="shared" si="39"/>
        <v>0</v>
      </c>
    </row>
    <row r="124" spans="1:117" x14ac:dyDescent="0.2">
      <c r="A124">
        <v>29.875</v>
      </c>
      <c r="B124">
        <v>146.74475927482905</v>
      </c>
      <c r="C124" s="82">
        <f t="shared" si="20"/>
        <v>0.11138859648514199</v>
      </c>
      <c r="D124">
        <v>29.875</v>
      </c>
      <c r="E124">
        <v>178107.36282122196</v>
      </c>
      <c r="F124" t="s">
        <v>82</v>
      </c>
      <c r="G124">
        <v>29.875</v>
      </c>
      <c r="H124">
        <v>146.20021763647568</v>
      </c>
      <c r="I124" s="82">
        <f t="shared" si="21"/>
        <v>0.10191770540566836</v>
      </c>
      <c r="J124">
        <v>29.875</v>
      </c>
      <c r="K124">
        <v>164615.96654366306</v>
      </c>
      <c r="L124" t="s">
        <v>82</v>
      </c>
      <c r="M124">
        <v>29.875</v>
      </c>
      <c r="N124">
        <v>145.64176093024977</v>
      </c>
      <c r="O124" s="82">
        <f t="shared" si="22"/>
        <v>9.2285486089878077E-2</v>
      </c>
      <c r="P124">
        <v>29.875</v>
      </c>
      <c r="Q124">
        <v>150919.38166321933</v>
      </c>
      <c r="R124" t="s">
        <v>82</v>
      </c>
      <c r="S124">
        <v>29.875</v>
      </c>
      <c r="T124">
        <v>145.07614733622523</v>
      </c>
      <c r="U124" s="82">
        <f t="shared" si="23"/>
        <v>8.2216250531757851E-2</v>
      </c>
      <c r="V124">
        <v>29.875</v>
      </c>
      <c r="W124">
        <v>136616.83088226122</v>
      </c>
      <c r="X124" t="s">
        <v>82</v>
      </c>
      <c r="Y124">
        <v>29.875</v>
      </c>
      <c r="Z124">
        <v>144.49737330690459</v>
      </c>
      <c r="AA124" s="82">
        <f t="shared" si="24"/>
        <v>7.1909572043239223E-2</v>
      </c>
      <c r="AB124">
        <v>29.875</v>
      </c>
      <c r="AC124">
        <v>122003.62902809963</v>
      </c>
      <c r="AD124" t="s">
        <v>82</v>
      </c>
      <c r="AE124">
        <v>29.875</v>
      </c>
      <c r="AF124">
        <v>143.90316609191052</v>
      </c>
      <c r="AG124" s="82">
        <f t="shared" si="25"/>
        <v>6.1441279078422895E-2</v>
      </c>
      <c r="AH124">
        <v>29.875</v>
      </c>
      <c r="AI124">
        <v>107193.75576918933</v>
      </c>
      <c r="AJ124" t="s">
        <v>82</v>
      </c>
      <c r="AK124">
        <v>29.875</v>
      </c>
      <c r="AL124">
        <v>143.2929934709004</v>
      </c>
      <c r="AM124" s="82">
        <f t="shared" si="26"/>
        <v>5.0812228258365622E-2</v>
      </c>
      <c r="AN124">
        <v>29.875</v>
      </c>
      <c r="AO124">
        <v>92192.094940619354</v>
      </c>
      <c r="AP124" t="s">
        <v>82</v>
      </c>
      <c r="AQ124">
        <v>29.875</v>
      </c>
      <c r="AR124">
        <v>142.67945971043295</v>
      </c>
      <c r="AS124" s="82">
        <f t="shared" si="27"/>
        <v>3.947427413635296E-2</v>
      </c>
      <c r="AT124">
        <v>29.875</v>
      </c>
      <c r="AU124">
        <v>76201.959483202358</v>
      </c>
      <c r="AV124" t="s">
        <v>82</v>
      </c>
      <c r="AW124">
        <v>29.875</v>
      </c>
      <c r="AX124">
        <v>142.0513049407343</v>
      </c>
      <c r="AY124" s="82">
        <f t="shared" si="28"/>
        <v>2.7856541699776471E-2</v>
      </c>
      <c r="AZ124">
        <v>29.875</v>
      </c>
      <c r="BA124">
        <v>59855.298163486637</v>
      </c>
      <c r="BB124" t="s">
        <v>82</v>
      </c>
      <c r="BC124">
        <v>29.875</v>
      </c>
      <c r="BD124">
        <v>141.40620806559483</v>
      </c>
      <c r="BE124" s="82">
        <f t="shared" si="29"/>
        <v>1.6023290965193837E-2</v>
      </c>
      <c r="BF124">
        <v>29.875</v>
      </c>
      <c r="BG124">
        <v>43251.339859745</v>
      </c>
      <c r="BH124" t="s">
        <v>82</v>
      </c>
      <c r="BI124">
        <v>29.875</v>
      </c>
      <c r="BJ124">
        <v>140.76634170975183</v>
      </c>
      <c r="BK124" s="82">
        <f t="shared" si="30"/>
        <v>2.9936272547388398E-3</v>
      </c>
      <c r="BL124">
        <v>29.875</v>
      </c>
      <c r="BM124">
        <v>24964.167312642974</v>
      </c>
      <c r="BN124" t="s">
        <v>82</v>
      </c>
      <c r="BO124">
        <v>29.875</v>
      </c>
      <c r="BP124">
        <v>140.12839444073251</v>
      </c>
      <c r="BQ124" s="82">
        <f t="shared" si="31"/>
        <v>-1.1177429549576345E-2</v>
      </c>
      <c r="BR124">
        <v>29.875</v>
      </c>
      <c r="BS124">
        <v>39396.695750052306</v>
      </c>
      <c r="BT124" t="s">
        <v>82</v>
      </c>
      <c r="BU124">
        <v>29.875</v>
      </c>
      <c r="BV124">
        <v>139.45944319530798</v>
      </c>
      <c r="BW124" s="82">
        <f t="shared" si="32"/>
        <v>-2.4920373682363106E-2</v>
      </c>
      <c r="BX124">
        <v>29.875</v>
      </c>
      <c r="BY124">
        <v>60345.731983400809</v>
      </c>
      <c r="BZ124" t="s">
        <v>82</v>
      </c>
      <c r="CA124">
        <v>29.875</v>
      </c>
      <c r="CB124">
        <v>138.6133788892015</v>
      </c>
      <c r="CC124" s="82">
        <f t="shared" si="33"/>
        <v>-3.0370925536715276E-2</v>
      </c>
      <c r="CD124">
        <v>29.875</v>
      </c>
      <c r="CE124">
        <v>69202.249763273023</v>
      </c>
      <c r="CF124" t="s">
        <v>82</v>
      </c>
      <c r="CG124">
        <v>29.875</v>
      </c>
      <c r="CH124">
        <v>137.7159854549065</v>
      </c>
      <c r="CI124" s="82">
        <f t="shared" si="34"/>
        <v>-3.234441622396389E-2</v>
      </c>
      <c r="CJ124">
        <v>29.875</v>
      </c>
      <c r="CK124">
        <v>73009.027982138534</v>
      </c>
      <c r="CL124" t="s">
        <v>82</v>
      </c>
      <c r="CM124">
        <v>29.875</v>
      </c>
      <c r="CN124">
        <v>136.81852714634817</v>
      </c>
      <c r="CO124" s="82">
        <f t="shared" si="35"/>
        <v>-3.2888892348609033E-2</v>
      </c>
      <c r="CP124">
        <v>29.875</v>
      </c>
      <c r="CQ124">
        <v>74760.970713221803</v>
      </c>
      <c r="CR124" t="s">
        <v>82</v>
      </c>
      <c r="CS124">
        <v>29.875</v>
      </c>
      <c r="CT124">
        <v>135.94233718715628</v>
      </c>
      <c r="CU124" s="82">
        <f t="shared" si="36"/>
        <v>-3.2895931694895353E-2</v>
      </c>
      <c r="CV124">
        <v>29.875</v>
      </c>
      <c r="CW124">
        <v>75761.173739012098</v>
      </c>
      <c r="CX124" t="s">
        <v>82</v>
      </c>
      <c r="CY124">
        <v>29.875</v>
      </c>
      <c r="CZ124">
        <v>135.07255205712667</v>
      </c>
      <c r="DA124" s="82">
        <f t="shared" si="37"/>
        <v>-3.2788321863222336E-2</v>
      </c>
      <c r="DB124">
        <v>29.875</v>
      </c>
      <c r="DC124">
        <v>76649.287058911956</v>
      </c>
      <c r="DD124" t="s">
        <v>82</v>
      </c>
      <c r="DG124" s="82">
        <f t="shared" si="38"/>
        <v>0</v>
      </c>
      <c r="DM124" s="82">
        <f t="shared" si="39"/>
        <v>0</v>
      </c>
    </row>
    <row r="125" spans="1:117" x14ac:dyDescent="0.2">
      <c r="A125">
        <v>31</v>
      </c>
      <c r="B125">
        <v>147.22520937876868</v>
      </c>
      <c r="C125" s="82">
        <f t="shared" si="20"/>
        <v>0.48045010393963139</v>
      </c>
      <c r="D125">
        <v>31</v>
      </c>
      <c r="E125">
        <v>150977.44461718443</v>
      </c>
      <c r="F125" t="s">
        <v>82</v>
      </c>
      <c r="G125">
        <v>31</v>
      </c>
      <c r="H125">
        <v>146.63917287031478</v>
      </c>
      <c r="I125" s="82">
        <f t="shared" si="21"/>
        <v>0.43895523383909563</v>
      </c>
      <c r="J125">
        <v>31</v>
      </c>
      <c r="K125">
        <v>138993.44797046116</v>
      </c>
      <c r="L125" t="s">
        <v>82</v>
      </c>
      <c r="M125">
        <v>31</v>
      </c>
      <c r="N125">
        <v>146.03855107951063</v>
      </c>
      <c r="O125" s="82">
        <f t="shared" si="22"/>
        <v>0.39679014926085188</v>
      </c>
      <c r="P125">
        <v>31</v>
      </c>
      <c r="Q125">
        <v>126873.32469596629</v>
      </c>
      <c r="R125" t="s">
        <v>82</v>
      </c>
      <c r="S125">
        <v>31</v>
      </c>
      <c r="T125">
        <v>145.42890616596688</v>
      </c>
      <c r="U125" s="82">
        <f t="shared" si="23"/>
        <v>0.35275882974164574</v>
      </c>
      <c r="V125">
        <v>31</v>
      </c>
      <c r="W125">
        <v>114273.21793813733</v>
      </c>
      <c r="X125" t="s">
        <v>82</v>
      </c>
      <c r="Y125">
        <v>31</v>
      </c>
      <c r="Z125">
        <v>144.80510771816455</v>
      </c>
      <c r="AA125" s="82">
        <f t="shared" si="24"/>
        <v>0.3077344112599576</v>
      </c>
      <c r="AB125">
        <v>31</v>
      </c>
      <c r="AC125">
        <v>101455.18316425444</v>
      </c>
      <c r="AD125" t="s">
        <v>82</v>
      </c>
      <c r="AE125">
        <v>31</v>
      </c>
      <c r="AF125">
        <v>144.1652170769556</v>
      </c>
      <c r="AG125" s="82">
        <f t="shared" si="25"/>
        <v>0.26205098504507873</v>
      </c>
      <c r="AH125">
        <v>31</v>
      </c>
      <c r="AI125">
        <v>88522.995478207449</v>
      </c>
      <c r="AJ125" t="s">
        <v>82</v>
      </c>
      <c r="AK125">
        <v>31</v>
      </c>
      <c r="AL125">
        <v>143.50871004818717</v>
      </c>
      <c r="AM125" s="82">
        <f t="shared" si="26"/>
        <v>0.21571657728676996</v>
      </c>
      <c r="AN125">
        <v>31</v>
      </c>
      <c r="AO125">
        <v>75485.878875754788</v>
      </c>
      <c r="AP125" t="s">
        <v>82</v>
      </c>
      <c r="AQ125">
        <v>31</v>
      </c>
      <c r="AR125">
        <v>142.84581640884466</v>
      </c>
      <c r="AS125" s="82">
        <f t="shared" si="27"/>
        <v>0.16635669841170397</v>
      </c>
      <c r="AT125">
        <v>31</v>
      </c>
      <c r="AU125">
        <v>61664.039656538473</v>
      </c>
      <c r="AV125" t="s">
        <v>82</v>
      </c>
      <c r="AW125">
        <v>31</v>
      </c>
      <c r="AX125">
        <v>142.1671474821016</v>
      </c>
      <c r="AY125" s="82">
        <f t="shared" si="28"/>
        <v>0.1158425413673001</v>
      </c>
      <c r="AZ125">
        <v>31</v>
      </c>
      <c r="BA125">
        <v>47610.743566298348</v>
      </c>
      <c r="BB125" t="s">
        <v>82</v>
      </c>
      <c r="BC125">
        <v>31</v>
      </c>
      <c r="BD125">
        <v>141.47066767069398</v>
      </c>
      <c r="BE125" s="82">
        <f t="shared" si="29"/>
        <v>6.4459605099159489E-2</v>
      </c>
      <c r="BF125">
        <v>31</v>
      </c>
      <c r="BG125">
        <v>33418.816149268423</v>
      </c>
      <c r="BH125" t="s">
        <v>82</v>
      </c>
      <c r="BI125">
        <v>31</v>
      </c>
      <c r="BJ125">
        <v>140.7743079152005</v>
      </c>
      <c r="BK125" s="82">
        <f t="shared" si="30"/>
        <v>7.9662054486675515E-3</v>
      </c>
      <c r="BL125">
        <v>31</v>
      </c>
      <c r="BM125">
        <v>24831.414877931325</v>
      </c>
      <c r="BN125" t="s">
        <v>82</v>
      </c>
      <c r="BO125">
        <v>31</v>
      </c>
      <c r="BP125">
        <v>140.0750124791831</v>
      </c>
      <c r="BQ125" s="82">
        <f t="shared" si="31"/>
        <v>-5.3381961549405332E-2</v>
      </c>
      <c r="BR125">
        <v>31</v>
      </c>
      <c r="BS125">
        <v>43273.183248598223</v>
      </c>
      <c r="BT125" t="s">
        <v>82</v>
      </c>
      <c r="BU125">
        <v>31</v>
      </c>
      <c r="BV125">
        <v>139.34666455229294</v>
      </c>
      <c r="BW125" s="82">
        <f t="shared" si="32"/>
        <v>-0.11277864301504792</v>
      </c>
      <c r="BX125">
        <v>31</v>
      </c>
      <c r="BY125">
        <v>61122.024728873614</v>
      </c>
      <c r="BZ125" t="s">
        <v>82</v>
      </c>
      <c r="CA125">
        <v>31</v>
      </c>
      <c r="CB125">
        <v>138.47713907602053</v>
      </c>
      <c r="CC125" s="82">
        <f t="shared" si="33"/>
        <v>-0.13623981318096412</v>
      </c>
      <c r="CD125">
        <v>31</v>
      </c>
      <c r="CE125">
        <v>68633.987269720004</v>
      </c>
      <c r="CF125" t="s">
        <v>82</v>
      </c>
      <c r="CG125">
        <v>31</v>
      </c>
      <c r="CH125">
        <v>137.57134312537619</v>
      </c>
      <c r="CI125" s="82">
        <f t="shared" si="34"/>
        <v>-0.14464232953031342</v>
      </c>
      <c r="CJ125">
        <v>31</v>
      </c>
      <c r="CK125">
        <v>71842.314609701702</v>
      </c>
      <c r="CL125" t="s">
        <v>82</v>
      </c>
      <c r="CM125">
        <v>31</v>
      </c>
      <c r="CN125">
        <v>136.67166838068096</v>
      </c>
      <c r="CO125" s="82">
        <f t="shared" si="35"/>
        <v>-0.14685876566721845</v>
      </c>
      <c r="CP125">
        <v>31</v>
      </c>
      <c r="CQ125">
        <v>73305.361737090076</v>
      </c>
      <c r="CR125" t="s">
        <v>82</v>
      </c>
      <c r="CS125">
        <v>31</v>
      </c>
      <c r="CT125">
        <v>135.79558894382976</v>
      </c>
      <c r="CU125" s="82">
        <f t="shared" si="36"/>
        <v>-0.14674824332652747</v>
      </c>
      <c r="CV125">
        <v>31</v>
      </c>
      <c r="CW125">
        <v>74132.713064934826</v>
      </c>
      <c r="CX125" t="s">
        <v>82</v>
      </c>
      <c r="CY125">
        <v>31</v>
      </c>
      <c r="CZ125">
        <v>134.92641647811087</v>
      </c>
      <c r="DA125" s="82">
        <f t="shared" si="37"/>
        <v>-0.14613557901580521</v>
      </c>
      <c r="DB125">
        <v>31</v>
      </c>
      <c r="DC125">
        <v>74866.560178940534</v>
      </c>
      <c r="DD125" t="s">
        <v>82</v>
      </c>
      <c r="DG125" s="82">
        <f t="shared" si="38"/>
        <v>0</v>
      </c>
      <c r="DM125" s="82">
        <f t="shared" si="39"/>
        <v>0</v>
      </c>
    </row>
    <row r="126" spans="1:117" x14ac:dyDescent="0.2">
      <c r="A126">
        <v>33</v>
      </c>
      <c r="B126">
        <v>147.8255127843218</v>
      </c>
      <c r="C126" s="82">
        <f t="shared" si="20"/>
        <v>0.60030340555312023</v>
      </c>
      <c r="D126">
        <v>33</v>
      </c>
      <c r="E126">
        <v>108950.70915509583</v>
      </c>
      <c r="F126" t="s">
        <v>82</v>
      </c>
      <c r="G126">
        <v>33</v>
      </c>
      <c r="H126">
        <v>147.17990988141787</v>
      </c>
      <c r="I126" s="82">
        <f t="shared" si="21"/>
        <v>0.54073701110309003</v>
      </c>
      <c r="J126">
        <v>33</v>
      </c>
      <c r="K126">
        <v>99365.878938707669</v>
      </c>
      <c r="L126" t="s">
        <v>82</v>
      </c>
      <c r="M126">
        <v>33</v>
      </c>
      <c r="N126">
        <v>146.51917201894977</v>
      </c>
      <c r="O126" s="82">
        <f t="shared" si="22"/>
        <v>0.48062093943914874</v>
      </c>
      <c r="P126">
        <v>33</v>
      </c>
      <c r="Q126">
        <v>89746.267428163381</v>
      </c>
      <c r="R126" t="s">
        <v>82</v>
      </c>
      <c r="S126">
        <v>33</v>
      </c>
      <c r="T126">
        <v>145.84726752096239</v>
      </c>
      <c r="U126" s="82">
        <f t="shared" si="23"/>
        <v>0.41836135499551119</v>
      </c>
      <c r="V126">
        <v>33</v>
      </c>
      <c r="W126">
        <v>79834.583664305668</v>
      </c>
      <c r="X126" t="s">
        <v>82</v>
      </c>
      <c r="Y126">
        <v>33</v>
      </c>
      <c r="Z126">
        <v>145.16030480370932</v>
      </c>
      <c r="AA126" s="82">
        <f t="shared" si="24"/>
        <v>0.35519708554477347</v>
      </c>
      <c r="AB126">
        <v>33</v>
      </c>
      <c r="AC126">
        <v>69840.218872914498</v>
      </c>
      <c r="AD126" t="s">
        <v>82</v>
      </c>
      <c r="AE126">
        <v>33</v>
      </c>
      <c r="AF126">
        <v>144.45684204265456</v>
      </c>
      <c r="AG126" s="82">
        <f t="shared" si="25"/>
        <v>0.29162496569895779</v>
      </c>
      <c r="AH126">
        <v>33</v>
      </c>
      <c r="AI126">
        <v>59849.87455182775</v>
      </c>
      <c r="AJ126" t="s">
        <v>82</v>
      </c>
      <c r="AK126">
        <v>33</v>
      </c>
      <c r="AL126">
        <v>143.73640833817291</v>
      </c>
      <c r="AM126" s="82">
        <f t="shared" si="26"/>
        <v>0.22769828998573871</v>
      </c>
      <c r="AN126">
        <v>33</v>
      </c>
      <c r="AO126">
        <v>49877.975739992333</v>
      </c>
      <c r="AP126" t="s">
        <v>82</v>
      </c>
      <c r="AQ126">
        <v>33</v>
      </c>
      <c r="AR126">
        <v>143.00610393195268</v>
      </c>
      <c r="AS126" s="82">
        <f t="shared" si="27"/>
        <v>0.16028752310802474</v>
      </c>
      <c r="AT126">
        <v>33</v>
      </c>
      <c r="AU126">
        <v>39421.371352951137</v>
      </c>
      <c r="AV126" t="s">
        <v>82</v>
      </c>
      <c r="AW126">
        <v>33</v>
      </c>
      <c r="AX126">
        <v>142.25912737017021</v>
      </c>
      <c r="AY126" s="82">
        <f t="shared" si="28"/>
        <v>9.1979888068607352E-2</v>
      </c>
      <c r="AZ126">
        <v>33</v>
      </c>
      <c r="BA126">
        <v>28910.607861961649</v>
      </c>
      <c r="BB126" t="s">
        <v>82</v>
      </c>
      <c r="BC126">
        <v>33</v>
      </c>
      <c r="BD126">
        <v>141.49388752224166</v>
      </c>
      <c r="BE126" s="82">
        <f t="shared" si="29"/>
        <v>2.3219851547679582E-2</v>
      </c>
      <c r="BF126">
        <v>33</v>
      </c>
      <c r="BG126">
        <v>22536.572333727509</v>
      </c>
      <c r="BH126" t="s">
        <v>82</v>
      </c>
      <c r="BI126">
        <v>33</v>
      </c>
      <c r="BJ126">
        <v>140.7227983010429</v>
      </c>
      <c r="BK126" s="82">
        <f t="shared" si="30"/>
        <v>-5.1509614157595252E-2</v>
      </c>
      <c r="BL126">
        <v>33</v>
      </c>
      <c r="BM126">
        <v>35411.177556267896</v>
      </c>
      <c r="BN126" t="s">
        <v>82</v>
      </c>
      <c r="BO126">
        <v>33</v>
      </c>
      <c r="BP126">
        <v>139.94330881103031</v>
      </c>
      <c r="BQ126" s="82">
        <f t="shared" si="31"/>
        <v>-0.13170366815279522</v>
      </c>
      <c r="BR126">
        <v>33</v>
      </c>
      <c r="BS126">
        <v>49166.194397448409</v>
      </c>
      <c r="BT126" t="s">
        <v>82</v>
      </c>
      <c r="BU126">
        <v>33</v>
      </c>
      <c r="BV126">
        <v>139.13833032032929</v>
      </c>
      <c r="BW126" s="82">
        <f t="shared" si="32"/>
        <v>-0.2083342319636472</v>
      </c>
      <c r="BX126">
        <v>33</v>
      </c>
      <c r="BY126">
        <v>62333.27759100758</v>
      </c>
      <c r="BZ126" t="s">
        <v>82</v>
      </c>
      <c r="CA126">
        <v>33</v>
      </c>
      <c r="CB126">
        <v>138.23965253283728</v>
      </c>
      <c r="CC126" s="82">
        <f t="shared" si="33"/>
        <v>-0.2374865431832518</v>
      </c>
      <c r="CD126">
        <v>33</v>
      </c>
      <c r="CE126">
        <v>67822.876904718243</v>
      </c>
      <c r="CF126" t="s">
        <v>82</v>
      </c>
      <c r="CG126">
        <v>33</v>
      </c>
      <c r="CH126">
        <v>137.32450622367804</v>
      </c>
      <c r="CI126" s="82">
        <f t="shared" si="34"/>
        <v>-0.24683690169814554</v>
      </c>
      <c r="CJ126">
        <v>33</v>
      </c>
      <c r="CK126">
        <v>70136.087575570171</v>
      </c>
      <c r="CL126" t="s">
        <v>82</v>
      </c>
      <c r="CM126">
        <v>33</v>
      </c>
      <c r="CN126">
        <v>136.4235879218175</v>
      </c>
      <c r="CO126" s="82">
        <f t="shared" si="35"/>
        <v>-0.24808045886345553</v>
      </c>
      <c r="CP126">
        <v>33</v>
      </c>
      <c r="CQ126">
        <v>71170.865070502579</v>
      </c>
      <c r="CR126" t="s">
        <v>82</v>
      </c>
      <c r="CS126">
        <v>33</v>
      </c>
      <c r="CT126">
        <v>135.54931770931856</v>
      </c>
      <c r="CU126" s="82">
        <f t="shared" si="36"/>
        <v>-0.24627123451119814</v>
      </c>
      <c r="CV126">
        <v>33</v>
      </c>
      <c r="CW126">
        <v>71745.187557883153</v>
      </c>
      <c r="CX126" t="s">
        <v>82</v>
      </c>
      <c r="CY126">
        <v>33</v>
      </c>
      <c r="CZ126">
        <v>134.68267206950944</v>
      </c>
      <c r="DA126" s="82">
        <f t="shared" si="37"/>
        <v>-0.24374440860142954</v>
      </c>
      <c r="DB126">
        <v>33</v>
      </c>
      <c r="DC126">
        <v>72255.486982708331</v>
      </c>
      <c r="DD126" t="s">
        <v>82</v>
      </c>
      <c r="DG126" s="82">
        <f t="shared" si="38"/>
        <v>0</v>
      </c>
      <c r="DM126" s="82">
        <f t="shared" si="39"/>
        <v>0</v>
      </c>
    </row>
    <row r="127" spans="1:117" x14ac:dyDescent="0.2">
      <c r="A127">
        <v>35</v>
      </c>
      <c r="B127">
        <v>148.22937428032699</v>
      </c>
      <c r="C127" s="82">
        <f t="shared" si="20"/>
        <v>0.40386149600519161</v>
      </c>
      <c r="D127">
        <v>35</v>
      </c>
      <c r="E127">
        <v>76363.150297981381</v>
      </c>
      <c r="F127" t="s">
        <v>82</v>
      </c>
      <c r="G127">
        <v>35</v>
      </c>
      <c r="H127">
        <v>147.53577966319341</v>
      </c>
      <c r="I127" s="82">
        <f t="shared" si="21"/>
        <v>0.35586978177553874</v>
      </c>
      <c r="J127">
        <v>35</v>
      </c>
      <c r="K127">
        <v>68733.09515990685</v>
      </c>
      <c r="L127" t="s">
        <v>82</v>
      </c>
      <c r="M127">
        <v>35</v>
      </c>
      <c r="N127">
        <v>146.82694588066721</v>
      </c>
      <c r="O127" s="82">
        <f t="shared" si="22"/>
        <v>0.30777386171743615</v>
      </c>
      <c r="P127">
        <v>35</v>
      </c>
      <c r="Q127">
        <v>61138.066993290122</v>
      </c>
      <c r="R127" t="s">
        <v>82</v>
      </c>
      <c r="S127">
        <v>35</v>
      </c>
      <c r="T127">
        <v>146.10564483753515</v>
      </c>
      <c r="U127" s="82">
        <f t="shared" si="23"/>
        <v>0.25837731657276208</v>
      </c>
      <c r="V127">
        <v>35</v>
      </c>
      <c r="W127">
        <v>53385.423382116904</v>
      </c>
      <c r="X127" t="s">
        <v>82</v>
      </c>
      <c r="Y127">
        <v>35</v>
      </c>
      <c r="Z127">
        <v>145.36897116091799</v>
      </c>
      <c r="AA127" s="82">
        <f t="shared" si="24"/>
        <v>0.20866635720867066</v>
      </c>
      <c r="AB127">
        <v>35</v>
      </c>
      <c r="AC127">
        <v>45642.15867772435</v>
      </c>
      <c r="AD127" t="s">
        <v>82</v>
      </c>
      <c r="AE127">
        <v>35</v>
      </c>
      <c r="AF127">
        <v>144.61589323634149</v>
      </c>
      <c r="AG127" s="82">
        <f t="shared" si="25"/>
        <v>0.15905119368693477</v>
      </c>
      <c r="AH127">
        <v>35</v>
      </c>
      <c r="AI127">
        <v>37979.9378884693</v>
      </c>
      <c r="AJ127" t="s">
        <v>82</v>
      </c>
      <c r="AK127">
        <v>35</v>
      </c>
      <c r="AL127">
        <v>143.84601002963319</v>
      </c>
      <c r="AM127" s="82">
        <f t="shared" si="26"/>
        <v>0.1096016914602842</v>
      </c>
      <c r="AN127">
        <v>35</v>
      </c>
      <c r="AO127">
        <v>30415.078347609367</v>
      </c>
      <c r="AP127" t="s">
        <v>82</v>
      </c>
      <c r="AQ127">
        <v>35</v>
      </c>
      <c r="AR127">
        <v>143.06409743418135</v>
      </c>
      <c r="AS127" s="82">
        <f t="shared" si="27"/>
        <v>5.7993502228669058E-2</v>
      </c>
      <c r="AT127">
        <v>35</v>
      </c>
      <c r="AU127">
        <v>22574.919089766958</v>
      </c>
      <c r="AV127" t="s">
        <v>82</v>
      </c>
      <c r="AW127">
        <v>35</v>
      </c>
      <c r="AX127">
        <v>142.26536113761918</v>
      </c>
      <c r="AY127" s="82">
        <f t="shared" si="28"/>
        <v>6.2337674489754136E-3</v>
      </c>
      <c r="AZ127">
        <v>35</v>
      </c>
      <c r="BA127">
        <v>24524.421685393059</v>
      </c>
      <c r="BB127" t="s">
        <v>82</v>
      </c>
      <c r="BC127">
        <v>35</v>
      </c>
      <c r="BD127">
        <v>141.44858595738486</v>
      </c>
      <c r="BE127" s="82">
        <f t="shared" si="29"/>
        <v>-4.5301564856799814E-2</v>
      </c>
      <c r="BF127">
        <v>35</v>
      </c>
      <c r="BG127">
        <v>33608.047990078194</v>
      </c>
      <c r="BH127" t="s">
        <v>82</v>
      </c>
      <c r="BI127">
        <v>35</v>
      </c>
      <c r="BJ127">
        <v>140.62214134870277</v>
      </c>
      <c r="BK127" s="82">
        <f t="shared" si="30"/>
        <v>-0.10065695234013106</v>
      </c>
      <c r="BL127">
        <v>35</v>
      </c>
      <c r="BM127">
        <v>43321.194181755098</v>
      </c>
      <c r="BN127" t="s">
        <v>82</v>
      </c>
      <c r="BO127">
        <v>35</v>
      </c>
      <c r="BP127">
        <v>139.78396737849562</v>
      </c>
      <c r="BQ127" s="82">
        <f t="shared" si="31"/>
        <v>-0.15934143253468847</v>
      </c>
      <c r="BR127">
        <v>35</v>
      </c>
      <c r="BS127">
        <v>53581.679020860072</v>
      </c>
      <c r="BT127" t="s">
        <v>82</v>
      </c>
      <c r="BU127">
        <v>35</v>
      </c>
      <c r="BV127">
        <v>138.92370319521604</v>
      </c>
      <c r="BW127" s="82">
        <f t="shared" si="32"/>
        <v>-0.21462712511325321</v>
      </c>
      <c r="BX127">
        <v>35</v>
      </c>
      <c r="BY127">
        <v>63296.671011827741</v>
      </c>
      <c r="BZ127" t="s">
        <v>82</v>
      </c>
      <c r="CA127">
        <v>35</v>
      </c>
      <c r="CB127">
        <v>138.0050568151988</v>
      </c>
      <c r="CC127" s="82">
        <f t="shared" si="33"/>
        <v>-0.2345957176384843</v>
      </c>
      <c r="CD127">
        <v>35</v>
      </c>
      <c r="CE127">
        <v>67305.987414500967</v>
      </c>
      <c r="CF127" t="s">
        <v>82</v>
      </c>
      <c r="CG127">
        <v>35</v>
      </c>
      <c r="CH127">
        <v>137.08460408914181</v>
      </c>
      <c r="CI127" s="82">
        <f t="shared" si="34"/>
        <v>-0.2399021345362371</v>
      </c>
      <c r="CJ127">
        <v>35</v>
      </c>
      <c r="CK127">
        <v>68970.513873132324</v>
      </c>
      <c r="CL127" t="s">
        <v>82</v>
      </c>
      <c r="CM127">
        <v>35</v>
      </c>
      <c r="CN127">
        <v>136.18436180857108</v>
      </c>
      <c r="CO127" s="82">
        <f t="shared" si="35"/>
        <v>-0.23922611324641707</v>
      </c>
      <c r="CP127">
        <v>35</v>
      </c>
      <c r="CQ127">
        <v>69699.780299916951</v>
      </c>
      <c r="CR127" t="s">
        <v>82</v>
      </c>
      <c r="CS127">
        <v>35</v>
      </c>
      <c r="CT127">
        <v>135.31302167896033</v>
      </c>
      <c r="CU127" s="82">
        <f t="shared" si="36"/>
        <v>-0.23629603035823266</v>
      </c>
      <c r="CV127">
        <v>35</v>
      </c>
      <c r="CW127">
        <v>70097.725205251831</v>
      </c>
      <c r="CX127" t="s">
        <v>82</v>
      </c>
      <c r="CY127">
        <v>35</v>
      </c>
      <c r="CZ127">
        <v>134.44988223023077</v>
      </c>
      <c r="DA127" s="82">
        <f t="shared" si="37"/>
        <v>-0.23278983927866648</v>
      </c>
      <c r="DB127">
        <v>35</v>
      </c>
      <c r="DC127">
        <v>70455.32777235395</v>
      </c>
      <c r="DD127" t="s">
        <v>82</v>
      </c>
      <c r="DG127" s="82">
        <f t="shared" si="38"/>
        <v>0</v>
      </c>
      <c r="DM127" s="82">
        <f t="shared" si="39"/>
        <v>0</v>
      </c>
    </row>
    <row r="128" spans="1:117" x14ac:dyDescent="0.2">
      <c r="A128">
        <v>37</v>
      </c>
      <c r="B128">
        <v>148.48084568834932</v>
      </c>
      <c r="C128" s="82">
        <f t="shared" si="20"/>
        <v>0.2514714080223257</v>
      </c>
      <c r="D128">
        <v>37</v>
      </c>
      <c r="E128">
        <v>51024.208288016882</v>
      </c>
      <c r="F128" t="s">
        <v>82</v>
      </c>
      <c r="G128">
        <v>37</v>
      </c>
      <c r="H128">
        <v>147.74868074843155</v>
      </c>
      <c r="I128" s="82">
        <f t="shared" si="21"/>
        <v>0.21290108523814411</v>
      </c>
      <c r="J128">
        <v>37</v>
      </c>
      <c r="K128">
        <v>44985.415383877684</v>
      </c>
      <c r="L128" t="s">
        <v>82</v>
      </c>
      <c r="M128">
        <v>37</v>
      </c>
      <c r="N128">
        <v>147.00147558910149</v>
      </c>
      <c r="O128" s="82">
        <f t="shared" si="22"/>
        <v>0.17452970843427806</v>
      </c>
      <c r="P128">
        <v>37</v>
      </c>
      <c r="Q128">
        <v>39028.702263817715</v>
      </c>
      <c r="R128" t="s">
        <v>82</v>
      </c>
      <c r="S128">
        <v>37</v>
      </c>
      <c r="T128">
        <v>146.24110242819586</v>
      </c>
      <c r="U128" s="82">
        <f t="shared" si="23"/>
        <v>0.13545759066070673</v>
      </c>
      <c r="V128">
        <v>37</v>
      </c>
      <c r="W128">
        <v>33009.748664177168</v>
      </c>
      <c r="X128" t="s">
        <v>82</v>
      </c>
      <c r="Y128">
        <v>37</v>
      </c>
      <c r="Z128">
        <v>145.46543914771902</v>
      </c>
      <c r="AA128" s="82">
        <f t="shared" si="24"/>
        <v>9.6467986801030747E-2</v>
      </c>
      <c r="AB128">
        <v>37</v>
      </c>
      <c r="AC128">
        <v>27061.573014932739</v>
      </c>
      <c r="AD128" t="s">
        <v>82</v>
      </c>
      <c r="AE128">
        <v>37</v>
      </c>
      <c r="AF128">
        <v>144.67378897618758</v>
      </c>
      <c r="AG128" s="82">
        <f t="shared" si="25"/>
        <v>5.7895739846088645E-2</v>
      </c>
      <c r="AH128">
        <v>37</v>
      </c>
      <c r="AI128">
        <v>21242.984384074673</v>
      </c>
      <c r="AJ128" t="s">
        <v>82</v>
      </c>
      <c r="AK128">
        <v>37</v>
      </c>
      <c r="AL128">
        <v>143.86582385769691</v>
      </c>
      <c r="AM128" s="82">
        <f t="shared" si="26"/>
        <v>1.981382806371812E-2</v>
      </c>
      <c r="AN128">
        <v>37</v>
      </c>
      <c r="AO128">
        <v>20946.591076036992</v>
      </c>
      <c r="AP128" t="s">
        <v>82</v>
      </c>
      <c r="AQ128">
        <v>37</v>
      </c>
      <c r="AR128">
        <v>143.04458985827756</v>
      </c>
      <c r="AS128" s="82">
        <f t="shared" si="27"/>
        <v>-1.9507575903787711E-2</v>
      </c>
      <c r="AT128">
        <v>37</v>
      </c>
      <c r="AU128">
        <v>27999.339122634941</v>
      </c>
      <c r="AV128" t="s">
        <v>82</v>
      </c>
      <c r="AW128">
        <v>37</v>
      </c>
      <c r="AX128">
        <v>142.20684591196334</v>
      </c>
      <c r="AY128" s="82">
        <f t="shared" si="28"/>
        <v>-5.8515225655838776E-2</v>
      </c>
      <c r="AZ128">
        <v>37</v>
      </c>
      <c r="BA128">
        <v>35013.027144154396</v>
      </c>
      <c r="BB128" t="s">
        <v>82</v>
      </c>
      <c r="BC128">
        <v>37</v>
      </c>
      <c r="BD128">
        <v>141.3516865365992</v>
      </c>
      <c r="BE128" s="82">
        <f t="shared" si="29"/>
        <v>-9.689942078566105E-2</v>
      </c>
      <c r="BF128">
        <v>37</v>
      </c>
      <c r="BG128">
        <v>41938.983006097136</v>
      </c>
      <c r="BH128" t="s">
        <v>82</v>
      </c>
      <c r="BI128">
        <v>37</v>
      </c>
      <c r="BJ128">
        <v>140.48450978674157</v>
      </c>
      <c r="BK128" s="82">
        <f t="shared" si="30"/>
        <v>-0.13763156196120008</v>
      </c>
      <c r="BL128">
        <v>37</v>
      </c>
      <c r="BM128">
        <v>49263.545864690634</v>
      </c>
      <c r="BN128" t="s">
        <v>82</v>
      </c>
      <c r="BO128">
        <v>37</v>
      </c>
      <c r="BP128">
        <v>139.60370037017316</v>
      </c>
      <c r="BQ128" s="82">
        <f t="shared" si="31"/>
        <v>-0.18026700832245979</v>
      </c>
      <c r="BR128">
        <v>37</v>
      </c>
      <c r="BS128">
        <v>56914.939129560516</v>
      </c>
      <c r="BT128" t="s">
        <v>82</v>
      </c>
      <c r="BU128">
        <v>37</v>
      </c>
      <c r="BV128">
        <v>138.70390433429839</v>
      </c>
      <c r="BW128" s="82">
        <f t="shared" si="32"/>
        <v>-0.21979886091764911</v>
      </c>
      <c r="BX128">
        <v>37</v>
      </c>
      <c r="BY128">
        <v>64080.53396766381</v>
      </c>
      <c r="BZ128" t="s">
        <v>82</v>
      </c>
      <c r="CA128">
        <v>37</v>
      </c>
      <c r="CB128">
        <v>137.77202298120426</v>
      </c>
      <c r="CC128" s="82">
        <f t="shared" si="33"/>
        <v>-0.23303383399453992</v>
      </c>
      <c r="CD128">
        <v>37</v>
      </c>
      <c r="CE128">
        <v>67003.452595340277</v>
      </c>
      <c r="CF128" t="s">
        <v>82</v>
      </c>
      <c r="CG128">
        <v>37</v>
      </c>
      <c r="CH128">
        <v>136.84920417706658</v>
      </c>
      <c r="CI128" s="82">
        <f t="shared" si="34"/>
        <v>-0.23539991207522348</v>
      </c>
      <c r="CJ128">
        <v>37</v>
      </c>
      <c r="CK128">
        <v>68195.511323086772</v>
      </c>
      <c r="CL128" t="s">
        <v>82</v>
      </c>
      <c r="CM128">
        <v>37</v>
      </c>
      <c r="CN128">
        <v>135.95101602495902</v>
      </c>
      <c r="CO128" s="82">
        <f t="shared" si="35"/>
        <v>-0.23334578361206582</v>
      </c>
      <c r="CP128">
        <v>37</v>
      </c>
      <c r="CQ128">
        <v>68704.759147808945</v>
      </c>
      <c r="CR128" t="s">
        <v>82</v>
      </c>
      <c r="CS128">
        <v>37</v>
      </c>
      <c r="CT128">
        <v>135.08339531280868</v>
      </c>
      <c r="CU128" s="82">
        <f t="shared" si="36"/>
        <v>-0.22962636615164911</v>
      </c>
      <c r="CV128">
        <v>37</v>
      </c>
      <c r="CW128">
        <v>68977.907546634247</v>
      </c>
      <c r="CX128" t="s">
        <v>82</v>
      </c>
      <c r="CY128">
        <v>37</v>
      </c>
      <c r="CZ128">
        <v>134.22443859223833</v>
      </c>
      <c r="DA128" s="82">
        <f t="shared" si="37"/>
        <v>-0.22544363799244138</v>
      </c>
      <c r="DB128">
        <v>37</v>
      </c>
      <c r="DC128">
        <v>69229.520446742565</v>
      </c>
      <c r="DD128" t="s">
        <v>82</v>
      </c>
      <c r="DG128" s="82">
        <f t="shared" si="38"/>
        <v>0</v>
      </c>
      <c r="DM128" s="82">
        <f t="shared" si="39"/>
        <v>0</v>
      </c>
    </row>
    <row r="129" spans="1:117" x14ac:dyDescent="0.2">
      <c r="A129">
        <v>39</v>
      </c>
      <c r="B129">
        <v>148.61375774647851</v>
      </c>
      <c r="C129" s="82">
        <f t="shared" si="20"/>
        <v>0.13291205812919316</v>
      </c>
      <c r="D129">
        <v>39</v>
      </c>
      <c r="E129">
        <v>31255.235238551508</v>
      </c>
      <c r="F129" t="s">
        <v>82</v>
      </c>
      <c r="G129">
        <v>39</v>
      </c>
      <c r="H129">
        <v>147.85068677285616</v>
      </c>
      <c r="I129" s="82">
        <f t="shared" si="21"/>
        <v>0.10200602442461104</v>
      </c>
      <c r="J129">
        <v>39</v>
      </c>
      <c r="K129">
        <v>26511.791134676263</v>
      </c>
      <c r="L129" t="s">
        <v>82</v>
      </c>
      <c r="M129">
        <v>39</v>
      </c>
      <c r="N129">
        <v>147.07297525860253</v>
      </c>
      <c r="O129" s="82">
        <f t="shared" si="22"/>
        <v>7.1499669501037033E-2</v>
      </c>
      <c r="P129">
        <v>39</v>
      </c>
      <c r="Q129">
        <v>21881.359005050457</v>
      </c>
      <c r="R129" t="s">
        <v>82</v>
      </c>
      <c r="S129">
        <v>39</v>
      </c>
      <c r="T129">
        <v>146.28181741306429</v>
      </c>
      <c r="U129" s="82">
        <f t="shared" si="23"/>
        <v>4.0714984868429838E-2</v>
      </c>
      <c r="V129">
        <v>39</v>
      </c>
      <c r="W129">
        <v>17255.972122145758</v>
      </c>
      <c r="X129" t="s">
        <v>82</v>
      </c>
      <c r="Y129">
        <v>39</v>
      </c>
      <c r="Z129">
        <v>145.47571173171144</v>
      </c>
      <c r="AA129" s="82">
        <f t="shared" si="24"/>
        <v>1.0272583992417594E-2</v>
      </c>
      <c r="AB129">
        <v>39</v>
      </c>
      <c r="AC129">
        <v>21289.048356026986</v>
      </c>
      <c r="AD129" t="s">
        <v>82</v>
      </c>
      <c r="AE129">
        <v>39</v>
      </c>
      <c r="AF129">
        <v>144.65423192544492</v>
      </c>
      <c r="AG129" s="82">
        <f t="shared" si="25"/>
        <v>-1.9557050742662341E-2</v>
      </c>
      <c r="AH129">
        <v>39</v>
      </c>
      <c r="AI129">
        <v>26744.176616777084</v>
      </c>
      <c r="AJ129" t="s">
        <v>82</v>
      </c>
      <c r="AK129">
        <v>39</v>
      </c>
      <c r="AL129">
        <v>143.81711843700757</v>
      </c>
      <c r="AM129" s="82">
        <f t="shared" si="26"/>
        <v>-4.8705420689344692E-2</v>
      </c>
      <c r="AN129">
        <v>39</v>
      </c>
      <c r="AO129">
        <v>32100.542135310185</v>
      </c>
      <c r="AP129" t="s">
        <v>82</v>
      </c>
      <c r="AQ129">
        <v>39</v>
      </c>
      <c r="AR129">
        <v>142.96612705920259</v>
      </c>
      <c r="AS129" s="82">
        <f t="shared" si="27"/>
        <v>-7.846279907496978E-2</v>
      </c>
      <c r="AT129">
        <v>39</v>
      </c>
      <c r="AU129">
        <v>37572.076604877126</v>
      </c>
      <c r="AV129" t="s">
        <v>82</v>
      </c>
      <c r="AW129">
        <v>39</v>
      </c>
      <c r="AX129">
        <v>142.09921565809816</v>
      </c>
      <c r="AY129" s="82">
        <f t="shared" si="28"/>
        <v>-0.10763025386518166</v>
      </c>
      <c r="AZ129">
        <v>39</v>
      </c>
      <c r="BA129">
        <v>42963.792899547334</v>
      </c>
      <c r="BB129" t="s">
        <v>82</v>
      </c>
      <c r="BC129">
        <v>39</v>
      </c>
      <c r="BD129">
        <v>141.21572840910639</v>
      </c>
      <c r="BE129" s="82">
        <f t="shared" si="29"/>
        <v>-0.13595812749281322</v>
      </c>
      <c r="BF129">
        <v>39</v>
      </c>
      <c r="BG129">
        <v>48238.106227021395</v>
      </c>
      <c r="BH129" t="s">
        <v>82</v>
      </c>
      <c r="BI129">
        <v>39</v>
      </c>
      <c r="BJ129">
        <v>140.31887514106234</v>
      </c>
      <c r="BK129" s="82">
        <f t="shared" si="30"/>
        <v>-0.16563464567923347</v>
      </c>
      <c r="BL129">
        <v>39</v>
      </c>
      <c r="BM129">
        <v>53755.401307090411</v>
      </c>
      <c r="BN129" t="s">
        <v>82</v>
      </c>
      <c r="BO129">
        <v>39</v>
      </c>
      <c r="BP129">
        <v>139.40742549009431</v>
      </c>
      <c r="BQ129" s="82">
        <f t="shared" si="31"/>
        <v>-0.19627488007884608</v>
      </c>
      <c r="BR129">
        <v>39</v>
      </c>
      <c r="BS129">
        <v>59455.340856617957</v>
      </c>
      <c r="BT129" t="s">
        <v>82</v>
      </c>
      <c r="BU129">
        <v>39</v>
      </c>
      <c r="BV129">
        <v>138.47974577037959</v>
      </c>
      <c r="BW129" s="82">
        <f t="shared" si="32"/>
        <v>-0.22415856391879174</v>
      </c>
      <c r="BX129">
        <v>39</v>
      </c>
      <c r="BY129">
        <v>64734.603527764775</v>
      </c>
      <c r="BZ129" t="s">
        <v>82</v>
      </c>
      <c r="CA129">
        <v>39</v>
      </c>
      <c r="CB129">
        <v>137.53958221195774</v>
      </c>
      <c r="CC129" s="82">
        <f t="shared" si="33"/>
        <v>-0.2324407692465229</v>
      </c>
      <c r="CD129">
        <v>39</v>
      </c>
      <c r="CE129">
        <v>66857.479562741006</v>
      </c>
      <c r="CF129" t="s">
        <v>82</v>
      </c>
      <c r="CG129">
        <v>39</v>
      </c>
      <c r="CH129">
        <v>136.61654840070338</v>
      </c>
      <c r="CI129" s="82">
        <f t="shared" si="34"/>
        <v>-0.23265577636320245</v>
      </c>
      <c r="CJ129">
        <v>39</v>
      </c>
      <c r="CK129">
        <v>67703.10194664741</v>
      </c>
      <c r="CL129" t="s">
        <v>82</v>
      </c>
      <c r="CM129">
        <v>39</v>
      </c>
      <c r="CN129">
        <v>135.72141559004592</v>
      </c>
      <c r="CO129" s="82">
        <f t="shared" si="35"/>
        <v>-0.22960043491309534</v>
      </c>
      <c r="CP129">
        <v>39</v>
      </c>
      <c r="CQ129">
        <v>68051.806882331643</v>
      </c>
      <c r="CR129" t="s">
        <v>82</v>
      </c>
      <c r="CS129">
        <v>39</v>
      </c>
      <c r="CT129">
        <v>134.8580810440462</v>
      </c>
      <c r="CU129" s="82">
        <f t="shared" si="36"/>
        <v>-0.22531426876247451</v>
      </c>
      <c r="CV129">
        <v>39</v>
      </c>
      <c r="CW129">
        <v>68234.721864939856</v>
      </c>
      <c r="CX129" t="s">
        <v>82</v>
      </c>
      <c r="CY129">
        <v>39</v>
      </c>
      <c r="CZ129">
        <v>134.00378464879316</v>
      </c>
      <c r="DA129" s="82">
        <f t="shared" si="37"/>
        <v>-0.22065394344517131</v>
      </c>
      <c r="DB129">
        <v>39</v>
      </c>
      <c r="DC129">
        <v>68410.937794101425</v>
      </c>
      <c r="DD129" t="s">
        <v>82</v>
      </c>
      <c r="DG129" s="82">
        <f t="shared" si="38"/>
        <v>0</v>
      </c>
      <c r="DM129" s="82">
        <f t="shared" si="39"/>
        <v>0</v>
      </c>
    </row>
    <row r="130" spans="1:117" x14ac:dyDescent="0.2">
      <c r="A130">
        <v>41</v>
      </c>
      <c r="B130">
        <v>148.65410587677735</v>
      </c>
      <c r="C130" s="82">
        <f t="shared" si="20"/>
        <v>4.0348130298838214E-2</v>
      </c>
      <c r="D130">
        <v>41</v>
      </c>
      <c r="E130">
        <v>15772.330782086558</v>
      </c>
      <c r="F130" t="s">
        <v>82</v>
      </c>
      <c r="G130">
        <v>41</v>
      </c>
      <c r="H130">
        <v>147.86636412016293</v>
      </c>
      <c r="I130" s="82">
        <f t="shared" si="21"/>
        <v>1.5677347306763068E-2</v>
      </c>
      <c r="J130">
        <v>41</v>
      </c>
      <c r="K130">
        <v>18807.9088820082</v>
      </c>
      <c r="L130" t="s">
        <v>82</v>
      </c>
      <c r="M130">
        <v>41</v>
      </c>
      <c r="N130">
        <v>147.06450920562455</v>
      </c>
      <c r="O130" s="82">
        <f t="shared" si="22"/>
        <v>-8.4660529779796434E-3</v>
      </c>
      <c r="P130">
        <v>41</v>
      </c>
      <c r="Q130">
        <v>23276.617506837949</v>
      </c>
      <c r="R130" t="s">
        <v>82</v>
      </c>
      <c r="S130">
        <v>41</v>
      </c>
      <c r="T130">
        <v>146.24922305878366</v>
      </c>
      <c r="U130" s="82">
        <f t="shared" si="23"/>
        <v>-3.2594354280632842E-2</v>
      </c>
      <c r="V130">
        <v>41</v>
      </c>
      <c r="W130">
        <v>27754.04791186994</v>
      </c>
      <c r="X130" t="s">
        <v>82</v>
      </c>
      <c r="Y130">
        <v>41</v>
      </c>
      <c r="Z130">
        <v>145.41949473532446</v>
      </c>
      <c r="AA130" s="82">
        <f t="shared" si="24"/>
        <v>-5.621699638697919E-2</v>
      </c>
      <c r="AB130">
        <v>41</v>
      </c>
      <c r="AC130">
        <v>32160.26354268361</v>
      </c>
      <c r="AD130" t="s">
        <v>82</v>
      </c>
      <c r="AE130">
        <v>41</v>
      </c>
      <c r="AF130">
        <v>144.57511425455178</v>
      </c>
      <c r="AG130" s="82">
        <f t="shared" si="25"/>
        <v>-7.9117670893140257E-2</v>
      </c>
      <c r="AH130">
        <v>41</v>
      </c>
      <c r="AI130">
        <v>36461.198751389697</v>
      </c>
      <c r="AJ130" t="s">
        <v>82</v>
      </c>
      <c r="AK130">
        <v>41</v>
      </c>
      <c r="AL130">
        <v>143.7158822294258</v>
      </c>
      <c r="AM130" s="82">
        <f t="shared" si="26"/>
        <v>-0.10123620758176344</v>
      </c>
      <c r="AN130">
        <v>41</v>
      </c>
      <c r="AO130">
        <v>40649.354996861046</v>
      </c>
      <c r="AP130" t="s">
        <v>82</v>
      </c>
      <c r="AQ130">
        <v>41</v>
      </c>
      <c r="AR130">
        <v>142.8425896404226</v>
      </c>
      <c r="AS130" s="82">
        <f t="shared" si="27"/>
        <v>-0.12353741877998914</v>
      </c>
      <c r="AT130">
        <v>41</v>
      </c>
      <c r="AU130">
        <v>44886.328095080557</v>
      </c>
      <c r="AV130" t="s">
        <v>82</v>
      </c>
      <c r="AW130">
        <v>41</v>
      </c>
      <c r="AX130">
        <v>141.95411728895411</v>
      </c>
      <c r="AY130" s="82">
        <f t="shared" si="28"/>
        <v>-0.14509836914405128</v>
      </c>
      <c r="AZ130">
        <v>41</v>
      </c>
      <c r="BA130">
        <v>49022.954070726548</v>
      </c>
      <c r="BB130" t="s">
        <v>82</v>
      </c>
      <c r="BC130">
        <v>41</v>
      </c>
      <c r="BD130">
        <v>141.05000680351185</v>
      </c>
      <c r="BE130" s="82">
        <f t="shared" si="29"/>
        <v>-0.16572160559454119</v>
      </c>
      <c r="BF130">
        <v>41</v>
      </c>
      <c r="BG130">
        <v>53030.712657865872</v>
      </c>
      <c r="BH130" t="s">
        <v>82</v>
      </c>
      <c r="BI130">
        <v>41</v>
      </c>
      <c r="BJ130">
        <v>140.13185237770551</v>
      </c>
      <c r="BK130" s="82">
        <f t="shared" si="30"/>
        <v>-0.187022763356822</v>
      </c>
      <c r="BL130">
        <v>41</v>
      </c>
      <c r="BM130">
        <v>57177.700816198158</v>
      </c>
      <c r="BN130" t="s">
        <v>82</v>
      </c>
      <c r="BO130">
        <v>41</v>
      </c>
      <c r="BP130">
        <v>139.19874646406569</v>
      </c>
      <c r="BQ130" s="82">
        <f t="shared" si="31"/>
        <v>-0.20867902602861932</v>
      </c>
      <c r="BR130">
        <v>41</v>
      </c>
      <c r="BS130">
        <v>61414.842359324713</v>
      </c>
      <c r="BT130" t="s">
        <v>82</v>
      </c>
      <c r="BU130">
        <v>41</v>
      </c>
      <c r="BV130">
        <v>138.25181443514563</v>
      </c>
      <c r="BW130" s="82">
        <f t="shared" si="32"/>
        <v>-0.22793133523396136</v>
      </c>
      <c r="BX130">
        <v>41</v>
      </c>
      <c r="BY130">
        <v>65295.109843034705</v>
      </c>
      <c r="BZ130" t="s">
        <v>82</v>
      </c>
      <c r="CA130">
        <v>41</v>
      </c>
      <c r="CB130">
        <v>137.30702638175237</v>
      </c>
      <c r="CC130" s="82">
        <f t="shared" si="33"/>
        <v>-0.23255583020537074</v>
      </c>
      <c r="CD130">
        <v>41</v>
      </c>
      <c r="CE130">
        <v>66826.22110756411</v>
      </c>
      <c r="CF130" t="s">
        <v>82</v>
      </c>
      <c r="CG130">
        <v>41</v>
      </c>
      <c r="CH130">
        <v>136.38536409901798</v>
      </c>
      <c r="CI130" s="82">
        <f t="shared" si="34"/>
        <v>-0.23118430168540272</v>
      </c>
      <c r="CJ130">
        <v>41</v>
      </c>
      <c r="CK130">
        <v>67415.550363893286</v>
      </c>
      <c r="CL130" t="s">
        <v>82</v>
      </c>
      <c r="CM130">
        <v>41</v>
      </c>
      <c r="CN130">
        <v>135.49402583217108</v>
      </c>
      <c r="CO130" s="82">
        <f t="shared" si="35"/>
        <v>-0.22738975787484605</v>
      </c>
      <c r="CP130">
        <v>41</v>
      </c>
      <c r="CQ130">
        <v>67645.028528001945</v>
      </c>
      <c r="CR130" t="s">
        <v>82</v>
      </c>
      <c r="CS130">
        <v>41</v>
      </c>
      <c r="CT130">
        <v>134.63539547576261</v>
      </c>
      <c r="CU130" s="82">
        <f t="shared" si="36"/>
        <v>-0.22268556828359465</v>
      </c>
      <c r="CV130">
        <v>41</v>
      </c>
      <c r="CW130">
        <v>67760.745253782909</v>
      </c>
      <c r="CX130" t="s">
        <v>82</v>
      </c>
      <c r="CY130">
        <v>41</v>
      </c>
      <c r="CZ130">
        <v>133.78610726863928</v>
      </c>
      <c r="DA130" s="82">
        <f t="shared" si="37"/>
        <v>-0.21767738015387295</v>
      </c>
      <c r="DB130">
        <v>41</v>
      </c>
      <c r="DC130">
        <v>67881.438086341441</v>
      </c>
      <c r="DD130" t="s">
        <v>82</v>
      </c>
      <c r="DG130" s="82">
        <f t="shared" si="38"/>
        <v>0</v>
      </c>
      <c r="DM130" s="82">
        <f t="shared" si="39"/>
        <v>0</v>
      </c>
    </row>
    <row r="131" spans="1:117" x14ac:dyDescent="0.2">
      <c r="A131">
        <v>43</v>
      </c>
      <c r="B131">
        <v>148.6218759467545</v>
      </c>
      <c r="C131" s="82">
        <f t="shared" si="20"/>
        <v>-3.2229930022850795E-2</v>
      </c>
      <c r="D131">
        <v>43</v>
      </c>
      <c r="E131">
        <v>26217.375513203911</v>
      </c>
      <c r="F131" t="s">
        <v>82</v>
      </c>
      <c r="G131">
        <v>43</v>
      </c>
      <c r="H131">
        <v>147.81453960555442</v>
      </c>
      <c r="I131" s="82">
        <f t="shared" si="21"/>
        <v>-5.1824514608512118E-2</v>
      </c>
      <c r="J131">
        <v>43</v>
      </c>
      <c r="K131">
        <v>29909.90559166576</v>
      </c>
      <c r="L131" t="s">
        <v>82</v>
      </c>
      <c r="M131">
        <v>43</v>
      </c>
      <c r="N131">
        <v>146.99369372427873</v>
      </c>
      <c r="O131" s="82">
        <f t="shared" si="22"/>
        <v>-7.0815481345817943E-2</v>
      </c>
      <c r="P131">
        <v>43</v>
      </c>
      <c r="Q131">
        <v>33513.215607769103</v>
      </c>
      <c r="R131" t="s">
        <v>82</v>
      </c>
      <c r="S131">
        <v>43</v>
      </c>
      <c r="T131">
        <v>146.15963193783492</v>
      </c>
      <c r="U131" s="82">
        <f t="shared" si="23"/>
        <v>-8.9591120948739444E-2</v>
      </c>
      <c r="V131">
        <v>43</v>
      </c>
      <c r="W131">
        <v>37093.306976057233</v>
      </c>
      <c r="X131" t="s">
        <v>82</v>
      </c>
      <c r="Y131">
        <v>43</v>
      </c>
      <c r="Z131">
        <v>145.3117300649873</v>
      </c>
      <c r="AA131" s="82">
        <f t="shared" si="24"/>
        <v>-0.10776467033716131</v>
      </c>
      <c r="AB131">
        <v>43</v>
      </c>
      <c r="AC131">
        <v>40588.026240058498</v>
      </c>
      <c r="AD131" t="s">
        <v>82</v>
      </c>
      <c r="AE131">
        <v>43</v>
      </c>
      <c r="AF131">
        <v>144.44994935327441</v>
      </c>
      <c r="AG131" s="82">
        <f t="shared" si="25"/>
        <v>-0.12516490127737256</v>
      </c>
      <c r="AH131">
        <v>43</v>
      </c>
      <c r="AI131">
        <v>43971.186527098944</v>
      </c>
      <c r="AJ131" t="s">
        <v>82</v>
      </c>
      <c r="AK131">
        <v>43</v>
      </c>
      <c r="AL131">
        <v>143.57414072884154</v>
      </c>
      <c r="AM131" s="82">
        <f t="shared" si="26"/>
        <v>-0.14174150058425994</v>
      </c>
      <c r="AN131">
        <v>43</v>
      </c>
      <c r="AO131">
        <v>47237.257530418472</v>
      </c>
      <c r="AP131" t="s">
        <v>82</v>
      </c>
      <c r="AQ131">
        <v>43</v>
      </c>
      <c r="AR131">
        <v>142.68437173537936</v>
      </c>
      <c r="AS131" s="82">
        <f t="shared" si="27"/>
        <v>-0.1582179050432444</v>
      </c>
      <c r="AT131">
        <v>43</v>
      </c>
      <c r="AU131">
        <v>50508.745692806195</v>
      </c>
      <c r="AV131" t="s">
        <v>82</v>
      </c>
      <c r="AW131">
        <v>43</v>
      </c>
      <c r="AX131">
        <v>141.78023152527504</v>
      </c>
      <c r="AY131" s="82">
        <f t="shared" si="28"/>
        <v>-0.17388576367906694</v>
      </c>
      <c r="AZ131">
        <v>43</v>
      </c>
      <c r="BA131">
        <v>53671.995058566245</v>
      </c>
      <c r="BB131" t="s">
        <v>82</v>
      </c>
      <c r="BC131">
        <v>43</v>
      </c>
      <c r="BD131">
        <v>140.86141509847846</v>
      </c>
      <c r="BE131" s="82">
        <f t="shared" si="29"/>
        <v>-0.18859170503338873</v>
      </c>
      <c r="BF131">
        <v>43</v>
      </c>
      <c r="BG131">
        <v>56706.005302874364</v>
      </c>
      <c r="BH131" t="s">
        <v>82</v>
      </c>
      <c r="BI131">
        <v>43</v>
      </c>
      <c r="BJ131">
        <v>139.92832042271007</v>
      </c>
      <c r="BK131" s="82">
        <f t="shared" si="30"/>
        <v>-0.20353195499544086</v>
      </c>
      <c r="BL131">
        <v>43</v>
      </c>
      <c r="BM131">
        <v>59811.195029953808</v>
      </c>
      <c r="BN131" t="s">
        <v>82</v>
      </c>
      <c r="BO131">
        <v>43</v>
      </c>
      <c r="BP131">
        <v>138.98030419151408</v>
      </c>
      <c r="BQ131" s="82">
        <f t="shared" si="31"/>
        <v>-0.21844227255161286</v>
      </c>
      <c r="BR131">
        <v>43</v>
      </c>
      <c r="BS131">
        <v>62948.809234704604</v>
      </c>
      <c r="BT131" t="s">
        <v>82</v>
      </c>
      <c r="BU131">
        <v>43</v>
      </c>
      <c r="BV131">
        <v>138.02053322533493</v>
      </c>
      <c r="BW131" s="82">
        <f t="shared" si="32"/>
        <v>-0.2312812098107031</v>
      </c>
      <c r="BX131">
        <v>43</v>
      </c>
      <c r="BY131">
        <v>65788.463562245248</v>
      </c>
      <c r="BZ131" t="s">
        <v>82</v>
      </c>
      <c r="CA131">
        <v>43</v>
      </c>
      <c r="CB131">
        <v>137.07383620386318</v>
      </c>
      <c r="CC131" s="82">
        <f t="shared" si="33"/>
        <v>-0.23319017788918472</v>
      </c>
      <c r="CD131">
        <v>43</v>
      </c>
      <c r="CE131">
        <v>66879.35665889355</v>
      </c>
      <c r="CF131" t="s">
        <v>82</v>
      </c>
      <c r="CG131">
        <v>43</v>
      </c>
      <c r="CH131">
        <v>136.15472821003635</v>
      </c>
      <c r="CI131" s="82">
        <f t="shared" si="34"/>
        <v>-0.23063588898162379</v>
      </c>
      <c r="CJ131">
        <v>43</v>
      </c>
      <c r="CK131">
        <v>67276.857684744624</v>
      </c>
      <c r="CL131" t="s">
        <v>82</v>
      </c>
      <c r="CM131">
        <v>43</v>
      </c>
      <c r="CN131">
        <v>135.26774185587402</v>
      </c>
      <c r="CO131" s="82">
        <f t="shared" si="35"/>
        <v>-0.22628397629705432</v>
      </c>
      <c r="CP131">
        <v>43</v>
      </c>
      <c r="CQ131">
        <v>67415.752923967564</v>
      </c>
      <c r="CR131" t="s">
        <v>82</v>
      </c>
      <c r="CS131">
        <v>43</v>
      </c>
      <c r="CT131">
        <v>134.41413495254602</v>
      </c>
      <c r="CU131" s="82">
        <f t="shared" si="36"/>
        <v>-0.22126052321658563</v>
      </c>
      <c r="CV131">
        <v>43</v>
      </c>
      <c r="CW131">
        <v>67479.516146074951</v>
      </c>
      <c r="CX131" t="s">
        <v>82</v>
      </c>
      <c r="CY131">
        <v>43</v>
      </c>
      <c r="CZ131">
        <v>133.57011899208368</v>
      </c>
      <c r="DA131" s="82">
        <f t="shared" si="37"/>
        <v>-0.21598827655560626</v>
      </c>
      <c r="DB131">
        <v>43</v>
      </c>
      <c r="DC131">
        <v>67557.458226028728</v>
      </c>
      <c r="DD131" t="s">
        <v>82</v>
      </c>
      <c r="DG131" s="82">
        <f t="shared" si="38"/>
        <v>0</v>
      </c>
      <c r="DM131" s="82">
        <f t="shared" si="39"/>
        <v>0</v>
      </c>
    </row>
    <row r="132" spans="1:117" x14ac:dyDescent="0.2">
      <c r="A132">
        <v>45</v>
      </c>
      <c r="B132">
        <v>148.53244138147392</v>
      </c>
      <c r="C132" s="82">
        <f t="shared" si="20"/>
        <v>-8.9434565280583911E-2</v>
      </c>
      <c r="D132">
        <v>45</v>
      </c>
      <c r="E132">
        <v>35646.716575222796</v>
      </c>
      <c r="F132" t="s">
        <v>82</v>
      </c>
      <c r="G132">
        <v>45</v>
      </c>
      <c r="H132">
        <v>147.70964878643969</v>
      </c>
      <c r="I132" s="82">
        <f t="shared" si="21"/>
        <v>-0.10489081911472908</v>
      </c>
      <c r="J132">
        <v>45</v>
      </c>
      <c r="K132">
        <v>38641.159040683699</v>
      </c>
      <c r="L132" t="s">
        <v>82</v>
      </c>
      <c r="M132">
        <v>45</v>
      </c>
      <c r="N132">
        <v>146.87399076499921</v>
      </c>
      <c r="O132" s="82">
        <f t="shared" si="22"/>
        <v>-0.11970295927952179</v>
      </c>
      <c r="P132">
        <v>45</v>
      </c>
      <c r="Q132">
        <v>41540.857924335993</v>
      </c>
      <c r="R132" t="s">
        <v>82</v>
      </c>
      <c r="S132">
        <v>45</v>
      </c>
      <c r="T132">
        <v>146.02546551153753</v>
      </c>
      <c r="U132" s="82">
        <f t="shared" si="23"/>
        <v>-0.13416642629738362</v>
      </c>
      <c r="V132">
        <v>45</v>
      </c>
      <c r="W132">
        <v>44396.812089075545</v>
      </c>
      <c r="X132" t="s">
        <v>82</v>
      </c>
      <c r="Y132">
        <v>45</v>
      </c>
      <c r="Z132">
        <v>145.16375290526167</v>
      </c>
      <c r="AA132" s="82">
        <f t="shared" si="24"/>
        <v>-0.14797715972562742</v>
      </c>
      <c r="AB132">
        <v>45</v>
      </c>
      <c r="AC132">
        <v>47160.745088742027</v>
      </c>
      <c r="AD132" t="s">
        <v>82</v>
      </c>
      <c r="AE132">
        <v>45</v>
      </c>
      <c r="AF132">
        <v>144.28894825503295</v>
      </c>
      <c r="AG132" s="82">
        <f t="shared" si="25"/>
        <v>-0.16100109824145648</v>
      </c>
      <c r="AH132">
        <v>45</v>
      </c>
      <c r="AI132">
        <v>49812.801448608938</v>
      </c>
      <c r="AJ132" t="s">
        <v>82</v>
      </c>
      <c r="AK132">
        <v>45</v>
      </c>
      <c r="AL132">
        <v>143.40094279251764</v>
      </c>
      <c r="AM132" s="82">
        <f t="shared" si="26"/>
        <v>-0.17319793632390201</v>
      </c>
      <c r="AN132">
        <v>45</v>
      </c>
      <c r="AO132">
        <v>52349.284150621897</v>
      </c>
      <c r="AP132" t="s">
        <v>82</v>
      </c>
      <c r="AQ132">
        <v>45</v>
      </c>
      <c r="AR132">
        <v>142.49925995890524</v>
      </c>
      <c r="AS132" s="82">
        <f t="shared" si="27"/>
        <v>-0.18511177647411614</v>
      </c>
      <c r="AT132">
        <v>45</v>
      </c>
      <c r="AU132">
        <v>54863.600817012055</v>
      </c>
      <c r="AV132" t="s">
        <v>82</v>
      </c>
      <c r="AW132">
        <v>45</v>
      </c>
      <c r="AX132">
        <v>141.58403070189178</v>
      </c>
      <c r="AY132" s="82">
        <f t="shared" si="28"/>
        <v>-0.19620082338326483</v>
      </c>
      <c r="AZ132">
        <v>45</v>
      </c>
      <c r="BA132">
        <v>57269.623115774462</v>
      </c>
      <c r="BB132" t="s">
        <v>82</v>
      </c>
      <c r="BC132">
        <v>45</v>
      </c>
      <c r="BD132">
        <v>140.6550669767332</v>
      </c>
      <c r="BE132" s="82">
        <f t="shared" si="29"/>
        <v>-0.20634812174526473</v>
      </c>
      <c r="BF132">
        <v>45</v>
      </c>
      <c r="BG132">
        <v>59552.502537580673</v>
      </c>
      <c r="BH132" t="s">
        <v>82</v>
      </c>
      <c r="BI132">
        <v>45</v>
      </c>
      <c r="BJ132">
        <v>139.71187834755244</v>
      </c>
      <c r="BK132" s="82">
        <f t="shared" si="30"/>
        <v>-0.21644207515763014</v>
      </c>
      <c r="BL132">
        <v>45</v>
      </c>
      <c r="BM132">
        <v>61862.936165322652</v>
      </c>
      <c r="BN132" t="s">
        <v>82</v>
      </c>
      <c r="BO132">
        <v>45</v>
      </c>
      <c r="BP132">
        <v>138.75403354523664</v>
      </c>
      <c r="BQ132" s="82">
        <f t="shared" si="31"/>
        <v>-0.22627064627744176</v>
      </c>
      <c r="BR132">
        <v>45</v>
      </c>
      <c r="BS132">
        <v>64171.206020145932</v>
      </c>
      <c r="BT132" t="s">
        <v>82</v>
      </c>
      <c r="BU132">
        <v>45</v>
      </c>
      <c r="BV132">
        <v>137.78620541512464</v>
      </c>
      <c r="BW132" s="82">
        <f t="shared" si="32"/>
        <v>-0.23432781021028859</v>
      </c>
      <c r="BX132">
        <v>45</v>
      </c>
      <c r="BY132">
        <v>66233.931619778392</v>
      </c>
      <c r="BZ132" t="s">
        <v>82</v>
      </c>
      <c r="CA132">
        <v>45</v>
      </c>
      <c r="CB132">
        <v>136.83962927020337</v>
      </c>
      <c r="CC132" s="82">
        <f t="shared" si="33"/>
        <v>-0.23420693365980583</v>
      </c>
      <c r="CD132">
        <v>45</v>
      </c>
      <c r="CE132">
        <v>66994.903343832528</v>
      </c>
      <c r="CF132" t="s">
        <v>82</v>
      </c>
      <c r="CG132">
        <v>45</v>
      </c>
      <c r="CH132">
        <v>135.9239696120427</v>
      </c>
      <c r="CI132" s="82">
        <f t="shared" si="34"/>
        <v>-0.23075859799365617</v>
      </c>
      <c r="CJ132">
        <v>45</v>
      </c>
      <c r="CK132">
        <v>67246.657789516088</v>
      </c>
      <c r="CL132" t="s">
        <v>82</v>
      </c>
      <c r="CM132">
        <v>45</v>
      </c>
      <c r="CN132">
        <v>135.04176664661443</v>
      </c>
      <c r="CO132" s="82">
        <f t="shared" si="35"/>
        <v>-0.22597520925958747</v>
      </c>
      <c r="CP132">
        <v>45</v>
      </c>
      <c r="CQ132">
        <v>67314.773406076536</v>
      </c>
      <c r="CR132" t="s">
        <v>82</v>
      </c>
      <c r="CS132">
        <v>45</v>
      </c>
      <c r="CT132">
        <v>134.19343741342968</v>
      </c>
      <c r="CU132" s="82">
        <f t="shared" si="36"/>
        <v>-0.22069753911634393</v>
      </c>
      <c r="CV132">
        <v>45</v>
      </c>
      <c r="CW132">
        <v>67336.577601874989</v>
      </c>
      <c r="CX132" t="s">
        <v>82</v>
      </c>
      <c r="CY132">
        <v>45</v>
      </c>
      <c r="CZ132">
        <v>133.35490430413034</v>
      </c>
      <c r="DA132" s="82">
        <f t="shared" si="37"/>
        <v>-0.21521468795333476</v>
      </c>
      <c r="DB132">
        <v>45</v>
      </c>
      <c r="DC132">
        <v>67379.858132023146</v>
      </c>
      <c r="DD132" t="s">
        <v>82</v>
      </c>
      <c r="DG132" s="82">
        <f t="shared" si="38"/>
        <v>0</v>
      </c>
      <c r="DM132" s="82">
        <f t="shared" si="39"/>
        <v>0</v>
      </c>
    </row>
    <row r="133" spans="1:117" x14ac:dyDescent="0.2">
      <c r="A133">
        <v>47</v>
      </c>
      <c r="B133">
        <v>148.39763260896137</v>
      </c>
      <c r="C133" s="82">
        <f t="shared" si="20"/>
        <v>-0.13480877251254242</v>
      </c>
      <c r="D133">
        <v>47</v>
      </c>
      <c r="E133">
        <v>43128.784344826832</v>
      </c>
      <c r="F133" t="s">
        <v>82</v>
      </c>
      <c r="G133">
        <v>47</v>
      </c>
      <c r="H133">
        <v>147.5627648037794</v>
      </c>
      <c r="I133" s="82">
        <f t="shared" si="21"/>
        <v>-0.14688398266028457</v>
      </c>
      <c r="J133">
        <v>47</v>
      </c>
      <c r="K133">
        <v>45551.912997092622</v>
      </c>
      <c r="L133" t="s">
        <v>82</v>
      </c>
      <c r="M133">
        <v>47</v>
      </c>
      <c r="N133">
        <v>146.71569183808273</v>
      </c>
      <c r="O133" s="82">
        <f t="shared" si="22"/>
        <v>-0.15829892691647274</v>
      </c>
      <c r="P133">
        <v>47</v>
      </c>
      <c r="Q133">
        <v>47878.7547228779</v>
      </c>
      <c r="R133" t="s">
        <v>82</v>
      </c>
      <c r="S133">
        <v>47</v>
      </c>
      <c r="T133">
        <v>145.85618605905748</v>
      </c>
      <c r="U133" s="82">
        <f t="shared" si="23"/>
        <v>-0.16927945248005472</v>
      </c>
      <c r="V133">
        <v>47</v>
      </c>
      <c r="W133">
        <v>50148.998684033504</v>
      </c>
      <c r="X133" t="s">
        <v>82</v>
      </c>
      <c r="Y133">
        <v>47</v>
      </c>
      <c r="Z133">
        <v>144.98416560752491</v>
      </c>
      <c r="AA133" s="82">
        <f t="shared" si="24"/>
        <v>-0.17958729773675941</v>
      </c>
      <c r="AB133">
        <v>47</v>
      </c>
      <c r="AC133">
        <v>52325.373000402229</v>
      </c>
      <c r="AD133" t="s">
        <v>82</v>
      </c>
      <c r="AE133">
        <v>47</v>
      </c>
      <c r="AF133">
        <v>144.09982944206141</v>
      </c>
      <c r="AG133" s="82">
        <f t="shared" si="25"/>
        <v>-0.18911881297154309</v>
      </c>
      <c r="AH133">
        <v>47</v>
      </c>
      <c r="AI133">
        <v>54393.167063505767</v>
      </c>
      <c r="AJ133" t="s">
        <v>82</v>
      </c>
      <c r="AK133">
        <v>47</v>
      </c>
      <c r="AL133">
        <v>143.20309970649188</v>
      </c>
      <c r="AM133" s="82">
        <f t="shared" si="26"/>
        <v>-0.19784308602575607</v>
      </c>
      <c r="AN133">
        <v>47</v>
      </c>
      <c r="AO133">
        <v>56350.349740474907</v>
      </c>
      <c r="AP133" t="s">
        <v>82</v>
      </c>
      <c r="AQ133">
        <v>47</v>
      </c>
      <c r="AR133">
        <v>142.2930892384818</v>
      </c>
      <c r="AS133" s="82">
        <f t="shared" si="27"/>
        <v>-0.20617072042344375</v>
      </c>
      <c r="AT133">
        <v>47</v>
      </c>
      <c r="AU133">
        <v>58268.640915472977</v>
      </c>
      <c r="AV133" t="s">
        <v>82</v>
      </c>
      <c r="AW133">
        <v>47</v>
      </c>
      <c r="AX133">
        <v>141.37034169690054</v>
      </c>
      <c r="AY133" s="82">
        <f t="shared" si="28"/>
        <v>-0.21368900499123811</v>
      </c>
      <c r="AZ133">
        <v>47</v>
      </c>
      <c r="BA133">
        <v>60083.230914315951</v>
      </c>
      <c r="BB133" t="s">
        <v>82</v>
      </c>
      <c r="BC133">
        <v>47</v>
      </c>
      <c r="BD133">
        <v>140.43475642168087</v>
      </c>
      <c r="BE133" s="82">
        <f t="shared" si="29"/>
        <v>-0.22031055505232189</v>
      </c>
      <c r="BF133">
        <v>47</v>
      </c>
      <c r="BG133">
        <v>61784.231904360873</v>
      </c>
      <c r="BH133" t="s">
        <v>82</v>
      </c>
      <c r="BI133">
        <v>47</v>
      </c>
      <c r="BJ133">
        <v>139.48518098048774</v>
      </c>
      <c r="BK133" s="82">
        <f t="shared" si="30"/>
        <v>-0.22669736706470189</v>
      </c>
      <c r="BL133">
        <v>47</v>
      </c>
      <c r="BM133">
        <v>63485.734561937461</v>
      </c>
      <c r="BN133" t="s">
        <v>82</v>
      </c>
      <c r="BO133">
        <v>47</v>
      </c>
      <c r="BP133">
        <v>138.52135130322804</v>
      </c>
      <c r="BQ133" s="82">
        <f t="shared" si="31"/>
        <v>-0.23268224200859322</v>
      </c>
      <c r="BR133">
        <v>47</v>
      </c>
      <c r="BS133">
        <v>65165.689154092637</v>
      </c>
      <c r="BT133" t="s">
        <v>82</v>
      </c>
      <c r="BU133">
        <v>47</v>
      </c>
      <c r="BV133">
        <v>137.54904697924991</v>
      </c>
      <c r="BW133" s="82">
        <f t="shared" si="32"/>
        <v>-0.23715843587473273</v>
      </c>
      <c r="BX133">
        <v>47</v>
      </c>
      <c r="BY133">
        <v>66645.580200225755</v>
      </c>
      <c r="BZ133" t="s">
        <v>82</v>
      </c>
      <c r="CA133">
        <v>47</v>
      </c>
      <c r="CB133">
        <v>136.60412245253474</v>
      </c>
      <c r="CC133" s="82">
        <f t="shared" si="33"/>
        <v>-0.2355068176686359</v>
      </c>
      <c r="CD133">
        <v>47</v>
      </c>
      <c r="CE133">
        <v>67156.913173603229</v>
      </c>
      <c r="CF133" t="s">
        <v>82</v>
      </c>
      <c r="CG133">
        <v>47</v>
      </c>
      <c r="CH133">
        <v>135.69259886263816</v>
      </c>
      <c r="CI133" s="82">
        <f t="shared" si="34"/>
        <v>-0.23137074940453317</v>
      </c>
      <c r="CJ133">
        <v>47</v>
      </c>
      <c r="CK133">
        <v>67295.83467643286</v>
      </c>
      <c r="CL133" t="s">
        <v>82</v>
      </c>
      <c r="CM133">
        <v>47</v>
      </c>
      <c r="CN133">
        <v>134.81552388744336</v>
      </c>
      <c r="CO133" s="82">
        <f t="shared" si="35"/>
        <v>-0.22624275917107184</v>
      </c>
      <c r="CP133">
        <v>47</v>
      </c>
      <c r="CQ133">
        <v>67306.808612108347</v>
      </c>
      <c r="CR133" t="s">
        <v>82</v>
      </c>
      <c r="CS133">
        <v>47</v>
      </c>
      <c r="CT133">
        <v>133.97268417556779</v>
      </c>
      <c r="CU133" s="82">
        <f t="shared" si="36"/>
        <v>-0.22075323786188505</v>
      </c>
      <c r="CV133">
        <v>47</v>
      </c>
      <c r="CW133">
        <v>67293.120975356782</v>
      </c>
      <c r="CX133" t="s">
        <v>82</v>
      </c>
      <c r="CY133">
        <v>47</v>
      </c>
      <c r="CZ133">
        <v>133.13981102059486</v>
      </c>
      <c r="DA133" s="82">
        <f t="shared" si="37"/>
        <v>-0.21509328353548085</v>
      </c>
      <c r="DB133">
        <v>47</v>
      </c>
      <c r="DC133">
        <v>67306.757758611027</v>
      </c>
      <c r="DD133" t="s">
        <v>82</v>
      </c>
      <c r="DG133" s="82">
        <f t="shared" si="38"/>
        <v>0</v>
      </c>
      <c r="DM133" s="82">
        <f t="shared" si="39"/>
        <v>0</v>
      </c>
    </row>
    <row r="134" spans="1:117" x14ac:dyDescent="0.2">
      <c r="A134">
        <v>49</v>
      </c>
      <c r="B134">
        <v>148.22655614161707</v>
      </c>
      <c r="C134" s="82">
        <f t="shared" ref="C134:C197" si="40">B134-B133</f>
        <v>-0.17107646734430659</v>
      </c>
      <c r="D134">
        <v>49</v>
      </c>
      <c r="E134">
        <v>49111.342301873643</v>
      </c>
      <c r="F134" t="s">
        <v>82</v>
      </c>
      <c r="G134">
        <v>49</v>
      </c>
      <c r="H134">
        <v>147.382383917997</v>
      </c>
      <c r="I134" s="82">
        <f t="shared" ref="I134:I197" si="41">H134-H133</f>
        <v>-0.18038088578239808</v>
      </c>
      <c r="J134">
        <v>49</v>
      </c>
      <c r="K134">
        <v>51065.50972006654</v>
      </c>
      <c r="L134" t="s">
        <v>82</v>
      </c>
      <c r="M134">
        <v>49</v>
      </c>
      <c r="N134">
        <v>146.52666679242711</v>
      </c>
      <c r="O134" s="82">
        <f t="shared" ref="O134:O197" si="42">N134-N133</f>
        <v>-0.18902504565562595</v>
      </c>
      <c r="P134">
        <v>49</v>
      </c>
      <c r="Q134">
        <v>52924.364089299503</v>
      </c>
      <c r="R134" t="s">
        <v>82</v>
      </c>
      <c r="S134">
        <v>49</v>
      </c>
      <c r="T134">
        <v>145.65900347642463</v>
      </c>
      <c r="U134" s="82">
        <f t="shared" ref="U134:U197" si="43">T134-T133</f>
        <v>-0.19718258263284838</v>
      </c>
      <c r="V134">
        <v>49</v>
      </c>
      <c r="W134">
        <v>54719.095215956571</v>
      </c>
      <c r="X134" t="s">
        <v>82</v>
      </c>
      <c r="Y134">
        <v>49</v>
      </c>
      <c r="Z134">
        <v>144.77949808673023</v>
      </c>
      <c r="AA134" s="82">
        <f t="shared" ref="AA134:AA197" si="44">Z134-Z133</f>
        <v>-0.2046675207946862</v>
      </c>
      <c r="AB134">
        <v>49</v>
      </c>
      <c r="AC134">
        <v>56421.166250906077</v>
      </c>
      <c r="AD134" t="s">
        <v>82</v>
      </c>
      <c r="AE134">
        <v>49</v>
      </c>
      <c r="AF134">
        <v>143.88842850108614</v>
      </c>
      <c r="AG134" s="82">
        <f t="shared" ref="AG134:AG197" si="45">AF134-AF133</f>
        <v>-0.21140094097526685</v>
      </c>
      <c r="AH134">
        <v>49</v>
      </c>
      <c r="AI134">
        <v>58020.035771603449</v>
      </c>
      <c r="AJ134" t="s">
        <v>82</v>
      </c>
      <c r="AK134">
        <v>49</v>
      </c>
      <c r="AL134">
        <v>142.98573937150792</v>
      </c>
      <c r="AM134" s="82">
        <f t="shared" ref="AM134:AM197" si="46">AL134-AL133</f>
        <v>-0.21736033498396523</v>
      </c>
      <c r="AN134">
        <v>49</v>
      </c>
      <c r="AO134">
        <v>59515.136593016068</v>
      </c>
      <c r="AP134" t="s">
        <v>82</v>
      </c>
      <c r="AQ134">
        <v>49</v>
      </c>
      <c r="AR134">
        <v>142.07023252033949</v>
      </c>
      <c r="AS134" s="82">
        <f t="shared" ref="AS134:AS197" si="47">AR134-AR133</f>
        <v>-0.22285671814231023</v>
      </c>
      <c r="AT134">
        <v>49</v>
      </c>
      <c r="AU134">
        <v>60961.992802063287</v>
      </c>
      <c r="AV134" t="s">
        <v>82</v>
      </c>
      <c r="AW134">
        <v>49</v>
      </c>
      <c r="AX134">
        <v>141.14276440378248</v>
      </c>
      <c r="AY134" s="82">
        <f t="shared" ref="AY134:AY197" si="48">AX134-AX133</f>
        <v>-0.22757729311805974</v>
      </c>
      <c r="AZ134">
        <v>49</v>
      </c>
      <c r="BA134">
        <v>62312.286572273908</v>
      </c>
      <c r="BB134" t="s">
        <v>82</v>
      </c>
      <c r="BC134">
        <v>49</v>
      </c>
      <c r="BD134">
        <v>140.20329806850029</v>
      </c>
      <c r="BE134" s="82">
        <f t="shared" ref="BE134:BE197" si="49">BD134-BD133</f>
        <v>-0.23145835318058516</v>
      </c>
      <c r="BF134">
        <v>49</v>
      </c>
      <c r="BG134">
        <v>63560.080377761231</v>
      </c>
      <c r="BH134" t="s">
        <v>82</v>
      </c>
      <c r="BI134">
        <v>49</v>
      </c>
      <c r="BJ134">
        <v>139.2501859907758</v>
      </c>
      <c r="BK134" s="82">
        <f t="shared" ref="BK134:BK197" si="50">BJ134-BJ133</f>
        <v>-0.23499498971193589</v>
      </c>
      <c r="BL134">
        <v>49</v>
      </c>
      <c r="BM134">
        <v>64792.452181822446</v>
      </c>
      <c r="BN134" t="s">
        <v>82</v>
      </c>
      <c r="BO134">
        <v>49</v>
      </c>
      <c r="BP134">
        <v>138.28329377891194</v>
      </c>
      <c r="BQ134" s="82">
        <f t="shared" ref="BQ134:BQ197" si="51">BP134-BP133</f>
        <v>-0.23805752431610472</v>
      </c>
      <c r="BR134">
        <v>49</v>
      </c>
      <c r="BS134">
        <v>65993.712191201266</v>
      </c>
      <c r="BT134" t="s">
        <v>82</v>
      </c>
      <c r="BU134">
        <v>49</v>
      </c>
      <c r="BV134">
        <v>137.30921013434343</v>
      </c>
      <c r="BW134" s="82">
        <f t="shared" ref="BW134:BW197" si="52">BV134-BV133</f>
        <v>-0.23983684490647761</v>
      </c>
      <c r="BX134">
        <v>49</v>
      </c>
      <c r="BY134">
        <v>67033.686566840915</v>
      </c>
      <c r="BZ134" t="s">
        <v>82</v>
      </c>
      <c r="CA134">
        <v>49</v>
      </c>
      <c r="CB134">
        <v>136.36710467827677</v>
      </c>
      <c r="CC134" s="82">
        <f t="shared" ref="CC134:CC197" si="53">CB134-CB133</f>
        <v>-0.23701777425796422</v>
      </c>
      <c r="CD134">
        <v>49</v>
      </c>
      <c r="CE134">
        <v>67353.809051040633</v>
      </c>
      <c r="CF134" t="s">
        <v>82</v>
      </c>
      <c r="CG134">
        <v>49</v>
      </c>
      <c r="CH134">
        <v>135.4602576172847</v>
      </c>
      <c r="CI134" s="82">
        <f t="shared" ref="CI134:CI197" si="54">CH134-CH133</f>
        <v>-0.23234124535346723</v>
      </c>
      <c r="CJ134">
        <v>49</v>
      </c>
      <c r="CK134">
        <v>67403.373585815527</v>
      </c>
      <c r="CL134" t="s">
        <v>82</v>
      </c>
      <c r="CM134">
        <v>49</v>
      </c>
      <c r="CN134">
        <v>134.58859556438495</v>
      </c>
      <c r="CO134" s="82">
        <f t="shared" ref="CO134:CO197" si="55">CN134-CN133</f>
        <v>-0.22692832305841648</v>
      </c>
      <c r="CP134">
        <v>49</v>
      </c>
      <c r="CQ134">
        <v>67366.545732262806</v>
      </c>
      <c r="CR134" t="s">
        <v>82</v>
      </c>
      <c r="CS134">
        <v>49</v>
      </c>
      <c r="CT134">
        <v>133.75143006517081</v>
      </c>
      <c r="CU134" s="82">
        <f t="shared" ref="CU134:CU197" si="56">CT134-CT133</f>
        <v>-0.22125411039698406</v>
      </c>
      <c r="CV134">
        <v>49</v>
      </c>
      <c r="CW134">
        <v>67321.47229656011</v>
      </c>
      <c r="CX134" t="s">
        <v>82</v>
      </c>
      <c r="CY134">
        <v>49</v>
      </c>
      <c r="CZ134">
        <v>132.9243735038489</v>
      </c>
      <c r="DA134" s="82">
        <f t="shared" ref="DA134:DA197" si="57">CZ134-CZ133</f>
        <v>-0.21543751674596479</v>
      </c>
      <c r="DB134">
        <v>49</v>
      </c>
      <c r="DC134">
        <v>67308.481969845147</v>
      </c>
      <c r="DD134" t="s">
        <v>82</v>
      </c>
      <c r="DG134" s="82">
        <f t="shared" ref="DG134:DG197" si="58">DF134-DF133</f>
        <v>0</v>
      </c>
      <c r="DM134" s="82">
        <f t="shared" ref="DM134:DM197" si="59">DL134-DL133</f>
        <v>0</v>
      </c>
    </row>
    <row r="135" spans="1:117" x14ac:dyDescent="0.2">
      <c r="A135">
        <v>51</v>
      </c>
      <c r="B135">
        <v>148.0262223414019</v>
      </c>
      <c r="C135" s="82">
        <f t="shared" si="40"/>
        <v>-0.20033380021516223</v>
      </c>
      <c r="D135">
        <v>51</v>
      </c>
      <c r="E135">
        <v>53939.577385995071</v>
      </c>
      <c r="F135" t="s">
        <v>82</v>
      </c>
      <c r="G135">
        <v>51</v>
      </c>
      <c r="H135">
        <v>147.17502570681415</v>
      </c>
      <c r="I135" s="82">
        <f t="shared" si="41"/>
        <v>-0.20735821118285003</v>
      </c>
      <c r="J135">
        <v>51</v>
      </c>
      <c r="K135">
        <v>55507.090013736524</v>
      </c>
      <c r="L135" t="s">
        <v>82</v>
      </c>
      <c r="M135">
        <v>51</v>
      </c>
      <c r="N135">
        <v>146.31293407501391</v>
      </c>
      <c r="O135" s="82">
        <f t="shared" si="42"/>
        <v>-0.213732717413194</v>
      </c>
      <c r="P135">
        <v>51</v>
      </c>
      <c r="Q135">
        <v>56981.827020882178</v>
      </c>
      <c r="R135" t="s">
        <v>82</v>
      </c>
      <c r="S135">
        <v>51</v>
      </c>
      <c r="T135">
        <v>145.4394117305356</v>
      </c>
      <c r="U135" s="82">
        <f t="shared" si="43"/>
        <v>-0.21959174588903352</v>
      </c>
      <c r="V135">
        <v>51</v>
      </c>
      <c r="W135">
        <v>58388.590275936818</v>
      </c>
      <c r="X135" t="s">
        <v>82</v>
      </c>
      <c r="Y135">
        <v>51</v>
      </c>
      <c r="Z135">
        <v>144.55470725868364</v>
      </c>
      <c r="AA135" s="82">
        <f t="shared" si="44"/>
        <v>-0.22479082804659356</v>
      </c>
      <c r="AB135">
        <v>51</v>
      </c>
      <c r="AC135">
        <v>59705.773648992967</v>
      </c>
      <c r="AD135" t="s">
        <v>82</v>
      </c>
      <c r="AE135">
        <v>51</v>
      </c>
      <c r="AF135">
        <v>143.65915744592621</v>
      </c>
      <c r="AG135" s="82">
        <f t="shared" si="45"/>
        <v>-0.22927105515992707</v>
      </c>
      <c r="AH135">
        <v>51</v>
      </c>
      <c r="AI135">
        <v>60926.201532618819</v>
      </c>
      <c r="AJ135" t="s">
        <v>82</v>
      </c>
      <c r="AK135">
        <v>51</v>
      </c>
      <c r="AL135">
        <v>142.75272217282617</v>
      </c>
      <c r="AM135" s="82">
        <f t="shared" si="46"/>
        <v>-0.23301719868175041</v>
      </c>
      <c r="AN135">
        <v>51</v>
      </c>
      <c r="AO135">
        <v>62050.560064689402</v>
      </c>
      <c r="AP135" t="s">
        <v>82</v>
      </c>
      <c r="AQ135">
        <v>51</v>
      </c>
      <c r="AR135">
        <v>141.83396670700461</v>
      </c>
      <c r="AS135" s="82">
        <f t="shared" si="47"/>
        <v>-0.23626581333488161</v>
      </c>
      <c r="AT135">
        <v>51</v>
      </c>
      <c r="AU135">
        <v>63122.251409807417</v>
      </c>
      <c r="AV135" t="s">
        <v>82</v>
      </c>
      <c r="AW135">
        <v>51</v>
      </c>
      <c r="AX135">
        <v>140.90398304954834</v>
      </c>
      <c r="AY135" s="82">
        <f t="shared" si="48"/>
        <v>-0.23878135423413482</v>
      </c>
      <c r="AZ135">
        <v>51</v>
      </c>
      <c r="BA135">
        <v>64105.703560928829</v>
      </c>
      <c r="BB135" t="s">
        <v>82</v>
      </c>
      <c r="BC135">
        <v>51</v>
      </c>
      <c r="BD135">
        <v>139.96277921566158</v>
      </c>
      <c r="BE135" s="82">
        <f t="shared" si="49"/>
        <v>-0.24051885283870433</v>
      </c>
      <c r="BF135">
        <v>51</v>
      </c>
      <c r="BG135">
        <v>64998.090859720389</v>
      </c>
      <c r="BH135" t="s">
        <v>82</v>
      </c>
      <c r="BI135">
        <v>51</v>
      </c>
      <c r="BJ135">
        <v>139.0083359295642</v>
      </c>
      <c r="BK135" s="82">
        <f t="shared" si="50"/>
        <v>-0.24185006121160768</v>
      </c>
      <c r="BL135">
        <v>51</v>
      </c>
      <c r="BM135">
        <v>65866.508893278529</v>
      </c>
      <c r="BN135" t="s">
        <v>82</v>
      </c>
      <c r="BO135">
        <v>51</v>
      </c>
      <c r="BP135">
        <v>138.04061768518758</v>
      </c>
      <c r="BQ135" s="82">
        <f t="shared" si="51"/>
        <v>-0.24267609372435572</v>
      </c>
      <c r="BR135">
        <v>51</v>
      </c>
      <c r="BS135">
        <v>66700.451994412942</v>
      </c>
      <c r="BT135" t="s">
        <v>82</v>
      </c>
      <c r="BU135">
        <v>51</v>
      </c>
      <c r="BV135">
        <v>137.06680049679062</v>
      </c>
      <c r="BW135" s="82">
        <f t="shared" si="52"/>
        <v>-0.24240963755281086</v>
      </c>
      <c r="BX135">
        <v>51</v>
      </c>
      <c r="BY135">
        <v>67405.765618953039</v>
      </c>
      <c r="BZ135" t="s">
        <v>82</v>
      </c>
      <c r="CA135">
        <v>51</v>
      </c>
      <c r="CB135">
        <v>136.12841720578362</v>
      </c>
      <c r="CC135" s="82">
        <f t="shared" si="53"/>
        <v>-0.23868747249315447</v>
      </c>
      <c r="CD135">
        <v>51</v>
      </c>
      <c r="CE135">
        <v>67577.181573733556</v>
      </c>
      <c r="CF135" t="s">
        <v>82</v>
      </c>
      <c r="CG135">
        <v>51</v>
      </c>
      <c r="CH135">
        <v>135.22668219242104</v>
      </c>
      <c r="CI135" s="82">
        <f t="shared" si="54"/>
        <v>-0.23357542486365901</v>
      </c>
      <c r="CJ135">
        <v>51</v>
      </c>
      <c r="CK135">
        <v>67554.097135006436</v>
      </c>
      <c r="CL135" t="s">
        <v>82</v>
      </c>
      <c r="CM135">
        <v>51</v>
      </c>
      <c r="CN135">
        <v>134.36067728509138</v>
      </c>
      <c r="CO135" s="82">
        <f t="shared" si="55"/>
        <v>-0.22791827929356145</v>
      </c>
      <c r="CP135">
        <v>51</v>
      </c>
      <c r="CQ135">
        <v>67475.812362602592</v>
      </c>
      <c r="CR135" t="s">
        <v>82</v>
      </c>
      <c r="CS135">
        <v>51</v>
      </c>
      <c r="CT135">
        <v>133.52935368456895</v>
      </c>
      <c r="CU135" s="82">
        <f t="shared" si="56"/>
        <v>-0.22207638060186241</v>
      </c>
      <c r="CV135">
        <v>51</v>
      </c>
      <c r="CW135">
        <v>67401.885278605434</v>
      </c>
      <c r="CX135" t="s">
        <v>82</v>
      </c>
      <c r="CY135">
        <v>51</v>
      </c>
      <c r="CZ135">
        <v>132.7082583491642</v>
      </c>
      <c r="DA135" s="82">
        <f t="shared" si="57"/>
        <v>-0.21611515468470088</v>
      </c>
      <c r="DB135">
        <v>51</v>
      </c>
      <c r="DC135">
        <v>67363.990899433862</v>
      </c>
      <c r="DD135" t="s">
        <v>82</v>
      </c>
      <c r="DG135" s="82">
        <f t="shared" si="58"/>
        <v>0</v>
      </c>
      <c r="DM135" s="82">
        <f t="shared" si="59"/>
        <v>0</v>
      </c>
    </row>
    <row r="136" spans="1:117" x14ac:dyDescent="0.2">
      <c r="A136">
        <v>53</v>
      </c>
      <c r="B136">
        <v>147.80202693022505</v>
      </c>
      <c r="C136" s="82">
        <f t="shared" si="40"/>
        <v>-0.22419541117685071</v>
      </c>
      <c r="D136">
        <v>53</v>
      </c>
      <c r="E136">
        <v>57879.615983884229</v>
      </c>
      <c r="F136" t="s">
        <v>82</v>
      </c>
      <c r="G136">
        <v>53</v>
      </c>
      <c r="H136">
        <v>146.94569201428618</v>
      </c>
      <c r="I136" s="82">
        <f t="shared" si="41"/>
        <v>-0.2293336925279732</v>
      </c>
      <c r="J136">
        <v>53</v>
      </c>
      <c r="K136">
        <v>59126.482828322514</v>
      </c>
      <c r="L136" t="s">
        <v>82</v>
      </c>
      <c r="M136">
        <v>53</v>
      </c>
      <c r="N136">
        <v>146.07909537653316</v>
      </c>
      <c r="O136" s="82">
        <f t="shared" si="42"/>
        <v>-0.23383869848075278</v>
      </c>
      <c r="P136">
        <v>53</v>
      </c>
      <c r="Q136">
        <v>60284.025549690799</v>
      </c>
      <c r="R136" t="s">
        <v>82</v>
      </c>
      <c r="S136">
        <v>53</v>
      </c>
      <c r="T136">
        <v>145.20159634595791</v>
      </c>
      <c r="U136" s="82">
        <f t="shared" si="43"/>
        <v>-0.23781538457768647</v>
      </c>
      <c r="V136">
        <v>53</v>
      </c>
      <c r="W136">
        <v>61372.242028631503</v>
      </c>
      <c r="X136" t="s">
        <v>82</v>
      </c>
      <c r="Y136">
        <v>53</v>
      </c>
      <c r="Z136">
        <v>144.31355504801783</v>
      </c>
      <c r="AA136" s="82">
        <f t="shared" si="44"/>
        <v>-0.24115221066580261</v>
      </c>
      <c r="AB136">
        <v>53</v>
      </c>
      <c r="AC136">
        <v>62375.022982505223</v>
      </c>
      <c r="AD136" t="s">
        <v>82</v>
      </c>
      <c r="AE136">
        <v>53</v>
      </c>
      <c r="AF136">
        <v>143.41535104994162</v>
      </c>
      <c r="AG136" s="82">
        <f t="shared" si="45"/>
        <v>-0.24380639598459197</v>
      </c>
      <c r="AH136">
        <v>53</v>
      </c>
      <c r="AI136">
        <v>63287.901342475176</v>
      </c>
      <c r="AJ136" t="s">
        <v>82</v>
      </c>
      <c r="AK136">
        <v>53</v>
      </c>
      <c r="AL136">
        <v>142.50695329922391</v>
      </c>
      <c r="AM136" s="82">
        <f t="shared" si="46"/>
        <v>-0.24576887360225896</v>
      </c>
      <c r="AN136">
        <v>53</v>
      </c>
      <c r="AO136">
        <v>64112.6153713944</v>
      </c>
      <c r="AP136" t="s">
        <v>82</v>
      </c>
      <c r="AQ136">
        <v>53</v>
      </c>
      <c r="AR136">
        <v>141.58674631866504</v>
      </c>
      <c r="AS136" s="82">
        <f t="shared" si="47"/>
        <v>-0.24722038833957072</v>
      </c>
      <c r="AT136">
        <v>53</v>
      </c>
      <c r="AU136">
        <v>64883.471895229894</v>
      </c>
      <c r="AV136" t="s">
        <v>82</v>
      </c>
      <c r="AW136">
        <v>53</v>
      </c>
      <c r="AX136">
        <v>140.65599797277568</v>
      </c>
      <c r="AY136" s="82">
        <f t="shared" si="48"/>
        <v>-0.24798507677266457</v>
      </c>
      <c r="AZ136">
        <v>53</v>
      </c>
      <c r="BA136">
        <v>65574.742632497713</v>
      </c>
      <c r="BB136" t="s">
        <v>82</v>
      </c>
      <c r="BC136">
        <v>53</v>
      </c>
      <c r="BD136">
        <v>139.71474656495624</v>
      </c>
      <c r="BE136" s="82">
        <f t="shared" si="49"/>
        <v>-0.24803265070534053</v>
      </c>
      <c r="BF136">
        <v>53</v>
      </c>
      <c r="BG136">
        <v>66186.030322514795</v>
      </c>
      <c r="BH136" t="s">
        <v>82</v>
      </c>
      <c r="BI136">
        <v>53</v>
      </c>
      <c r="BJ136">
        <v>138.7606924476749</v>
      </c>
      <c r="BK136" s="82">
        <f t="shared" si="50"/>
        <v>-0.2476434818892983</v>
      </c>
      <c r="BL136">
        <v>53</v>
      </c>
      <c r="BM136">
        <v>66769.610044350236</v>
      </c>
      <c r="BN136" t="s">
        <v>82</v>
      </c>
      <c r="BO136">
        <v>53</v>
      </c>
      <c r="BP136">
        <v>137.79387410681673</v>
      </c>
      <c r="BQ136" s="82">
        <f t="shared" si="51"/>
        <v>-0.24674357837085381</v>
      </c>
      <c r="BR136">
        <v>53</v>
      </c>
      <c r="BS136">
        <v>67319.144628315873</v>
      </c>
      <c r="BT136" t="s">
        <v>82</v>
      </c>
      <c r="BU136">
        <v>53</v>
      </c>
      <c r="BV136">
        <v>136.82188959729297</v>
      </c>
      <c r="BW136" s="82">
        <f t="shared" si="52"/>
        <v>-0.2449108994976541</v>
      </c>
      <c r="BX136">
        <v>53</v>
      </c>
      <c r="BY136">
        <v>67767.316807621959</v>
      </c>
      <c r="BZ136" t="s">
        <v>82</v>
      </c>
      <c r="CA136">
        <v>53</v>
      </c>
      <c r="CB136">
        <v>135.88793932434703</v>
      </c>
      <c r="CC136" s="82">
        <f t="shared" si="53"/>
        <v>-0.24047788143658977</v>
      </c>
      <c r="CD136">
        <v>53</v>
      </c>
      <c r="CE136">
        <v>67820.918453447914</v>
      </c>
      <c r="CF136" t="s">
        <v>82</v>
      </c>
      <c r="CG136">
        <v>53</v>
      </c>
      <c r="CH136">
        <v>134.99167730147886</v>
      </c>
      <c r="CI136" s="82">
        <f t="shared" si="54"/>
        <v>-0.23500489094217869</v>
      </c>
      <c r="CJ136">
        <v>53</v>
      </c>
      <c r="CK136">
        <v>67737.036662744853</v>
      </c>
      <c r="CL136" t="s">
        <v>82</v>
      </c>
      <c r="CM136">
        <v>53</v>
      </c>
      <c r="CN136">
        <v>134.13154626272896</v>
      </c>
      <c r="CO136" s="82">
        <f t="shared" si="55"/>
        <v>-0.22913102236242366</v>
      </c>
      <c r="CP136">
        <v>53</v>
      </c>
      <c r="CQ136">
        <v>67621.553820667861</v>
      </c>
      <c r="CR136" t="s">
        <v>82</v>
      </c>
      <c r="CS136">
        <v>53</v>
      </c>
      <c r="CT136">
        <v>133.3062219913617</v>
      </c>
      <c r="CU136" s="82">
        <f t="shared" si="56"/>
        <v>-0.22313169320725024</v>
      </c>
      <c r="CV136">
        <v>53</v>
      </c>
      <c r="CW136">
        <v>67520.261267914888</v>
      </c>
      <c r="CX136" t="s">
        <v>82</v>
      </c>
      <c r="CY136">
        <v>53</v>
      </c>
      <c r="CZ136">
        <v>132.49122594374006</v>
      </c>
      <c r="DA136" s="82">
        <f t="shared" si="57"/>
        <v>-0.21703240542413482</v>
      </c>
      <c r="DB136">
        <v>53</v>
      </c>
      <c r="DC136">
        <v>67458.357824611056</v>
      </c>
      <c r="DD136" t="s">
        <v>82</v>
      </c>
      <c r="DG136" s="82">
        <f t="shared" si="58"/>
        <v>0</v>
      </c>
      <c r="DM136" s="82">
        <f t="shared" si="59"/>
        <v>0</v>
      </c>
    </row>
    <row r="137" spans="1:117" x14ac:dyDescent="0.2">
      <c r="A137">
        <v>55</v>
      </c>
      <c r="B137">
        <v>147.55812062616982</v>
      </c>
      <c r="C137" s="82">
        <f t="shared" si="40"/>
        <v>-0.24390630405522984</v>
      </c>
      <c r="D137">
        <v>55</v>
      </c>
      <c r="E137">
        <v>61136.79200692811</v>
      </c>
      <c r="F137" t="s">
        <v>82</v>
      </c>
      <c r="G137">
        <v>55</v>
      </c>
      <c r="H137">
        <v>146.69821818347876</v>
      </c>
      <c r="I137" s="82">
        <f t="shared" si="41"/>
        <v>-0.24747383080742225</v>
      </c>
      <c r="J137">
        <v>55</v>
      </c>
      <c r="K137">
        <v>62115.812102293901</v>
      </c>
      <c r="L137" t="s">
        <v>82</v>
      </c>
      <c r="M137">
        <v>55</v>
      </c>
      <c r="N137">
        <v>145.82866718780716</v>
      </c>
      <c r="O137" s="82">
        <f t="shared" si="42"/>
        <v>-0.25042818872600492</v>
      </c>
      <c r="P137">
        <v>55</v>
      </c>
      <c r="Q137">
        <v>63009.434919709252</v>
      </c>
      <c r="R137" t="s">
        <v>82</v>
      </c>
      <c r="S137">
        <v>55</v>
      </c>
      <c r="T137">
        <v>144.94874418380084</v>
      </c>
      <c r="U137" s="82">
        <f t="shared" si="43"/>
        <v>-0.25285216215706896</v>
      </c>
      <c r="V137">
        <v>55</v>
      </c>
      <c r="W137">
        <v>63834.043158445485</v>
      </c>
      <c r="X137" t="s">
        <v>82</v>
      </c>
      <c r="Y137">
        <v>55</v>
      </c>
      <c r="Z137">
        <v>144.05889472363489</v>
      </c>
      <c r="AA137" s="82">
        <f t="shared" si="44"/>
        <v>-0.25466032438293951</v>
      </c>
      <c r="AB137">
        <v>55</v>
      </c>
      <c r="AC137">
        <v>64577.886524169095</v>
      </c>
      <c r="AD137" t="s">
        <v>82</v>
      </c>
      <c r="AE137">
        <v>55</v>
      </c>
      <c r="AF137">
        <v>143.15952819370438</v>
      </c>
      <c r="AG137" s="82">
        <f t="shared" si="45"/>
        <v>-0.25582285623724488</v>
      </c>
      <c r="AH137">
        <v>55</v>
      </c>
      <c r="AI137">
        <v>65238.672562185944</v>
      </c>
      <c r="AJ137" t="s">
        <v>82</v>
      </c>
      <c r="AK137">
        <v>55</v>
      </c>
      <c r="AL137">
        <v>142.25061748164075</v>
      </c>
      <c r="AM137" s="82">
        <f t="shared" si="46"/>
        <v>-0.25633581758316382</v>
      </c>
      <c r="AN137">
        <v>55</v>
      </c>
      <c r="AO137">
        <v>65819.009706433586</v>
      </c>
      <c r="AP137" t="s">
        <v>82</v>
      </c>
      <c r="AQ137">
        <v>55</v>
      </c>
      <c r="AR137">
        <v>141.33040830712551</v>
      </c>
      <c r="AS137" s="82">
        <f t="shared" si="47"/>
        <v>-0.25633801153952618</v>
      </c>
      <c r="AT137">
        <v>55</v>
      </c>
      <c r="AU137">
        <v>66346.361948350386</v>
      </c>
      <c r="AV137" t="s">
        <v>82</v>
      </c>
      <c r="AW137">
        <v>55</v>
      </c>
      <c r="AX137">
        <v>140.40029831600353</v>
      </c>
      <c r="AY137" s="82">
        <f t="shared" si="48"/>
        <v>-0.25569965677215123</v>
      </c>
      <c r="AZ137">
        <v>55</v>
      </c>
      <c r="BA137">
        <v>66802.600330268921</v>
      </c>
      <c r="BB137" t="s">
        <v>82</v>
      </c>
      <c r="BC137">
        <v>55</v>
      </c>
      <c r="BD137">
        <v>139.46034469941378</v>
      </c>
      <c r="BE137" s="82">
        <f t="shared" si="49"/>
        <v>-0.25440186554246225</v>
      </c>
      <c r="BF137">
        <v>55</v>
      </c>
      <c r="BG137">
        <v>67189.206943270285</v>
      </c>
      <c r="BH137" t="s">
        <v>82</v>
      </c>
      <c r="BI137">
        <v>55</v>
      </c>
      <c r="BJ137">
        <v>138.50803532636408</v>
      </c>
      <c r="BK137" s="82">
        <f t="shared" si="50"/>
        <v>-0.25265712131081841</v>
      </c>
      <c r="BL137">
        <v>55</v>
      </c>
      <c r="BM137">
        <v>67547.434099184087</v>
      </c>
      <c r="BN137" t="s">
        <v>82</v>
      </c>
      <c r="BO137">
        <v>55</v>
      </c>
      <c r="BP137">
        <v>137.54346278985585</v>
      </c>
      <c r="BQ137" s="82">
        <f t="shared" si="51"/>
        <v>-0.25041131696087859</v>
      </c>
      <c r="BR137">
        <v>55</v>
      </c>
      <c r="BS137">
        <v>67874.259948715349</v>
      </c>
      <c r="BT137" t="s">
        <v>82</v>
      </c>
      <c r="BU137">
        <v>55</v>
      </c>
      <c r="BV137">
        <v>136.57452401566465</v>
      </c>
      <c r="BW137" s="82">
        <f t="shared" si="52"/>
        <v>-0.24736558162831557</v>
      </c>
      <c r="BX137">
        <v>55</v>
      </c>
      <c r="BY137">
        <v>68122.367981282092</v>
      </c>
      <c r="BZ137" t="s">
        <v>82</v>
      </c>
      <c r="CA137">
        <v>55</v>
      </c>
      <c r="CB137">
        <v>135.64557798079053</v>
      </c>
      <c r="CC137" s="82">
        <f t="shared" si="53"/>
        <v>-0.24236134355649597</v>
      </c>
      <c r="CD137">
        <v>55</v>
      </c>
      <c r="CE137">
        <v>68080.574181516495</v>
      </c>
      <c r="CF137" t="s">
        <v>82</v>
      </c>
      <c r="CG137">
        <v>55</v>
      </c>
      <c r="CH137">
        <v>134.75509711203335</v>
      </c>
      <c r="CI137" s="82">
        <f t="shared" si="54"/>
        <v>-0.23658018944550463</v>
      </c>
      <c r="CJ137">
        <v>55</v>
      </c>
      <c r="CK137">
        <v>67944.259825595727</v>
      </c>
      <c r="CL137" t="s">
        <v>82</v>
      </c>
      <c r="CM137">
        <v>55</v>
      </c>
      <c r="CN137">
        <v>133.90103836132414</v>
      </c>
      <c r="CO137" s="82">
        <f t="shared" si="55"/>
        <v>-0.23050790140482036</v>
      </c>
      <c r="CP137">
        <v>55</v>
      </c>
      <c r="CQ137">
        <v>67794.385598328154</v>
      </c>
      <c r="CR137" t="s">
        <v>82</v>
      </c>
      <c r="CS137">
        <v>55</v>
      </c>
      <c r="CT137">
        <v>133.08186505620503</v>
      </c>
      <c r="CU137" s="82">
        <f t="shared" si="56"/>
        <v>-0.22435693515666344</v>
      </c>
      <c r="CV137">
        <v>55</v>
      </c>
      <c r="CW137">
        <v>67666.527317499669</v>
      </c>
      <c r="CX137" t="s">
        <v>82</v>
      </c>
      <c r="CY137">
        <v>55</v>
      </c>
      <c r="CZ137">
        <v>132.2731032443393</v>
      </c>
      <c r="DA137" s="82">
        <f t="shared" si="57"/>
        <v>-0.2181226994007659</v>
      </c>
      <c r="DB137">
        <v>55</v>
      </c>
      <c r="DC137">
        <v>67580.986125309864</v>
      </c>
      <c r="DD137" t="s">
        <v>82</v>
      </c>
      <c r="DG137" s="82">
        <f t="shared" si="58"/>
        <v>0</v>
      </c>
      <c r="DM137" s="82">
        <f t="shared" si="59"/>
        <v>0</v>
      </c>
    </row>
    <row r="138" spans="1:117" x14ac:dyDescent="0.2">
      <c r="A138">
        <v>57</v>
      </c>
      <c r="B138">
        <v>147.29769314287407</v>
      </c>
      <c r="C138" s="82">
        <f t="shared" si="40"/>
        <v>-0.26042748329575716</v>
      </c>
      <c r="D138">
        <v>57</v>
      </c>
      <c r="E138">
        <v>63869.690657243998</v>
      </c>
      <c r="F138" t="s">
        <v>82</v>
      </c>
      <c r="G138">
        <v>57</v>
      </c>
      <c r="H138">
        <v>146.43554208429981</v>
      </c>
      <c r="I138" s="82">
        <f t="shared" si="41"/>
        <v>-0.26267609917894674</v>
      </c>
      <c r="J138">
        <v>57</v>
      </c>
      <c r="K138">
        <v>64622.971084199897</v>
      </c>
      <c r="L138" t="s">
        <v>82</v>
      </c>
      <c r="M138">
        <v>57</v>
      </c>
      <c r="N138">
        <v>145.56433393262427</v>
      </c>
      <c r="O138" s="82">
        <f t="shared" si="42"/>
        <v>-0.26433325518289053</v>
      </c>
      <c r="P138">
        <v>57</v>
      </c>
      <c r="Q138">
        <v>65294.967645430981</v>
      </c>
      <c r="R138" t="s">
        <v>82</v>
      </c>
      <c r="S138">
        <v>57</v>
      </c>
      <c r="T138">
        <v>144.68327913930364</v>
      </c>
      <c r="U138" s="82">
        <f t="shared" si="43"/>
        <v>-0.26546504449720487</v>
      </c>
      <c r="V138">
        <v>57</v>
      </c>
      <c r="W138">
        <v>65899.340989848642</v>
      </c>
      <c r="X138" t="s">
        <v>82</v>
      </c>
      <c r="Y138">
        <v>57</v>
      </c>
      <c r="Z138">
        <v>143.79288797367383</v>
      </c>
      <c r="AA138" s="82">
        <f t="shared" si="44"/>
        <v>-0.26600674996106477</v>
      </c>
      <c r="AB138">
        <v>57</v>
      </c>
      <c r="AC138">
        <v>66427.798311763851</v>
      </c>
      <c r="AD138" t="s">
        <v>82</v>
      </c>
      <c r="AE138">
        <v>57</v>
      </c>
      <c r="AF138">
        <v>142.89358924324577</v>
      </c>
      <c r="AG138" s="82">
        <f t="shared" si="45"/>
        <v>-0.26593895045860449</v>
      </c>
      <c r="AH138">
        <v>57</v>
      </c>
      <c r="AI138">
        <v>66879.790835005246</v>
      </c>
      <c r="AJ138" t="s">
        <v>82</v>
      </c>
      <c r="AK138">
        <v>57</v>
      </c>
      <c r="AL138">
        <v>141.98535556440038</v>
      </c>
      <c r="AM138" s="82">
        <f t="shared" si="46"/>
        <v>-0.26526191724036607</v>
      </c>
      <c r="AN138">
        <v>57</v>
      </c>
      <c r="AO138">
        <v>67258.638677917566</v>
      </c>
      <c r="AP138" t="s">
        <v>82</v>
      </c>
      <c r="AQ138">
        <v>57</v>
      </c>
      <c r="AR138">
        <v>141.0663254638518</v>
      </c>
      <c r="AS138" s="82">
        <f t="shared" si="47"/>
        <v>-0.26408284327371234</v>
      </c>
      <c r="AT138">
        <v>57</v>
      </c>
      <c r="AU138">
        <v>67586.642522998474</v>
      </c>
      <c r="AV138" t="s">
        <v>82</v>
      </c>
      <c r="AW138">
        <v>57</v>
      </c>
      <c r="AX138">
        <v>140.13799079422262</v>
      </c>
      <c r="AY138" s="82">
        <f t="shared" si="48"/>
        <v>-0.26230752178091166</v>
      </c>
      <c r="AZ138">
        <v>57</v>
      </c>
      <c r="BA138">
        <v>67851.539832659691</v>
      </c>
      <c r="BB138" t="s">
        <v>82</v>
      </c>
      <c r="BC138">
        <v>57</v>
      </c>
      <c r="BD138">
        <v>139.20041884980722</v>
      </c>
      <c r="BE138" s="82">
        <f t="shared" si="49"/>
        <v>-0.25992584960656018</v>
      </c>
      <c r="BF138">
        <v>57</v>
      </c>
      <c r="BG138">
        <v>68056.256399653474</v>
      </c>
      <c r="BH138" t="s">
        <v>82</v>
      </c>
      <c r="BI138">
        <v>57</v>
      </c>
      <c r="BJ138">
        <v>138.25093559977901</v>
      </c>
      <c r="BK138" s="82">
        <f t="shared" si="50"/>
        <v>-0.25709972658506786</v>
      </c>
      <c r="BL138">
        <v>57</v>
      </c>
      <c r="BM138">
        <v>68233.821825805833</v>
      </c>
      <c r="BN138" t="s">
        <v>82</v>
      </c>
      <c r="BO138">
        <v>57</v>
      </c>
      <c r="BP138">
        <v>137.28967201441509</v>
      </c>
      <c r="BQ138" s="82">
        <f t="shared" si="51"/>
        <v>-0.25379077544076267</v>
      </c>
      <c r="BR138">
        <v>57</v>
      </c>
      <c r="BS138">
        <v>68383.827495949343</v>
      </c>
      <c r="BT138" t="s">
        <v>82</v>
      </c>
      <c r="BU138">
        <v>57</v>
      </c>
      <c r="BV138">
        <v>136.32473205394189</v>
      </c>
      <c r="BW138" s="82">
        <f t="shared" si="52"/>
        <v>-0.24979196172276374</v>
      </c>
      <c r="BX138">
        <v>57</v>
      </c>
      <c r="BY138">
        <v>68473.871588340684</v>
      </c>
      <c r="BZ138" t="s">
        <v>82</v>
      </c>
      <c r="CA138">
        <v>57</v>
      </c>
      <c r="CB138">
        <v>135.40126025015726</v>
      </c>
      <c r="CC138" s="82">
        <f t="shared" si="53"/>
        <v>-0.24431773063327</v>
      </c>
      <c r="CD138">
        <v>57</v>
      </c>
      <c r="CE138">
        <v>68352.913330895812</v>
      </c>
      <c r="CF138" t="s">
        <v>82</v>
      </c>
      <c r="CG138">
        <v>57</v>
      </c>
      <c r="CH138">
        <v>134.51683157515683</v>
      </c>
      <c r="CI138" s="82">
        <f t="shared" si="54"/>
        <v>-0.23826553687652563</v>
      </c>
      <c r="CJ138">
        <v>57</v>
      </c>
      <c r="CK138">
        <v>68170.026066471153</v>
      </c>
      <c r="CL138" t="s">
        <v>82</v>
      </c>
      <c r="CM138">
        <v>57</v>
      </c>
      <c r="CN138">
        <v>133.66903162823107</v>
      </c>
      <c r="CO138" s="82">
        <f t="shared" si="55"/>
        <v>-0.23200673309307263</v>
      </c>
      <c r="CP138">
        <v>57</v>
      </c>
      <c r="CQ138">
        <v>67987.556796305842</v>
      </c>
      <c r="CR138" t="s">
        <v>82</v>
      </c>
      <c r="CS138">
        <v>57</v>
      </c>
      <c r="CT138">
        <v>132.85615806394907</v>
      </c>
      <c r="CU138" s="82">
        <f t="shared" si="56"/>
        <v>-0.22570699225596513</v>
      </c>
      <c r="CV138">
        <v>57</v>
      </c>
      <c r="CW138">
        <v>67833.481670389971</v>
      </c>
      <c r="CX138" t="s">
        <v>82</v>
      </c>
      <c r="CY138">
        <v>57</v>
      </c>
      <c r="CZ138">
        <v>132.05376448869933</v>
      </c>
      <c r="DA138" s="82">
        <f t="shared" si="57"/>
        <v>-0.21933875563996708</v>
      </c>
      <c r="DB138">
        <v>57</v>
      </c>
      <c r="DC138">
        <v>67724.348013761759</v>
      </c>
      <c r="DD138" t="s">
        <v>82</v>
      </c>
      <c r="DG138" s="82">
        <f t="shared" si="58"/>
        <v>0</v>
      </c>
      <c r="DM138" s="82">
        <f t="shared" si="59"/>
        <v>0</v>
      </c>
    </row>
    <row r="139" spans="1:117" x14ac:dyDescent="0.2">
      <c r="A139">
        <v>59</v>
      </c>
      <c r="B139">
        <v>147.02319158450413</v>
      </c>
      <c r="C139" s="82">
        <f t="shared" si="40"/>
        <v>-0.27450155836993417</v>
      </c>
      <c r="D139">
        <v>59</v>
      </c>
      <c r="E139">
        <v>66200.925825317914</v>
      </c>
      <c r="F139" t="s">
        <v>82</v>
      </c>
      <c r="G139">
        <v>59</v>
      </c>
      <c r="H139">
        <v>146.1599103562238</v>
      </c>
      <c r="I139" s="82">
        <f t="shared" si="41"/>
        <v>-0.27563172807600722</v>
      </c>
      <c r="J139">
        <v>59</v>
      </c>
      <c r="K139">
        <v>66761.926669509849</v>
      </c>
      <c r="L139" t="s">
        <v>82</v>
      </c>
      <c r="M139">
        <v>59</v>
      </c>
      <c r="N139">
        <v>145.288141393616</v>
      </c>
      <c r="O139" s="82">
        <f t="shared" si="42"/>
        <v>-0.27619253900826379</v>
      </c>
      <c r="P139">
        <v>59</v>
      </c>
      <c r="Q139">
        <v>67245.761628366483</v>
      </c>
      <c r="R139" t="s">
        <v>82</v>
      </c>
      <c r="S139">
        <v>59</v>
      </c>
      <c r="T139">
        <v>144.40704162707448</v>
      </c>
      <c r="U139" s="82">
        <f t="shared" si="43"/>
        <v>-0.27623751222915871</v>
      </c>
      <c r="V139">
        <v>59</v>
      </c>
      <c r="W139">
        <v>67664.041083971519</v>
      </c>
      <c r="X139" t="s">
        <v>82</v>
      </c>
      <c r="Y139">
        <v>59</v>
      </c>
      <c r="Z139">
        <v>143.51716961144257</v>
      </c>
      <c r="AA139" s="82">
        <f t="shared" si="44"/>
        <v>-0.27571836223125956</v>
      </c>
      <c r="AB139">
        <v>59</v>
      </c>
      <c r="AC139">
        <v>68011.216527185039</v>
      </c>
      <c r="AD139" t="s">
        <v>82</v>
      </c>
      <c r="AE139">
        <v>59</v>
      </c>
      <c r="AF139">
        <v>142.61896523970051</v>
      </c>
      <c r="AG139" s="82">
        <f t="shared" si="45"/>
        <v>-0.27462400354525585</v>
      </c>
      <c r="AH139">
        <v>59</v>
      </c>
      <c r="AI139">
        <v>68288.137072781014</v>
      </c>
      <c r="AJ139" t="s">
        <v>82</v>
      </c>
      <c r="AK139">
        <v>59</v>
      </c>
      <c r="AL139">
        <v>141.71239743044478</v>
      </c>
      <c r="AM139" s="82">
        <f t="shared" si="46"/>
        <v>-0.27295813395559776</v>
      </c>
      <c r="AN139">
        <v>59</v>
      </c>
      <c r="AO139">
        <v>68498.700095597393</v>
      </c>
      <c r="AP139" t="s">
        <v>82</v>
      </c>
      <c r="AQ139">
        <v>59</v>
      </c>
      <c r="AR139">
        <v>140.79552141574473</v>
      </c>
      <c r="AS139" s="82">
        <f t="shared" si="47"/>
        <v>-0.27080404810706682</v>
      </c>
      <c r="AT139">
        <v>59</v>
      </c>
      <c r="AU139">
        <v>68661.297700901356</v>
      </c>
      <c r="AV139" t="s">
        <v>82</v>
      </c>
      <c r="AW139">
        <v>59</v>
      </c>
      <c r="AX139">
        <v>139.86989578609527</v>
      </c>
      <c r="AY139" s="82">
        <f t="shared" si="48"/>
        <v>-0.26809500812734655</v>
      </c>
      <c r="AZ139">
        <v>59</v>
      </c>
      <c r="BA139">
        <v>68768.197861057313</v>
      </c>
      <c r="BB139" t="s">
        <v>82</v>
      </c>
      <c r="BC139">
        <v>59</v>
      </c>
      <c r="BD139">
        <v>138.93559121718906</v>
      </c>
      <c r="BE139" s="82">
        <f t="shared" si="49"/>
        <v>-0.26482763261816444</v>
      </c>
      <c r="BF139">
        <v>59</v>
      </c>
      <c r="BG139">
        <v>68823.428001968539</v>
      </c>
      <c r="BH139" t="s">
        <v>82</v>
      </c>
      <c r="BI139">
        <v>59</v>
      </c>
      <c r="BJ139">
        <v>137.98980958738312</v>
      </c>
      <c r="BK139" s="82">
        <f t="shared" si="50"/>
        <v>-0.26112601239589139</v>
      </c>
      <c r="BL139">
        <v>59</v>
      </c>
      <c r="BM139">
        <v>68853.863988870551</v>
      </c>
      <c r="BN139" t="s">
        <v>82</v>
      </c>
      <c r="BO139">
        <v>59</v>
      </c>
      <c r="BP139">
        <v>137.0327079006212</v>
      </c>
      <c r="BQ139" s="82">
        <f t="shared" si="51"/>
        <v>-0.25696411379388451</v>
      </c>
      <c r="BR139">
        <v>59</v>
      </c>
      <c r="BS139">
        <v>68861.141804287254</v>
      </c>
      <c r="BT139" t="s">
        <v>82</v>
      </c>
      <c r="BU139">
        <v>59</v>
      </c>
      <c r="BV139">
        <v>136.07252861529196</v>
      </c>
      <c r="BW139" s="82">
        <f t="shared" si="52"/>
        <v>-0.25220343864992856</v>
      </c>
      <c r="BX139">
        <v>59</v>
      </c>
      <c r="BY139">
        <v>68823.993546780315</v>
      </c>
      <c r="BZ139" t="s">
        <v>82</v>
      </c>
      <c r="CA139">
        <v>59</v>
      </c>
      <c r="CB139">
        <v>135.15492786779961</v>
      </c>
      <c r="CC139" s="82">
        <f t="shared" si="53"/>
        <v>-0.2463323823576502</v>
      </c>
      <c r="CD139">
        <v>59</v>
      </c>
      <c r="CE139">
        <v>68635.579458858847</v>
      </c>
      <c r="CF139" t="s">
        <v>82</v>
      </c>
      <c r="CG139">
        <v>59</v>
      </c>
      <c r="CH139">
        <v>134.2767965539058</v>
      </c>
      <c r="CI139" s="82">
        <f t="shared" si="54"/>
        <v>-0.24003502125103182</v>
      </c>
      <c r="CJ139">
        <v>59</v>
      </c>
      <c r="CK139">
        <v>68410.177889132523</v>
      </c>
      <c r="CL139" t="s">
        <v>82</v>
      </c>
      <c r="CM139">
        <v>59</v>
      </c>
      <c r="CN139">
        <v>133.43543447365565</v>
      </c>
      <c r="CO139" s="82">
        <f t="shared" si="55"/>
        <v>-0.23359715457542052</v>
      </c>
      <c r="CP139">
        <v>59</v>
      </c>
      <c r="CQ139">
        <v>68196.207374117163</v>
      </c>
      <c r="CR139" t="s">
        <v>82</v>
      </c>
      <c r="CS139">
        <v>59</v>
      </c>
      <c r="CT139">
        <v>132.62900847239106</v>
      </c>
      <c r="CU139" s="82">
        <f t="shared" si="56"/>
        <v>-0.22714959155800329</v>
      </c>
      <c r="CV139">
        <v>59</v>
      </c>
      <c r="CW139">
        <v>68015.97148592044</v>
      </c>
      <c r="CX139" t="s">
        <v>82</v>
      </c>
      <c r="CY139">
        <v>59</v>
      </c>
      <c r="CZ139">
        <v>131.83311752096273</v>
      </c>
      <c r="DA139" s="82">
        <f t="shared" si="57"/>
        <v>-0.22064696773659875</v>
      </c>
      <c r="DB139">
        <v>59</v>
      </c>
      <c r="DC139">
        <v>67883.091827214725</v>
      </c>
      <c r="DD139" t="s">
        <v>82</v>
      </c>
      <c r="DG139" s="82">
        <f t="shared" si="58"/>
        <v>0</v>
      </c>
      <c r="DM139" s="82">
        <f t="shared" si="59"/>
        <v>0</v>
      </c>
    </row>
    <row r="140" spans="1:117" x14ac:dyDescent="0.2">
      <c r="A140">
        <v>61</v>
      </c>
      <c r="B140">
        <v>146.73648854113486</v>
      </c>
      <c r="C140" s="82">
        <f t="shared" si="40"/>
        <v>-0.28670304336927188</v>
      </c>
      <c r="D140">
        <v>61</v>
      </c>
      <c r="E140">
        <v>68225.411067993642</v>
      </c>
      <c r="F140" t="s">
        <v>82</v>
      </c>
      <c r="G140">
        <v>61</v>
      </c>
      <c r="H140">
        <v>145.87303665839789</v>
      </c>
      <c r="I140" s="82">
        <f t="shared" si="41"/>
        <v>-0.28687369782591077</v>
      </c>
      <c r="J140">
        <v>61</v>
      </c>
      <c r="K140">
        <v>68620.602038135054</v>
      </c>
      <c r="L140" t="s">
        <v>82</v>
      </c>
      <c r="M140">
        <v>61</v>
      </c>
      <c r="N140">
        <v>145.00164464354239</v>
      </c>
      <c r="O140" s="82">
        <f t="shared" si="42"/>
        <v>-0.28649675007360997</v>
      </c>
      <c r="P140">
        <v>61</v>
      </c>
      <c r="Q140">
        <v>68942.643137633757</v>
      </c>
      <c r="R140" t="s">
        <v>82</v>
      </c>
      <c r="S140">
        <v>61</v>
      </c>
      <c r="T140">
        <v>144.12142537805818</v>
      </c>
      <c r="U140" s="82">
        <f t="shared" si="43"/>
        <v>-0.28561624901630012</v>
      </c>
      <c r="V140">
        <v>61</v>
      </c>
      <c r="W140">
        <v>69201.600341137048</v>
      </c>
      <c r="X140" t="s">
        <v>82</v>
      </c>
      <c r="Y140">
        <v>61</v>
      </c>
      <c r="Z140">
        <v>143.2329726522737</v>
      </c>
      <c r="AA140" s="82">
        <f t="shared" si="44"/>
        <v>-0.28419695916886667</v>
      </c>
      <c r="AB140">
        <v>61</v>
      </c>
      <c r="AC140">
        <v>69394.105981444111</v>
      </c>
      <c r="AD140" t="s">
        <v>82</v>
      </c>
      <c r="AE140">
        <v>61</v>
      </c>
      <c r="AF140">
        <v>142.33673075928107</v>
      </c>
      <c r="AG140" s="82">
        <f t="shared" si="45"/>
        <v>-0.28223448041944721</v>
      </c>
      <c r="AH140">
        <v>61</v>
      </c>
      <c r="AI140">
        <v>69522.130942371179</v>
      </c>
      <c r="AJ140" t="s">
        <v>82</v>
      </c>
      <c r="AK140">
        <v>61</v>
      </c>
      <c r="AL140">
        <v>141.43266215108414</v>
      </c>
      <c r="AM140" s="82">
        <f t="shared" si="46"/>
        <v>-0.27973527936063647</v>
      </c>
      <c r="AN140">
        <v>61</v>
      </c>
      <c r="AO140">
        <v>69590.038090433882</v>
      </c>
      <c r="AP140" t="s">
        <v>82</v>
      </c>
      <c r="AQ140">
        <v>61</v>
      </c>
      <c r="AR140">
        <v>140.51875689583261</v>
      </c>
      <c r="AS140" s="82">
        <f t="shared" si="47"/>
        <v>-0.27676451991212048</v>
      </c>
      <c r="AT140">
        <v>61</v>
      </c>
      <c r="AU140">
        <v>69613.250114699025</v>
      </c>
      <c r="AV140" t="s">
        <v>82</v>
      </c>
      <c r="AW140">
        <v>61</v>
      </c>
      <c r="AX140">
        <v>139.59661909653497</v>
      </c>
      <c r="AY140" s="82">
        <f t="shared" si="48"/>
        <v>-0.27327668956030493</v>
      </c>
      <c r="AZ140">
        <v>61</v>
      </c>
      <c r="BA140">
        <v>69587.537083003757</v>
      </c>
      <c r="BB140" t="s">
        <v>82</v>
      </c>
      <c r="BC140">
        <v>61</v>
      </c>
      <c r="BD140">
        <v>138.66631769949115</v>
      </c>
      <c r="BE140" s="82">
        <f t="shared" si="49"/>
        <v>-0.2692735176979113</v>
      </c>
      <c r="BF140">
        <v>61</v>
      </c>
      <c r="BG140">
        <v>69517.761905676933</v>
      </c>
      <c r="BH140" t="s">
        <v>82</v>
      </c>
      <c r="BI140">
        <v>61</v>
      </c>
      <c r="BJ140">
        <v>137.72495885018088</v>
      </c>
      <c r="BK140" s="82">
        <f t="shared" si="50"/>
        <v>-0.26485073720223795</v>
      </c>
      <c r="BL140">
        <v>61</v>
      </c>
      <c r="BM140">
        <v>69426.178786012504</v>
      </c>
      <c r="BN140" t="s">
        <v>82</v>
      </c>
      <c r="BO140">
        <v>61</v>
      </c>
      <c r="BP140">
        <v>136.77271596421951</v>
      </c>
      <c r="BQ140" s="82">
        <f t="shared" si="51"/>
        <v>-0.25999193640168983</v>
      </c>
      <c r="BR140">
        <v>61</v>
      </c>
      <c r="BS140">
        <v>69316.01354082115</v>
      </c>
      <c r="BT140" t="s">
        <v>82</v>
      </c>
      <c r="BU140">
        <v>61</v>
      </c>
      <c r="BV140">
        <v>135.81791877438258</v>
      </c>
      <c r="BW140" s="82">
        <f t="shared" si="52"/>
        <v>-0.25460984090938155</v>
      </c>
      <c r="BX140">
        <v>61</v>
      </c>
      <c r="BY140">
        <v>69174.323978889821</v>
      </c>
      <c r="BZ140" t="s">
        <v>82</v>
      </c>
      <c r="CA140">
        <v>61</v>
      </c>
      <c r="CB140">
        <v>134.90653325660787</v>
      </c>
      <c r="CC140" s="82">
        <f t="shared" si="53"/>
        <v>-0.24839461119174189</v>
      </c>
      <c r="CD140">
        <v>61</v>
      </c>
      <c r="CE140">
        <v>68926.854878036494</v>
      </c>
      <c r="CF140" t="s">
        <v>82</v>
      </c>
      <c r="CG140">
        <v>61</v>
      </c>
      <c r="CH140">
        <v>134.03492669122977</v>
      </c>
      <c r="CI140" s="82">
        <f t="shared" si="54"/>
        <v>-0.24186986267602606</v>
      </c>
      <c r="CJ140">
        <v>61</v>
      </c>
      <c r="CK140">
        <v>68661.701805160046</v>
      </c>
      <c r="CL140" t="s">
        <v>82</v>
      </c>
      <c r="CM140">
        <v>61</v>
      </c>
      <c r="CN140">
        <v>133.20017718115264</v>
      </c>
      <c r="CO140" s="82">
        <f t="shared" si="55"/>
        <v>-0.23525729250300742</v>
      </c>
      <c r="CP140">
        <v>61</v>
      </c>
      <c r="CQ140">
        <v>68416.835630102723</v>
      </c>
      <c r="CR140" t="s">
        <v>82</v>
      </c>
      <c r="CS140">
        <v>61</v>
      </c>
      <c r="CT140">
        <v>132.40034684571515</v>
      </c>
      <c r="CU140" s="82">
        <f t="shared" si="56"/>
        <v>-0.22866162667591539</v>
      </c>
      <c r="CV140">
        <v>61</v>
      </c>
      <c r="CW140">
        <v>68210.306847260363</v>
      </c>
      <c r="CX140" t="s">
        <v>82</v>
      </c>
      <c r="CY140">
        <v>61</v>
      </c>
      <c r="CZ140">
        <v>131.61109409194762</v>
      </c>
      <c r="DA140" s="82">
        <f t="shared" si="57"/>
        <v>-0.22202342901510974</v>
      </c>
      <c r="DB140">
        <v>61</v>
      </c>
      <c r="DC140">
        <v>68053.409820075074</v>
      </c>
      <c r="DD140" t="s">
        <v>82</v>
      </c>
      <c r="DG140" s="82">
        <f t="shared" si="58"/>
        <v>0</v>
      </c>
      <c r="DM140" s="82">
        <f t="shared" si="59"/>
        <v>0</v>
      </c>
    </row>
    <row r="141" spans="1:117" x14ac:dyDescent="0.2">
      <c r="A141">
        <v>63</v>
      </c>
      <c r="B141">
        <v>146.43901158599803</v>
      </c>
      <c r="C141" s="82">
        <f t="shared" si="40"/>
        <v>-0.2974769551368297</v>
      </c>
      <c r="D141">
        <v>63</v>
      </c>
      <c r="E141">
        <v>70016.710626056607</v>
      </c>
      <c r="F141" t="s">
        <v>82</v>
      </c>
      <c r="G141">
        <v>63</v>
      </c>
      <c r="H141">
        <v>145.57622320342585</v>
      </c>
      <c r="I141" s="82">
        <f t="shared" si="41"/>
        <v>-0.29681345497203893</v>
      </c>
      <c r="J141">
        <v>63</v>
      </c>
      <c r="K141">
        <v>70266.91061663178</v>
      </c>
      <c r="L141" t="s">
        <v>82</v>
      </c>
      <c r="M141">
        <v>63</v>
      </c>
      <c r="N141">
        <v>144.70602128228322</v>
      </c>
      <c r="O141" s="82">
        <f t="shared" si="42"/>
        <v>-0.29562336125917454</v>
      </c>
      <c r="P141">
        <v>63</v>
      </c>
      <c r="Q141">
        <v>70447.820959304314</v>
      </c>
      <c r="R141" t="s">
        <v>82</v>
      </c>
      <c r="S141">
        <v>63</v>
      </c>
      <c r="T141">
        <v>143.82748179171972</v>
      </c>
      <c r="U141" s="82">
        <f t="shared" si="43"/>
        <v>-0.29394358633845741</v>
      </c>
      <c r="V141">
        <v>63</v>
      </c>
      <c r="W141">
        <v>70568.34449197723</v>
      </c>
      <c r="X141" t="s">
        <v>82</v>
      </c>
      <c r="Y141">
        <v>63</v>
      </c>
      <c r="Z141">
        <v>142.94122337751946</v>
      </c>
      <c r="AA141" s="82">
        <f t="shared" si="44"/>
        <v>-0.29174927475423829</v>
      </c>
      <c r="AB141">
        <v>63</v>
      </c>
      <c r="AC141">
        <v>70626.849657547937</v>
      </c>
      <c r="AD141" t="s">
        <v>82</v>
      </c>
      <c r="AE141">
        <v>63</v>
      </c>
      <c r="AF141">
        <v>142.04768936209155</v>
      </c>
      <c r="AG141" s="82">
        <f t="shared" si="45"/>
        <v>-0.28904139718952138</v>
      </c>
      <c r="AH141">
        <v>63</v>
      </c>
      <c r="AI141">
        <v>70626.209522301317</v>
      </c>
      <c r="AJ141" t="s">
        <v>82</v>
      </c>
      <c r="AK141">
        <v>63</v>
      </c>
      <c r="AL141">
        <v>141.14683350394898</v>
      </c>
      <c r="AM141" s="82">
        <f t="shared" si="46"/>
        <v>-0.28582864713516187</v>
      </c>
      <c r="AN141">
        <v>63</v>
      </c>
      <c r="AO141">
        <v>70571.160882351731</v>
      </c>
      <c r="AP141" t="s">
        <v>82</v>
      </c>
      <c r="AQ141">
        <v>63</v>
      </c>
      <c r="AR141">
        <v>140.23659451648322</v>
      </c>
      <c r="AS141" s="82">
        <f t="shared" si="47"/>
        <v>-0.28216237934938704</v>
      </c>
      <c r="AT141">
        <v>63</v>
      </c>
      <c r="AU141">
        <v>70474.861199487248</v>
      </c>
      <c r="AV141" t="s">
        <v>82</v>
      </c>
      <c r="AW141">
        <v>63</v>
      </c>
      <c r="AX141">
        <v>139.31860559263609</v>
      </c>
      <c r="AY141" s="82">
        <f t="shared" si="48"/>
        <v>-0.27801350389887602</v>
      </c>
      <c r="AZ141">
        <v>63</v>
      </c>
      <c r="BA141">
        <v>70335.791941682968</v>
      </c>
      <c r="BB141" t="s">
        <v>82</v>
      </c>
      <c r="BC141">
        <v>63</v>
      </c>
      <c r="BD141">
        <v>138.39293008615425</v>
      </c>
      <c r="BE141" s="82">
        <f t="shared" si="49"/>
        <v>-0.27338761333689376</v>
      </c>
      <c r="BF141">
        <v>63</v>
      </c>
      <c r="BG141">
        <v>70159.446014529894</v>
      </c>
      <c r="BH141" t="s">
        <v>82</v>
      </c>
      <c r="BI141">
        <v>63</v>
      </c>
      <c r="BJ141">
        <v>137.45659976029589</v>
      </c>
      <c r="BK141" s="82">
        <f t="shared" si="50"/>
        <v>-0.26835908988499568</v>
      </c>
      <c r="BL141">
        <v>63</v>
      </c>
      <c r="BM141">
        <v>69964.592860041419</v>
      </c>
      <c r="BN141" t="s">
        <v>82</v>
      </c>
      <c r="BO141">
        <v>63</v>
      </c>
      <c r="BP141">
        <v>136.50979698362104</v>
      </c>
      <c r="BQ141" s="82">
        <f t="shared" si="51"/>
        <v>-0.26291898059847085</v>
      </c>
      <c r="BR141">
        <v>63</v>
      </c>
      <c r="BS141">
        <v>69755.688078080362</v>
      </c>
      <c r="BT141" t="s">
        <v>82</v>
      </c>
      <c r="BU141">
        <v>63</v>
      </c>
      <c r="BV141">
        <v>135.56090039280269</v>
      </c>
      <c r="BW141" s="82">
        <f t="shared" si="52"/>
        <v>-0.25701838157988277</v>
      </c>
      <c r="BX141">
        <v>63</v>
      </c>
      <c r="BY141">
        <v>69526.031031028542</v>
      </c>
      <c r="BZ141" t="s">
        <v>82</v>
      </c>
      <c r="CA141">
        <v>63</v>
      </c>
      <c r="CB141">
        <v>134.65603663938714</v>
      </c>
      <c r="CC141" s="82">
        <f t="shared" si="53"/>
        <v>-0.25049661722073324</v>
      </c>
      <c r="CD141">
        <v>63</v>
      </c>
      <c r="CE141">
        <v>69225.48626151208</v>
      </c>
      <c r="CF141" t="s">
        <v>82</v>
      </c>
      <c r="CG141">
        <v>63</v>
      </c>
      <c r="CH141">
        <v>133.79117025445916</v>
      </c>
      <c r="CI141" s="82">
        <f t="shared" si="54"/>
        <v>-0.24375643677061021</v>
      </c>
      <c r="CJ141">
        <v>63</v>
      </c>
      <c r="CK141">
        <v>68922.411455051668</v>
      </c>
      <c r="CL141" t="s">
        <v>82</v>
      </c>
      <c r="CM141">
        <v>63</v>
      </c>
      <c r="CN141">
        <v>132.96320580726041</v>
      </c>
      <c r="CO141" s="82">
        <f t="shared" si="55"/>
        <v>-0.23697137389223144</v>
      </c>
      <c r="CP141">
        <v>63</v>
      </c>
      <c r="CQ141">
        <v>68646.916134333776</v>
      </c>
      <c r="CR141" t="s">
        <v>82</v>
      </c>
      <c r="CS141">
        <v>63</v>
      </c>
      <c r="CT141">
        <v>132.17012030764829</v>
      </c>
      <c r="CU141" s="82">
        <f t="shared" si="56"/>
        <v>-0.23022653806685867</v>
      </c>
      <c r="CV141">
        <v>63</v>
      </c>
      <c r="CW141">
        <v>68413.842886723665</v>
      </c>
      <c r="CX141" t="s">
        <v>82</v>
      </c>
      <c r="CY141">
        <v>63</v>
      </c>
      <c r="CZ141">
        <v>131.38764297532487</v>
      </c>
      <c r="DA141" s="82">
        <f t="shared" si="57"/>
        <v>-0.22345111662275485</v>
      </c>
      <c r="DB141">
        <v>63</v>
      </c>
      <c r="DC141">
        <v>68232.590185365014</v>
      </c>
      <c r="DD141" t="s">
        <v>82</v>
      </c>
      <c r="DG141" s="82">
        <f t="shared" si="58"/>
        <v>0</v>
      </c>
      <c r="DM141" s="82">
        <f t="shared" si="59"/>
        <v>0</v>
      </c>
    </row>
    <row r="142" spans="1:117" x14ac:dyDescent="0.2">
      <c r="A142">
        <v>65</v>
      </c>
      <c r="B142">
        <v>146.13184312827616</v>
      </c>
      <c r="C142" s="82">
        <f t="shared" si="40"/>
        <v>-0.30716845772187185</v>
      </c>
      <c r="D142">
        <v>65</v>
      </c>
      <c r="E142">
        <v>71631.919714505566</v>
      </c>
      <c r="F142" t="s">
        <v>82</v>
      </c>
      <c r="G142">
        <v>65</v>
      </c>
      <c r="H142">
        <v>145.27045417759575</v>
      </c>
      <c r="I142" s="82">
        <f t="shared" si="41"/>
        <v>-0.30576902583010224</v>
      </c>
      <c r="J142">
        <v>65</v>
      </c>
      <c r="K142">
        <v>71753.378467929928</v>
      </c>
      <c r="L142" t="s">
        <v>82</v>
      </c>
      <c r="M142">
        <v>65</v>
      </c>
      <c r="N142">
        <v>144.40215819350564</v>
      </c>
      <c r="O142" s="82">
        <f t="shared" si="42"/>
        <v>-0.30386308877757529</v>
      </c>
      <c r="P142">
        <v>65</v>
      </c>
      <c r="Q142">
        <v>71809.234376322041</v>
      </c>
      <c r="R142" t="s">
        <v>82</v>
      </c>
      <c r="S142">
        <v>65</v>
      </c>
      <c r="T142">
        <v>143.52599960839015</v>
      </c>
      <c r="U142" s="82">
        <f t="shared" si="43"/>
        <v>-0.30148218332956844</v>
      </c>
      <c r="V142">
        <v>65</v>
      </c>
      <c r="W142">
        <v>71807.514614098618</v>
      </c>
      <c r="X142" t="s">
        <v>82</v>
      </c>
      <c r="Y142">
        <v>65</v>
      </c>
      <c r="Z142">
        <v>142.64261364984372</v>
      </c>
      <c r="AA142" s="82">
        <f t="shared" si="44"/>
        <v>-0.29860972767573912</v>
      </c>
      <c r="AB142">
        <v>65</v>
      </c>
      <c r="AC142">
        <v>71747.972939699699</v>
      </c>
      <c r="AD142" t="s">
        <v>82</v>
      </c>
      <c r="AE142">
        <v>65</v>
      </c>
      <c r="AF142">
        <v>141.75243834226157</v>
      </c>
      <c r="AG142" s="82">
        <f t="shared" si="45"/>
        <v>-0.29525101982997626</v>
      </c>
      <c r="AH142">
        <v>65</v>
      </c>
      <c r="AI142">
        <v>71634.21047227543</v>
      </c>
      <c r="AJ142" t="s">
        <v>82</v>
      </c>
      <c r="AK142">
        <v>65</v>
      </c>
      <c r="AL142">
        <v>140.85541696478867</v>
      </c>
      <c r="AM142" s="82">
        <f t="shared" si="46"/>
        <v>-0.29141653916030918</v>
      </c>
      <c r="AN142">
        <v>65</v>
      </c>
      <c r="AO142">
        <v>71471.263693320754</v>
      </c>
      <c r="AP142" t="s">
        <v>82</v>
      </c>
      <c r="AQ142">
        <v>65</v>
      </c>
      <c r="AR142">
        <v>139.94944744176223</v>
      </c>
      <c r="AS142" s="82">
        <f t="shared" si="47"/>
        <v>-0.28714707472099121</v>
      </c>
      <c r="AT142">
        <v>65</v>
      </c>
      <c r="AU142">
        <v>71270.553642657193</v>
      </c>
      <c r="AV142" t="s">
        <v>82</v>
      </c>
      <c r="AW142">
        <v>65</v>
      </c>
      <c r="AX142">
        <v>139.03617932371714</v>
      </c>
      <c r="AY142" s="82">
        <f t="shared" si="48"/>
        <v>-0.28242626891895384</v>
      </c>
      <c r="AZ142">
        <v>65</v>
      </c>
      <c r="BA142">
        <v>71032.665888288626</v>
      </c>
      <c r="BB142" t="s">
        <v>82</v>
      </c>
      <c r="BC142">
        <v>65</v>
      </c>
      <c r="BD142">
        <v>138.11566746819307</v>
      </c>
      <c r="BE142" s="82">
        <f t="shared" si="49"/>
        <v>-0.27726261796118479</v>
      </c>
      <c r="BF142">
        <v>65</v>
      </c>
      <c r="BG142">
        <v>70763.565670761527</v>
      </c>
      <c r="BH142" t="s">
        <v>82</v>
      </c>
      <c r="BI142">
        <v>65</v>
      </c>
      <c r="BJ142">
        <v>137.18488540092636</v>
      </c>
      <c r="BK142" s="82">
        <f t="shared" si="50"/>
        <v>-0.27171435936952548</v>
      </c>
      <c r="BL142">
        <v>65</v>
      </c>
      <c r="BM142">
        <v>70479.382953189008</v>
      </c>
      <c r="BN142" t="s">
        <v>82</v>
      </c>
      <c r="BO142">
        <v>65</v>
      </c>
      <c r="BP142">
        <v>136.2440186888289</v>
      </c>
      <c r="BQ142" s="82">
        <f t="shared" si="51"/>
        <v>-0.26577829479214188</v>
      </c>
      <c r="BR142">
        <v>65</v>
      </c>
      <c r="BS142">
        <v>70185.520375175838</v>
      </c>
      <c r="BT142" t="s">
        <v>82</v>
      </c>
      <c r="BU142">
        <v>65</v>
      </c>
      <c r="BV142">
        <v>135.30146603713533</v>
      </c>
      <c r="BW142" s="82">
        <f t="shared" si="52"/>
        <v>-0.25943435566736639</v>
      </c>
      <c r="BX142">
        <v>65</v>
      </c>
      <c r="BY142">
        <v>69879.973241711472</v>
      </c>
      <c r="BZ142" t="s">
        <v>82</v>
      </c>
      <c r="CA142">
        <v>65</v>
      </c>
      <c r="CB142">
        <v>134.40340393938686</v>
      </c>
      <c r="CC142" s="82">
        <f t="shared" si="53"/>
        <v>-0.2526327000002766</v>
      </c>
      <c r="CD142">
        <v>65</v>
      </c>
      <c r="CE142">
        <v>69530.557934235389</v>
      </c>
      <c r="CF142" t="s">
        <v>82</v>
      </c>
      <c r="CG142">
        <v>65</v>
      </c>
      <c r="CH142">
        <v>133.54548540689007</v>
      </c>
      <c r="CI142" s="82">
        <f t="shared" si="54"/>
        <v>-0.2456848475690947</v>
      </c>
      <c r="CJ142">
        <v>65</v>
      </c>
      <c r="CK142">
        <v>69190.718763208584</v>
      </c>
      <c r="CL142" t="s">
        <v>82</v>
      </c>
      <c r="CM142">
        <v>65</v>
      </c>
      <c r="CN142">
        <v>132.72447779579076</v>
      </c>
      <c r="CO142" s="82">
        <f t="shared" si="55"/>
        <v>-0.23872801146964662</v>
      </c>
      <c r="CP142">
        <v>65</v>
      </c>
      <c r="CQ142">
        <v>68884.625461990858</v>
      </c>
      <c r="CR142" t="s">
        <v>82</v>
      </c>
      <c r="CS142">
        <v>65</v>
      </c>
      <c r="CT142">
        <v>131.93828786335746</v>
      </c>
      <c r="CU142" s="82">
        <f t="shared" si="56"/>
        <v>-0.23183244429083061</v>
      </c>
      <c r="CV142">
        <v>65</v>
      </c>
      <c r="CW142">
        <v>68624.681640317693</v>
      </c>
      <c r="CX142" t="s">
        <v>82</v>
      </c>
      <c r="CY142">
        <v>65</v>
      </c>
      <c r="CZ142">
        <v>131.16272507984166</v>
      </c>
      <c r="DA142" s="82">
        <f t="shared" si="57"/>
        <v>-0.22491789548320185</v>
      </c>
      <c r="DB142">
        <v>65</v>
      </c>
      <c r="DC142">
        <v>68418.699424488266</v>
      </c>
      <c r="DD142" t="s">
        <v>82</v>
      </c>
      <c r="DG142" s="82">
        <f t="shared" si="58"/>
        <v>0</v>
      </c>
      <c r="DM142" s="82">
        <f t="shared" si="59"/>
        <v>0</v>
      </c>
    </row>
    <row r="143" spans="1:117" x14ac:dyDescent="0.2">
      <c r="A143">
        <v>67</v>
      </c>
      <c r="B143">
        <v>145.8157974782508</v>
      </c>
      <c r="C143" s="82">
        <f t="shared" si="40"/>
        <v>-0.31604565002535878</v>
      </c>
      <c r="D143">
        <v>67</v>
      </c>
      <c r="E143">
        <v>73115.417718098208</v>
      </c>
      <c r="F143" t="s">
        <v>82</v>
      </c>
      <c r="G143">
        <v>67</v>
      </c>
      <c r="H143">
        <v>144.95646761615632</v>
      </c>
      <c r="I143" s="82">
        <f t="shared" si="41"/>
        <v>-0.31398656143943526</v>
      </c>
      <c r="J143">
        <v>67</v>
      </c>
      <c r="K143">
        <v>73120.688208971333</v>
      </c>
      <c r="L143" t="s">
        <v>82</v>
      </c>
      <c r="M143">
        <v>67</v>
      </c>
      <c r="N143">
        <v>144.09071807315527</v>
      </c>
      <c r="O143" s="82">
        <f t="shared" si="42"/>
        <v>-0.31144012035036894</v>
      </c>
      <c r="P143">
        <v>67</v>
      </c>
      <c r="Q143">
        <v>73063.875910774557</v>
      </c>
      <c r="R143" t="s">
        <v>82</v>
      </c>
      <c r="S143">
        <v>67</v>
      </c>
      <c r="T143">
        <v>143.21756579264601</v>
      </c>
      <c r="U143" s="82">
        <f t="shared" si="43"/>
        <v>-0.30843381574413797</v>
      </c>
      <c r="V143">
        <v>67</v>
      </c>
      <c r="W143">
        <v>72952.349002871051</v>
      </c>
      <c r="X143" t="s">
        <v>82</v>
      </c>
      <c r="Y143">
        <v>67</v>
      </c>
      <c r="Z143">
        <v>142.33765597164302</v>
      </c>
      <c r="AA143" s="82">
        <f t="shared" si="44"/>
        <v>-0.30495767820070796</v>
      </c>
      <c r="AB143">
        <v>67</v>
      </c>
      <c r="AC143">
        <v>72786.969820218292</v>
      </c>
      <c r="AD143" t="s">
        <v>82</v>
      </c>
      <c r="AE143">
        <v>67</v>
      </c>
      <c r="AF143">
        <v>141.45141783555141</v>
      </c>
      <c r="AG143" s="82">
        <f t="shared" si="45"/>
        <v>-0.30102050671015945</v>
      </c>
      <c r="AH143">
        <v>67</v>
      </c>
      <c r="AI143">
        <v>72571.929697909101</v>
      </c>
      <c r="AJ143" t="s">
        <v>82</v>
      </c>
      <c r="AK143">
        <v>67</v>
      </c>
      <c r="AL143">
        <v>140.55878275430797</v>
      </c>
      <c r="AM143" s="82">
        <f t="shared" si="46"/>
        <v>-0.29663421048070404</v>
      </c>
      <c r="AN143">
        <v>67</v>
      </c>
      <c r="AO143">
        <v>72312.504952384494</v>
      </c>
      <c r="AP143" t="s">
        <v>82</v>
      </c>
      <c r="AQ143">
        <v>67</v>
      </c>
      <c r="AR143">
        <v>139.65761599151332</v>
      </c>
      <c r="AS143" s="82">
        <f t="shared" si="47"/>
        <v>-0.29183145024890678</v>
      </c>
      <c r="AT143">
        <v>67</v>
      </c>
      <c r="AU143">
        <v>72018.777693914511</v>
      </c>
      <c r="AV143" t="s">
        <v>82</v>
      </c>
      <c r="AW143">
        <v>67</v>
      </c>
      <c r="AX143">
        <v>138.7495735558623</v>
      </c>
      <c r="AY143" s="82">
        <f t="shared" si="48"/>
        <v>-0.28660576785483727</v>
      </c>
      <c r="AZ143">
        <v>67</v>
      </c>
      <c r="BA143">
        <v>71692.971477726693</v>
      </c>
      <c r="BB143" t="s">
        <v>82</v>
      </c>
      <c r="BC143">
        <v>67</v>
      </c>
      <c r="BD143">
        <v>137.83469963891955</v>
      </c>
      <c r="BE143" s="82">
        <f t="shared" si="49"/>
        <v>-0.28096782927352137</v>
      </c>
      <c r="BF143">
        <v>67</v>
      </c>
      <c r="BG143">
        <v>71341.40348134817</v>
      </c>
      <c r="BH143" t="s">
        <v>82</v>
      </c>
      <c r="BI143">
        <v>67</v>
      </c>
      <c r="BJ143">
        <v>136.909921798927</v>
      </c>
      <c r="BK143" s="82">
        <f t="shared" si="50"/>
        <v>-0.27496360199936021</v>
      </c>
      <c r="BL143">
        <v>67</v>
      </c>
      <c r="BM143">
        <v>70978.193687959618</v>
      </c>
      <c r="BN143" t="s">
        <v>82</v>
      </c>
      <c r="BO143">
        <v>67</v>
      </c>
      <c r="BP143">
        <v>135.9754243795463</v>
      </c>
      <c r="BQ143" s="82">
        <f t="shared" si="51"/>
        <v>-0.26859430928260508</v>
      </c>
      <c r="BR143">
        <v>67</v>
      </c>
      <c r="BS143">
        <v>70609.471124776246</v>
      </c>
      <c r="BT143" t="s">
        <v>82</v>
      </c>
      <c r="BU143">
        <v>67</v>
      </c>
      <c r="BV143">
        <v>135.03960438750477</v>
      </c>
      <c r="BW143" s="82">
        <f t="shared" si="52"/>
        <v>-0.26186164963056058</v>
      </c>
      <c r="BX143">
        <v>67</v>
      </c>
      <c r="BY143">
        <v>70236.781655799103</v>
      </c>
      <c r="BZ143" t="s">
        <v>82</v>
      </c>
      <c r="CA143">
        <v>67</v>
      </c>
      <c r="CB143">
        <v>134.14860525366359</v>
      </c>
      <c r="CC143" s="82">
        <f t="shared" si="53"/>
        <v>-0.25479868572327291</v>
      </c>
      <c r="CD143">
        <v>67</v>
      </c>
      <c r="CE143">
        <v>69841.399755522812</v>
      </c>
      <c r="CF143" t="s">
        <v>82</v>
      </c>
      <c r="CG143">
        <v>67</v>
      </c>
      <c r="CH143">
        <v>133.29783751042038</v>
      </c>
      <c r="CI143" s="82">
        <f t="shared" si="54"/>
        <v>-0.24764789646968666</v>
      </c>
      <c r="CJ143">
        <v>67</v>
      </c>
      <c r="CK143">
        <v>69465.468552173523</v>
      </c>
      <c r="CL143" t="s">
        <v>82</v>
      </c>
      <c r="CM143">
        <v>67</v>
      </c>
      <c r="CN143">
        <v>132.48395882349681</v>
      </c>
      <c r="CO143" s="82">
        <f t="shared" si="55"/>
        <v>-0.24051897229395536</v>
      </c>
      <c r="CP143">
        <v>67</v>
      </c>
      <c r="CQ143">
        <v>69128.645177437109</v>
      </c>
      <c r="CR143" t="s">
        <v>82</v>
      </c>
      <c r="CS143">
        <v>67</v>
      </c>
      <c r="CT143">
        <v>131.70481705520351</v>
      </c>
      <c r="CU143" s="82">
        <f t="shared" si="56"/>
        <v>-0.23347080815395316</v>
      </c>
      <c r="CV143">
        <v>67</v>
      </c>
      <c r="CW143">
        <v>68841.459167054651</v>
      </c>
      <c r="CX143" t="s">
        <v>82</v>
      </c>
      <c r="CY143">
        <v>67</v>
      </c>
      <c r="CZ143">
        <v>130.93630997726095</v>
      </c>
      <c r="DA143" s="82">
        <f t="shared" si="57"/>
        <v>-0.22641510258071662</v>
      </c>
      <c r="DB143">
        <v>67</v>
      </c>
      <c r="DC143">
        <v>68610.357009476968</v>
      </c>
      <c r="DD143" t="s">
        <v>82</v>
      </c>
      <c r="DG143" s="82">
        <f t="shared" si="58"/>
        <v>0</v>
      </c>
      <c r="DM143" s="82">
        <f t="shared" si="59"/>
        <v>0</v>
      </c>
    </row>
    <row r="144" spans="1:117" x14ac:dyDescent="0.2">
      <c r="A144">
        <v>69</v>
      </c>
      <c r="B144">
        <v>145.49148038036878</v>
      </c>
      <c r="C144" s="82">
        <f t="shared" si="40"/>
        <v>-0.32431709788201601</v>
      </c>
      <c r="D144">
        <v>69</v>
      </c>
      <c r="E144">
        <v>74501.75699810755</v>
      </c>
      <c r="F144" t="s">
        <v>82</v>
      </c>
      <c r="G144">
        <v>69</v>
      </c>
      <c r="H144">
        <v>144.63481075330293</v>
      </c>
      <c r="I144" s="82">
        <f t="shared" si="41"/>
        <v>-0.32165686285338779</v>
      </c>
      <c r="J144">
        <v>69</v>
      </c>
      <c r="K144">
        <v>74400.398346963062</v>
      </c>
      <c r="L144" t="s">
        <v>82</v>
      </c>
      <c r="M144">
        <v>69</v>
      </c>
      <c r="N144">
        <v>143.77219049266276</v>
      </c>
      <c r="O144" s="82">
        <f t="shared" si="42"/>
        <v>-0.31852758049251406</v>
      </c>
      <c r="P144">
        <v>69</v>
      </c>
      <c r="Q144">
        <v>74240.332713217227</v>
      </c>
      <c r="R144" t="s">
        <v>82</v>
      </c>
      <c r="S144">
        <v>69</v>
      </c>
      <c r="T144">
        <v>142.90261210060794</v>
      </c>
      <c r="U144" s="82">
        <f t="shared" si="43"/>
        <v>-0.314953692038074</v>
      </c>
      <c r="V144">
        <v>69</v>
      </c>
      <c r="W144">
        <v>74028.432241611546</v>
      </c>
      <c r="X144" t="s">
        <v>82</v>
      </c>
      <c r="Y144">
        <v>69</v>
      </c>
      <c r="Z144">
        <v>142.0267254419162</v>
      </c>
      <c r="AA144" s="82">
        <f t="shared" si="44"/>
        <v>-0.31093052972681789</v>
      </c>
      <c r="AB144">
        <v>69</v>
      </c>
      <c r="AC144">
        <v>73766.44936892706</v>
      </c>
      <c r="AD144" t="s">
        <v>82</v>
      </c>
      <c r="AE144">
        <v>69</v>
      </c>
      <c r="AF144">
        <v>141.144948095986</v>
      </c>
      <c r="AG144" s="82">
        <f t="shared" si="45"/>
        <v>-0.30646973956541501</v>
      </c>
      <c r="AH144">
        <v>69</v>
      </c>
      <c r="AI144">
        <v>73459.05648825175</v>
      </c>
      <c r="AJ144" t="s">
        <v>82</v>
      </c>
      <c r="AK144">
        <v>69</v>
      </c>
      <c r="AL144">
        <v>140.25719838016201</v>
      </c>
      <c r="AM144" s="82">
        <f t="shared" si="46"/>
        <v>-0.30158437414596051</v>
      </c>
      <c r="AN144">
        <v>69</v>
      </c>
      <c r="AO144">
        <v>73111.721560506296</v>
      </c>
      <c r="AP144" t="s">
        <v>82</v>
      </c>
      <c r="AQ144">
        <v>69</v>
      </c>
      <c r="AR144">
        <v>139.36131519283134</v>
      </c>
      <c r="AS144" s="82">
        <f t="shared" si="47"/>
        <v>-0.29630079868198322</v>
      </c>
      <c r="AT144">
        <v>69</v>
      </c>
      <c r="AU144">
        <v>72733.486597171534</v>
      </c>
      <c r="AV144" t="s">
        <v>82</v>
      </c>
      <c r="AW144">
        <v>69</v>
      </c>
      <c r="AX144">
        <v>138.45895327506128</v>
      </c>
      <c r="AY144" s="82">
        <f t="shared" si="48"/>
        <v>-0.29062028080102209</v>
      </c>
      <c r="AZ144">
        <v>69</v>
      </c>
      <c r="BA144">
        <v>72327.855509190151</v>
      </c>
      <c r="BB144" t="s">
        <v>82</v>
      </c>
      <c r="BC144">
        <v>69</v>
      </c>
      <c r="BD144">
        <v>137.55014454203817</v>
      </c>
      <c r="BE144" s="82">
        <f t="shared" si="49"/>
        <v>-0.28455509688137681</v>
      </c>
      <c r="BF144">
        <v>69</v>
      </c>
      <c r="BG144">
        <v>71901.405670729495</v>
      </c>
      <c r="BH144" t="s">
        <v>82</v>
      </c>
      <c r="BI144">
        <v>69</v>
      </c>
      <c r="BJ144">
        <v>136.63177996661653</v>
      </c>
      <c r="BK144" s="82">
        <f t="shared" si="50"/>
        <v>-0.27814183231046741</v>
      </c>
      <c r="BL144">
        <v>69</v>
      </c>
      <c r="BM144">
        <v>71466.716426372601</v>
      </c>
      <c r="BN144" t="s">
        <v>82</v>
      </c>
      <c r="BO144">
        <v>69</v>
      </c>
      <c r="BP144">
        <v>135.70403928476392</v>
      </c>
      <c r="BQ144" s="82">
        <f t="shared" si="51"/>
        <v>-0.27138509478237438</v>
      </c>
      <c r="BR144">
        <v>69</v>
      </c>
      <c r="BS144">
        <v>71030.471764360307</v>
      </c>
      <c r="BT144" t="s">
        <v>82</v>
      </c>
      <c r="BU144">
        <v>69</v>
      </c>
      <c r="BV144">
        <v>134.77530127360987</v>
      </c>
      <c r="BW144" s="82">
        <f t="shared" si="52"/>
        <v>-0.26430311389489702</v>
      </c>
      <c r="BX144">
        <v>69</v>
      </c>
      <c r="BY144">
        <v>70596.919873121165</v>
      </c>
      <c r="BZ144" t="s">
        <v>82</v>
      </c>
      <c r="CA144">
        <v>69</v>
      </c>
      <c r="CB144">
        <v>133.89161374310035</v>
      </c>
      <c r="CC144" s="82">
        <f t="shared" si="53"/>
        <v>-0.25699151056323899</v>
      </c>
      <c r="CD144">
        <v>69</v>
      </c>
      <c r="CE144">
        <v>70157.52009933746</v>
      </c>
      <c r="CF144" t="s">
        <v>82</v>
      </c>
      <c r="CG144">
        <v>69</v>
      </c>
      <c r="CH144">
        <v>133.04819717359365</v>
      </c>
      <c r="CI144" s="82">
        <f t="shared" si="54"/>
        <v>-0.24964033682672948</v>
      </c>
      <c r="CJ144">
        <v>69</v>
      </c>
      <c r="CK144">
        <v>69745.818942795901</v>
      </c>
      <c r="CL144" t="s">
        <v>82</v>
      </c>
      <c r="CM144">
        <v>69</v>
      </c>
      <c r="CN144">
        <v>132.24162053061383</v>
      </c>
      <c r="CO144" s="82">
        <f t="shared" si="55"/>
        <v>-0.2423382928829767</v>
      </c>
      <c r="CP144">
        <v>69</v>
      </c>
      <c r="CQ144">
        <v>69378.020218744394</v>
      </c>
      <c r="CR144" t="s">
        <v>82</v>
      </c>
      <c r="CS144">
        <v>69</v>
      </c>
      <c r="CT144">
        <v>131.46968157114344</v>
      </c>
      <c r="CU144" s="82">
        <f t="shared" si="56"/>
        <v>-0.23513548406006635</v>
      </c>
      <c r="CV144">
        <v>69</v>
      </c>
      <c r="CW144">
        <v>69063.193488198958</v>
      </c>
      <c r="CX144" t="s">
        <v>82</v>
      </c>
      <c r="CY144">
        <v>69</v>
      </c>
      <c r="CZ144">
        <v>130.70837343499596</v>
      </c>
      <c r="DA144" s="82">
        <f t="shared" si="57"/>
        <v>-0.22793654226498461</v>
      </c>
      <c r="DB144">
        <v>69</v>
      </c>
      <c r="DC144">
        <v>68806.575438608401</v>
      </c>
      <c r="DD144" t="s">
        <v>82</v>
      </c>
      <c r="DG144" s="82">
        <f t="shared" si="58"/>
        <v>0</v>
      </c>
      <c r="DM144" s="82">
        <f t="shared" si="59"/>
        <v>0</v>
      </c>
    </row>
    <row r="145" spans="1:117" x14ac:dyDescent="0.2">
      <c r="A145">
        <v>71</v>
      </c>
      <c r="B145">
        <v>145.15933504596495</v>
      </c>
      <c r="C145" s="82">
        <f t="shared" si="40"/>
        <v>-0.3321453344038332</v>
      </c>
      <c r="D145">
        <v>71</v>
      </c>
      <c r="E145">
        <v>75817.888276472164</v>
      </c>
      <c r="F145" t="s">
        <v>82</v>
      </c>
      <c r="G145">
        <v>71</v>
      </c>
      <c r="H145">
        <v>144.30588268619917</v>
      </c>
      <c r="I145" s="82">
        <f t="shared" si="41"/>
        <v>-0.32892806710376021</v>
      </c>
      <c r="J145">
        <v>71</v>
      </c>
      <c r="K145">
        <v>75617.031643674753</v>
      </c>
      <c r="L145" t="s">
        <v>82</v>
      </c>
      <c r="M145">
        <v>71</v>
      </c>
      <c r="N145">
        <v>143.44693112834338</v>
      </c>
      <c r="O145" s="82">
        <f t="shared" si="42"/>
        <v>-0.32525936431937907</v>
      </c>
      <c r="P145">
        <v>71</v>
      </c>
      <c r="Q145">
        <v>75360.731900787068</v>
      </c>
      <c r="R145" t="s">
        <v>82</v>
      </c>
      <c r="S145">
        <v>71</v>
      </c>
      <c r="T145">
        <v>142.5814507301686</v>
      </c>
      <c r="U145" s="82">
        <f t="shared" si="43"/>
        <v>-0.32116137043934145</v>
      </c>
      <c r="V145">
        <v>71</v>
      </c>
      <c r="W145">
        <v>75055.487205208876</v>
      </c>
      <c r="X145" t="s">
        <v>82</v>
      </c>
      <c r="Y145">
        <v>71</v>
      </c>
      <c r="Z145">
        <v>141.71009175825321</v>
      </c>
      <c r="AA145" s="82">
        <f t="shared" si="44"/>
        <v>-0.31663368366298528</v>
      </c>
      <c r="AB145">
        <v>71</v>
      </c>
      <c r="AC145">
        <v>74703.767238176326</v>
      </c>
      <c r="AD145" t="s">
        <v>82</v>
      </c>
      <c r="AE145">
        <v>71</v>
      </c>
      <c r="AF145">
        <v>140.83325781721689</v>
      </c>
      <c r="AG145" s="82">
        <f t="shared" si="45"/>
        <v>-0.31169027876910604</v>
      </c>
      <c r="AH145">
        <v>71</v>
      </c>
      <c r="AI145">
        <v>74310.638787171963</v>
      </c>
      <c r="AJ145" t="s">
        <v>82</v>
      </c>
      <c r="AK145">
        <v>71</v>
      </c>
      <c r="AL145">
        <v>139.95085325939738</v>
      </c>
      <c r="AM145" s="82">
        <f t="shared" si="46"/>
        <v>-0.30634512076463238</v>
      </c>
      <c r="AN145">
        <v>71</v>
      </c>
      <c r="AO145">
        <v>73881.722439035628</v>
      </c>
      <c r="AP145" t="s">
        <v>82</v>
      </c>
      <c r="AQ145">
        <v>71</v>
      </c>
      <c r="AR145">
        <v>139.06069553583453</v>
      </c>
      <c r="AS145" s="82">
        <f t="shared" si="47"/>
        <v>-0.30061965699681537</v>
      </c>
      <c r="AT145">
        <v>71</v>
      </c>
      <c r="AU145">
        <v>73425.244556346486</v>
      </c>
      <c r="AV145" t="s">
        <v>82</v>
      </c>
      <c r="AW145">
        <v>71</v>
      </c>
      <c r="AX145">
        <v>138.16443206206739</v>
      </c>
      <c r="AY145" s="82">
        <f t="shared" si="48"/>
        <v>-0.29452121299388523</v>
      </c>
      <c r="AZ145">
        <v>71</v>
      </c>
      <c r="BA145">
        <v>72945.714876396771</v>
      </c>
      <c r="BB145" t="s">
        <v>82</v>
      </c>
      <c r="BC145">
        <v>71</v>
      </c>
      <c r="BD145">
        <v>137.2620812925102</v>
      </c>
      <c r="BE145" s="82">
        <f t="shared" si="49"/>
        <v>-0.28806324952796558</v>
      </c>
      <c r="BF145">
        <v>71</v>
      </c>
      <c r="BG145">
        <v>72449.901012811039</v>
      </c>
      <c r="BH145" t="s">
        <v>82</v>
      </c>
      <c r="BI145">
        <v>71</v>
      </c>
      <c r="BJ145">
        <v>136.35050484252142</v>
      </c>
      <c r="BK145" s="82">
        <f t="shared" si="50"/>
        <v>-0.28127512409511723</v>
      </c>
      <c r="BL145">
        <v>71</v>
      </c>
      <c r="BM145">
        <v>71949.191752884028</v>
      </c>
      <c r="BN145" t="s">
        <v>82</v>
      </c>
      <c r="BO145">
        <v>71</v>
      </c>
      <c r="BP145">
        <v>135.4298752601542</v>
      </c>
      <c r="BQ145" s="82">
        <f t="shared" si="51"/>
        <v>-0.27416402460971767</v>
      </c>
      <c r="BR145">
        <v>71</v>
      </c>
      <c r="BS145">
        <v>71450.693200561742</v>
      </c>
      <c r="BT145" t="s">
        <v>82</v>
      </c>
      <c r="BU145">
        <v>71</v>
      </c>
      <c r="BV145">
        <v>134.50854043827511</v>
      </c>
      <c r="BW145" s="82">
        <f t="shared" si="52"/>
        <v>-0.26676083533476458</v>
      </c>
      <c r="BX145">
        <v>71</v>
      </c>
      <c r="BY145">
        <v>70960.727992008731</v>
      </c>
      <c r="BZ145" t="s">
        <v>82</v>
      </c>
      <c r="CA145">
        <v>71</v>
      </c>
      <c r="CB145">
        <v>133.63240482571052</v>
      </c>
      <c r="CC145" s="82">
        <f t="shared" si="53"/>
        <v>-0.25920891738982732</v>
      </c>
      <c r="CD145">
        <v>71</v>
      </c>
      <c r="CE145">
        <v>70478.55704877786</v>
      </c>
      <c r="CF145" t="s">
        <v>82</v>
      </c>
      <c r="CG145">
        <v>71</v>
      </c>
      <c r="CH145">
        <v>132.79653883892084</v>
      </c>
      <c r="CI145" s="82">
        <f t="shared" si="54"/>
        <v>-0.25165833467281118</v>
      </c>
      <c r="CJ145">
        <v>71</v>
      </c>
      <c r="CK145">
        <v>70031.154801010998</v>
      </c>
      <c r="CL145" t="s">
        <v>82</v>
      </c>
      <c r="CM145">
        <v>71</v>
      </c>
      <c r="CN145">
        <v>131.997438887687</v>
      </c>
      <c r="CO145" s="82">
        <f t="shared" si="55"/>
        <v>-0.24418164292683286</v>
      </c>
      <c r="CP145">
        <v>71</v>
      </c>
      <c r="CQ145">
        <v>69632.05703151747</v>
      </c>
      <c r="CR145" t="s">
        <v>82</v>
      </c>
      <c r="CS145">
        <v>71</v>
      </c>
      <c r="CT145">
        <v>131.23285953394029</v>
      </c>
      <c r="CU145" s="82">
        <f t="shared" si="56"/>
        <v>-0.23682203720315442</v>
      </c>
      <c r="CV145">
        <v>71</v>
      </c>
      <c r="CW145">
        <v>69289.175882385272</v>
      </c>
      <c r="CX145" t="s">
        <v>82</v>
      </c>
      <c r="CY145">
        <v>71</v>
      </c>
      <c r="CZ145">
        <v>130.47889566218183</v>
      </c>
      <c r="DA145" s="82">
        <f t="shared" si="57"/>
        <v>-0.22947777281413551</v>
      </c>
      <c r="DB145">
        <v>71</v>
      </c>
      <c r="DC145">
        <v>69006.646614103796</v>
      </c>
      <c r="DD145" t="s">
        <v>82</v>
      </c>
      <c r="DG145" s="82">
        <f t="shared" si="58"/>
        <v>0</v>
      </c>
      <c r="DM145" s="82">
        <f t="shared" si="59"/>
        <v>0</v>
      </c>
    </row>
    <row r="146" spans="1:117" x14ac:dyDescent="0.2">
      <c r="A146">
        <v>73</v>
      </c>
      <c r="B146">
        <v>144.81967778134211</v>
      </c>
      <c r="C146" s="82">
        <f t="shared" si="40"/>
        <v>-0.33965726462284351</v>
      </c>
      <c r="D146">
        <v>73</v>
      </c>
      <c r="E146">
        <v>77084.876385412485</v>
      </c>
      <c r="F146" t="s">
        <v>82</v>
      </c>
      <c r="G146">
        <v>73</v>
      </c>
      <c r="H146">
        <v>143.96996729212455</v>
      </c>
      <c r="I146" s="82">
        <f t="shared" si="41"/>
        <v>-0.33591539407461823</v>
      </c>
      <c r="J146">
        <v>73</v>
      </c>
      <c r="K146">
        <v>76789.680250134144</v>
      </c>
      <c r="L146" t="s">
        <v>82</v>
      </c>
      <c r="M146">
        <v>73</v>
      </c>
      <c r="N146">
        <v>143.11519192818454</v>
      </c>
      <c r="O146" s="82">
        <f t="shared" si="42"/>
        <v>-0.33173920015883596</v>
      </c>
      <c r="P146">
        <v>73</v>
      </c>
      <c r="Q146">
        <v>76442.230908306694</v>
      </c>
      <c r="R146" t="s">
        <v>82</v>
      </c>
      <c r="S146">
        <v>73</v>
      </c>
      <c r="T146">
        <v>142.25430163934701</v>
      </c>
      <c r="U146" s="82">
        <f t="shared" si="43"/>
        <v>-0.32714909082159238</v>
      </c>
      <c r="V146">
        <v>73</v>
      </c>
      <c r="W146">
        <v>76048.743198634635</v>
      </c>
      <c r="X146" t="s">
        <v>82</v>
      </c>
      <c r="Y146">
        <v>73</v>
      </c>
      <c r="Z146">
        <v>141.38794364876489</v>
      </c>
      <c r="AA146" s="82">
        <f t="shared" si="44"/>
        <v>-0.32214810948832451</v>
      </c>
      <c r="AB146">
        <v>73</v>
      </c>
      <c r="AC146">
        <v>75612.266762212414</v>
      </c>
      <c r="AD146" t="s">
        <v>82</v>
      </c>
      <c r="AE146">
        <v>73</v>
      </c>
      <c r="AF146">
        <v>140.5165056699681</v>
      </c>
      <c r="AG146" s="82">
        <f t="shared" si="45"/>
        <v>-0.31675214724879197</v>
      </c>
      <c r="AH146">
        <v>73</v>
      </c>
      <c r="AI146">
        <v>75138.193558831917</v>
      </c>
      <c r="AJ146" t="s">
        <v>82</v>
      </c>
      <c r="AK146">
        <v>73</v>
      </c>
      <c r="AL146">
        <v>139.6398773657564</v>
      </c>
      <c r="AM146" s="82">
        <f t="shared" si="46"/>
        <v>-0.31097589364097189</v>
      </c>
      <c r="AN146">
        <v>73</v>
      </c>
      <c r="AO146">
        <v>74632.264827863386</v>
      </c>
      <c r="AP146" t="s">
        <v>82</v>
      </c>
      <c r="AQ146">
        <v>73</v>
      </c>
      <c r="AR146">
        <v>138.75585862414189</v>
      </c>
      <c r="AS146" s="82">
        <f t="shared" si="47"/>
        <v>-0.30483691169263238</v>
      </c>
      <c r="AT146">
        <v>73</v>
      </c>
      <c r="AU146">
        <v>74102.059355377205</v>
      </c>
      <c r="AV146" t="s">
        <v>82</v>
      </c>
      <c r="AW146">
        <v>73</v>
      </c>
      <c r="AX146">
        <v>137.86608475809805</v>
      </c>
      <c r="AY146" s="82">
        <f t="shared" si="48"/>
        <v>-0.29834730396933651</v>
      </c>
      <c r="AZ146">
        <v>73</v>
      </c>
      <c r="BA146">
        <v>73552.8817007998</v>
      </c>
      <c r="BB146" t="s">
        <v>82</v>
      </c>
      <c r="BC146">
        <v>73</v>
      </c>
      <c r="BD146">
        <v>136.97055990233571</v>
      </c>
      <c r="BE146" s="82">
        <f t="shared" si="49"/>
        <v>-0.29152139017449485</v>
      </c>
      <c r="BF146">
        <v>73</v>
      </c>
      <c r="BG146">
        <v>72991.636073213172</v>
      </c>
      <c r="BH146" t="s">
        <v>82</v>
      </c>
      <c r="BI146">
        <v>73</v>
      </c>
      <c r="BJ146">
        <v>136.06612193583499</v>
      </c>
      <c r="BK146" s="82">
        <f t="shared" si="50"/>
        <v>-0.28438290668643162</v>
      </c>
      <c r="BL146">
        <v>73</v>
      </c>
      <c r="BM146">
        <v>72428.78166769883</v>
      </c>
      <c r="BN146" t="s">
        <v>82</v>
      </c>
      <c r="BO146">
        <v>73</v>
      </c>
      <c r="BP146">
        <v>135.15293426136472</v>
      </c>
      <c r="BQ146" s="82">
        <f t="shared" si="51"/>
        <v>-0.27694099878948464</v>
      </c>
      <c r="BR146">
        <v>73</v>
      </c>
      <c r="BS146">
        <v>71871.743735634009</v>
      </c>
      <c r="BT146" t="s">
        <v>82</v>
      </c>
      <c r="BU146">
        <v>73</v>
      </c>
      <c r="BV146">
        <v>134.23930410161307</v>
      </c>
      <c r="BW146" s="82">
        <f t="shared" si="52"/>
        <v>-0.26923633666203273</v>
      </c>
      <c r="BX146">
        <v>73</v>
      </c>
      <c r="BY146">
        <v>71328.454746219955</v>
      </c>
      <c r="BZ146" t="s">
        <v>82</v>
      </c>
      <c r="CA146">
        <v>73</v>
      </c>
      <c r="CB146">
        <v>133.37095559088758</v>
      </c>
      <c r="CC146" s="82">
        <f t="shared" si="53"/>
        <v>-0.26144923482294757</v>
      </c>
      <c r="CD146">
        <v>73</v>
      </c>
      <c r="CE146">
        <v>70804.242823949608</v>
      </c>
      <c r="CF146" t="s">
        <v>82</v>
      </c>
      <c r="CG146">
        <v>73</v>
      </c>
      <c r="CH146">
        <v>132.54283976061177</v>
      </c>
      <c r="CI146" s="82">
        <f t="shared" si="54"/>
        <v>-0.25369907830906868</v>
      </c>
      <c r="CJ146">
        <v>73</v>
      </c>
      <c r="CK146">
        <v>70321.025062070257</v>
      </c>
      <c r="CL146" t="s">
        <v>82</v>
      </c>
      <c r="CM146">
        <v>73</v>
      </c>
      <c r="CN146">
        <v>131.7513930202222</v>
      </c>
      <c r="CO146" s="82">
        <f t="shared" si="55"/>
        <v>-0.24604586746480095</v>
      </c>
      <c r="CP146">
        <v>73</v>
      </c>
      <c r="CQ146">
        <v>69890.250273287136</v>
      </c>
      <c r="CR146" t="s">
        <v>82</v>
      </c>
      <c r="CS146">
        <v>73</v>
      </c>
      <c r="CT146">
        <v>130.99433227722136</v>
      </c>
      <c r="CU146" s="82">
        <f t="shared" si="56"/>
        <v>-0.23852725671892472</v>
      </c>
      <c r="CV146">
        <v>73</v>
      </c>
      <c r="CW146">
        <v>69518.893122346781</v>
      </c>
      <c r="CX146" t="s">
        <v>82</v>
      </c>
      <c r="CY146">
        <v>73</v>
      </c>
      <c r="CZ146">
        <v>130.24786006264986</v>
      </c>
      <c r="DA146" s="82">
        <f t="shared" si="57"/>
        <v>-0.23103559953196395</v>
      </c>
      <c r="DB146">
        <v>73</v>
      </c>
      <c r="DC146">
        <v>69210.061115874443</v>
      </c>
      <c r="DD146" t="s">
        <v>82</v>
      </c>
      <c r="DG146" s="82">
        <f t="shared" si="58"/>
        <v>0</v>
      </c>
      <c r="DM146" s="82">
        <f t="shared" si="59"/>
        <v>0</v>
      </c>
    </row>
    <row r="147" spans="1:117" x14ac:dyDescent="0.2">
      <c r="A147">
        <v>75</v>
      </c>
      <c r="B147">
        <v>144.47272559027311</v>
      </c>
      <c r="C147" s="82">
        <f t="shared" si="40"/>
        <v>-0.34695219106899344</v>
      </c>
      <c r="D147">
        <v>75</v>
      </c>
      <c r="E147">
        <v>78319.224190753201</v>
      </c>
      <c r="F147" t="s">
        <v>82</v>
      </c>
      <c r="G147">
        <v>75</v>
      </c>
      <c r="H147">
        <v>143.62725865068953</v>
      </c>
      <c r="I147" s="82">
        <f t="shared" si="41"/>
        <v>-0.34270864143502422</v>
      </c>
      <c r="J147">
        <v>75</v>
      </c>
      <c r="K147">
        <v>77933.240424498159</v>
      </c>
      <c r="L147" t="s">
        <v>82</v>
      </c>
      <c r="M147">
        <v>75</v>
      </c>
      <c r="N147">
        <v>142.77714433259615</v>
      </c>
      <c r="O147" s="82">
        <f t="shared" si="42"/>
        <v>-0.33804759558839237</v>
      </c>
      <c r="P147">
        <v>75</v>
      </c>
      <c r="Q147">
        <v>77498.160166919726</v>
      </c>
      <c r="R147" t="s">
        <v>82</v>
      </c>
      <c r="S147">
        <v>75</v>
      </c>
      <c r="T147">
        <v>141.92131350064258</v>
      </c>
      <c r="U147" s="82">
        <f t="shared" si="43"/>
        <v>-0.33298813870442245</v>
      </c>
      <c r="V147">
        <v>75</v>
      </c>
      <c r="W147">
        <v>77019.981317554484</v>
      </c>
      <c r="X147" t="s">
        <v>82</v>
      </c>
      <c r="Y147">
        <v>75</v>
      </c>
      <c r="Z147">
        <v>141.06040754289785</v>
      </c>
      <c r="AA147" s="82">
        <f t="shared" si="44"/>
        <v>-0.32753610586703985</v>
      </c>
      <c r="AB147">
        <v>75</v>
      </c>
      <c r="AC147">
        <v>76502.223796312712</v>
      </c>
      <c r="AD147" t="s">
        <v>82</v>
      </c>
      <c r="AE147">
        <v>75</v>
      </c>
      <c r="AF147">
        <v>140.19479669644016</v>
      </c>
      <c r="AG147" s="82">
        <f t="shared" si="45"/>
        <v>-0.32170897352793304</v>
      </c>
      <c r="AH147">
        <v>75</v>
      </c>
      <c r="AI147">
        <v>75950.548868807688</v>
      </c>
      <c r="AJ147" t="s">
        <v>82</v>
      </c>
      <c r="AK147">
        <v>75</v>
      </c>
      <c r="AL147">
        <v>139.32435536545142</v>
      </c>
      <c r="AM147" s="82">
        <f t="shared" si="46"/>
        <v>-0.31552200030498057</v>
      </c>
      <c r="AN147">
        <v>75</v>
      </c>
      <c r="AO147">
        <v>75370.791661299561</v>
      </c>
      <c r="AP147" t="s">
        <v>82</v>
      </c>
      <c r="AQ147">
        <v>75</v>
      </c>
      <c r="AR147">
        <v>138.44686898711774</v>
      </c>
      <c r="AS147" s="82">
        <f t="shared" si="47"/>
        <v>-0.30898963702415472</v>
      </c>
      <c r="AT147">
        <v>75</v>
      </c>
      <c r="AU147">
        <v>74770.008525082405</v>
      </c>
      <c r="AV147" t="s">
        <v>82</v>
      </c>
      <c r="AW147">
        <v>75</v>
      </c>
      <c r="AX147">
        <v>137.5639569804051</v>
      </c>
      <c r="AY147" s="82">
        <f t="shared" si="48"/>
        <v>-0.3021277776929594</v>
      </c>
      <c r="AZ147">
        <v>75</v>
      </c>
      <c r="BA147">
        <v>74154.136237732571</v>
      </c>
      <c r="BB147" t="s">
        <v>82</v>
      </c>
      <c r="BC147">
        <v>75</v>
      </c>
      <c r="BD147">
        <v>136.67560855215473</v>
      </c>
      <c r="BE147" s="82">
        <f t="shared" si="49"/>
        <v>-0.2949513501809804</v>
      </c>
      <c r="BF147">
        <v>75</v>
      </c>
      <c r="BG147">
        <v>73530.173984371897</v>
      </c>
      <c r="BH147" t="s">
        <v>82</v>
      </c>
      <c r="BI147">
        <v>75</v>
      </c>
      <c r="BJ147">
        <v>135.77864226937515</v>
      </c>
      <c r="BK147" s="82">
        <f t="shared" si="50"/>
        <v>-0.2874796664598307</v>
      </c>
      <c r="BL147">
        <v>75</v>
      </c>
      <c r="BM147">
        <v>72907.845435794501</v>
      </c>
      <c r="BN147" t="s">
        <v>82</v>
      </c>
      <c r="BO147">
        <v>75</v>
      </c>
      <c r="BP147">
        <v>134.87321091524529</v>
      </c>
      <c r="BQ147" s="82">
        <f t="shared" si="51"/>
        <v>-0.27972334611942529</v>
      </c>
      <c r="BR147">
        <v>75</v>
      </c>
      <c r="BS147">
        <v>72294.814982429831</v>
      </c>
      <c r="BT147" t="s">
        <v>82</v>
      </c>
      <c r="BU147">
        <v>75</v>
      </c>
      <c r="BV147">
        <v>133.96757337920187</v>
      </c>
      <c r="BW147" s="82">
        <f t="shared" si="52"/>
        <v>-0.27173072241120622</v>
      </c>
      <c r="BX147">
        <v>75</v>
      </c>
      <c r="BY147">
        <v>71700.281065062052</v>
      </c>
      <c r="BZ147" t="s">
        <v>82</v>
      </c>
      <c r="CA147">
        <v>75</v>
      </c>
      <c r="CB147">
        <v>133.10724437474315</v>
      </c>
      <c r="CC147" s="82">
        <f t="shared" si="53"/>
        <v>-0.26371121614442927</v>
      </c>
      <c r="CD147">
        <v>75</v>
      </c>
      <c r="CE147">
        <v>71134.377855491199</v>
      </c>
      <c r="CF147" t="s">
        <v>82</v>
      </c>
      <c r="CG147">
        <v>75</v>
      </c>
      <c r="CH147">
        <v>132.28707926516051</v>
      </c>
      <c r="CI147" s="82">
        <f t="shared" si="54"/>
        <v>-0.25576049545125557</v>
      </c>
      <c r="CJ147">
        <v>75</v>
      </c>
      <c r="CK147">
        <v>70615.09731035796</v>
      </c>
      <c r="CL147" t="s">
        <v>82</v>
      </c>
      <c r="CM147">
        <v>75</v>
      </c>
      <c r="CN147">
        <v>131.50346436299844</v>
      </c>
      <c r="CO147" s="82">
        <f t="shared" si="55"/>
        <v>-0.24792865722375268</v>
      </c>
      <c r="CP147">
        <v>75</v>
      </c>
      <c r="CQ147">
        <v>70152.229995601752</v>
      </c>
      <c r="CR147" t="s">
        <v>82</v>
      </c>
      <c r="CS147">
        <v>75</v>
      </c>
      <c r="CT147">
        <v>130.75408346988988</v>
      </c>
      <c r="CU147" s="82">
        <f t="shared" si="56"/>
        <v>-0.24024880733148279</v>
      </c>
      <c r="CV147">
        <v>75</v>
      </c>
      <c r="CW147">
        <v>69751.971837191348</v>
      </c>
      <c r="CX147" t="s">
        <v>82</v>
      </c>
      <c r="CY147">
        <v>75</v>
      </c>
      <c r="CZ147">
        <v>130.01525234829342</v>
      </c>
      <c r="DA147" s="82">
        <f t="shared" si="57"/>
        <v>-0.23260771435644756</v>
      </c>
      <c r="DB147">
        <v>75</v>
      </c>
      <c r="DC147">
        <v>69416.450771989606</v>
      </c>
      <c r="DD147" t="s">
        <v>82</v>
      </c>
      <c r="DG147" s="82">
        <f t="shared" si="58"/>
        <v>0</v>
      </c>
      <c r="DM147" s="82">
        <f t="shared" si="59"/>
        <v>0</v>
      </c>
    </row>
    <row r="148" spans="1:117" x14ac:dyDescent="0.2">
      <c r="A148">
        <v>77</v>
      </c>
      <c r="B148">
        <v>144.11861758097231</v>
      </c>
      <c r="C148" s="82">
        <f t="shared" si="40"/>
        <v>-0.354108009300802</v>
      </c>
      <c r="D148">
        <v>77</v>
      </c>
      <c r="E148">
        <v>79533.894970264504</v>
      </c>
      <c r="F148" t="s">
        <v>82</v>
      </c>
      <c r="G148">
        <v>77</v>
      </c>
      <c r="H148">
        <v>143.27788069809978</v>
      </c>
      <c r="I148" s="82">
        <f t="shared" si="41"/>
        <v>-0.34937795258974802</v>
      </c>
      <c r="J148">
        <v>77</v>
      </c>
      <c r="K148">
        <v>79059.363080940413</v>
      </c>
      <c r="L148" t="s">
        <v>82</v>
      </c>
      <c r="M148">
        <v>77</v>
      </c>
      <c r="N148">
        <v>142.43289716710942</v>
      </c>
      <c r="O148" s="82">
        <f t="shared" si="42"/>
        <v>-0.34424716548673473</v>
      </c>
      <c r="P148">
        <v>77</v>
      </c>
      <c r="Q148">
        <v>78538.899895322029</v>
      </c>
      <c r="R148" t="s">
        <v>82</v>
      </c>
      <c r="S148">
        <v>77</v>
      </c>
      <c r="T148">
        <v>141.58257979064916</v>
      </c>
      <c r="U148" s="82">
        <f t="shared" si="43"/>
        <v>-0.33873370999342001</v>
      </c>
      <c r="V148">
        <v>77</v>
      </c>
      <c r="W148">
        <v>77978.333799045155</v>
      </c>
      <c r="X148" t="s">
        <v>82</v>
      </c>
      <c r="Y148">
        <v>77</v>
      </c>
      <c r="Z148">
        <v>140.72756185442353</v>
      </c>
      <c r="AA148" s="82">
        <f t="shared" si="44"/>
        <v>-0.33284568847432183</v>
      </c>
      <c r="AB148">
        <v>77</v>
      </c>
      <c r="AC148">
        <v>77381.56655745137</v>
      </c>
      <c r="AD148" t="s">
        <v>82</v>
      </c>
      <c r="AE148">
        <v>77</v>
      </c>
      <c r="AF148">
        <v>139.86819480270202</v>
      </c>
      <c r="AG148" s="82">
        <f t="shared" si="45"/>
        <v>-0.32660189373814319</v>
      </c>
      <c r="AH148">
        <v>77</v>
      </c>
      <c r="AI148">
        <v>76754.482952809427</v>
      </c>
      <c r="AJ148" t="s">
        <v>82</v>
      </c>
      <c r="AK148">
        <v>77</v>
      </c>
      <c r="AL148">
        <v>139.00433734395136</v>
      </c>
      <c r="AM148" s="82">
        <f t="shared" si="46"/>
        <v>-0.32001802150006142</v>
      </c>
      <c r="AN148">
        <v>77</v>
      </c>
      <c r="AO148">
        <v>76102.988913295863</v>
      </c>
      <c r="AP148" t="s">
        <v>82</v>
      </c>
      <c r="AQ148">
        <v>77</v>
      </c>
      <c r="AR148">
        <v>138.13376300438398</v>
      </c>
      <c r="AS148" s="82">
        <f t="shared" si="47"/>
        <v>-0.31310598273375945</v>
      </c>
      <c r="AT148">
        <v>77</v>
      </c>
      <c r="AU148">
        <v>75433.710600053761</v>
      </c>
      <c r="AV148" t="s">
        <v>82</v>
      </c>
      <c r="AW148">
        <v>77</v>
      </c>
      <c r="AX148">
        <v>137.25807227861722</v>
      </c>
      <c r="AY148" s="82">
        <f t="shared" si="48"/>
        <v>-0.30588470178787475</v>
      </c>
      <c r="AZ148">
        <v>77</v>
      </c>
      <c r="BA148">
        <v>74753.091122238708</v>
      </c>
      <c r="BB148" t="s">
        <v>82</v>
      </c>
      <c r="BC148">
        <v>77</v>
      </c>
      <c r="BD148">
        <v>136.37723903374379</v>
      </c>
      <c r="BE148" s="82">
        <f t="shared" si="49"/>
        <v>-0.29836951841093651</v>
      </c>
      <c r="BF148">
        <v>77</v>
      </c>
      <c r="BG148">
        <v>74068.191714101049</v>
      </c>
      <c r="BH148" t="s">
        <v>82</v>
      </c>
      <c r="BI148">
        <v>77</v>
      </c>
      <c r="BJ148">
        <v>135.48806606092313</v>
      </c>
      <c r="BK148" s="82">
        <f t="shared" si="50"/>
        <v>-0.29057620845202337</v>
      </c>
      <c r="BL148">
        <v>77</v>
      </c>
      <c r="BM148">
        <v>73388.144193576547</v>
      </c>
      <c r="BN148" t="s">
        <v>82</v>
      </c>
      <c r="BO148">
        <v>77</v>
      </c>
      <c r="BP148">
        <v>134.59069442594563</v>
      </c>
      <c r="BQ148" s="82">
        <f t="shared" si="51"/>
        <v>-0.28251648929966677</v>
      </c>
      <c r="BR148">
        <v>77</v>
      </c>
      <c r="BS148">
        <v>72720.789468149276</v>
      </c>
      <c r="BT148" t="s">
        <v>82</v>
      </c>
      <c r="BU148">
        <v>77</v>
      </c>
      <c r="BV148">
        <v>133.69332859339076</v>
      </c>
      <c r="BW148" s="82">
        <f t="shared" si="52"/>
        <v>-0.27424478581110634</v>
      </c>
      <c r="BX148">
        <v>77</v>
      </c>
      <c r="BY148">
        <v>72076.337297008708</v>
      </c>
      <c r="BZ148" t="s">
        <v>82</v>
      </c>
      <c r="CA148">
        <v>77</v>
      </c>
      <c r="CB148">
        <v>132.84125045303261</v>
      </c>
      <c r="CC148" s="82">
        <f t="shared" si="53"/>
        <v>-0.26599392171053182</v>
      </c>
      <c r="CD148">
        <v>77</v>
      </c>
      <c r="CE148">
        <v>71468.811827819314</v>
      </c>
      <c r="CF148" t="s">
        <v>82</v>
      </c>
      <c r="CG148">
        <v>77</v>
      </c>
      <c r="CH148">
        <v>132.02923821701566</v>
      </c>
      <c r="CI148" s="82">
        <f t="shared" si="54"/>
        <v>-0.25784104814485431</v>
      </c>
      <c r="CJ148">
        <v>77</v>
      </c>
      <c r="CK148">
        <v>70913.1248287989</v>
      </c>
      <c r="CL148" t="s">
        <v>82</v>
      </c>
      <c r="CM148">
        <v>77</v>
      </c>
      <c r="CN148">
        <v>131.25363605189807</v>
      </c>
      <c r="CO148" s="82">
        <f t="shared" si="55"/>
        <v>-0.24982831110037296</v>
      </c>
      <c r="CP148">
        <v>77</v>
      </c>
      <c r="CQ148">
        <v>70417.723599359582</v>
      </c>
      <c r="CR148" t="s">
        <v>82</v>
      </c>
      <c r="CS148">
        <v>77</v>
      </c>
      <c r="CT148">
        <v>130.51209848998053</v>
      </c>
      <c r="CU148" s="82">
        <f t="shared" si="56"/>
        <v>-0.24198497990934698</v>
      </c>
      <c r="CV148">
        <v>77</v>
      </c>
      <c r="CW148">
        <v>69988.138641482699</v>
      </c>
      <c r="CX148" t="s">
        <v>82</v>
      </c>
      <c r="CY148">
        <v>77</v>
      </c>
      <c r="CZ148">
        <v>129.78105990880604</v>
      </c>
      <c r="DA148" s="82">
        <f t="shared" si="57"/>
        <v>-0.23419243948737289</v>
      </c>
      <c r="DB148">
        <v>77</v>
      </c>
      <c r="DC148">
        <v>69625.547806912218</v>
      </c>
      <c r="DD148" t="s">
        <v>82</v>
      </c>
      <c r="DG148" s="82">
        <f t="shared" si="58"/>
        <v>0</v>
      </c>
      <c r="DM148" s="82">
        <f t="shared" si="59"/>
        <v>0</v>
      </c>
    </row>
    <row r="149" spans="1:117" x14ac:dyDescent="0.2">
      <c r="A149">
        <v>79</v>
      </c>
      <c r="B149">
        <v>143.75743158652628</v>
      </c>
      <c r="C149" s="82">
        <f t="shared" si="40"/>
        <v>-0.36118599444603205</v>
      </c>
      <c r="D149">
        <v>79</v>
      </c>
      <c r="E149">
        <v>80739.102558679137</v>
      </c>
      <c r="F149" t="s">
        <v>82</v>
      </c>
      <c r="G149">
        <v>79</v>
      </c>
      <c r="H149">
        <v>142.92190243908357</v>
      </c>
      <c r="I149" s="82">
        <f t="shared" si="41"/>
        <v>-0.3559782590162115</v>
      </c>
      <c r="J149">
        <v>79</v>
      </c>
      <c r="K149">
        <v>80177.186104972352</v>
      </c>
      <c r="L149" t="s">
        <v>82</v>
      </c>
      <c r="M149">
        <v>79</v>
      </c>
      <c r="N149">
        <v>142.08251044498155</v>
      </c>
      <c r="O149" s="82">
        <f t="shared" si="42"/>
        <v>-0.35038672212786537</v>
      </c>
      <c r="P149">
        <v>79</v>
      </c>
      <c r="Q149">
        <v>79572.553397975222</v>
      </c>
      <c r="R149" t="s">
        <v>82</v>
      </c>
      <c r="S149">
        <v>79</v>
      </c>
      <c r="T149">
        <v>141.2381511581608</v>
      </c>
      <c r="U149" s="82">
        <f t="shared" si="43"/>
        <v>-0.3444286324883592</v>
      </c>
      <c r="V149">
        <v>79</v>
      </c>
      <c r="W149">
        <v>78930.895722794754</v>
      </c>
      <c r="X149" t="s">
        <v>82</v>
      </c>
      <c r="Y149">
        <v>79</v>
      </c>
      <c r="Z149">
        <v>140.38944792001232</v>
      </c>
      <c r="AA149" s="82">
        <f t="shared" si="44"/>
        <v>-0.3381139344112114</v>
      </c>
      <c r="AB149">
        <v>79</v>
      </c>
      <c r="AC149">
        <v>78256.42447569147</v>
      </c>
      <c r="AD149" t="s">
        <v>82</v>
      </c>
      <c r="AE149">
        <v>79</v>
      </c>
      <c r="AF149">
        <v>139.536732288439</v>
      </c>
      <c r="AG149" s="82">
        <f t="shared" si="45"/>
        <v>-0.33146251426302342</v>
      </c>
      <c r="AH149">
        <v>79</v>
      </c>
      <c r="AI149">
        <v>77555.209602988733</v>
      </c>
      <c r="AJ149" t="s">
        <v>82</v>
      </c>
      <c r="AK149">
        <v>79</v>
      </c>
      <c r="AL149">
        <v>138.67984695502079</v>
      </c>
      <c r="AM149" s="82">
        <f t="shared" si="46"/>
        <v>-0.32449038893057036</v>
      </c>
      <c r="AN149">
        <v>79</v>
      </c>
      <c r="AO149">
        <v>76833.207173029747</v>
      </c>
      <c r="AP149" t="s">
        <v>82</v>
      </c>
      <c r="AQ149">
        <v>79</v>
      </c>
      <c r="AR149">
        <v>137.81655565617618</v>
      </c>
      <c r="AS149" s="82">
        <f t="shared" si="47"/>
        <v>-0.31720734820780194</v>
      </c>
      <c r="AT149">
        <v>79</v>
      </c>
      <c r="AU149">
        <v>76096.680015557067</v>
      </c>
      <c r="AV149" t="s">
        <v>82</v>
      </c>
      <c r="AW149">
        <v>79</v>
      </c>
      <c r="AX149">
        <v>136.94843752297257</v>
      </c>
      <c r="AY149" s="82">
        <f t="shared" si="48"/>
        <v>-0.3096347556446517</v>
      </c>
      <c r="AZ149">
        <v>79</v>
      </c>
      <c r="BA149">
        <v>75352.479422482313</v>
      </c>
      <c r="BB149" t="s">
        <v>82</v>
      </c>
      <c r="BC149">
        <v>79</v>
      </c>
      <c r="BD149">
        <v>136.07545082833809</v>
      </c>
      <c r="BE149" s="82">
        <f t="shared" si="49"/>
        <v>-0.30178820540569973</v>
      </c>
      <c r="BF149">
        <v>79</v>
      </c>
      <c r="BG149">
        <v>74607.70185877636</v>
      </c>
      <c r="BH149" t="s">
        <v>82</v>
      </c>
      <c r="BI149">
        <v>79</v>
      </c>
      <c r="BJ149">
        <v>135.19438546853044</v>
      </c>
      <c r="BK149" s="82">
        <f t="shared" si="50"/>
        <v>-0.29368059239268973</v>
      </c>
      <c r="BL149">
        <v>79</v>
      </c>
      <c r="BM149">
        <v>73870.992778052736</v>
      </c>
      <c r="BN149" t="s">
        <v>82</v>
      </c>
      <c r="BO149">
        <v>79</v>
      </c>
      <c r="BP149">
        <v>134.30536999028953</v>
      </c>
      <c r="BQ149" s="82">
        <f t="shared" si="51"/>
        <v>-0.28532443565609356</v>
      </c>
      <c r="BR149">
        <v>79</v>
      </c>
      <c r="BS149">
        <v>73150.320041077124</v>
      </c>
      <c r="BT149" t="s">
        <v>82</v>
      </c>
      <c r="BU149">
        <v>79</v>
      </c>
      <c r="BV149">
        <v>133.41654950632963</v>
      </c>
      <c r="BW149" s="82">
        <f t="shared" si="52"/>
        <v>-0.2767790870611293</v>
      </c>
      <c r="BX149">
        <v>79</v>
      </c>
      <c r="BY149">
        <v>72456.715844217557</v>
      </c>
      <c r="BZ149" t="s">
        <v>82</v>
      </c>
      <c r="CA149">
        <v>79</v>
      </c>
      <c r="CB149">
        <v>132.57295381997415</v>
      </c>
      <c r="CC149" s="82">
        <f t="shared" si="53"/>
        <v>-0.26829663305846907</v>
      </c>
      <c r="CD149">
        <v>79</v>
      </c>
      <c r="CE149">
        <v>71807.429841603967</v>
      </c>
      <c r="CF149" t="s">
        <v>82</v>
      </c>
      <c r="CG149">
        <v>79</v>
      </c>
      <c r="CH149">
        <v>131.76929863306623</v>
      </c>
      <c r="CI149" s="82">
        <f t="shared" si="54"/>
        <v>-0.25993958394943206</v>
      </c>
      <c r="CJ149">
        <v>79</v>
      </c>
      <c r="CK149">
        <v>71214.922683055702</v>
      </c>
      <c r="CL149" t="s">
        <v>82</v>
      </c>
      <c r="CM149">
        <v>79</v>
      </c>
      <c r="CN149">
        <v>131.00189248701167</v>
      </c>
      <c r="CO149" s="82">
        <f t="shared" si="55"/>
        <v>-0.2517435648863966</v>
      </c>
      <c r="CP149">
        <v>79</v>
      </c>
      <c r="CQ149">
        <v>70686.528383333149</v>
      </c>
      <c r="CR149" t="s">
        <v>82</v>
      </c>
      <c r="CS149">
        <v>79</v>
      </c>
      <c r="CT149">
        <v>130.26836397723289</v>
      </c>
      <c r="CU149" s="82">
        <f t="shared" si="56"/>
        <v>-0.24373451274763624</v>
      </c>
      <c r="CV149">
        <v>79</v>
      </c>
      <c r="CW149">
        <v>70227.19157348125</v>
      </c>
      <c r="CX149" t="s">
        <v>82</v>
      </c>
      <c r="CY149">
        <v>79</v>
      </c>
      <c r="CZ149">
        <v>129.54527136392534</v>
      </c>
      <c r="DA149" s="82">
        <f t="shared" si="57"/>
        <v>-0.23578854488070533</v>
      </c>
      <c r="DB149">
        <v>79</v>
      </c>
      <c r="DC149">
        <v>69837.155751542741</v>
      </c>
      <c r="DD149" t="s">
        <v>82</v>
      </c>
      <c r="DG149" s="82">
        <f t="shared" si="58"/>
        <v>0</v>
      </c>
      <c r="DM149" s="82">
        <f t="shared" si="59"/>
        <v>0</v>
      </c>
    </row>
    <row r="150" spans="1:117" x14ac:dyDescent="0.2">
      <c r="A150">
        <v>81</v>
      </c>
      <c r="B150">
        <v>143.38919708464266</v>
      </c>
      <c r="C150" s="82">
        <f t="shared" si="40"/>
        <v>-0.36823450188362017</v>
      </c>
      <c r="D150">
        <v>81</v>
      </c>
      <c r="E150">
        <v>81942.922403445846</v>
      </c>
      <c r="F150" t="s">
        <v>82</v>
      </c>
      <c r="G150">
        <v>81</v>
      </c>
      <c r="H150">
        <v>142.5593497349158</v>
      </c>
      <c r="I150" s="82">
        <f t="shared" si="41"/>
        <v>-0.36255270416776852</v>
      </c>
      <c r="J150">
        <v>81</v>
      </c>
      <c r="K150">
        <v>81293.898954069155</v>
      </c>
      <c r="L150" t="s">
        <v>82</v>
      </c>
      <c r="M150">
        <v>81</v>
      </c>
      <c r="N150">
        <v>141.72600602772613</v>
      </c>
      <c r="O150" s="82">
        <f t="shared" si="42"/>
        <v>-0.35650441725542237</v>
      </c>
      <c r="P150">
        <v>81</v>
      </c>
      <c r="Q150">
        <v>80605.464449592095</v>
      </c>
      <c r="R150" t="s">
        <v>82</v>
      </c>
      <c r="S150">
        <v>81</v>
      </c>
      <c r="T150">
        <v>140.88804494327616</v>
      </c>
      <c r="U150" s="82">
        <f t="shared" si="43"/>
        <v>-0.35010621488464722</v>
      </c>
      <c r="V150">
        <v>81</v>
      </c>
      <c r="W150">
        <v>79883.193428481522</v>
      </c>
      <c r="X150" t="s">
        <v>82</v>
      </c>
      <c r="Y150">
        <v>81</v>
      </c>
      <c r="Z150">
        <v>140.04607838687625</v>
      </c>
      <c r="AA150" s="82">
        <f t="shared" si="44"/>
        <v>-0.34336953313606955</v>
      </c>
      <c r="AB150">
        <v>81</v>
      </c>
      <c r="AC150">
        <v>79131.546934450977</v>
      </c>
      <c r="AD150" t="s">
        <v>82</v>
      </c>
      <c r="AE150">
        <v>81</v>
      </c>
      <c r="AF150">
        <v>139.20041712570313</v>
      </c>
      <c r="AG150" s="82">
        <f t="shared" si="45"/>
        <v>-0.33631516273587181</v>
      </c>
      <c r="AH150">
        <v>81</v>
      </c>
      <c r="AI150">
        <v>78356.747048334539</v>
      </c>
      <c r="AJ150" t="s">
        <v>82</v>
      </c>
      <c r="AK150">
        <v>81</v>
      </c>
      <c r="AL150">
        <v>138.3508876192156</v>
      </c>
      <c r="AM150" s="82">
        <f t="shared" si="46"/>
        <v>-0.32895933580519454</v>
      </c>
      <c r="AN150">
        <v>81</v>
      </c>
      <c r="AO150">
        <v>77564.780730471321</v>
      </c>
      <c r="AP150" t="s">
        <v>82</v>
      </c>
      <c r="AQ150">
        <v>81</v>
      </c>
      <c r="AR150">
        <v>137.49524563569358</v>
      </c>
      <c r="AS150" s="82">
        <f t="shared" si="47"/>
        <v>-0.32131002048259916</v>
      </c>
      <c r="AT150">
        <v>81</v>
      </c>
      <c r="AU150">
        <v>76761.594561505903</v>
      </c>
      <c r="AV150" t="s">
        <v>82</v>
      </c>
      <c r="AW150">
        <v>81</v>
      </c>
      <c r="AX150">
        <v>136.63504696658367</v>
      </c>
      <c r="AY150" s="82">
        <f t="shared" si="48"/>
        <v>-0.3133905563888959</v>
      </c>
      <c r="AZ150">
        <v>81</v>
      </c>
      <c r="BA150">
        <v>75954.370709234005</v>
      </c>
      <c r="BB150" t="s">
        <v>82</v>
      </c>
      <c r="BC150">
        <v>81</v>
      </c>
      <c r="BD150">
        <v>135.77023416691836</v>
      </c>
      <c r="BE150" s="82">
        <f t="shared" si="49"/>
        <v>-0.30521666141973469</v>
      </c>
      <c r="BF150">
        <v>81</v>
      </c>
      <c r="BG150">
        <v>75150.218183443707</v>
      </c>
      <c r="BH150" t="s">
        <v>82</v>
      </c>
      <c r="BI150">
        <v>81</v>
      </c>
      <c r="BJ150">
        <v>134.89758664093432</v>
      </c>
      <c r="BK150" s="82">
        <f t="shared" si="50"/>
        <v>-0.29679882759612042</v>
      </c>
      <c r="BL150">
        <v>81</v>
      </c>
      <c r="BM150">
        <v>74357.37247281411</v>
      </c>
      <c r="BN150" t="s">
        <v>82</v>
      </c>
      <c r="BO150">
        <v>81</v>
      </c>
      <c r="BP150">
        <v>134.01721985093047</v>
      </c>
      <c r="BQ150" s="82">
        <f t="shared" si="51"/>
        <v>-0.28815013935906109</v>
      </c>
      <c r="BR150">
        <v>81</v>
      </c>
      <c r="BS150">
        <v>73583.888494401021</v>
      </c>
      <c r="BT150" t="s">
        <v>82</v>
      </c>
      <c r="BU150">
        <v>81</v>
      </c>
      <c r="BV150">
        <v>133.13721549571216</v>
      </c>
      <c r="BW150" s="82">
        <f t="shared" si="52"/>
        <v>-0.27933401061747531</v>
      </c>
      <c r="BX150">
        <v>81</v>
      </c>
      <c r="BY150">
        <v>72841.480389097575</v>
      </c>
      <c r="BZ150" t="s">
        <v>82</v>
      </c>
      <c r="CA150">
        <v>81</v>
      </c>
      <c r="CB150">
        <v>132.30233502992283</v>
      </c>
      <c r="CC150" s="82">
        <f t="shared" si="53"/>
        <v>-0.27061879005131573</v>
      </c>
      <c r="CD150">
        <v>81</v>
      </c>
      <c r="CE150">
        <v>72150.142270403754</v>
      </c>
      <c r="CF150" t="s">
        <v>82</v>
      </c>
      <c r="CG150">
        <v>81</v>
      </c>
      <c r="CH150">
        <v>131.50724340521984</v>
      </c>
      <c r="CI150" s="82">
        <f t="shared" si="54"/>
        <v>-0.26205522784638902</v>
      </c>
      <c r="CJ150">
        <v>81</v>
      </c>
      <c r="CK150">
        <v>71520.350347473606</v>
      </c>
      <c r="CL150" t="s">
        <v>82</v>
      </c>
      <c r="CM150">
        <v>81</v>
      </c>
      <c r="CN150">
        <v>130.74821901934237</v>
      </c>
      <c r="CO150" s="82">
        <f t="shared" si="55"/>
        <v>-0.25367346766930154</v>
      </c>
      <c r="CP150">
        <v>81</v>
      </c>
      <c r="CQ150">
        <v>70958.491719787853</v>
      </c>
      <c r="CR150" t="s">
        <v>82</v>
      </c>
      <c r="CS150">
        <v>81</v>
      </c>
      <c r="CT150">
        <v>130.02286751382292</v>
      </c>
      <c r="CU150" s="82">
        <f t="shared" si="56"/>
        <v>-0.24549646340997811</v>
      </c>
      <c r="CV150">
        <v>81</v>
      </c>
      <c r="CW150">
        <v>70468.979601563624</v>
      </c>
      <c r="CX150" t="s">
        <v>82</v>
      </c>
      <c r="CY150">
        <v>81</v>
      </c>
      <c r="CZ150">
        <v>129.30787624567853</v>
      </c>
      <c r="DA150" s="82">
        <f t="shared" si="57"/>
        <v>-0.23739511824680903</v>
      </c>
      <c r="DB150">
        <v>81</v>
      </c>
      <c r="DC150">
        <v>70051.128704347459</v>
      </c>
      <c r="DD150" t="s">
        <v>82</v>
      </c>
      <c r="DG150" s="82">
        <f t="shared" si="58"/>
        <v>0</v>
      </c>
      <c r="DM150" s="82">
        <f t="shared" si="59"/>
        <v>0</v>
      </c>
    </row>
    <row r="151" spans="1:117" x14ac:dyDescent="0.2">
      <c r="A151">
        <v>83</v>
      </c>
      <c r="B151">
        <v>143.01390525434218</v>
      </c>
      <c r="C151" s="82">
        <f t="shared" si="40"/>
        <v>-0.3752918303004833</v>
      </c>
      <c r="D151">
        <v>83</v>
      </c>
      <c r="E151">
        <v>83151.764435501827</v>
      </c>
      <c r="F151" t="s">
        <v>82</v>
      </c>
      <c r="G151">
        <v>83</v>
      </c>
      <c r="H151">
        <v>142.19021445074148</v>
      </c>
      <c r="I151" s="82">
        <f t="shared" si="41"/>
        <v>-0.36913528417431962</v>
      </c>
      <c r="J151">
        <v>83</v>
      </c>
      <c r="K151">
        <v>82415.178216925415</v>
      </c>
      <c r="L151" t="s">
        <v>82</v>
      </c>
      <c r="M151">
        <v>83</v>
      </c>
      <c r="N151">
        <v>141.3633758702546</v>
      </c>
      <c r="O151" s="82">
        <f t="shared" si="42"/>
        <v>-0.36263015747152849</v>
      </c>
      <c r="P151">
        <v>83</v>
      </c>
      <c r="Q151">
        <v>81642.615119530237</v>
      </c>
      <c r="R151" t="s">
        <v>82</v>
      </c>
      <c r="S151">
        <v>83</v>
      </c>
      <c r="T151">
        <v>140.53225251397907</v>
      </c>
      <c r="U151" s="82">
        <f t="shared" si="43"/>
        <v>-0.35579242929708244</v>
      </c>
      <c r="V151">
        <v>83</v>
      </c>
      <c r="W151">
        <v>80839.543445072195</v>
      </c>
      <c r="X151" t="s">
        <v>82</v>
      </c>
      <c r="Y151">
        <v>83</v>
      </c>
      <c r="Z151">
        <v>139.6974436533975</v>
      </c>
      <c r="AA151" s="82">
        <f t="shared" si="44"/>
        <v>-0.34863473347874674</v>
      </c>
      <c r="AB151">
        <v>83</v>
      </c>
      <c r="AC151">
        <v>80010.622964172871</v>
      </c>
      <c r="AD151" t="s">
        <v>82</v>
      </c>
      <c r="AE151">
        <v>83</v>
      </c>
      <c r="AF151">
        <v>138.85923852623526</v>
      </c>
      <c r="AG151" s="82">
        <f t="shared" si="45"/>
        <v>-0.34117859946786666</v>
      </c>
      <c r="AH151">
        <v>83</v>
      </c>
      <c r="AI151">
        <v>79162.198499815844</v>
      </c>
      <c r="AJ151" t="s">
        <v>82</v>
      </c>
      <c r="AK151">
        <v>83</v>
      </c>
      <c r="AL151">
        <v>138.01744724547032</v>
      </c>
      <c r="AM151" s="82">
        <f t="shared" si="46"/>
        <v>-0.33344037374527602</v>
      </c>
      <c r="AN151">
        <v>83</v>
      </c>
      <c r="AO151">
        <v>78300.269237953049</v>
      </c>
      <c r="AP151" t="s">
        <v>82</v>
      </c>
      <c r="AQ151">
        <v>83</v>
      </c>
      <c r="AR151">
        <v>137.16981922657848</v>
      </c>
      <c r="AS151" s="82">
        <f t="shared" si="47"/>
        <v>-0.32542640911509579</v>
      </c>
      <c r="AT151">
        <v>83</v>
      </c>
      <c r="AU151">
        <v>77430.497062701106</v>
      </c>
      <c r="AV151" t="s">
        <v>82</v>
      </c>
      <c r="AW151">
        <v>83</v>
      </c>
      <c r="AX151">
        <v>136.31788531269376</v>
      </c>
      <c r="AY151" s="82">
        <f t="shared" si="48"/>
        <v>-0.31716165388991158</v>
      </c>
      <c r="AZ151">
        <v>83</v>
      </c>
      <c r="BA151">
        <v>76560.333238896928</v>
      </c>
      <c r="BB151" t="s">
        <v>82</v>
      </c>
      <c r="BC151">
        <v>83</v>
      </c>
      <c r="BD151">
        <v>135.46157233030874</v>
      </c>
      <c r="BE151" s="82">
        <f t="shared" si="49"/>
        <v>-0.3086618366096161</v>
      </c>
      <c r="BF151">
        <v>83</v>
      </c>
      <c r="BG151">
        <v>75696.879259970927</v>
      </c>
      <c r="BH151" t="s">
        <v>82</v>
      </c>
      <c r="BI151">
        <v>83</v>
      </c>
      <c r="BJ151">
        <v>134.59765125181664</v>
      </c>
      <c r="BK151" s="82">
        <f t="shared" si="50"/>
        <v>-0.29993538911767814</v>
      </c>
      <c r="BL151">
        <v>83</v>
      </c>
      <c r="BM151">
        <v>74848.014763572282</v>
      </c>
      <c r="BN151" t="s">
        <v>82</v>
      </c>
      <c r="BO151">
        <v>83</v>
      </c>
      <c r="BP151">
        <v>133.72622408201354</v>
      </c>
      <c r="BQ151" s="82">
        <f t="shared" si="51"/>
        <v>-0.29099576891692891</v>
      </c>
      <c r="BR151">
        <v>83</v>
      </c>
      <c r="BS151">
        <v>74021.848869198147</v>
      </c>
      <c r="BT151" t="s">
        <v>82</v>
      </c>
      <c r="BU151">
        <v>83</v>
      </c>
      <c r="BV151">
        <v>132.85530568858752</v>
      </c>
      <c r="BW151" s="82">
        <f t="shared" si="52"/>
        <v>-0.28190980712463443</v>
      </c>
      <c r="BX151">
        <v>83</v>
      </c>
      <c r="BY151">
        <v>73230.672662425466</v>
      </c>
      <c r="BZ151" t="s">
        <v>82</v>
      </c>
      <c r="CA151">
        <v>83</v>
      </c>
      <c r="CB151">
        <v>132.02937508508822</v>
      </c>
      <c r="CC151" s="82">
        <f t="shared" si="53"/>
        <v>-0.27295994483461072</v>
      </c>
      <c r="CD151">
        <v>83</v>
      </c>
      <c r="CE151">
        <v>72496.877337954793</v>
      </c>
      <c r="CF151" t="s">
        <v>82</v>
      </c>
      <c r="CG151">
        <v>83</v>
      </c>
      <c r="CH151">
        <v>131.24305610157029</v>
      </c>
      <c r="CI151" s="82">
        <f t="shared" si="54"/>
        <v>-0.26418730364954968</v>
      </c>
      <c r="CJ151">
        <v>83</v>
      </c>
      <c r="CK151">
        <v>71829.299059497906</v>
      </c>
      <c r="CL151" t="s">
        <v>82</v>
      </c>
      <c r="CM151">
        <v>83</v>
      </c>
      <c r="CN151">
        <v>130.49260172678493</v>
      </c>
      <c r="CO151" s="82">
        <f t="shared" si="55"/>
        <v>-0.25561729255744581</v>
      </c>
      <c r="CP151">
        <v>83</v>
      </c>
      <c r="CQ151">
        <v>71233.496747737823</v>
      </c>
      <c r="CR151" t="s">
        <v>82</v>
      </c>
      <c r="CS151">
        <v>83</v>
      </c>
      <c r="CT151">
        <v>129.7755973970568</v>
      </c>
      <c r="CU151" s="82">
        <f t="shared" si="56"/>
        <v>-0.2472701167661171</v>
      </c>
      <c r="CV151">
        <v>83</v>
      </c>
      <c r="CW151">
        <v>70713.387918752138</v>
      </c>
      <c r="CX151" t="s">
        <v>82</v>
      </c>
      <c r="CY151">
        <v>83</v>
      </c>
      <c r="CZ151">
        <v>129.06886477330039</v>
      </c>
      <c r="DA151" s="82">
        <f t="shared" si="57"/>
        <v>-0.23901147237813802</v>
      </c>
      <c r="DB151">
        <v>83</v>
      </c>
      <c r="DC151">
        <v>70267.356565972004</v>
      </c>
      <c r="DD151" t="s">
        <v>82</v>
      </c>
      <c r="DG151" s="82">
        <f t="shared" si="58"/>
        <v>0</v>
      </c>
      <c r="DM151" s="82">
        <f t="shared" si="59"/>
        <v>0</v>
      </c>
    </row>
    <row r="152" spans="1:117" x14ac:dyDescent="0.2">
      <c r="A152">
        <v>85</v>
      </c>
      <c r="B152">
        <v>142.63151681638163</v>
      </c>
      <c r="C152" s="82">
        <f t="shared" si="40"/>
        <v>-0.38238843796054311</v>
      </c>
      <c r="D152">
        <v>85</v>
      </c>
      <c r="E152">
        <v>84370.73918916301</v>
      </c>
      <c r="F152" t="s">
        <v>82</v>
      </c>
      <c r="G152">
        <v>85</v>
      </c>
      <c r="H152">
        <v>141.81446156505854</v>
      </c>
      <c r="I152" s="82">
        <f t="shared" si="41"/>
        <v>-0.37575288568294241</v>
      </c>
      <c r="J152">
        <v>85</v>
      </c>
      <c r="K152">
        <v>83545.523801180199</v>
      </c>
      <c r="L152" t="s">
        <v>82</v>
      </c>
      <c r="M152">
        <v>85</v>
      </c>
      <c r="N152">
        <v>140.99458840812139</v>
      </c>
      <c r="O152" s="82">
        <f t="shared" si="42"/>
        <v>-0.36878746213321278</v>
      </c>
      <c r="P152">
        <v>85</v>
      </c>
      <c r="Q152">
        <v>82687.931850421213</v>
      </c>
      <c r="R152" t="s">
        <v>82</v>
      </c>
      <c r="S152">
        <v>85</v>
      </c>
      <c r="T152">
        <v>140.17074492977537</v>
      </c>
      <c r="U152" s="82">
        <f t="shared" si="43"/>
        <v>-0.36150758420370721</v>
      </c>
      <c r="V152">
        <v>85</v>
      </c>
      <c r="W152">
        <v>81803.327687428609</v>
      </c>
      <c r="X152" t="s">
        <v>82</v>
      </c>
      <c r="Y152">
        <v>85</v>
      </c>
      <c r="Z152">
        <v>139.34351682279504</v>
      </c>
      <c r="AA152" s="82">
        <f t="shared" si="44"/>
        <v>-0.353926830602461</v>
      </c>
      <c r="AB152">
        <v>85</v>
      </c>
      <c r="AC152">
        <v>80896.525442784114</v>
      </c>
      <c r="AD152" t="s">
        <v>82</v>
      </c>
      <c r="AE152">
        <v>85</v>
      </c>
      <c r="AF152">
        <v>138.51317120682469</v>
      </c>
      <c r="AG152" s="82">
        <f t="shared" si="45"/>
        <v>-0.34606731941056523</v>
      </c>
      <c r="AH152">
        <v>85</v>
      </c>
      <c r="AI152">
        <v>79973.965609435007</v>
      </c>
      <c r="AJ152" t="s">
        <v>82</v>
      </c>
      <c r="AK152">
        <v>85</v>
      </c>
      <c r="AL152">
        <v>137.67950183374188</v>
      </c>
      <c r="AM152" s="82">
        <f t="shared" si="46"/>
        <v>-0.33794541172844106</v>
      </c>
      <c r="AN152">
        <v>85</v>
      </c>
      <c r="AO152">
        <v>79041.640841157074</v>
      </c>
      <c r="AP152" t="s">
        <v>82</v>
      </c>
      <c r="AQ152">
        <v>85</v>
      </c>
      <c r="AR152">
        <v>136.84025324891948</v>
      </c>
      <c r="AS152" s="82">
        <f t="shared" si="47"/>
        <v>-0.32956597765900142</v>
      </c>
      <c r="AT152">
        <v>85</v>
      </c>
      <c r="AU152">
        <v>78104.947544790513</v>
      </c>
      <c r="AV152" t="s">
        <v>82</v>
      </c>
      <c r="AW152">
        <v>85</v>
      </c>
      <c r="AX152">
        <v>135.9969300348684</v>
      </c>
      <c r="AY152" s="82">
        <f t="shared" si="48"/>
        <v>-0.32095527782536237</v>
      </c>
      <c r="AZ152">
        <v>85</v>
      </c>
      <c r="BA152">
        <v>77171.555745326419</v>
      </c>
      <c r="BB152" t="s">
        <v>82</v>
      </c>
      <c r="BC152">
        <v>85</v>
      </c>
      <c r="BD152">
        <v>135.14944338133699</v>
      </c>
      <c r="BE152" s="82">
        <f t="shared" si="49"/>
        <v>-0.31212894897174692</v>
      </c>
      <c r="BF152">
        <v>85</v>
      </c>
      <c r="BG152">
        <v>76248.540870385521</v>
      </c>
      <c r="BH152" t="s">
        <v>82</v>
      </c>
      <c r="BI152">
        <v>85</v>
      </c>
      <c r="BJ152">
        <v>134.29455765050014</v>
      </c>
      <c r="BK152" s="82">
        <f t="shared" si="50"/>
        <v>-0.30309360131650465</v>
      </c>
      <c r="BL152">
        <v>85</v>
      </c>
      <c r="BM152">
        <v>75343.463604063872</v>
      </c>
      <c r="BN152" t="s">
        <v>82</v>
      </c>
      <c r="BO152">
        <v>85</v>
      </c>
      <c r="BP152">
        <v>133.43236117724859</v>
      </c>
      <c r="BQ152" s="82">
        <f t="shared" si="51"/>
        <v>-0.29386290476494992</v>
      </c>
      <c r="BR152">
        <v>85</v>
      </c>
      <c r="BS152">
        <v>74464.459435910234</v>
      </c>
      <c r="BT152" t="s">
        <v>82</v>
      </c>
      <c r="BU152">
        <v>85</v>
      </c>
      <c r="BV152">
        <v>132.57079906455616</v>
      </c>
      <c r="BW152" s="82">
        <f t="shared" si="52"/>
        <v>-0.28450662403136562</v>
      </c>
      <c r="BX152">
        <v>85</v>
      </c>
      <c r="BY152">
        <v>73624.317361425929</v>
      </c>
      <c r="BZ152" t="s">
        <v>82</v>
      </c>
      <c r="CA152">
        <v>85</v>
      </c>
      <c r="CB152">
        <v>131.75405535706614</v>
      </c>
      <c r="CC152" s="82">
        <f t="shared" si="53"/>
        <v>-0.27531972802208315</v>
      </c>
      <c r="CD152">
        <v>85</v>
      </c>
      <c r="CE152">
        <v>72847.575645765333</v>
      </c>
      <c r="CF152" t="s">
        <v>82</v>
      </c>
      <c r="CG152">
        <v>85</v>
      </c>
      <c r="CH152">
        <v>130.97672082477632</v>
      </c>
      <c r="CI152" s="82">
        <f t="shared" si="54"/>
        <v>-0.26633527679396707</v>
      </c>
      <c r="CJ152">
        <v>85</v>
      </c>
      <c r="CK152">
        <v>72141.68261827997</v>
      </c>
      <c r="CL152" t="s">
        <v>82</v>
      </c>
      <c r="CM152">
        <v>85</v>
      </c>
      <c r="CN152">
        <v>130.23502725465269</v>
      </c>
      <c r="CO152" s="82">
        <f t="shared" si="55"/>
        <v>-0.25757447213223372</v>
      </c>
      <c r="CP152">
        <v>85</v>
      </c>
      <c r="CQ152">
        <v>71511.452000868638</v>
      </c>
      <c r="CR152" t="s">
        <v>82</v>
      </c>
      <c r="CS152">
        <v>85</v>
      </c>
      <c r="CT152">
        <v>129.52654247812677</v>
      </c>
      <c r="CU152" s="82">
        <f t="shared" si="56"/>
        <v>-0.24905491893002818</v>
      </c>
      <c r="CV152">
        <v>85</v>
      </c>
      <c r="CW152">
        <v>70960.327363059754</v>
      </c>
      <c r="CX152" t="s">
        <v>82</v>
      </c>
      <c r="CY152">
        <v>85</v>
      </c>
      <c r="CZ152">
        <v>128.82822769427619</v>
      </c>
      <c r="DA152" s="82">
        <f t="shared" si="57"/>
        <v>-0.24063707902419651</v>
      </c>
      <c r="DB152">
        <v>85</v>
      </c>
      <c r="DC152">
        <v>70485.75447035706</v>
      </c>
      <c r="DD152" t="s">
        <v>82</v>
      </c>
      <c r="DG152" s="82">
        <f t="shared" si="58"/>
        <v>0</v>
      </c>
      <c r="DM152" s="82">
        <f t="shared" si="59"/>
        <v>0</v>
      </c>
    </row>
    <row r="153" spans="1:117" x14ac:dyDescent="0.2">
      <c r="A153">
        <v>87</v>
      </c>
      <c r="B153">
        <v>142.24196815734709</v>
      </c>
      <c r="C153" s="82">
        <f t="shared" si="40"/>
        <v>-0.38954865903454561</v>
      </c>
      <c r="D153">
        <v>87</v>
      </c>
      <c r="E153">
        <v>85603.941358983808</v>
      </c>
      <c r="F153" t="s">
        <v>82</v>
      </c>
      <c r="G153">
        <v>87</v>
      </c>
      <c r="H153">
        <v>141.43203470586934</v>
      </c>
      <c r="I153" s="82">
        <f t="shared" si="41"/>
        <v>-0.38242685918919506</v>
      </c>
      <c r="J153">
        <v>87</v>
      </c>
      <c r="K153">
        <v>84688.518526655316</v>
      </c>
      <c r="L153" t="s">
        <v>82</v>
      </c>
      <c r="M153">
        <v>87</v>
      </c>
      <c r="N153">
        <v>140.61959351503236</v>
      </c>
      <c r="O153" s="82">
        <f t="shared" si="42"/>
        <v>-0.37499489308902412</v>
      </c>
      <c r="P153">
        <v>87</v>
      </c>
      <c r="Q153">
        <v>83744.521019402964</v>
      </c>
      <c r="R153" t="s">
        <v>82</v>
      </c>
      <c r="S153">
        <v>87</v>
      </c>
      <c r="T153">
        <v>139.80347732233653</v>
      </c>
      <c r="U153" s="82">
        <f t="shared" si="43"/>
        <v>-0.36726760743883347</v>
      </c>
      <c r="V153">
        <v>87</v>
      </c>
      <c r="W153">
        <v>82777.204522694476</v>
      </c>
      <c r="X153" t="s">
        <v>82</v>
      </c>
      <c r="Y153">
        <v>87</v>
      </c>
      <c r="Z153">
        <v>138.98425752060774</v>
      </c>
      <c r="AA153" s="82">
        <f t="shared" si="44"/>
        <v>-0.35925930218729718</v>
      </c>
      <c r="AB153">
        <v>87</v>
      </c>
      <c r="AC153">
        <v>81791.497732779157</v>
      </c>
      <c r="AD153" t="s">
        <v>82</v>
      </c>
      <c r="AE153">
        <v>87</v>
      </c>
      <c r="AF153">
        <v>138.16217866368751</v>
      </c>
      <c r="AG153" s="82">
        <f t="shared" si="45"/>
        <v>-0.3509925431371812</v>
      </c>
      <c r="AH153">
        <v>87</v>
      </c>
      <c r="AI153">
        <v>80793.910974541199</v>
      </c>
      <c r="AJ153" t="s">
        <v>82</v>
      </c>
      <c r="AK153">
        <v>87</v>
      </c>
      <c r="AL153">
        <v>137.33701822948294</v>
      </c>
      <c r="AM153" s="82">
        <f t="shared" si="46"/>
        <v>-0.34248360425894475</v>
      </c>
      <c r="AN153">
        <v>87</v>
      </c>
      <c r="AO153">
        <v>79790.411022837972</v>
      </c>
      <c r="AP153" t="s">
        <v>82</v>
      </c>
      <c r="AQ153">
        <v>87</v>
      </c>
      <c r="AR153">
        <v>136.5065173022831</v>
      </c>
      <c r="AS153" s="82">
        <f t="shared" si="47"/>
        <v>-0.33373594663638073</v>
      </c>
      <c r="AT153">
        <v>87</v>
      </c>
      <c r="AU153">
        <v>78786.138078252785</v>
      </c>
      <c r="AV153" t="s">
        <v>82</v>
      </c>
      <c r="AW153">
        <v>87</v>
      </c>
      <c r="AX153">
        <v>135.6721531360111</v>
      </c>
      <c r="AY153" s="82">
        <f t="shared" si="48"/>
        <v>-0.32477689885729433</v>
      </c>
      <c r="AZ153">
        <v>87</v>
      </c>
      <c r="BA153">
        <v>77788.938942137465</v>
      </c>
      <c r="BB153" t="s">
        <v>82</v>
      </c>
      <c r="BC153">
        <v>87</v>
      </c>
      <c r="BD153">
        <v>134.83382147249236</v>
      </c>
      <c r="BE153" s="82">
        <f t="shared" si="49"/>
        <v>-0.31562190884463348</v>
      </c>
      <c r="BF153">
        <v>87</v>
      </c>
      <c r="BG153">
        <v>76805.8450665376</v>
      </c>
      <c r="BH153" t="s">
        <v>82</v>
      </c>
      <c r="BI153">
        <v>87</v>
      </c>
      <c r="BJ153">
        <v>133.98828172750402</v>
      </c>
      <c r="BK153" s="82">
        <f t="shared" si="50"/>
        <v>-0.30627592299612161</v>
      </c>
      <c r="BL153">
        <v>87</v>
      </c>
      <c r="BM153">
        <v>75844.121689659238</v>
      </c>
      <c r="BN153" t="s">
        <v>82</v>
      </c>
      <c r="BO153">
        <v>87</v>
      </c>
      <c r="BP153">
        <v>133.13560849199419</v>
      </c>
      <c r="BQ153" s="82">
        <f t="shared" si="51"/>
        <v>-0.29675268525440401</v>
      </c>
      <c r="BR153">
        <v>87</v>
      </c>
      <c r="BS153">
        <v>74911.906328578378</v>
      </c>
      <c r="BT153" t="s">
        <v>82</v>
      </c>
      <c r="BU153">
        <v>87</v>
      </c>
      <c r="BV153">
        <v>132.28367453661997</v>
      </c>
      <c r="BW153" s="82">
        <f t="shared" si="52"/>
        <v>-0.28712452793618581</v>
      </c>
      <c r="BX153">
        <v>87</v>
      </c>
      <c r="BY153">
        <v>74022.425751757924</v>
      </c>
      <c r="BZ153" t="s">
        <v>82</v>
      </c>
      <c r="CA153">
        <v>87</v>
      </c>
      <c r="CB153">
        <v>131.47635753325284</v>
      </c>
      <c r="CC153" s="82">
        <f t="shared" si="53"/>
        <v>-0.27769782381329833</v>
      </c>
      <c r="CD153">
        <v>87</v>
      </c>
      <c r="CE153">
        <v>73202.186150774112</v>
      </c>
      <c r="CF153" t="s">
        <v>82</v>
      </c>
      <c r="CG153">
        <v>87</v>
      </c>
      <c r="CH153">
        <v>130.70822211215824</v>
      </c>
      <c r="CI153" s="82">
        <f t="shared" si="54"/>
        <v>-0.26849871261808289</v>
      </c>
      <c r="CJ153">
        <v>87</v>
      </c>
      <c r="CK153">
        <v>72457.43066025521</v>
      </c>
      <c r="CL153" t="s">
        <v>82</v>
      </c>
      <c r="CM153">
        <v>87</v>
      </c>
      <c r="CN153">
        <v>129.97548270294018</v>
      </c>
      <c r="CO153" s="82">
        <f t="shared" si="55"/>
        <v>-0.25954455171250856</v>
      </c>
      <c r="CP153">
        <v>87</v>
      </c>
      <c r="CQ153">
        <v>71792.283917607958</v>
      </c>
      <c r="CR153" t="s">
        <v>82</v>
      </c>
      <c r="CS153">
        <v>87</v>
      </c>
      <c r="CT153">
        <v>129.27569204836271</v>
      </c>
      <c r="CU153" s="82">
        <f t="shared" si="56"/>
        <v>-0.25085042976405703</v>
      </c>
      <c r="CV153">
        <v>87</v>
      </c>
      <c r="CW153">
        <v>71209.726822804354</v>
      </c>
      <c r="CX153" t="s">
        <v>82</v>
      </c>
      <c r="CY153">
        <v>87</v>
      </c>
      <c r="CZ153">
        <v>128.58595617259721</v>
      </c>
      <c r="DA153" s="82">
        <f t="shared" si="57"/>
        <v>-0.2422715216789868</v>
      </c>
      <c r="DB153">
        <v>87</v>
      </c>
      <c r="DC153">
        <v>70706.255261754006</v>
      </c>
      <c r="DD153" t="s">
        <v>82</v>
      </c>
      <c r="DG153" s="82">
        <f t="shared" si="58"/>
        <v>0</v>
      </c>
      <c r="DM153" s="82">
        <f t="shared" si="59"/>
        <v>0</v>
      </c>
    </row>
    <row r="154" spans="1:117" x14ac:dyDescent="0.2">
      <c r="A154">
        <v>89</v>
      </c>
      <c r="B154">
        <v>141.84517612427405</v>
      </c>
      <c r="C154" s="82">
        <f t="shared" si="40"/>
        <v>-0.39679203307304078</v>
      </c>
      <c r="D154">
        <v>89</v>
      </c>
      <c r="E154">
        <v>86854.669434278941</v>
      </c>
      <c r="F154" t="s">
        <v>82</v>
      </c>
      <c r="G154">
        <v>89</v>
      </c>
      <c r="H154">
        <v>141.04286047178601</v>
      </c>
      <c r="I154" s="82">
        <f t="shared" si="41"/>
        <v>-0.38917423408332752</v>
      </c>
      <c r="J154">
        <v>89</v>
      </c>
      <c r="K154">
        <v>85847.028604183957</v>
      </c>
      <c r="L154" t="s">
        <v>82</v>
      </c>
      <c r="M154">
        <v>89</v>
      </c>
      <c r="N154">
        <v>140.23832635972514</v>
      </c>
      <c r="O154" s="82">
        <f t="shared" si="42"/>
        <v>-0.38126715530722777</v>
      </c>
      <c r="P154">
        <v>89</v>
      </c>
      <c r="Q154">
        <v>84814.850292090458</v>
      </c>
      <c r="R154" t="s">
        <v>82</v>
      </c>
      <c r="S154">
        <v>89</v>
      </c>
      <c r="T154">
        <v>139.43039229186692</v>
      </c>
      <c r="U154" s="82">
        <f t="shared" si="43"/>
        <v>-0.3730850304696105</v>
      </c>
      <c r="V154">
        <v>89</v>
      </c>
      <c r="W154">
        <v>83763.27071987321</v>
      </c>
      <c r="X154" t="s">
        <v>82</v>
      </c>
      <c r="Y154">
        <v>89</v>
      </c>
      <c r="Z154">
        <v>138.61961484369303</v>
      </c>
      <c r="AA154" s="82">
        <f t="shared" si="44"/>
        <v>-0.36464267691471264</v>
      </c>
      <c r="AB154">
        <v>89</v>
      </c>
      <c r="AC154">
        <v>82697.29634405351</v>
      </c>
      <c r="AD154" t="s">
        <v>82</v>
      </c>
      <c r="AE154">
        <v>89</v>
      </c>
      <c r="AF154">
        <v>137.80621569228694</v>
      </c>
      <c r="AG154" s="82">
        <f t="shared" si="45"/>
        <v>-0.35596297140057231</v>
      </c>
      <c r="AH154">
        <v>89</v>
      </c>
      <c r="AI154">
        <v>81623.481885858055</v>
      </c>
      <c r="AJ154" t="s">
        <v>82</v>
      </c>
      <c r="AK154">
        <v>89</v>
      </c>
      <c r="AL154">
        <v>136.9899562349502</v>
      </c>
      <c r="AM154" s="82">
        <f t="shared" si="46"/>
        <v>-0.34706199453273712</v>
      </c>
      <c r="AN154">
        <v>89</v>
      </c>
      <c r="AO154">
        <v>80547.747882859287</v>
      </c>
      <c r="AP154" t="s">
        <v>82</v>
      </c>
      <c r="AQ154">
        <v>89</v>
      </c>
      <c r="AR154">
        <v>136.16857547801004</v>
      </c>
      <c r="AS154" s="82">
        <f t="shared" si="47"/>
        <v>-0.33794182427305941</v>
      </c>
      <c r="AT154">
        <v>89</v>
      </c>
      <c r="AU154">
        <v>79474.979502895643</v>
      </c>
      <c r="AV154" t="s">
        <v>82</v>
      </c>
      <c r="AW154">
        <v>89</v>
      </c>
      <c r="AX154">
        <v>135.34352248569226</v>
      </c>
      <c r="AY154" s="82">
        <f t="shared" si="48"/>
        <v>-0.32863065031884275</v>
      </c>
      <c r="AZ154">
        <v>89</v>
      </c>
      <c r="BA154">
        <v>78413.164282059399</v>
      </c>
      <c r="BB154" t="s">
        <v>82</v>
      </c>
      <c r="BC154">
        <v>89</v>
      </c>
      <c r="BD154">
        <v>134.51467783620731</v>
      </c>
      <c r="BE154" s="82">
        <f t="shared" si="49"/>
        <v>-0.31914363628504816</v>
      </c>
      <c r="BF154">
        <v>89</v>
      </c>
      <c r="BG154">
        <v>77369.271805199998</v>
      </c>
      <c r="BH154" t="s">
        <v>82</v>
      </c>
      <c r="BI154">
        <v>89</v>
      </c>
      <c r="BJ154">
        <v>133.67879756807909</v>
      </c>
      <c r="BK154" s="82">
        <f t="shared" si="50"/>
        <v>-0.30948415942492602</v>
      </c>
      <c r="BL154">
        <v>89</v>
      </c>
      <c r="BM154">
        <v>76350.284872536358</v>
      </c>
      <c r="BN154" t="s">
        <v>82</v>
      </c>
      <c r="BO154">
        <v>89</v>
      </c>
      <c r="BP154">
        <v>132.83594257750221</v>
      </c>
      <c r="BQ154" s="82">
        <f t="shared" si="51"/>
        <v>-0.29966591449198177</v>
      </c>
      <c r="BR154">
        <v>89</v>
      </c>
      <c r="BS154">
        <v>75364.320996089285</v>
      </c>
      <c r="BT154" t="s">
        <v>82</v>
      </c>
      <c r="BU154">
        <v>89</v>
      </c>
      <c r="BV154">
        <v>131.9939110158094</v>
      </c>
      <c r="BW154" s="82">
        <f t="shared" si="52"/>
        <v>-0.28976352081056689</v>
      </c>
      <c r="BX154">
        <v>89</v>
      </c>
      <c r="BY154">
        <v>74424.998271713062</v>
      </c>
      <c r="BZ154" t="s">
        <v>82</v>
      </c>
      <c r="CA154">
        <v>89</v>
      </c>
      <c r="CB154">
        <v>131.19626358164362</v>
      </c>
      <c r="CC154" s="82">
        <f t="shared" si="53"/>
        <v>-0.28009395160921713</v>
      </c>
      <c r="CD154">
        <v>89</v>
      </c>
      <c r="CE154">
        <v>73560.663184479898</v>
      </c>
      <c r="CF154" t="s">
        <v>82</v>
      </c>
      <c r="CG154">
        <v>89</v>
      </c>
      <c r="CH154">
        <v>130.43754486626781</v>
      </c>
      <c r="CI154" s="82">
        <f t="shared" si="54"/>
        <v>-0.27067724589042541</v>
      </c>
      <c r="CJ154">
        <v>89</v>
      </c>
      <c r="CK154">
        <v>72776.483737561866</v>
      </c>
      <c r="CL154" t="s">
        <v>82</v>
      </c>
      <c r="CM154">
        <v>89</v>
      </c>
      <c r="CN154">
        <v>129.71395554746888</v>
      </c>
      <c r="CO154" s="82">
        <f t="shared" si="55"/>
        <v>-0.26152715547129901</v>
      </c>
      <c r="CP154">
        <v>89</v>
      </c>
      <c r="CQ154">
        <v>72075.931383353469</v>
      </c>
      <c r="CR154" t="s">
        <v>82</v>
      </c>
      <c r="CS154">
        <v>89</v>
      </c>
      <c r="CT154">
        <v>129.02303575969194</v>
      </c>
      <c r="CU154" s="82">
        <f t="shared" si="56"/>
        <v>-0.25265628867077794</v>
      </c>
      <c r="CV154">
        <v>89</v>
      </c>
      <c r="CW154">
        <v>71461.527747272645</v>
      </c>
      <c r="CX154" t="s">
        <v>82</v>
      </c>
      <c r="CY154">
        <v>89</v>
      </c>
      <c r="CZ154">
        <v>128.34204171078525</v>
      </c>
      <c r="DA154" s="82">
        <f t="shared" si="57"/>
        <v>-0.2439144618119542</v>
      </c>
      <c r="DB154">
        <v>89</v>
      </c>
      <c r="DC154">
        <v>70928.804090118749</v>
      </c>
      <c r="DD154" t="s">
        <v>82</v>
      </c>
      <c r="DG154" s="82">
        <f t="shared" si="58"/>
        <v>0</v>
      </c>
      <c r="DM154" s="82">
        <f t="shared" si="59"/>
        <v>0</v>
      </c>
    </row>
    <row r="155" spans="1:117" x14ac:dyDescent="0.2">
      <c r="A155">
        <v>91</v>
      </c>
      <c r="B155">
        <v>141.44104178947956</v>
      </c>
      <c r="C155" s="82">
        <f t="shared" si="40"/>
        <v>-0.40413433479449168</v>
      </c>
      <c r="D155">
        <v>91</v>
      </c>
      <c r="E155">
        <v>88125.595816292072</v>
      </c>
      <c r="F155" t="s">
        <v>82</v>
      </c>
      <c r="G155">
        <v>91</v>
      </c>
      <c r="H155">
        <v>140.64685181473885</v>
      </c>
      <c r="I155" s="82">
        <f t="shared" si="41"/>
        <v>-0.39600865704716171</v>
      </c>
      <c r="J155">
        <v>91</v>
      </c>
      <c r="K155">
        <v>87023.358457451526</v>
      </c>
      <c r="L155" t="s">
        <v>82</v>
      </c>
      <c r="M155">
        <v>91</v>
      </c>
      <c r="N155">
        <v>139.85071041549372</v>
      </c>
      <c r="O155" s="82">
        <f t="shared" si="42"/>
        <v>-0.38761594423141332</v>
      </c>
      <c r="P155">
        <v>91</v>
      </c>
      <c r="Q155">
        <v>85900.888241608744</v>
      </c>
      <c r="R155" t="s">
        <v>82</v>
      </c>
      <c r="S155">
        <v>91</v>
      </c>
      <c r="T155">
        <v>139.05142254823875</v>
      </c>
      <c r="U155" s="82">
        <f t="shared" si="43"/>
        <v>-0.37896974362817559</v>
      </c>
      <c r="V155">
        <v>91</v>
      </c>
      <c r="W155">
        <v>84763.185704122589</v>
      </c>
      <c r="X155" t="s">
        <v>82</v>
      </c>
      <c r="Y155">
        <v>91</v>
      </c>
      <c r="Z155">
        <v>138.2495296452457</v>
      </c>
      <c r="AA155" s="82">
        <f t="shared" si="44"/>
        <v>-0.37008519844732746</v>
      </c>
      <c r="AB155">
        <v>91</v>
      </c>
      <c r="AC155">
        <v>83615.300001940035</v>
      </c>
      <c r="AD155" t="s">
        <v>82</v>
      </c>
      <c r="AE155">
        <v>91</v>
      </c>
      <c r="AF155">
        <v>137.44523033248552</v>
      </c>
      <c r="AG155" s="82">
        <f t="shared" si="45"/>
        <v>-0.36098535980141833</v>
      </c>
      <c r="AH155">
        <v>91</v>
      </c>
      <c r="AI155">
        <v>82463.804570343869</v>
      </c>
      <c r="AJ155" t="s">
        <v>82</v>
      </c>
      <c r="AK155">
        <v>91</v>
      </c>
      <c r="AL155">
        <v>136.63827023268442</v>
      </c>
      <c r="AM155" s="82">
        <f t="shared" si="46"/>
        <v>-0.35168600226577951</v>
      </c>
      <c r="AN155">
        <v>91</v>
      </c>
      <c r="AO155">
        <v>81314.552009659761</v>
      </c>
      <c r="AP155" t="s">
        <v>82</v>
      </c>
      <c r="AQ155">
        <v>91</v>
      </c>
      <c r="AR155">
        <v>135.82638767074536</v>
      </c>
      <c r="AS155" s="82">
        <f t="shared" si="47"/>
        <v>-0.34218780726467912</v>
      </c>
      <c r="AT155">
        <v>91</v>
      </c>
      <c r="AU155">
        <v>80172.166911158041</v>
      </c>
      <c r="AV155" t="s">
        <v>82</v>
      </c>
      <c r="AW155">
        <v>91</v>
      </c>
      <c r="AX155">
        <v>135.01100284054993</v>
      </c>
      <c r="AY155" s="82">
        <f t="shared" si="48"/>
        <v>-0.33251964514232668</v>
      </c>
      <c r="AZ155">
        <v>91</v>
      </c>
      <c r="BA155">
        <v>79044.745634395847</v>
      </c>
      <c r="BB155" t="s">
        <v>82</v>
      </c>
      <c r="BC155">
        <v>91</v>
      </c>
      <c r="BD155">
        <v>134.19198153781028</v>
      </c>
      <c r="BE155" s="82">
        <f t="shared" si="49"/>
        <v>-0.32269629839703384</v>
      </c>
      <c r="BF155">
        <v>91</v>
      </c>
      <c r="BG155">
        <v>77939.177575553724</v>
      </c>
      <c r="BH155" t="s">
        <v>82</v>
      </c>
      <c r="BI155">
        <v>91</v>
      </c>
      <c r="BJ155">
        <v>133.36607794810652</v>
      </c>
      <c r="BK155" s="82">
        <f t="shared" si="50"/>
        <v>-0.31271961997256881</v>
      </c>
      <c r="BL155">
        <v>91</v>
      </c>
      <c r="BM155">
        <v>76862.16774943567</v>
      </c>
      <c r="BN155" t="s">
        <v>82</v>
      </c>
      <c r="BO155">
        <v>91</v>
      </c>
      <c r="BP155">
        <v>132.53333943552656</v>
      </c>
      <c r="BQ155" s="82">
        <f t="shared" si="51"/>
        <v>-0.30260314197565208</v>
      </c>
      <c r="BR155">
        <v>91</v>
      </c>
      <c r="BS155">
        <v>75821.793088306833</v>
      </c>
      <c r="BT155" t="s">
        <v>82</v>
      </c>
      <c r="BU155">
        <v>91</v>
      </c>
      <c r="BV155">
        <v>131.70148746409436</v>
      </c>
      <c r="BW155" s="82">
        <f t="shared" si="52"/>
        <v>-0.29242355171504641</v>
      </c>
      <c r="BX155">
        <v>91</v>
      </c>
      <c r="BY155">
        <v>74832.026388808285</v>
      </c>
      <c r="BZ155" t="s">
        <v>82</v>
      </c>
      <c r="CA155">
        <v>91</v>
      </c>
      <c r="CB155">
        <v>130.91375572927703</v>
      </c>
      <c r="CC155" s="82">
        <f t="shared" si="53"/>
        <v>-0.28250785236659226</v>
      </c>
      <c r="CD155">
        <v>91</v>
      </c>
      <c r="CE155">
        <v>73922.964234588755</v>
      </c>
      <c r="CF155" t="s">
        <v>82</v>
      </c>
      <c r="CG155">
        <v>91</v>
      </c>
      <c r="CH155">
        <v>130.16467430778505</v>
      </c>
      <c r="CI155" s="82">
        <f t="shared" si="54"/>
        <v>-0.27287055848276509</v>
      </c>
      <c r="CJ155">
        <v>91</v>
      </c>
      <c r="CK155">
        <v>73098.789733508558</v>
      </c>
      <c r="CL155" t="s">
        <v>82</v>
      </c>
      <c r="CM155">
        <v>91</v>
      </c>
      <c r="CN155">
        <v>129.45043358566124</v>
      </c>
      <c r="CO155" s="82">
        <f t="shared" si="55"/>
        <v>-0.26352196180764054</v>
      </c>
      <c r="CP155">
        <v>91</v>
      </c>
      <c r="CQ155">
        <v>72362.341773398526</v>
      </c>
      <c r="CR155" t="s">
        <v>82</v>
      </c>
      <c r="CS155">
        <v>91</v>
      </c>
      <c r="CT155">
        <v>128.76856356977478</v>
      </c>
      <c r="CU155" s="82">
        <f t="shared" si="56"/>
        <v>-0.25447218991715204</v>
      </c>
      <c r="CV155">
        <v>91</v>
      </c>
      <c r="CW155">
        <v>71715.680192564614</v>
      </c>
      <c r="CX155" t="s">
        <v>82</v>
      </c>
      <c r="CY155">
        <v>91</v>
      </c>
      <c r="CZ155">
        <v>128.09647609609601</v>
      </c>
      <c r="DA155" s="82">
        <f t="shared" si="57"/>
        <v>-0.24556561468924087</v>
      </c>
      <c r="DB155">
        <v>91</v>
      </c>
      <c r="DC155">
        <v>71153.354549120224</v>
      </c>
      <c r="DD155" t="s">
        <v>82</v>
      </c>
      <c r="DG155" s="82">
        <f t="shared" si="58"/>
        <v>0</v>
      </c>
      <c r="DM155" s="82">
        <f t="shared" si="59"/>
        <v>0</v>
      </c>
    </row>
    <row r="156" spans="1:117" x14ac:dyDescent="0.2">
      <c r="A156">
        <v>93</v>
      </c>
      <c r="B156">
        <v>141.02945341807333</v>
      </c>
      <c r="C156" s="82">
        <f t="shared" si="40"/>
        <v>-0.41158837140622495</v>
      </c>
      <c r="D156">
        <v>93</v>
      </c>
      <c r="E156">
        <v>89418.898464952275</v>
      </c>
      <c r="F156" t="s">
        <v>82</v>
      </c>
      <c r="G156">
        <v>93</v>
      </c>
      <c r="H156">
        <v>140.24391069814976</v>
      </c>
      <c r="I156" s="82">
        <f t="shared" si="41"/>
        <v>-0.4029411165890906</v>
      </c>
      <c r="J156">
        <v>93</v>
      </c>
      <c r="K156">
        <v>88219.370214576789</v>
      </c>
      <c r="L156" t="s">
        <v>82</v>
      </c>
      <c r="M156">
        <v>93</v>
      </c>
      <c r="N156">
        <v>139.4566598174639</v>
      </c>
      <c r="O156" s="82">
        <f t="shared" si="42"/>
        <v>-0.39405059802982123</v>
      </c>
      <c r="P156">
        <v>93</v>
      </c>
      <c r="Q156">
        <v>87004.21177295591</v>
      </c>
      <c r="R156" t="s">
        <v>82</v>
      </c>
      <c r="S156">
        <v>93</v>
      </c>
      <c r="T156">
        <v>138.66649297271027</v>
      </c>
      <c r="U156" s="82">
        <f t="shared" si="43"/>
        <v>-0.38492957552847429</v>
      </c>
      <c r="V156">
        <v>93</v>
      </c>
      <c r="W156">
        <v>85778.266856477756</v>
      </c>
      <c r="X156" t="s">
        <v>82</v>
      </c>
      <c r="Y156">
        <v>93</v>
      </c>
      <c r="Z156">
        <v>137.8739363122065</v>
      </c>
      <c r="AA156" s="82">
        <f t="shared" si="44"/>
        <v>-0.37559333303920539</v>
      </c>
      <c r="AB156">
        <v>93</v>
      </c>
      <c r="AC156">
        <v>84546.593023054054</v>
      </c>
      <c r="AD156" t="s">
        <v>82</v>
      </c>
      <c r="AE156">
        <v>93</v>
      </c>
      <c r="AF156">
        <v>137.07916537604399</v>
      </c>
      <c r="AG156" s="82">
        <f t="shared" si="45"/>
        <v>-0.3660649564415337</v>
      </c>
      <c r="AH156">
        <v>93</v>
      </c>
      <c r="AI156">
        <v>83315.755955322384</v>
      </c>
      <c r="AJ156" t="s">
        <v>82</v>
      </c>
      <c r="AK156">
        <v>93</v>
      </c>
      <c r="AL156">
        <v>136.28191043899318</v>
      </c>
      <c r="AM156" s="82">
        <f t="shared" si="46"/>
        <v>-0.35635979369124016</v>
      </c>
      <c r="AN156">
        <v>93</v>
      </c>
      <c r="AO156">
        <v>82091.517036931691</v>
      </c>
      <c r="AP156" t="s">
        <v>82</v>
      </c>
      <c r="AQ156">
        <v>93</v>
      </c>
      <c r="AR156">
        <v>135.47991058733535</v>
      </c>
      <c r="AS156" s="82">
        <f t="shared" si="47"/>
        <v>-0.34647708341000794</v>
      </c>
      <c r="AT156">
        <v>93</v>
      </c>
      <c r="AU156">
        <v>80878.229088539068</v>
      </c>
      <c r="AV156" t="s">
        <v>82</v>
      </c>
      <c r="AW156">
        <v>93</v>
      </c>
      <c r="AX156">
        <v>134.67455662650582</v>
      </c>
      <c r="AY156" s="82">
        <f t="shared" si="48"/>
        <v>-0.33644621404411623</v>
      </c>
      <c r="AZ156">
        <v>93</v>
      </c>
      <c r="BA156">
        <v>79684.068120827316</v>
      </c>
      <c r="BB156" t="s">
        <v>82</v>
      </c>
      <c r="BC156">
        <v>93</v>
      </c>
      <c r="BD156">
        <v>133.86570005105011</v>
      </c>
      <c r="BE156" s="82">
        <f t="shared" si="49"/>
        <v>-0.32628148676016622</v>
      </c>
      <c r="BF156">
        <v>93</v>
      </c>
      <c r="BG156">
        <v>78515.824245430238</v>
      </c>
      <c r="BH156" t="s">
        <v>82</v>
      </c>
      <c r="BI156">
        <v>93</v>
      </c>
      <c r="BJ156">
        <v>133.05009471282699</v>
      </c>
      <c r="BK156" s="82">
        <f t="shared" si="50"/>
        <v>-0.31598323527953198</v>
      </c>
      <c r="BL156">
        <v>93</v>
      </c>
      <c r="BM156">
        <v>77379.92267090411</v>
      </c>
      <c r="BN156" t="s">
        <v>82</v>
      </c>
      <c r="BO156">
        <v>93</v>
      </c>
      <c r="BP156">
        <v>132.22777471420738</v>
      </c>
      <c r="BQ156" s="82">
        <f t="shared" si="51"/>
        <v>-0.30556472131917189</v>
      </c>
      <c r="BR156">
        <v>93</v>
      </c>
      <c r="BS156">
        <v>76284.379943784603</v>
      </c>
      <c r="BT156" t="s">
        <v>82</v>
      </c>
      <c r="BU156">
        <v>93</v>
      </c>
      <c r="BV156">
        <v>131.4063829388981</v>
      </c>
      <c r="BW156" s="82">
        <f t="shared" si="52"/>
        <v>-0.29510452519625119</v>
      </c>
      <c r="BX156">
        <v>93</v>
      </c>
      <c r="BY156">
        <v>75243.493959231986</v>
      </c>
      <c r="BZ156" t="s">
        <v>82</v>
      </c>
      <c r="CA156">
        <v>93</v>
      </c>
      <c r="CB156">
        <v>130.62881645088052</v>
      </c>
      <c r="CC156" s="82">
        <f t="shared" si="53"/>
        <v>-0.28493927839650723</v>
      </c>
      <c r="CD156">
        <v>93</v>
      </c>
      <c r="CE156">
        <v>74289.048276770438</v>
      </c>
      <c r="CF156" t="s">
        <v>82</v>
      </c>
      <c r="CG156">
        <v>93</v>
      </c>
      <c r="CH156">
        <v>129.88959594484064</v>
      </c>
      <c r="CI156" s="82">
        <f t="shared" si="54"/>
        <v>-0.2750783629444129</v>
      </c>
      <c r="CJ156">
        <v>93</v>
      </c>
      <c r="CK156">
        <v>73424.301176831766</v>
      </c>
      <c r="CL156" t="s">
        <v>82</v>
      </c>
      <c r="CM156">
        <v>93</v>
      </c>
      <c r="CN156">
        <v>129.1849049002673</v>
      </c>
      <c r="CO156" s="82">
        <f t="shared" si="55"/>
        <v>-0.26552868539394581</v>
      </c>
      <c r="CP156">
        <v>93</v>
      </c>
      <c r="CQ156">
        <v>72651.468054524128</v>
      </c>
      <c r="CR156" t="s">
        <v>82</v>
      </c>
      <c r="CS156">
        <v>93</v>
      </c>
      <c r="CT156">
        <v>128.51226570498918</v>
      </c>
      <c r="CU156" s="82">
        <f t="shared" si="56"/>
        <v>-0.25629786478560845</v>
      </c>
      <c r="CV156">
        <v>93</v>
      </c>
      <c r="CW156">
        <v>71972.139952002384</v>
      </c>
      <c r="CX156" t="s">
        <v>82</v>
      </c>
      <c r="CY156">
        <v>93</v>
      </c>
      <c r="CZ156">
        <v>127.84925136408857</v>
      </c>
      <c r="DA156" s="82">
        <f t="shared" si="57"/>
        <v>-0.24722473200743877</v>
      </c>
      <c r="DB156">
        <v>93</v>
      </c>
      <c r="DC156">
        <v>71379.865900530844</v>
      </c>
      <c r="DD156" t="s">
        <v>82</v>
      </c>
      <c r="DG156" s="82">
        <f t="shared" si="58"/>
        <v>0</v>
      </c>
      <c r="DM156" s="82">
        <f t="shared" si="59"/>
        <v>0</v>
      </c>
    </row>
    <row r="157" spans="1:117" x14ac:dyDescent="0.2">
      <c r="A157">
        <v>95</v>
      </c>
      <c r="B157">
        <v>140.61028881869788</v>
      </c>
      <c r="C157" s="82">
        <f t="shared" si="40"/>
        <v>-0.41916459937544914</v>
      </c>
      <c r="D157">
        <v>95</v>
      </c>
      <c r="E157">
        <v>90736.362663746157</v>
      </c>
      <c r="F157" t="s">
        <v>82</v>
      </c>
      <c r="G157">
        <v>95</v>
      </c>
      <c r="H157">
        <v>139.83393019612731</v>
      </c>
      <c r="I157" s="82">
        <f t="shared" si="41"/>
        <v>-0.4099805020224494</v>
      </c>
      <c r="J157">
        <v>95</v>
      </c>
      <c r="K157">
        <v>89436.575844852458</v>
      </c>
      <c r="L157" t="s">
        <v>82</v>
      </c>
      <c r="M157">
        <v>95</v>
      </c>
      <c r="N157">
        <v>139.05608121810982</v>
      </c>
      <c r="O157" s="82">
        <f t="shared" si="42"/>
        <v>-0.40057859935407691</v>
      </c>
      <c r="P157">
        <v>95</v>
      </c>
      <c r="Q157">
        <v>88126.088741844462</v>
      </c>
      <c r="R157" t="s">
        <v>82</v>
      </c>
      <c r="S157">
        <v>95</v>
      </c>
      <c r="T157">
        <v>138.27552223533195</v>
      </c>
      <c r="U157" s="82">
        <f t="shared" si="43"/>
        <v>-0.39097073737832488</v>
      </c>
      <c r="V157">
        <v>95</v>
      </c>
      <c r="W157">
        <v>86809.562570282535</v>
      </c>
      <c r="X157" t="s">
        <v>82</v>
      </c>
      <c r="Y157">
        <v>95</v>
      </c>
      <c r="Z157">
        <v>137.49276415478707</v>
      </c>
      <c r="AA157" s="82">
        <f t="shared" si="44"/>
        <v>-0.381172157419428</v>
      </c>
      <c r="AB157">
        <v>95</v>
      </c>
      <c r="AC157">
        <v>85492.028993405111</v>
      </c>
      <c r="AD157" t="s">
        <v>82</v>
      </c>
      <c r="AE157">
        <v>95</v>
      </c>
      <c r="AF157">
        <v>136.70795954094331</v>
      </c>
      <c r="AG157" s="82">
        <f t="shared" si="45"/>
        <v>-0.37120583510068172</v>
      </c>
      <c r="AH157">
        <v>95</v>
      </c>
      <c r="AI157">
        <v>84180.018272855566</v>
      </c>
      <c r="AJ157" t="s">
        <v>82</v>
      </c>
      <c r="AK157">
        <v>95</v>
      </c>
      <c r="AL157">
        <v>135.92082387690678</v>
      </c>
      <c r="AM157" s="82">
        <f t="shared" si="46"/>
        <v>-0.361086562086399</v>
      </c>
      <c r="AN157">
        <v>95</v>
      </c>
      <c r="AO157">
        <v>82879.175540840632</v>
      </c>
      <c r="AP157" t="s">
        <v>82</v>
      </c>
      <c r="AQ157">
        <v>95</v>
      </c>
      <c r="AR157">
        <v>135.12909852729109</v>
      </c>
      <c r="AS157" s="82">
        <f t="shared" si="47"/>
        <v>-0.35081206004426235</v>
      </c>
      <c r="AT157">
        <v>95</v>
      </c>
      <c r="AU157">
        <v>81593.565818626099</v>
      </c>
      <c r="AV157" t="s">
        <v>82</v>
      </c>
      <c r="AW157">
        <v>95</v>
      </c>
      <c r="AX157">
        <v>134.33414454206348</v>
      </c>
      <c r="AY157" s="82">
        <f t="shared" si="48"/>
        <v>-0.34041208444233462</v>
      </c>
      <c r="AZ157">
        <v>95</v>
      </c>
      <c r="BA157">
        <v>80331.417269064113</v>
      </c>
      <c r="BB157" t="s">
        <v>82</v>
      </c>
      <c r="BC157">
        <v>95</v>
      </c>
      <c r="BD157">
        <v>133.53579970103883</v>
      </c>
      <c r="BE157" s="82">
        <f t="shared" si="49"/>
        <v>-0.32990035001128604</v>
      </c>
      <c r="BF157">
        <v>95</v>
      </c>
      <c r="BG157">
        <v>79099.400624614791</v>
      </c>
      <c r="BH157" t="s">
        <v>82</v>
      </c>
      <c r="BI157">
        <v>95</v>
      </c>
      <c r="BJ157">
        <v>132.73081906856746</v>
      </c>
      <c r="BK157" s="82">
        <f t="shared" si="50"/>
        <v>-0.31927564425953392</v>
      </c>
      <c r="BL157">
        <v>95</v>
      </c>
      <c r="BM157">
        <v>77903.653835208097</v>
      </c>
      <c r="BN157" t="s">
        <v>82</v>
      </c>
      <c r="BO157">
        <v>95</v>
      </c>
      <c r="BP157">
        <v>131.91922386070434</v>
      </c>
      <c r="BQ157" s="82">
        <f t="shared" si="51"/>
        <v>-0.30855085350304989</v>
      </c>
      <c r="BR157">
        <v>95</v>
      </c>
      <c r="BS157">
        <v>76752.113577965851</v>
      </c>
      <c r="BT157" t="s">
        <v>82</v>
      </c>
      <c r="BU157">
        <v>95</v>
      </c>
      <c r="BV157">
        <v>131.10857663171299</v>
      </c>
      <c r="BW157" s="82">
        <f t="shared" si="52"/>
        <v>-0.29780630718511247</v>
      </c>
      <c r="BX157">
        <v>95</v>
      </c>
      <c r="BY157">
        <v>75659.378127665856</v>
      </c>
      <c r="BZ157" t="s">
        <v>82</v>
      </c>
      <c r="CA157">
        <v>95</v>
      </c>
      <c r="CB157">
        <v>130.34142846522323</v>
      </c>
      <c r="CC157" s="82">
        <f t="shared" si="53"/>
        <v>-0.28738798565728985</v>
      </c>
      <c r="CD157">
        <v>95</v>
      </c>
      <c r="CE157">
        <v>74658.874510375143</v>
      </c>
      <c r="CF157" t="s">
        <v>82</v>
      </c>
      <c r="CG157">
        <v>95</v>
      </c>
      <c r="CH157">
        <v>129.61229555448432</v>
      </c>
      <c r="CI157" s="82">
        <f t="shared" si="54"/>
        <v>-0.27730039035631648</v>
      </c>
      <c r="CJ157">
        <v>95</v>
      </c>
      <c r="CK157">
        <v>73752.973288032008</v>
      </c>
      <c r="CL157" t="s">
        <v>82</v>
      </c>
      <c r="CM157">
        <v>95</v>
      </c>
      <c r="CN157">
        <v>128.91735783624068</v>
      </c>
      <c r="CO157" s="82">
        <f t="shared" si="55"/>
        <v>-0.26754706402661554</v>
      </c>
      <c r="CP157">
        <v>95</v>
      </c>
      <c r="CQ157">
        <v>72943.266666272175</v>
      </c>
      <c r="CR157" t="s">
        <v>82</v>
      </c>
      <c r="CS157">
        <v>95</v>
      </c>
      <c r="CT157">
        <v>128.25413263638887</v>
      </c>
      <c r="CU157" s="82">
        <f t="shared" si="56"/>
        <v>-0.25813306860030139</v>
      </c>
      <c r="CV157">
        <v>95</v>
      </c>
      <c r="CW157">
        <v>72230.866469208733</v>
      </c>
      <c r="CX157" t="s">
        <v>82</v>
      </c>
      <c r="CY157">
        <v>95</v>
      </c>
      <c r="CZ157">
        <v>127.60035977470993</v>
      </c>
      <c r="DA157" s="82">
        <f t="shared" si="57"/>
        <v>-0.24889158937864408</v>
      </c>
      <c r="DB157">
        <v>95</v>
      </c>
      <c r="DC157">
        <v>71608.301048601774</v>
      </c>
      <c r="DD157" t="s">
        <v>82</v>
      </c>
      <c r="DG157" s="82">
        <f t="shared" si="58"/>
        <v>0</v>
      </c>
      <c r="DM157" s="82">
        <f t="shared" si="59"/>
        <v>0</v>
      </c>
    </row>
    <row r="158" spans="1:117" x14ac:dyDescent="0.2">
      <c r="A158">
        <v>97</v>
      </c>
      <c r="B158">
        <v>140.18341721795375</v>
      </c>
      <c r="C158" s="82">
        <f t="shared" si="40"/>
        <v>-0.42687160074413555</v>
      </c>
      <c r="D158">
        <v>97</v>
      </c>
      <c r="E158">
        <v>92079.459528765496</v>
      </c>
      <c r="F158" t="s">
        <v>82</v>
      </c>
      <c r="G158">
        <v>97</v>
      </c>
      <c r="H158">
        <v>139.4167961619907</v>
      </c>
      <c r="I158" s="82">
        <f t="shared" si="41"/>
        <v>-0.41713403413660899</v>
      </c>
      <c r="J158">
        <v>97</v>
      </c>
      <c r="K158">
        <v>90676.208080849421</v>
      </c>
      <c r="L158" t="s">
        <v>82</v>
      </c>
      <c r="M158">
        <v>97</v>
      </c>
      <c r="N158">
        <v>138.64887525724436</v>
      </c>
      <c r="O158" s="82">
        <f t="shared" si="42"/>
        <v>-0.40720596086546834</v>
      </c>
      <c r="P158">
        <v>97</v>
      </c>
      <c r="Q158">
        <v>89267.541361881202</v>
      </c>
      <c r="R158" t="s">
        <v>82</v>
      </c>
      <c r="S158">
        <v>97</v>
      </c>
      <c r="T158">
        <v>137.8784240720033</v>
      </c>
      <c r="U158" s="82">
        <f t="shared" si="43"/>
        <v>-0.39709816332864989</v>
      </c>
      <c r="V158">
        <v>97</v>
      </c>
      <c r="W158">
        <v>87857.908173844757</v>
      </c>
      <c r="X158" t="s">
        <v>82</v>
      </c>
      <c r="Y158">
        <v>97</v>
      </c>
      <c r="Z158">
        <v>137.10593849986066</v>
      </c>
      <c r="AA158" s="82">
        <f t="shared" si="44"/>
        <v>-0.38682565492641174</v>
      </c>
      <c r="AB158">
        <v>97</v>
      </c>
      <c r="AC158">
        <v>86452.279349352742</v>
      </c>
      <c r="AD158" t="s">
        <v>82</v>
      </c>
      <c r="AE158">
        <v>97</v>
      </c>
      <c r="AF158">
        <v>136.33154839228379</v>
      </c>
      <c r="AG158" s="82">
        <f t="shared" si="45"/>
        <v>-0.37641114865951408</v>
      </c>
      <c r="AH158">
        <v>97</v>
      </c>
      <c r="AI158">
        <v>85057.120584444798</v>
      </c>
      <c r="AJ158" t="s">
        <v>82</v>
      </c>
      <c r="AK158">
        <v>97</v>
      </c>
      <c r="AL158">
        <v>135.55495513661083</v>
      </c>
      <c r="AM158" s="82">
        <f t="shared" si="46"/>
        <v>-0.36586874029595151</v>
      </c>
      <c r="AN158">
        <v>97</v>
      </c>
      <c r="AO158">
        <v>83677.933805467444</v>
      </c>
      <c r="AP158" t="s">
        <v>82</v>
      </c>
      <c r="AQ158">
        <v>97</v>
      </c>
      <c r="AR158">
        <v>134.77390399096436</v>
      </c>
      <c r="AS158" s="82">
        <f t="shared" si="47"/>
        <v>-0.35519453632673503</v>
      </c>
      <c r="AT158">
        <v>97</v>
      </c>
      <c r="AU158">
        <v>82318.475998162932</v>
      </c>
      <c r="AV158" t="s">
        <v>82</v>
      </c>
      <c r="AW158">
        <v>97</v>
      </c>
      <c r="AX158">
        <v>133.989726027328</v>
      </c>
      <c r="AY158" s="82">
        <f t="shared" si="48"/>
        <v>-0.34441851473548013</v>
      </c>
      <c r="AZ158">
        <v>97</v>
      </c>
      <c r="BA158">
        <v>80987.000879412532</v>
      </c>
      <c r="BB158" t="s">
        <v>82</v>
      </c>
      <c r="BC158">
        <v>97</v>
      </c>
      <c r="BD158">
        <v>133.2022460082465</v>
      </c>
      <c r="BE158" s="82">
        <f t="shared" si="49"/>
        <v>-0.3335536927923215</v>
      </c>
      <c r="BF158">
        <v>97</v>
      </c>
      <c r="BG158">
        <v>79690.03853314677</v>
      </c>
      <c r="BH158" t="s">
        <v>82</v>
      </c>
      <c r="BI158">
        <v>97</v>
      </c>
      <c r="BJ158">
        <v>132.40822180996832</v>
      </c>
      <c r="BK158" s="82">
        <f t="shared" si="50"/>
        <v>-0.32259725859913146</v>
      </c>
      <c r="BL158">
        <v>97</v>
      </c>
      <c r="BM158">
        <v>78433.427743167282</v>
      </c>
      <c r="BN158" t="s">
        <v>82</v>
      </c>
      <c r="BO158">
        <v>97</v>
      </c>
      <c r="BP158">
        <v>131.6076622421225</v>
      </c>
      <c r="BQ158" s="82">
        <f t="shared" si="51"/>
        <v>-0.31156161858183395</v>
      </c>
      <c r="BR158">
        <v>97</v>
      </c>
      <c r="BS158">
        <v>77225.005781495362</v>
      </c>
      <c r="BT158" t="s">
        <v>82</v>
      </c>
      <c r="BU158">
        <v>97</v>
      </c>
      <c r="BV158">
        <v>130.80804790266691</v>
      </c>
      <c r="BW158" s="82">
        <f t="shared" si="52"/>
        <v>-0.30052872904607852</v>
      </c>
      <c r="BX158">
        <v>97</v>
      </c>
      <c r="BY158">
        <v>76079.649970638682</v>
      </c>
      <c r="BZ158" t="s">
        <v>82</v>
      </c>
      <c r="CA158">
        <v>97</v>
      </c>
      <c r="CB158">
        <v>130.05157473737751</v>
      </c>
      <c r="CC158" s="82">
        <f t="shared" si="53"/>
        <v>-0.28985372784572405</v>
      </c>
      <c r="CD158">
        <v>97</v>
      </c>
      <c r="CE158">
        <v>75032.401380952273</v>
      </c>
      <c r="CF158" t="s">
        <v>82</v>
      </c>
      <c r="CG158">
        <v>97</v>
      </c>
      <c r="CH158">
        <v>129.33275917322609</v>
      </c>
      <c r="CI158" s="82">
        <f t="shared" si="54"/>
        <v>-0.27953638125822522</v>
      </c>
      <c r="CJ158">
        <v>97</v>
      </c>
      <c r="CK158">
        <v>74084.762488590248</v>
      </c>
      <c r="CL158" t="s">
        <v>82</v>
      </c>
      <c r="CM158">
        <v>97</v>
      </c>
      <c r="CN158">
        <v>128.64778098732339</v>
      </c>
      <c r="CO158" s="82">
        <f t="shared" si="55"/>
        <v>-0.26957684891729627</v>
      </c>
      <c r="CP158">
        <v>97</v>
      </c>
      <c r="CQ158">
        <v>73237.695932124348</v>
      </c>
      <c r="CR158" t="s">
        <v>82</v>
      </c>
      <c r="CS158">
        <v>97</v>
      </c>
      <c r="CT158">
        <v>127.99415506514572</v>
      </c>
      <c r="CU158" s="82">
        <f t="shared" si="56"/>
        <v>-0.25997757124315513</v>
      </c>
      <c r="CV158">
        <v>97</v>
      </c>
      <c r="CW158">
        <v>72491.82129689178</v>
      </c>
      <c r="CX158" t="s">
        <v>82</v>
      </c>
      <c r="CY158">
        <v>97</v>
      </c>
      <c r="CZ158">
        <v>127.34979379744865</v>
      </c>
      <c r="DA158" s="82">
        <f t="shared" si="57"/>
        <v>-0.2505659772612745</v>
      </c>
      <c r="DB158">
        <v>97</v>
      </c>
      <c r="DC158">
        <v>71838.625097822107</v>
      </c>
      <c r="DD158" t="s">
        <v>82</v>
      </c>
      <c r="DG158" s="82">
        <f t="shared" si="58"/>
        <v>0</v>
      </c>
      <c r="DM158" s="82">
        <f t="shared" si="59"/>
        <v>0</v>
      </c>
    </row>
    <row r="159" spans="1:117" x14ac:dyDescent="0.2">
      <c r="A159">
        <v>99</v>
      </c>
      <c r="B159">
        <v>139.74870076798192</v>
      </c>
      <c r="C159" s="82">
        <f t="shared" si="40"/>
        <v>-0.43471644997183034</v>
      </c>
      <c r="D159">
        <v>99</v>
      </c>
      <c r="E159">
        <v>93449.406367885371</v>
      </c>
      <c r="F159" t="s">
        <v>82</v>
      </c>
      <c r="G159">
        <v>99</v>
      </c>
      <c r="H159">
        <v>138.99238856577688</v>
      </c>
      <c r="I159" s="82">
        <f t="shared" si="41"/>
        <v>-0.4244075962138254</v>
      </c>
      <c r="J159">
        <v>99</v>
      </c>
      <c r="K159">
        <v>91939.274838026526</v>
      </c>
      <c r="L159" t="s">
        <v>82</v>
      </c>
      <c r="M159">
        <v>99</v>
      </c>
      <c r="N159">
        <v>138.23493773639129</v>
      </c>
      <c r="O159" s="82">
        <f t="shared" si="42"/>
        <v>-0.41393752085306801</v>
      </c>
      <c r="P159">
        <v>99</v>
      </c>
      <c r="Q159">
        <v>90429.394772662534</v>
      </c>
      <c r="R159" t="s">
        <v>82</v>
      </c>
      <c r="S159">
        <v>99</v>
      </c>
      <c r="T159">
        <v>137.47510830129218</v>
      </c>
      <c r="U159" s="82">
        <f t="shared" si="43"/>
        <v>-0.40331577071111724</v>
      </c>
      <c r="V159">
        <v>99</v>
      </c>
      <c r="W159">
        <v>88923.968619258725</v>
      </c>
      <c r="X159" t="s">
        <v>82</v>
      </c>
      <c r="Y159">
        <v>99</v>
      </c>
      <c r="Z159">
        <v>136.71338155865138</v>
      </c>
      <c r="AA159" s="82">
        <f t="shared" si="44"/>
        <v>-0.39255694120927842</v>
      </c>
      <c r="AB159">
        <v>99</v>
      </c>
      <c r="AC159">
        <v>87427.870366932562</v>
      </c>
      <c r="AD159" t="s">
        <v>82</v>
      </c>
      <c r="AE159">
        <v>99</v>
      </c>
      <c r="AF159">
        <v>135.94986507072261</v>
      </c>
      <c r="AG159" s="82">
        <f t="shared" si="45"/>
        <v>-0.38168332156118367</v>
      </c>
      <c r="AH159">
        <v>99</v>
      </c>
      <c r="AI159">
        <v>85947.470256498826</v>
      </c>
      <c r="AJ159" t="s">
        <v>82</v>
      </c>
      <c r="AK159">
        <v>99</v>
      </c>
      <c r="AL159">
        <v>135.18424697513629</v>
      </c>
      <c r="AM159" s="82">
        <f t="shared" si="46"/>
        <v>-0.37070816147453911</v>
      </c>
      <c r="AN159">
        <v>99</v>
      </c>
      <c r="AO159">
        <v>84488.098059538446</v>
      </c>
      <c r="AP159" t="s">
        <v>82</v>
      </c>
      <c r="AQ159">
        <v>99</v>
      </c>
      <c r="AR159">
        <v>134.41427815799958</v>
      </c>
      <c r="AS159" s="82">
        <f t="shared" si="47"/>
        <v>-0.35962583296478101</v>
      </c>
      <c r="AT159">
        <v>99</v>
      </c>
      <c r="AU159">
        <v>83053.178792174047</v>
      </c>
      <c r="AV159" t="s">
        <v>82</v>
      </c>
      <c r="AW159">
        <v>99</v>
      </c>
      <c r="AX159">
        <v>133.64125963243475</v>
      </c>
      <c r="AY159" s="82">
        <f t="shared" si="48"/>
        <v>-0.34846639489325071</v>
      </c>
      <c r="AZ159">
        <v>99</v>
      </c>
      <c r="BA159">
        <v>81650.965390038895</v>
      </c>
      <c r="BB159" t="s">
        <v>82</v>
      </c>
      <c r="BC159">
        <v>99</v>
      </c>
      <c r="BD159">
        <v>132.86500395880734</v>
      </c>
      <c r="BE159" s="82">
        <f t="shared" si="49"/>
        <v>-0.33724204943916902</v>
      </c>
      <c r="BF159">
        <v>99</v>
      </c>
      <c r="BG159">
        <v>80287.824755311798</v>
      </c>
      <c r="BH159" t="s">
        <v>82</v>
      </c>
      <c r="BI159">
        <v>99</v>
      </c>
      <c r="BJ159">
        <v>132.08227349954345</v>
      </c>
      <c r="BK159" s="82">
        <f t="shared" si="50"/>
        <v>-0.32594831042487726</v>
      </c>
      <c r="BL159">
        <v>99</v>
      </c>
      <c r="BM159">
        <v>78969.280899203965</v>
      </c>
      <c r="BN159" t="s">
        <v>82</v>
      </c>
      <c r="BO159">
        <v>99</v>
      </c>
      <c r="BP159">
        <v>131.29306524329627</v>
      </c>
      <c r="BQ159" s="82">
        <f t="shared" si="51"/>
        <v>-0.31459699882623227</v>
      </c>
      <c r="BR159">
        <v>99</v>
      </c>
      <c r="BS159">
        <v>77703.051834120735</v>
      </c>
      <c r="BT159" t="s">
        <v>82</v>
      </c>
      <c r="BU159">
        <v>99</v>
      </c>
      <c r="BV159">
        <v>130.50477631246014</v>
      </c>
      <c r="BW159" s="82">
        <f t="shared" si="52"/>
        <v>-0.30327159020677641</v>
      </c>
      <c r="BX159">
        <v>99</v>
      </c>
      <c r="BY159">
        <v>76504.274872674141</v>
      </c>
      <c r="BZ159" t="s">
        <v>82</v>
      </c>
      <c r="CA159">
        <v>99</v>
      </c>
      <c r="CB159">
        <v>129.75923848561956</v>
      </c>
      <c r="CC159" s="82">
        <f t="shared" si="53"/>
        <v>-0.29233625175794486</v>
      </c>
      <c r="CD159">
        <v>99</v>
      </c>
      <c r="CE159">
        <v>75409.585790152429</v>
      </c>
      <c r="CF159" t="s">
        <v>82</v>
      </c>
      <c r="CG159">
        <v>99</v>
      </c>
      <c r="CH159">
        <v>129.05097309444744</v>
      </c>
      <c r="CI159" s="82">
        <f t="shared" si="54"/>
        <v>-0.28178607877865147</v>
      </c>
      <c r="CJ159">
        <v>99</v>
      </c>
      <c r="CK159">
        <v>74419.625262925591</v>
      </c>
      <c r="CL159" t="s">
        <v>82</v>
      </c>
      <c r="CM159">
        <v>99</v>
      </c>
      <c r="CN159">
        <v>128.37616318987261</v>
      </c>
      <c r="CO159" s="82">
        <f t="shared" si="55"/>
        <v>-0.27161779745077297</v>
      </c>
      <c r="CP159">
        <v>99</v>
      </c>
      <c r="CQ159">
        <v>73534.714879087303</v>
      </c>
      <c r="CR159" t="s">
        <v>82</v>
      </c>
      <c r="CS159">
        <v>99</v>
      </c>
      <c r="CT159">
        <v>127.73232391500346</v>
      </c>
      <c r="CU159" s="82">
        <f t="shared" si="56"/>
        <v>-0.26183115014225677</v>
      </c>
      <c r="CV159">
        <v>99</v>
      </c>
      <c r="CW159">
        <v>72754.96695899016</v>
      </c>
      <c r="CX159" t="s">
        <v>82</v>
      </c>
      <c r="CY159">
        <v>99</v>
      </c>
      <c r="CZ159">
        <v>127.09754610314795</v>
      </c>
      <c r="DA159" s="82">
        <f t="shared" si="57"/>
        <v>-0.25224769430070637</v>
      </c>
      <c r="DB159">
        <v>99</v>
      </c>
      <c r="DC159">
        <v>72070.80425446936</v>
      </c>
      <c r="DD159" t="s">
        <v>82</v>
      </c>
      <c r="DG159" s="82">
        <f t="shared" si="58"/>
        <v>0</v>
      </c>
      <c r="DM159" s="82">
        <f t="shared" si="59"/>
        <v>0</v>
      </c>
    </row>
    <row r="160" spans="1:117" x14ac:dyDescent="0.2">
      <c r="A160">
        <v>101</v>
      </c>
      <c r="B160">
        <v>139.30599577268015</v>
      </c>
      <c r="C160" s="82">
        <f t="shared" si="40"/>
        <v>-0.44270499530176721</v>
      </c>
      <c r="D160">
        <v>101</v>
      </c>
      <c r="E160">
        <v>94847.212833026744</v>
      </c>
      <c r="F160" t="s">
        <v>82</v>
      </c>
      <c r="G160">
        <v>101</v>
      </c>
      <c r="H160">
        <v>138.56058257822698</v>
      </c>
      <c r="I160" s="82">
        <f t="shared" si="41"/>
        <v>-0.43180598754989319</v>
      </c>
      <c r="J160">
        <v>101</v>
      </c>
      <c r="K160">
        <v>93226.600804441681</v>
      </c>
      <c r="L160" t="s">
        <v>82</v>
      </c>
      <c r="M160">
        <v>101</v>
      </c>
      <c r="N160">
        <v>137.81416056721031</v>
      </c>
      <c r="O160" s="82">
        <f t="shared" si="42"/>
        <v>-0.42077716918097963</v>
      </c>
      <c r="P160">
        <v>101</v>
      </c>
      <c r="Q160">
        <v>91612.314074518654</v>
      </c>
      <c r="R160" t="s">
        <v>82</v>
      </c>
      <c r="S160">
        <v>101</v>
      </c>
      <c r="T160">
        <v>137.06548164285167</v>
      </c>
      <c r="U160" s="82">
        <f t="shared" si="43"/>
        <v>-0.40962665844051571</v>
      </c>
      <c r="V160">
        <v>101</v>
      </c>
      <c r="W160">
        <v>90008.270983352835</v>
      </c>
      <c r="X160" t="s">
        <v>82</v>
      </c>
      <c r="Y160">
        <v>101</v>
      </c>
      <c r="Z160">
        <v>136.31501312286863</v>
      </c>
      <c r="AA160" s="82">
        <f t="shared" si="44"/>
        <v>-0.39836843578274284</v>
      </c>
      <c r="AB160">
        <v>101</v>
      </c>
      <c r="AC160">
        <v>88419.211224907427</v>
      </c>
      <c r="AD160" t="s">
        <v>82</v>
      </c>
      <c r="AE160">
        <v>101</v>
      </c>
      <c r="AF160">
        <v>135.5628408751428</v>
      </c>
      <c r="AG160" s="82">
        <f t="shared" si="45"/>
        <v>-0.38702419557981216</v>
      </c>
      <c r="AH160">
        <v>101</v>
      </c>
      <c r="AI160">
        <v>86851.376783373606</v>
      </c>
      <c r="AJ160" t="s">
        <v>82</v>
      </c>
      <c r="AK160">
        <v>101</v>
      </c>
      <c r="AL160">
        <v>134.80864079477459</v>
      </c>
      <c r="AM160" s="82">
        <f t="shared" si="46"/>
        <v>-0.37560618036170013</v>
      </c>
      <c r="AN160">
        <v>101</v>
      </c>
      <c r="AO160">
        <v>85309.894264704315</v>
      </c>
      <c r="AP160" t="s">
        <v>82</v>
      </c>
      <c r="AQ160">
        <v>101</v>
      </c>
      <c r="AR160">
        <v>134.05017126837808</v>
      </c>
      <c r="AS160" s="82">
        <f t="shared" si="47"/>
        <v>-0.36410688962149607</v>
      </c>
      <c r="AT160">
        <v>101</v>
      </c>
      <c r="AU160">
        <v>83797.829469841672</v>
      </c>
      <c r="AV160" t="s">
        <v>82</v>
      </c>
      <c r="AW160">
        <v>101</v>
      </c>
      <c r="AX160">
        <v>133.28870331085457</v>
      </c>
      <c r="AY160" s="82">
        <f t="shared" si="48"/>
        <v>-0.35255632158018102</v>
      </c>
      <c r="AZ160">
        <v>101</v>
      </c>
      <c r="BA160">
        <v>82323.408056733198</v>
      </c>
      <c r="BB160" t="s">
        <v>82</v>
      </c>
      <c r="BC160">
        <v>101</v>
      </c>
      <c r="BD160">
        <v>132.52403822015117</v>
      </c>
      <c r="BE160" s="82">
        <f t="shared" si="49"/>
        <v>-0.3409657386561662</v>
      </c>
      <c r="BF160">
        <v>101</v>
      </c>
      <c r="BG160">
        <v>80892.809881409965</v>
      </c>
      <c r="BH160" t="s">
        <v>82</v>
      </c>
      <c r="BI160">
        <v>101</v>
      </c>
      <c r="BJ160">
        <v>131.75294461219747</v>
      </c>
      <c r="BK160" s="82">
        <f t="shared" si="50"/>
        <v>-0.32932888734598009</v>
      </c>
      <c r="BL160">
        <v>101</v>
      </c>
      <c r="BM160">
        <v>79511.225441256363</v>
      </c>
      <c r="BN160" t="s">
        <v>82</v>
      </c>
      <c r="BO160">
        <v>101</v>
      </c>
      <c r="BP160">
        <v>130.97540834786983</v>
      </c>
      <c r="BQ160" s="82">
        <f t="shared" si="51"/>
        <v>-0.31765689542643827</v>
      </c>
      <c r="BR160">
        <v>101</v>
      </c>
      <c r="BS160">
        <v>78186.233166755963</v>
      </c>
      <c r="BT160" t="s">
        <v>82</v>
      </c>
      <c r="BU160">
        <v>101</v>
      </c>
      <c r="BV160">
        <v>130.19874165277866</v>
      </c>
      <c r="BW160" s="82">
        <f t="shared" si="52"/>
        <v>-0.30603465968147248</v>
      </c>
      <c r="BX160">
        <v>101</v>
      </c>
      <c r="BY160">
        <v>76933.212733995068</v>
      </c>
      <c r="BZ160" t="s">
        <v>82</v>
      </c>
      <c r="CA160">
        <v>101</v>
      </c>
      <c r="CB160">
        <v>129.46440319208543</v>
      </c>
      <c r="CC160" s="82">
        <f t="shared" si="53"/>
        <v>-0.29483529353413473</v>
      </c>
      <c r="CD160">
        <v>101</v>
      </c>
      <c r="CE160">
        <v>75790.382460836263</v>
      </c>
      <c r="CF160" t="s">
        <v>82</v>
      </c>
      <c r="CG160">
        <v>101</v>
      </c>
      <c r="CH160">
        <v>128.76692387112215</v>
      </c>
      <c r="CI160" s="82">
        <f t="shared" si="54"/>
        <v>-0.28404922332529736</v>
      </c>
      <c r="CJ160">
        <v>101</v>
      </c>
      <c r="CK160">
        <v>74757.517277369334</v>
      </c>
      <c r="CL160" t="s">
        <v>82</v>
      </c>
      <c r="CM160">
        <v>101</v>
      </c>
      <c r="CN160">
        <v>128.10249352221075</v>
      </c>
      <c r="CO160" s="82">
        <f t="shared" si="55"/>
        <v>-0.27366966766186351</v>
      </c>
      <c r="CP160">
        <v>101</v>
      </c>
      <c r="CQ160">
        <v>73834.282321203937</v>
      </c>
      <c r="CR160" t="s">
        <v>82</v>
      </c>
      <c r="CS160">
        <v>101</v>
      </c>
      <c r="CT160">
        <v>127.46863033001877</v>
      </c>
      <c r="CU160" s="82">
        <f t="shared" si="56"/>
        <v>-0.26369358498469353</v>
      </c>
      <c r="CV160">
        <v>101</v>
      </c>
      <c r="CW160">
        <v>73020.266071010818</v>
      </c>
      <c r="CX160" t="s">
        <v>82</v>
      </c>
      <c r="CY160">
        <v>101</v>
      </c>
      <c r="CZ160">
        <v>126.8436095607771</v>
      </c>
      <c r="DA160" s="82">
        <f t="shared" si="57"/>
        <v>-0.25393654237085173</v>
      </c>
      <c r="DB160">
        <v>101</v>
      </c>
      <c r="DC160">
        <v>72304.805019143809</v>
      </c>
      <c r="DD160" t="s">
        <v>82</v>
      </c>
      <c r="DG160" s="82">
        <f t="shared" si="58"/>
        <v>0</v>
      </c>
      <c r="DM160" s="82">
        <f t="shared" si="59"/>
        <v>0</v>
      </c>
    </row>
    <row r="161" spans="1:117" x14ac:dyDescent="0.2">
      <c r="A161">
        <v>103</v>
      </c>
      <c r="B161">
        <v>138.85515369948467</v>
      </c>
      <c r="C161" s="82">
        <f t="shared" si="40"/>
        <v>-0.45084207319547431</v>
      </c>
      <c r="D161">
        <v>103</v>
      </c>
      <c r="E161">
        <v>96273.715979225919</v>
      </c>
      <c r="F161" t="s">
        <v>82</v>
      </c>
      <c r="G161">
        <v>103</v>
      </c>
      <c r="H161">
        <v>138.12124946170118</v>
      </c>
      <c r="I161" s="82">
        <f t="shared" si="41"/>
        <v>-0.43933311652580187</v>
      </c>
      <c r="J161">
        <v>103</v>
      </c>
      <c r="K161">
        <v>94538.858989000408</v>
      </c>
      <c r="L161" t="s">
        <v>82</v>
      </c>
      <c r="M161">
        <v>103</v>
      </c>
      <c r="N161">
        <v>137.38643254808534</v>
      </c>
      <c r="O161" s="82">
        <f t="shared" si="42"/>
        <v>-0.42772801912497016</v>
      </c>
      <c r="P161">
        <v>103</v>
      </c>
      <c r="Q161">
        <v>92816.832408561604</v>
      </c>
      <c r="R161" t="s">
        <v>82</v>
      </c>
      <c r="S161">
        <v>103</v>
      </c>
      <c r="T161">
        <v>136.64944838525938</v>
      </c>
      <c r="U161" s="82">
        <f t="shared" si="43"/>
        <v>-0.41603325759228937</v>
      </c>
      <c r="V161">
        <v>103</v>
      </c>
      <c r="W161">
        <v>91111.229054200361</v>
      </c>
      <c r="X161" t="s">
        <v>82</v>
      </c>
      <c r="Y161">
        <v>103</v>
      </c>
      <c r="Z161">
        <v>135.91075113100408</v>
      </c>
      <c r="AA161" s="82">
        <f t="shared" si="44"/>
        <v>-0.40426199186455847</v>
      </c>
      <c r="AB161">
        <v>103</v>
      </c>
      <c r="AC161">
        <v>89426.615176952153</v>
      </c>
      <c r="AD161" t="s">
        <v>82</v>
      </c>
      <c r="AE161">
        <v>103</v>
      </c>
      <c r="AF161">
        <v>135.17040573535817</v>
      </c>
      <c r="AG161" s="82">
        <f t="shared" si="45"/>
        <v>-0.39243513978462374</v>
      </c>
      <c r="AH161">
        <v>103</v>
      </c>
      <c r="AI161">
        <v>87769.069686782357</v>
      </c>
      <c r="AJ161" t="s">
        <v>82</v>
      </c>
      <c r="AK161">
        <v>103</v>
      </c>
      <c r="AL161">
        <v>134.42807703039099</v>
      </c>
      <c r="AM161" s="82">
        <f t="shared" si="46"/>
        <v>-0.38056376438359507</v>
      </c>
      <c r="AN161">
        <v>103</v>
      </c>
      <c r="AO161">
        <v>86143.482926161785</v>
      </c>
      <c r="AP161" t="s">
        <v>82</v>
      </c>
      <c r="AQ161">
        <v>103</v>
      </c>
      <c r="AR161">
        <v>133.68153293063682</v>
      </c>
      <c r="AS161" s="82">
        <f t="shared" si="47"/>
        <v>-0.36863833774125965</v>
      </c>
      <c r="AT161">
        <v>103</v>
      </c>
      <c r="AU161">
        <v>84552.531228917345</v>
      </c>
      <c r="AV161" t="s">
        <v>82</v>
      </c>
      <c r="AW161">
        <v>103</v>
      </c>
      <c r="AX161">
        <v>132.93201465687289</v>
      </c>
      <c r="AY161" s="82">
        <f t="shared" si="48"/>
        <v>-0.35668865398167782</v>
      </c>
      <c r="AZ161">
        <v>103</v>
      </c>
      <c r="BA161">
        <v>83004.38599054623</v>
      </c>
      <c r="BB161" t="s">
        <v>82</v>
      </c>
      <c r="BC161">
        <v>103</v>
      </c>
      <c r="BD161">
        <v>132.1793133163184</v>
      </c>
      <c r="BE161" s="82">
        <f t="shared" si="49"/>
        <v>-0.34472490383276977</v>
      </c>
      <c r="BF161">
        <v>103</v>
      </c>
      <c r="BG161">
        <v>81505.014805238272</v>
      </c>
      <c r="BH161" t="s">
        <v>82</v>
      </c>
      <c r="BI161">
        <v>103</v>
      </c>
      <c r="BJ161">
        <v>131.42020565419531</v>
      </c>
      <c r="BK161" s="82">
        <f t="shared" si="50"/>
        <v>-0.33273895800215314</v>
      </c>
      <c r="BL161">
        <v>103</v>
      </c>
      <c r="BM161">
        <v>80059.253240390652</v>
      </c>
      <c r="BN161" t="s">
        <v>82</v>
      </c>
      <c r="BO161">
        <v>103</v>
      </c>
      <c r="BP161">
        <v>130.65466720752738</v>
      </c>
      <c r="BQ161" s="82">
        <f t="shared" si="51"/>
        <v>-0.32074114034244872</v>
      </c>
      <c r="BR161">
        <v>103</v>
      </c>
      <c r="BS161">
        <v>78674.519224987846</v>
      </c>
      <c r="BT161" t="s">
        <v>82</v>
      </c>
      <c r="BU161">
        <v>103</v>
      </c>
      <c r="BV161">
        <v>129.88992397606054</v>
      </c>
      <c r="BW161" s="82">
        <f t="shared" si="52"/>
        <v>-0.30881767671812099</v>
      </c>
      <c r="BX161">
        <v>103</v>
      </c>
      <c r="BY161">
        <v>77366.41801941306</v>
      </c>
      <c r="BZ161" t="s">
        <v>82</v>
      </c>
      <c r="CA161">
        <v>103</v>
      </c>
      <c r="CB161">
        <v>129.16705261661068</v>
      </c>
      <c r="CC161" s="82">
        <f t="shared" si="53"/>
        <v>-0.29735057547475208</v>
      </c>
      <c r="CD161">
        <v>103</v>
      </c>
      <c r="CE161">
        <v>76174.743370197146</v>
      </c>
      <c r="CF161" t="s">
        <v>82</v>
      </c>
      <c r="CG161">
        <v>103</v>
      </c>
      <c r="CH161">
        <v>128.48059832278739</v>
      </c>
      <c r="CI161" s="82">
        <f t="shared" si="54"/>
        <v>-0.28632554833475865</v>
      </c>
      <c r="CJ161">
        <v>103</v>
      </c>
      <c r="CK161">
        <v>75098.392650534006</v>
      </c>
      <c r="CL161" t="s">
        <v>82</v>
      </c>
      <c r="CM161">
        <v>103</v>
      </c>
      <c r="CN161">
        <v>127.82676130830009</v>
      </c>
      <c r="CO161" s="82">
        <f t="shared" si="55"/>
        <v>-0.27573221391065772</v>
      </c>
      <c r="CP161">
        <v>103</v>
      </c>
      <c r="CQ161">
        <v>74136.356122916302</v>
      </c>
      <c r="CR161" t="s">
        <v>82</v>
      </c>
      <c r="CS161">
        <v>103</v>
      </c>
      <c r="CT161">
        <v>127.20306567639804</v>
      </c>
      <c r="CU161" s="82">
        <f t="shared" si="56"/>
        <v>-0.26556465362072856</v>
      </c>
      <c r="CV161">
        <v>103</v>
      </c>
      <c r="CW161">
        <v>73287.680657086734</v>
      </c>
      <c r="CX161" t="s">
        <v>82</v>
      </c>
      <c r="CY161">
        <v>103</v>
      </c>
      <c r="CZ161">
        <v>126.58797723801185</v>
      </c>
      <c r="DA161" s="82">
        <f t="shared" si="57"/>
        <v>-0.25563232276525127</v>
      </c>
      <c r="DB161">
        <v>103</v>
      </c>
      <c r="DC161">
        <v>72540.59354521324</v>
      </c>
      <c r="DD161" t="s">
        <v>82</v>
      </c>
      <c r="DG161" s="82">
        <f t="shared" si="58"/>
        <v>0</v>
      </c>
      <c r="DM161" s="82">
        <f t="shared" si="59"/>
        <v>0</v>
      </c>
    </row>
    <row r="162" spans="1:117" x14ac:dyDescent="0.2">
      <c r="A162">
        <v>105</v>
      </c>
      <c r="B162">
        <v>138.39602202928546</v>
      </c>
      <c r="C162" s="82">
        <f t="shared" si="40"/>
        <v>-0.45913167019921275</v>
      </c>
      <c r="D162">
        <v>105</v>
      </c>
      <c r="E162">
        <v>97729.606548349577</v>
      </c>
      <c r="F162" t="s">
        <v>82</v>
      </c>
      <c r="G162">
        <v>105</v>
      </c>
      <c r="H162">
        <v>137.67425731526967</v>
      </c>
      <c r="I162" s="82">
        <f t="shared" si="41"/>
        <v>-0.44699214643151208</v>
      </c>
      <c r="J162">
        <v>105</v>
      </c>
      <c r="K162">
        <v>95876.594443381662</v>
      </c>
      <c r="L162" t="s">
        <v>82</v>
      </c>
      <c r="M162">
        <v>105</v>
      </c>
      <c r="N162">
        <v>136.95164001100409</v>
      </c>
      <c r="O162" s="82">
        <f t="shared" si="42"/>
        <v>-0.43479253708125043</v>
      </c>
      <c r="P162">
        <v>105</v>
      </c>
      <c r="Q162">
        <v>94043.372049731202</v>
      </c>
      <c r="R162" t="s">
        <v>82</v>
      </c>
      <c r="S162">
        <v>105</v>
      </c>
      <c r="T162">
        <v>136.22691094038322</v>
      </c>
      <c r="U162" s="82">
        <f t="shared" si="43"/>
        <v>-0.42253744487615563</v>
      </c>
      <c r="V162">
        <v>105</v>
      </c>
      <c r="W162">
        <v>92233.161777374888</v>
      </c>
      <c r="X162" t="s">
        <v>82</v>
      </c>
      <c r="Y162">
        <v>105</v>
      </c>
      <c r="Z162">
        <v>135.50051213700806</v>
      </c>
      <c r="AA162" s="82">
        <f t="shared" si="44"/>
        <v>-0.4102389939960176</v>
      </c>
      <c r="AB162">
        <v>105</v>
      </c>
      <c r="AC162">
        <v>90450.315417117497</v>
      </c>
      <c r="AD162" t="s">
        <v>82</v>
      </c>
      <c r="AE162">
        <v>105</v>
      </c>
      <c r="AF162">
        <v>134.77248860242281</v>
      </c>
      <c r="AG162" s="82">
        <f t="shared" si="45"/>
        <v>-0.39791713293536191</v>
      </c>
      <c r="AH162">
        <v>105</v>
      </c>
      <c r="AI162">
        <v>88700.711889843893</v>
      </c>
      <c r="AJ162" t="s">
        <v>82</v>
      </c>
      <c r="AK162">
        <v>105</v>
      </c>
      <c r="AL162">
        <v>134.04249546875039</v>
      </c>
      <c r="AM162" s="82">
        <f t="shared" si="46"/>
        <v>-0.3855815616406062</v>
      </c>
      <c r="AN162">
        <v>105</v>
      </c>
      <c r="AO162">
        <v>86988.970085652065</v>
      </c>
      <c r="AP162" t="s">
        <v>82</v>
      </c>
      <c r="AQ162">
        <v>105</v>
      </c>
      <c r="AR162">
        <v>133.30831237604252</v>
      </c>
      <c r="AS162" s="82">
        <f t="shared" si="47"/>
        <v>-0.37322055459429748</v>
      </c>
      <c r="AT162">
        <v>105</v>
      </c>
      <c r="AU162">
        <v>85317.34391624156</v>
      </c>
      <c r="AV162" t="s">
        <v>82</v>
      </c>
      <c r="AW162">
        <v>105</v>
      </c>
      <c r="AX162">
        <v>132.57115110193064</v>
      </c>
      <c r="AY162" s="82">
        <f t="shared" si="48"/>
        <v>-0.36086355494225586</v>
      </c>
      <c r="AZ162">
        <v>105</v>
      </c>
      <c r="BA162">
        <v>83693.922777627129</v>
      </c>
      <c r="BB162" t="s">
        <v>82</v>
      </c>
      <c r="BC162">
        <v>105</v>
      </c>
      <c r="BD162">
        <v>131.8307937738472</v>
      </c>
      <c r="BE162" s="82">
        <f t="shared" si="49"/>
        <v>-0.34851954247119465</v>
      </c>
      <c r="BF162">
        <v>105</v>
      </c>
      <c r="BG162">
        <v>82124.435425525269</v>
      </c>
      <c r="BH162" t="s">
        <v>82</v>
      </c>
      <c r="BI162">
        <v>105</v>
      </c>
      <c r="BJ162">
        <v>131.08402726379842</v>
      </c>
      <c r="BK162" s="82">
        <f t="shared" si="50"/>
        <v>-0.33617839039689557</v>
      </c>
      <c r="BL162">
        <v>105</v>
      </c>
      <c r="BM162">
        <v>80613.338792766852</v>
      </c>
      <c r="BN162" t="s">
        <v>82</v>
      </c>
      <c r="BO162">
        <v>105</v>
      </c>
      <c r="BP162">
        <v>130.33081770307143</v>
      </c>
      <c r="BQ162" s="82">
        <f t="shared" si="51"/>
        <v>-0.32384950445594995</v>
      </c>
      <c r="BR162">
        <v>105</v>
      </c>
      <c r="BS162">
        <v>79167.868708297465</v>
      </c>
      <c r="BT162" t="s">
        <v>82</v>
      </c>
      <c r="BU162">
        <v>105</v>
      </c>
      <c r="BV162">
        <v>129.57830362538164</v>
      </c>
      <c r="BW162" s="82">
        <f t="shared" si="52"/>
        <v>-0.3116203506789077</v>
      </c>
      <c r="BX162">
        <v>105</v>
      </c>
      <c r="BY162">
        <v>77803.83967702587</v>
      </c>
      <c r="BZ162" t="s">
        <v>82</v>
      </c>
      <c r="CA162">
        <v>105</v>
      </c>
      <c r="CB162">
        <v>128.86717081342837</v>
      </c>
      <c r="CC162" s="82">
        <f t="shared" si="53"/>
        <v>-0.29988180318230206</v>
      </c>
      <c r="CD162">
        <v>105</v>
      </c>
      <c r="CE162">
        <v>76562.61722873064</v>
      </c>
      <c r="CF162" t="s">
        <v>82</v>
      </c>
      <c r="CG162">
        <v>105</v>
      </c>
      <c r="CH162">
        <v>128.1919835460825</v>
      </c>
      <c r="CI162" s="82">
        <f t="shared" si="54"/>
        <v>-0.28861477670488966</v>
      </c>
      <c r="CJ162">
        <v>105</v>
      </c>
      <c r="CK162">
        <v>75442.203324410482</v>
      </c>
      <c r="CL162" t="s">
        <v>82</v>
      </c>
      <c r="CM162">
        <v>105</v>
      </c>
      <c r="CN162">
        <v>127.54895612497286</v>
      </c>
      <c r="CO162" s="82">
        <f t="shared" si="55"/>
        <v>-0.27780518332723148</v>
      </c>
      <c r="CP162">
        <v>105</v>
      </c>
      <c r="CQ162">
        <v>74440.892585156122</v>
      </c>
      <c r="CR162" t="s">
        <v>82</v>
      </c>
      <c r="CS162">
        <v>105</v>
      </c>
      <c r="CT162">
        <v>126.93562154766479</v>
      </c>
      <c r="CU162" s="82">
        <f t="shared" si="56"/>
        <v>-0.26744412873324563</v>
      </c>
      <c r="CV162">
        <v>105</v>
      </c>
      <c r="CW162">
        <v>73557.171564035481</v>
      </c>
      <c r="CX162" t="s">
        <v>82</v>
      </c>
      <c r="CY162">
        <v>105</v>
      </c>
      <c r="CZ162">
        <v>126.33064240489234</v>
      </c>
      <c r="DA162" s="82">
        <f t="shared" si="57"/>
        <v>-0.25733483311950067</v>
      </c>
      <c r="DB162">
        <v>105</v>
      </c>
      <c r="DC162">
        <v>72778.135106515532</v>
      </c>
      <c r="DD162" t="s">
        <v>82</v>
      </c>
      <c r="DG162" s="82">
        <f t="shared" si="58"/>
        <v>0</v>
      </c>
      <c r="DM162" s="82">
        <f t="shared" si="59"/>
        <v>0</v>
      </c>
    </row>
    <row r="163" spans="1:117" x14ac:dyDescent="0.2">
      <c r="A163">
        <v>107</v>
      </c>
      <c r="B163">
        <v>137.92844498591052</v>
      </c>
      <c r="C163" s="82">
        <f t="shared" si="40"/>
        <v>-0.46757704337494488</v>
      </c>
      <c r="D163">
        <v>107</v>
      </c>
      <c r="E163">
        <v>99215.448344471384</v>
      </c>
      <c r="F163" t="s">
        <v>82</v>
      </c>
      <c r="G163">
        <v>107</v>
      </c>
      <c r="H163">
        <v>137.21947171108081</v>
      </c>
      <c r="I163" s="82">
        <f t="shared" si="41"/>
        <v>-0.4547856041888565</v>
      </c>
      <c r="J163">
        <v>107</v>
      </c>
      <c r="K163">
        <v>97240.241774293783</v>
      </c>
      <c r="L163" t="s">
        <v>82</v>
      </c>
      <c r="M163">
        <v>107</v>
      </c>
      <c r="N163">
        <v>136.50966737165945</v>
      </c>
      <c r="O163" s="82">
        <f t="shared" si="42"/>
        <v>-0.44197263934464104</v>
      </c>
      <c r="P163">
        <v>107</v>
      </c>
      <c r="Q163">
        <v>95292.260024062576</v>
      </c>
      <c r="R163" t="s">
        <v>82</v>
      </c>
      <c r="S163">
        <v>107</v>
      </c>
      <c r="T163">
        <v>135.79777031312844</v>
      </c>
      <c r="U163" s="82">
        <f t="shared" si="43"/>
        <v>-0.42914062725478175</v>
      </c>
      <c r="V163">
        <v>107</v>
      </c>
      <c r="W163">
        <v>93374.306914327157</v>
      </c>
      <c r="X163" t="s">
        <v>82</v>
      </c>
      <c r="Y163">
        <v>107</v>
      </c>
      <c r="Z163">
        <v>135.08421170632894</v>
      </c>
      <c r="AA163" s="82">
        <f t="shared" si="44"/>
        <v>-0.41630043067911515</v>
      </c>
      <c r="AB163">
        <v>107</v>
      </c>
      <c r="AC163">
        <v>91490.476789052642</v>
      </c>
      <c r="AD163" t="s">
        <v>82</v>
      </c>
      <c r="AE163">
        <v>107</v>
      </c>
      <c r="AF163">
        <v>134.36901777782205</v>
      </c>
      <c r="AG163" s="82">
        <f t="shared" si="45"/>
        <v>-0.40347082460075967</v>
      </c>
      <c r="AH163">
        <v>107</v>
      </c>
      <c r="AI163">
        <v>89646.409556548999</v>
      </c>
      <c r="AJ163" t="s">
        <v>82</v>
      </c>
      <c r="AK163">
        <v>107</v>
      </c>
      <c r="AL163">
        <v>133.65183551764051</v>
      </c>
      <c r="AM163" s="82">
        <f t="shared" si="46"/>
        <v>-0.39065995110988183</v>
      </c>
      <c r="AN163">
        <v>107</v>
      </c>
      <c r="AO163">
        <v>87846.415412437724</v>
      </c>
      <c r="AP163" t="s">
        <v>82</v>
      </c>
      <c r="AQ163">
        <v>107</v>
      </c>
      <c r="AR163">
        <v>132.93045867312475</v>
      </c>
      <c r="AS163" s="82">
        <f t="shared" si="47"/>
        <v>-0.37785370291777554</v>
      </c>
      <c r="AT163">
        <v>107</v>
      </c>
      <c r="AU163">
        <v>86092.290368469796</v>
      </c>
      <c r="AV163" t="s">
        <v>82</v>
      </c>
      <c r="AW163">
        <v>107</v>
      </c>
      <c r="AX163">
        <v>132.20607008106631</v>
      </c>
      <c r="AY163" s="82">
        <f t="shared" si="48"/>
        <v>-0.36508102086432359</v>
      </c>
      <c r="AZ163">
        <v>107</v>
      </c>
      <c r="BA163">
        <v>84392.013222988069</v>
      </c>
      <c r="BB163" t="s">
        <v>82</v>
      </c>
      <c r="BC163">
        <v>107</v>
      </c>
      <c r="BD163">
        <v>131.47844424656105</v>
      </c>
      <c r="BE163" s="82">
        <f t="shared" si="49"/>
        <v>-0.35234952728615099</v>
      </c>
      <c r="BF163">
        <v>107</v>
      </c>
      <c r="BG163">
        <v>82751.045976856418</v>
      </c>
      <c r="BH163" t="s">
        <v>82</v>
      </c>
      <c r="BI163">
        <v>107</v>
      </c>
      <c r="BJ163">
        <v>130.74438029907816</v>
      </c>
      <c r="BK163" s="82">
        <f t="shared" si="50"/>
        <v>-0.33964696472025935</v>
      </c>
      <c r="BL163">
        <v>107</v>
      </c>
      <c r="BM163">
        <v>81173.441212326041</v>
      </c>
      <c r="BN163" t="s">
        <v>82</v>
      </c>
      <c r="BO163">
        <v>107</v>
      </c>
      <c r="BP163">
        <v>130.00383600023781</v>
      </c>
      <c r="BQ163" s="82">
        <f t="shared" si="51"/>
        <v>-0.3269817028336206</v>
      </c>
      <c r="BR163">
        <v>107</v>
      </c>
      <c r="BS163">
        <v>79666.230349388643</v>
      </c>
      <c r="BT163" t="s">
        <v>82</v>
      </c>
      <c r="BU163">
        <v>107</v>
      </c>
      <c r="BV163">
        <v>129.26386126513125</v>
      </c>
      <c r="BW163" s="82">
        <f t="shared" si="52"/>
        <v>-0.31444236025038208</v>
      </c>
      <c r="BX163">
        <v>107</v>
      </c>
      <c r="BY163">
        <v>78245.420924600694</v>
      </c>
      <c r="BZ163" t="s">
        <v>82</v>
      </c>
      <c r="CA163">
        <v>107</v>
      </c>
      <c r="CB163">
        <v>128.56474215060237</v>
      </c>
      <c r="CC163" s="82">
        <f t="shared" si="53"/>
        <v>-0.30242866282600289</v>
      </c>
      <c r="CD163">
        <v>107</v>
      </c>
      <c r="CE163">
        <v>76953.948971278689</v>
      </c>
      <c r="CF163" t="s">
        <v>82</v>
      </c>
      <c r="CG163">
        <v>107</v>
      </c>
      <c r="CH163">
        <v>127.90106692846477</v>
      </c>
      <c r="CI163" s="82">
        <f t="shared" si="54"/>
        <v>-0.29091661761772514</v>
      </c>
      <c r="CJ163">
        <v>107</v>
      </c>
      <c r="CK163">
        <v>75788.89848526135</v>
      </c>
      <c r="CL163" t="s">
        <v>82</v>
      </c>
      <c r="CM163">
        <v>107</v>
      </c>
      <c r="CN163">
        <v>127.26906781227598</v>
      </c>
      <c r="CO163" s="82">
        <f t="shared" si="55"/>
        <v>-0.27988831269688319</v>
      </c>
      <c r="CP163">
        <v>107</v>
      </c>
      <c r="CQ163">
        <v>74747.845873972372</v>
      </c>
      <c r="CR163" t="s">
        <v>82</v>
      </c>
      <c r="CS163">
        <v>107</v>
      </c>
      <c r="CT163">
        <v>126.66628977271684</v>
      </c>
      <c r="CU163" s="82">
        <f t="shared" si="56"/>
        <v>-0.26933177494795757</v>
      </c>
      <c r="CV163">
        <v>107</v>
      </c>
      <c r="CW163">
        <v>73828.697942126484</v>
      </c>
      <c r="CX163" t="s">
        <v>82</v>
      </c>
      <c r="CY163">
        <v>107</v>
      </c>
      <c r="CZ163">
        <v>126.07159854013213</v>
      </c>
      <c r="DA163" s="82">
        <f t="shared" si="57"/>
        <v>-0.25904386476021557</v>
      </c>
      <c r="DB163">
        <v>107</v>
      </c>
      <c r="DC163">
        <v>73017.393610403145</v>
      </c>
      <c r="DD163" t="s">
        <v>82</v>
      </c>
      <c r="DG163" s="82">
        <f t="shared" si="58"/>
        <v>0</v>
      </c>
      <c r="DM163" s="82">
        <f t="shared" si="59"/>
        <v>0</v>
      </c>
    </row>
    <row r="164" spans="1:117" x14ac:dyDescent="0.2">
      <c r="A164">
        <v>109</v>
      </c>
      <c r="B164">
        <v>137.45226417802442</v>
      </c>
      <c r="C164" s="82">
        <f t="shared" si="40"/>
        <v>-0.47618080788609518</v>
      </c>
      <c r="D164">
        <v>109</v>
      </c>
      <c r="E164">
        <v>100731.69212464313</v>
      </c>
      <c r="F164" t="s">
        <v>82</v>
      </c>
      <c r="G164">
        <v>109</v>
      </c>
      <c r="H164">
        <v>136.75675625123904</v>
      </c>
      <c r="I164" s="82">
        <f t="shared" si="41"/>
        <v>-0.46271545984177465</v>
      </c>
      <c r="J164">
        <v>109</v>
      </c>
      <c r="K164">
        <v>98630.137808769592</v>
      </c>
      <c r="L164" t="s">
        <v>82</v>
      </c>
      <c r="M164">
        <v>109</v>
      </c>
      <c r="N164">
        <v>136.0603976085996</v>
      </c>
      <c r="O164" s="82">
        <f t="shared" si="42"/>
        <v>-0.44926976305984567</v>
      </c>
      <c r="P164">
        <v>109</v>
      </c>
      <c r="Q164">
        <v>96563.739434108866</v>
      </c>
      <c r="R164" t="s">
        <v>82</v>
      </c>
      <c r="S164">
        <v>109</v>
      </c>
      <c r="T164">
        <v>135.36192650913779</v>
      </c>
      <c r="U164" s="82">
        <f t="shared" si="43"/>
        <v>-0.43584380399065026</v>
      </c>
      <c r="V164">
        <v>109</v>
      </c>
      <c r="W164">
        <v>94534.830953570112</v>
      </c>
      <c r="X164" t="s">
        <v>82</v>
      </c>
      <c r="Y164">
        <v>109</v>
      </c>
      <c r="Z164">
        <v>134.66176475875599</v>
      </c>
      <c r="AA164" s="82">
        <f t="shared" si="44"/>
        <v>-0.42244694757295065</v>
      </c>
      <c r="AB164">
        <v>109</v>
      </c>
      <c r="AC164">
        <v>92547.204276829361</v>
      </c>
      <c r="AD164" t="s">
        <v>82</v>
      </c>
      <c r="AE164">
        <v>109</v>
      </c>
      <c r="AF164">
        <v>133.95992119805805</v>
      </c>
      <c r="AG164" s="82">
        <f t="shared" si="45"/>
        <v>-0.40909657976399671</v>
      </c>
      <c r="AH164">
        <v>109</v>
      </c>
      <c r="AI164">
        <v>90606.21920039304</v>
      </c>
      <c r="AJ164" t="s">
        <v>82</v>
      </c>
      <c r="AK164">
        <v>109</v>
      </c>
      <c r="AL164">
        <v>133.25603643857474</v>
      </c>
      <c r="AM164" s="82">
        <f t="shared" si="46"/>
        <v>-0.3957990790657675</v>
      </c>
      <c r="AN164">
        <v>109</v>
      </c>
      <c r="AO164">
        <v>88715.83795764386</v>
      </c>
      <c r="AP164" t="s">
        <v>82</v>
      </c>
      <c r="AQ164">
        <v>109</v>
      </c>
      <c r="AR164">
        <v>132.54792091368617</v>
      </c>
      <c r="AS164" s="82">
        <f t="shared" si="47"/>
        <v>-0.38253775943857704</v>
      </c>
      <c r="AT164">
        <v>109</v>
      </c>
      <c r="AU164">
        <v>86877.360928199021</v>
      </c>
      <c r="AV164" t="s">
        <v>82</v>
      </c>
      <c r="AW164">
        <v>109</v>
      </c>
      <c r="AX164">
        <v>131.8367291781241</v>
      </c>
      <c r="AY164" s="82">
        <f t="shared" si="48"/>
        <v>-0.36934090294221278</v>
      </c>
      <c r="AZ164">
        <v>109</v>
      </c>
      <c r="BA164">
        <v>85098.626693285056</v>
      </c>
      <c r="BB164" t="s">
        <v>82</v>
      </c>
      <c r="BC164">
        <v>109</v>
      </c>
      <c r="BD164">
        <v>131.12222962569228</v>
      </c>
      <c r="BE164" s="82">
        <f t="shared" si="49"/>
        <v>-0.35621462086876932</v>
      </c>
      <c r="BF164">
        <v>109</v>
      </c>
      <c r="BG164">
        <v>83384.801295891724</v>
      </c>
      <c r="BH164" t="s">
        <v>82</v>
      </c>
      <c r="BI164">
        <v>109</v>
      </c>
      <c r="BJ164">
        <v>130.40123591721604</v>
      </c>
      <c r="BK164" s="82">
        <f t="shared" si="50"/>
        <v>-0.3431443818621176</v>
      </c>
      <c r="BL164">
        <v>109</v>
      </c>
      <c r="BM164">
        <v>81739.505498075057</v>
      </c>
      <c r="BN164" t="s">
        <v>82</v>
      </c>
      <c r="BO164">
        <v>109</v>
      </c>
      <c r="BP164">
        <v>129.67369860255971</v>
      </c>
      <c r="BQ164" s="82">
        <f t="shared" si="51"/>
        <v>-0.3301373976781008</v>
      </c>
      <c r="BR164">
        <v>109</v>
      </c>
      <c r="BS164">
        <v>80169.543278987097</v>
      </c>
      <c r="BT164" t="s">
        <v>82</v>
      </c>
      <c r="BU164">
        <v>109</v>
      </c>
      <c r="BV164">
        <v>128.94657791315757</v>
      </c>
      <c r="BW164" s="82">
        <f t="shared" si="52"/>
        <v>-0.31728335197368551</v>
      </c>
      <c r="BX164">
        <v>109</v>
      </c>
      <c r="BY164">
        <v>78691.098911608555</v>
      </c>
      <c r="BZ164" t="s">
        <v>82</v>
      </c>
      <c r="CA164">
        <v>109</v>
      </c>
      <c r="CB164">
        <v>128.25975133228158</v>
      </c>
      <c r="CC164" s="82">
        <f t="shared" si="53"/>
        <v>-0.304990818320789</v>
      </c>
      <c r="CD164">
        <v>109</v>
      </c>
      <c r="CE164">
        <v>77348.67919428405</v>
      </c>
      <c r="CF164" t="s">
        <v>82</v>
      </c>
      <c r="CG164">
        <v>109</v>
      </c>
      <c r="CH164">
        <v>127.60783616499543</v>
      </c>
      <c r="CI164" s="82">
        <f t="shared" si="54"/>
        <v>-0.29323076346933874</v>
      </c>
      <c r="CJ164">
        <v>109</v>
      </c>
      <c r="CK164">
        <v>76138.423977991333</v>
      </c>
      <c r="CL164" t="s">
        <v>82</v>
      </c>
      <c r="CM164">
        <v>109</v>
      </c>
      <c r="CN164">
        <v>126.9870864867581</v>
      </c>
      <c r="CO164" s="82">
        <f t="shared" si="55"/>
        <v>-0.2819813255178758</v>
      </c>
      <c r="CP164">
        <v>109</v>
      </c>
      <c r="CQ164">
        <v>75057.167467221429</v>
      </c>
      <c r="CR164" t="s">
        <v>82</v>
      </c>
      <c r="CS164">
        <v>109</v>
      </c>
      <c r="CT164">
        <v>126.39506242661234</v>
      </c>
      <c r="CU164" s="82">
        <f t="shared" si="56"/>
        <v>-0.27122734610449584</v>
      </c>
      <c r="CV164">
        <v>109</v>
      </c>
      <c r="CW164">
        <v>74102.216731720706</v>
      </c>
      <c r="CX164" t="s">
        <v>82</v>
      </c>
      <c r="CY164">
        <v>109</v>
      </c>
      <c r="CZ164">
        <v>125.81083933992737</v>
      </c>
      <c r="DA164" s="82">
        <f t="shared" si="57"/>
        <v>-0.26075920020475962</v>
      </c>
      <c r="DB164">
        <v>109</v>
      </c>
      <c r="DC164">
        <v>73258.331140028167</v>
      </c>
      <c r="DD164" t="s">
        <v>82</v>
      </c>
      <c r="DG164" s="82">
        <f t="shared" si="58"/>
        <v>0</v>
      </c>
      <c r="DM164" s="82">
        <f t="shared" si="59"/>
        <v>0</v>
      </c>
    </row>
    <row r="165" spans="1:117" x14ac:dyDescent="0.2">
      <c r="A165">
        <v>111</v>
      </c>
      <c r="B165">
        <v>136.96731917960892</v>
      </c>
      <c r="C165" s="82">
        <f t="shared" si="40"/>
        <v>-0.48494499841550009</v>
      </c>
      <c r="D165">
        <v>111</v>
      </c>
      <c r="E165">
        <v>102278.6850784916</v>
      </c>
      <c r="F165" t="s">
        <v>82</v>
      </c>
      <c r="G165">
        <v>111</v>
      </c>
      <c r="H165">
        <v>136.28597306838665</v>
      </c>
      <c r="I165" s="82">
        <f t="shared" si="41"/>
        <v>-0.47078318285238652</v>
      </c>
      <c r="J165">
        <v>111</v>
      </c>
      <c r="K165">
        <v>100046.53035712507</v>
      </c>
      <c r="L165" t="s">
        <v>82</v>
      </c>
      <c r="M165">
        <v>111</v>
      </c>
      <c r="N165">
        <v>135.60371269183753</v>
      </c>
      <c r="O165" s="82">
        <f t="shared" si="42"/>
        <v>-0.45668491676207168</v>
      </c>
      <c r="P165">
        <v>111</v>
      </c>
      <c r="Q165">
        <v>97857.977356637391</v>
      </c>
      <c r="R165" t="s">
        <v>82</v>
      </c>
      <c r="S165">
        <v>111</v>
      </c>
      <c r="T165">
        <v>134.91927889817893</v>
      </c>
      <c r="U165" s="82">
        <f t="shared" si="43"/>
        <v>-0.44264761095885774</v>
      </c>
      <c r="V165">
        <v>111</v>
      </c>
      <c r="W165">
        <v>95714.836045322896</v>
      </c>
      <c r="X165" t="s">
        <v>82</v>
      </c>
      <c r="Y165">
        <v>111</v>
      </c>
      <c r="Z165">
        <v>134.23308587332369</v>
      </c>
      <c r="AA165" s="82">
        <f t="shared" si="44"/>
        <v>-0.42867888543230492</v>
      </c>
      <c r="AB165">
        <v>111</v>
      </c>
      <c r="AC165">
        <v>93620.548953806603</v>
      </c>
      <c r="AD165" t="s">
        <v>82</v>
      </c>
      <c r="AE165">
        <v>111</v>
      </c>
      <c r="AF165">
        <v>133.54512668755828</v>
      </c>
      <c r="AG165" s="82">
        <f t="shared" si="45"/>
        <v>-0.41479451049977456</v>
      </c>
      <c r="AH165">
        <v>111</v>
      </c>
      <c r="AI165">
        <v>91580.152627106247</v>
      </c>
      <c r="AJ165" t="s">
        <v>82</v>
      </c>
      <c r="AK165">
        <v>111</v>
      </c>
      <c r="AL165">
        <v>132.85503755380765</v>
      </c>
      <c r="AM165" s="82">
        <f t="shared" si="46"/>
        <v>-0.40099888476709111</v>
      </c>
      <c r="AN165">
        <v>111</v>
      </c>
      <c r="AO165">
        <v>89597.220176771632</v>
      </c>
      <c r="AP165" t="s">
        <v>82</v>
      </c>
      <c r="AQ165">
        <v>111</v>
      </c>
      <c r="AR165">
        <v>132.16064837898293</v>
      </c>
      <c r="AS165" s="82">
        <f t="shared" si="47"/>
        <v>-0.38727253470324285</v>
      </c>
      <c r="AT165">
        <v>111</v>
      </c>
      <c r="AU165">
        <v>87672.516485221306</v>
      </c>
      <c r="AV165" t="s">
        <v>82</v>
      </c>
      <c r="AW165">
        <v>111</v>
      </c>
      <c r="AX165">
        <v>131.46308625652421</v>
      </c>
      <c r="AY165" s="82">
        <f t="shared" si="48"/>
        <v>-0.37364292159989532</v>
      </c>
      <c r="AZ165">
        <v>111</v>
      </c>
      <c r="BA165">
        <v>85813.70928703573</v>
      </c>
      <c r="BB165" t="s">
        <v>82</v>
      </c>
      <c r="BC165">
        <v>111</v>
      </c>
      <c r="BD165">
        <v>130.76211514040492</v>
      </c>
      <c r="BE165" s="82">
        <f t="shared" si="49"/>
        <v>-0.36011448528736878</v>
      </c>
      <c r="BF165">
        <v>111</v>
      </c>
      <c r="BG165">
        <v>84025.638220352062</v>
      </c>
      <c r="BH165" t="s">
        <v>82</v>
      </c>
      <c r="BI165">
        <v>111</v>
      </c>
      <c r="BJ165">
        <v>130.05456564872338</v>
      </c>
      <c r="BK165" s="82">
        <f t="shared" si="50"/>
        <v>-0.34667026849265881</v>
      </c>
      <c r="BL165">
        <v>111</v>
      </c>
      <c r="BM165">
        <v>82311.463208446672</v>
      </c>
      <c r="BN165" t="s">
        <v>82</v>
      </c>
      <c r="BO165">
        <v>111</v>
      </c>
      <c r="BP165">
        <v>129.34038240321948</v>
      </c>
      <c r="BQ165" s="82">
        <f t="shared" si="51"/>
        <v>-0.33331619934023138</v>
      </c>
      <c r="BR165">
        <v>111</v>
      </c>
      <c r="BS165">
        <v>80677.73704926786</v>
      </c>
      <c r="BT165" t="s">
        <v>82</v>
      </c>
      <c r="BU165">
        <v>111</v>
      </c>
      <c r="BV165">
        <v>128.6264349750922</v>
      </c>
      <c r="BW165" s="82">
        <f t="shared" si="52"/>
        <v>-0.32014293806537353</v>
      </c>
      <c r="BX165">
        <v>111</v>
      </c>
      <c r="BY165">
        <v>79140.80424494436</v>
      </c>
      <c r="BZ165" t="s">
        <v>82</v>
      </c>
      <c r="CA165">
        <v>111</v>
      </c>
      <c r="CB165">
        <v>127.95218342404402</v>
      </c>
      <c r="CC165" s="82">
        <f t="shared" si="53"/>
        <v>-0.30756790823755864</v>
      </c>
      <c r="CD165">
        <v>111</v>
      </c>
      <c r="CE165">
        <v>77746.743552309985</v>
      </c>
      <c r="CF165" t="s">
        <v>82</v>
      </c>
      <c r="CG165">
        <v>111</v>
      </c>
      <c r="CH165">
        <v>127.31227927832323</v>
      </c>
      <c r="CI165" s="82">
        <f t="shared" si="54"/>
        <v>-0.29555688667220181</v>
      </c>
      <c r="CJ165">
        <v>111</v>
      </c>
      <c r="CK165">
        <v>76490.721683141324</v>
      </c>
      <c r="CL165" t="s">
        <v>82</v>
      </c>
      <c r="CM165">
        <v>111</v>
      </c>
      <c r="CN165">
        <v>126.70300255780153</v>
      </c>
      <c r="CO165" s="82">
        <f t="shared" si="55"/>
        <v>-0.28408392895657641</v>
      </c>
      <c r="CP165">
        <v>111</v>
      </c>
      <c r="CQ165">
        <v>75368.805560930865</v>
      </c>
      <c r="CR165" t="s">
        <v>82</v>
      </c>
      <c r="CS165">
        <v>111</v>
      </c>
      <c r="CT165">
        <v>126.12193184417698</v>
      </c>
      <c r="CU165" s="82">
        <f t="shared" si="56"/>
        <v>-0.27313058243535693</v>
      </c>
      <c r="CV165">
        <v>111</v>
      </c>
      <c r="CW165">
        <v>74377.682098914258</v>
      </c>
      <c r="CX165" t="s">
        <v>82</v>
      </c>
      <c r="CY165">
        <v>111</v>
      </c>
      <c r="CZ165">
        <v>125.54835872937457</v>
      </c>
      <c r="DA165" s="82">
        <f t="shared" si="57"/>
        <v>-0.26248061055279948</v>
      </c>
      <c r="DB165">
        <v>111</v>
      </c>
      <c r="DC165">
        <v>73500.907413852095</v>
      </c>
      <c r="DD165" t="s">
        <v>82</v>
      </c>
      <c r="DG165" s="82">
        <f t="shared" si="58"/>
        <v>0</v>
      </c>
      <c r="DM165" s="82">
        <f t="shared" si="59"/>
        <v>0</v>
      </c>
    </row>
    <row r="166" spans="1:117" x14ac:dyDescent="0.2">
      <c r="A166">
        <v>113</v>
      </c>
      <c r="B166">
        <v>136.47344807007812</v>
      </c>
      <c r="C166" s="82">
        <f t="shared" si="40"/>
        <v>-0.49387110953080082</v>
      </c>
      <c r="D166">
        <v>113</v>
      </c>
      <c r="E166">
        <v>103856.67677918402</v>
      </c>
      <c r="F166" t="s">
        <v>82</v>
      </c>
      <c r="G166">
        <v>113</v>
      </c>
      <c r="H166">
        <v>135.80698328852912</v>
      </c>
      <c r="I166" s="82">
        <f t="shared" si="41"/>
        <v>-0.47898977985752822</v>
      </c>
      <c r="J166">
        <v>113</v>
      </c>
      <c r="K166">
        <v>101489.58385060867</v>
      </c>
      <c r="L166" t="s">
        <v>82</v>
      </c>
      <c r="M166">
        <v>113</v>
      </c>
      <c r="N166">
        <v>135.13949397715763</v>
      </c>
      <c r="O166" s="82">
        <f t="shared" si="42"/>
        <v>-0.46421871467990172</v>
      </c>
      <c r="P166">
        <v>113</v>
      </c>
      <c r="Q166">
        <v>99175.070033325275</v>
      </c>
      <c r="R166" t="s">
        <v>82</v>
      </c>
      <c r="S166">
        <v>113</v>
      </c>
      <c r="T166">
        <v>134.46972654731002</v>
      </c>
      <c r="U166" s="82">
        <f t="shared" si="43"/>
        <v>-0.44955235086891321</v>
      </c>
      <c r="V166">
        <v>113</v>
      </c>
      <c r="W166">
        <v>96914.364602086556</v>
      </c>
      <c r="X166" t="s">
        <v>82</v>
      </c>
      <c r="Y166">
        <v>113</v>
      </c>
      <c r="Z166">
        <v>133.79808956734414</v>
      </c>
      <c r="AA166" s="82">
        <f t="shared" si="44"/>
        <v>-0.43499630597955274</v>
      </c>
      <c r="AB166">
        <v>113</v>
      </c>
      <c r="AC166">
        <v>94710.511902093232</v>
      </c>
      <c r="AD166" t="s">
        <v>82</v>
      </c>
      <c r="AE166">
        <v>113</v>
      </c>
      <c r="AF166">
        <v>133.12456219010767</v>
      </c>
      <c r="AG166" s="82">
        <f t="shared" si="45"/>
        <v>-0.42056449745061286</v>
      </c>
      <c r="AH166">
        <v>113</v>
      </c>
      <c r="AI166">
        <v>92568.180191269217</v>
      </c>
      <c r="AJ166" t="s">
        <v>82</v>
      </c>
      <c r="AK166">
        <v>113</v>
      </c>
      <c r="AL166">
        <v>132.44877843618556</v>
      </c>
      <c r="AM166" s="82">
        <f t="shared" si="46"/>
        <v>-0.40625911762208489</v>
      </c>
      <c r="AN166">
        <v>113</v>
      </c>
      <c r="AO166">
        <v>90490.510465538042</v>
      </c>
      <c r="AP166" t="s">
        <v>82</v>
      </c>
      <c r="AQ166">
        <v>113</v>
      </c>
      <c r="AR166">
        <v>131.76859069295705</v>
      </c>
      <c r="AS166" s="82">
        <f t="shared" si="47"/>
        <v>-0.39205768602587909</v>
      </c>
      <c r="AT166">
        <v>113</v>
      </c>
      <c r="AU166">
        <v>88477.690379687076</v>
      </c>
      <c r="AV166" t="s">
        <v>82</v>
      </c>
      <c r="AW166">
        <v>113</v>
      </c>
      <c r="AX166">
        <v>131.08509958100723</v>
      </c>
      <c r="AY166" s="82">
        <f t="shared" si="48"/>
        <v>-0.37798667551697918</v>
      </c>
      <c r="AZ166">
        <v>113</v>
      </c>
      <c r="BA166">
        <v>86537.185113996355</v>
      </c>
      <c r="BB166" t="s">
        <v>82</v>
      </c>
      <c r="BC166">
        <v>113</v>
      </c>
      <c r="BD166">
        <v>130.39806645281377</v>
      </c>
      <c r="BE166" s="82">
        <f t="shared" si="49"/>
        <v>-0.36404868759115061</v>
      </c>
      <c r="BF166">
        <v>113</v>
      </c>
      <c r="BG166">
        <v>84673.476298617345</v>
      </c>
      <c r="BH166" t="s">
        <v>82</v>
      </c>
      <c r="BI166">
        <v>113</v>
      </c>
      <c r="BJ166">
        <v>129.70434146943933</v>
      </c>
      <c r="BK166" s="82">
        <f t="shared" si="50"/>
        <v>-0.35022417928405503</v>
      </c>
      <c r="BL166">
        <v>113</v>
      </c>
      <c r="BM166">
        <v>82889.232653462386</v>
      </c>
      <c r="BN166" t="s">
        <v>82</v>
      </c>
      <c r="BO166">
        <v>113</v>
      </c>
      <c r="BP166">
        <v>129.00386473762237</v>
      </c>
      <c r="BQ166" s="82">
        <f t="shared" si="51"/>
        <v>-0.33651766559711405</v>
      </c>
      <c r="BR166">
        <v>113</v>
      </c>
      <c r="BS166">
        <v>81190.73135962426</v>
      </c>
      <c r="BT166" t="s">
        <v>82</v>
      </c>
      <c r="BU166">
        <v>113</v>
      </c>
      <c r="BV166">
        <v>128.30341428166585</v>
      </c>
      <c r="BW166" s="82">
        <f t="shared" si="52"/>
        <v>-0.32302069342634354</v>
      </c>
      <c r="BX166">
        <v>113</v>
      </c>
      <c r="BY166">
        <v>79594.460336179356</v>
      </c>
      <c r="BZ166" t="s">
        <v>82</v>
      </c>
      <c r="CA166">
        <v>113</v>
      </c>
      <c r="CB166">
        <v>127.6420238818164</v>
      </c>
      <c r="CC166" s="82">
        <f t="shared" si="53"/>
        <v>-0.31015954222762332</v>
      </c>
      <c r="CD166">
        <v>113</v>
      </c>
      <c r="CE166">
        <v>78148.072013393845</v>
      </c>
      <c r="CF166" t="s">
        <v>82</v>
      </c>
      <c r="CG166">
        <v>113</v>
      </c>
      <c r="CH166">
        <v>127.01438464224158</v>
      </c>
      <c r="CI166" s="82">
        <f t="shared" si="54"/>
        <v>-0.29789463608165079</v>
      </c>
      <c r="CJ166">
        <v>113</v>
      </c>
      <c r="CK166">
        <v>76845.728780031437</v>
      </c>
      <c r="CL166" t="s">
        <v>82</v>
      </c>
      <c r="CM166">
        <v>113</v>
      </c>
      <c r="CN166">
        <v>126.41680674734454</v>
      </c>
      <c r="CO166" s="82">
        <f t="shared" si="55"/>
        <v>-0.28619581045698794</v>
      </c>
      <c r="CP166">
        <v>113</v>
      </c>
      <c r="CQ166">
        <v>75682.704370704218</v>
      </c>
      <c r="CR166" t="s">
        <v>82</v>
      </c>
      <c r="CS166">
        <v>113</v>
      </c>
      <c r="CT166">
        <v>125.8468906367831</v>
      </c>
      <c r="CU166" s="82">
        <f t="shared" si="56"/>
        <v>-0.27504120739388327</v>
      </c>
      <c r="CV166">
        <v>113</v>
      </c>
      <c r="CW166">
        <v>74655.044791866327</v>
      </c>
      <c r="CX166" t="s">
        <v>82</v>
      </c>
      <c r="CY166">
        <v>113</v>
      </c>
      <c r="CZ166">
        <v>125.28415087684135</v>
      </c>
      <c r="DA166" s="82">
        <f t="shared" si="57"/>
        <v>-0.2642078525332181</v>
      </c>
      <c r="DB166">
        <v>113</v>
      </c>
      <c r="DC166">
        <v>73745.079197927727</v>
      </c>
      <c r="DD166" t="s">
        <v>82</v>
      </c>
      <c r="DG166" s="82">
        <f t="shared" si="58"/>
        <v>0</v>
      </c>
      <c r="DM166" s="82">
        <f t="shared" si="59"/>
        <v>0</v>
      </c>
    </row>
    <row r="167" spans="1:117" x14ac:dyDescent="0.2">
      <c r="A167">
        <v>115</v>
      </c>
      <c r="B167">
        <v>135.97048795110931</v>
      </c>
      <c r="C167" s="82">
        <f t="shared" si="40"/>
        <v>-0.5029601189688151</v>
      </c>
      <c r="D167">
        <v>115</v>
      </c>
      <c r="E167">
        <v>105465.82219898408</v>
      </c>
      <c r="F167" t="s">
        <v>82</v>
      </c>
      <c r="G167">
        <v>115</v>
      </c>
      <c r="H167">
        <v>135.31964747108555</v>
      </c>
      <c r="I167" s="82">
        <f t="shared" si="41"/>
        <v>-0.48733581744357934</v>
      </c>
      <c r="J167">
        <v>115</v>
      </c>
      <c r="K167">
        <v>102959.38245594855</v>
      </c>
      <c r="L167" t="s">
        <v>82</v>
      </c>
      <c r="M167">
        <v>115</v>
      </c>
      <c r="N167">
        <v>134.66762257917588</v>
      </c>
      <c r="O167" s="82">
        <f t="shared" si="42"/>
        <v>-0.47187139798174371</v>
      </c>
      <c r="P167">
        <v>115</v>
      </c>
      <c r="Q167">
        <v>100515.04582659766</v>
      </c>
      <c r="R167" t="s">
        <v>82</v>
      </c>
      <c r="S167">
        <v>115</v>
      </c>
      <c r="T167">
        <v>134.01316853511685</v>
      </c>
      <c r="U167" s="82">
        <f t="shared" si="43"/>
        <v>-0.45655801219317027</v>
      </c>
      <c r="V167">
        <v>115</v>
      </c>
      <c r="W167">
        <v>98133.401947819089</v>
      </c>
      <c r="X167" t="s">
        <v>82</v>
      </c>
      <c r="Y167">
        <v>115</v>
      </c>
      <c r="Z167">
        <v>133.35669055924353</v>
      </c>
      <c r="AA167" s="82">
        <f t="shared" si="44"/>
        <v>-0.4413990081006034</v>
      </c>
      <c r="AB167">
        <v>115</v>
      </c>
      <c r="AC167">
        <v>95817.046491082379</v>
      </c>
      <c r="AD167" t="s">
        <v>82</v>
      </c>
      <c r="AE167">
        <v>115</v>
      </c>
      <c r="AF167">
        <v>132.69815598701993</v>
      </c>
      <c r="AG167" s="82">
        <f t="shared" si="45"/>
        <v>-0.42640620308773691</v>
      </c>
      <c r="AH167">
        <v>115</v>
      </c>
      <c r="AI167">
        <v>93570.232618700174</v>
      </c>
      <c r="AJ167" t="s">
        <v>82</v>
      </c>
      <c r="AK167">
        <v>115</v>
      </c>
      <c r="AL167">
        <v>132.03719908867234</v>
      </c>
      <c r="AM167" s="82">
        <f t="shared" si="46"/>
        <v>-0.411579347513225</v>
      </c>
      <c r="AN167">
        <v>115</v>
      </c>
      <c r="AO167">
        <v>91395.624573873545</v>
      </c>
      <c r="AP167" t="s">
        <v>82</v>
      </c>
      <c r="AQ167">
        <v>115</v>
      </c>
      <c r="AR167">
        <v>131.37169796812569</v>
      </c>
      <c r="AS167" s="82">
        <f t="shared" si="47"/>
        <v>-0.39689272483136051</v>
      </c>
      <c r="AT167">
        <v>115</v>
      </c>
      <c r="AU167">
        <v>89292.7893217745</v>
      </c>
      <c r="AV167" t="s">
        <v>82</v>
      </c>
      <c r="AW167">
        <v>115</v>
      </c>
      <c r="AX167">
        <v>130.70272793480498</v>
      </c>
      <c r="AY167" s="82">
        <f t="shared" si="48"/>
        <v>-0.38237164620224462</v>
      </c>
      <c r="AZ167">
        <v>115</v>
      </c>
      <c r="BA167">
        <v>87268.956785135859</v>
      </c>
      <c r="BB167" t="s">
        <v>82</v>
      </c>
      <c r="BC167">
        <v>115</v>
      </c>
      <c r="BD167">
        <v>130.03004975093981</v>
      </c>
      <c r="BE167" s="82">
        <f t="shared" si="49"/>
        <v>-0.3680167018739553</v>
      </c>
      <c r="BF167">
        <v>115</v>
      </c>
      <c r="BG167">
        <v>85328.217895241556</v>
      </c>
      <c r="BH167" t="s">
        <v>82</v>
      </c>
      <c r="BI167">
        <v>115</v>
      </c>
      <c r="BJ167">
        <v>129.35053587281055</v>
      </c>
      <c r="BK167" s="82">
        <f t="shared" si="50"/>
        <v>-0.35380559662877431</v>
      </c>
      <c r="BL167">
        <v>115</v>
      </c>
      <c r="BM167">
        <v>83472.718613196572</v>
      </c>
      <c r="BN167" t="s">
        <v>82</v>
      </c>
      <c r="BO167">
        <v>115</v>
      </c>
      <c r="BP167">
        <v>128.66412343833773</v>
      </c>
      <c r="BQ167" s="82">
        <f t="shared" si="51"/>
        <v>-0.33974129928463981</v>
      </c>
      <c r="BR167">
        <v>115</v>
      </c>
      <c r="BS167">
        <v>81708.435436746833</v>
      </c>
      <c r="BT167" t="s">
        <v>82</v>
      </c>
      <c r="BU167">
        <v>115</v>
      </c>
      <c r="BV167">
        <v>127.97749812999574</v>
      </c>
      <c r="BW167" s="82">
        <f t="shared" si="52"/>
        <v>-0.32591615167011412</v>
      </c>
      <c r="BX167">
        <v>115</v>
      </c>
      <c r="BY167">
        <v>80051.982547313877</v>
      </c>
      <c r="BZ167" t="s">
        <v>82</v>
      </c>
      <c r="CA167">
        <v>115</v>
      </c>
      <c r="CB167">
        <v>127.32925858510715</v>
      </c>
      <c r="CC167" s="82">
        <f t="shared" si="53"/>
        <v>-0.31276529670924447</v>
      </c>
      <c r="CD167">
        <v>115</v>
      </c>
      <c r="CE167">
        <v>78552.587957771408</v>
      </c>
      <c r="CF167" t="s">
        <v>82</v>
      </c>
      <c r="CG167">
        <v>115</v>
      </c>
      <c r="CH167">
        <v>126.71414100947791</v>
      </c>
      <c r="CI167" s="82">
        <f t="shared" si="54"/>
        <v>-0.30024363276366728</v>
      </c>
      <c r="CJ167">
        <v>115</v>
      </c>
      <c r="CK167">
        <v>77203.376881821197</v>
      </c>
      <c r="CL167" t="s">
        <v>82</v>
      </c>
      <c r="CM167">
        <v>115</v>
      </c>
      <c r="CN167">
        <v>126.12849011363765</v>
      </c>
      <c r="CO167" s="82">
        <f t="shared" si="55"/>
        <v>-0.28831663370688432</v>
      </c>
      <c r="CP167">
        <v>115</v>
      </c>
      <c r="CQ167">
        <v>75998.803298666026</v>
      </c>
      <c r="CR167" t="s">
        <v>82</v>
      </c>
      <c r="CS167">
        <v>115</v>
      </c>
      <c r="CT167">
        <v>125.56993171293938</v>
      </c>
      <c r="CU167" s="82">
        <f t="shared" si="56"/>
        <v>-0.276958923843722</v>
      </c>
      <c r="CV167">
        <v>115</v>
      </c>
      <c r="CW167">
        <v>74934.251339309369</v>
      </c>
      <c r="CX167" t="s">
        <v>82</v>
      </c>
      <c r="CY167">
        <v>115</v>
      </c>
      <c r="CZ167">
        <v>125.01821021193801</v>
      </c>
      <c r="DA167" s="82">
        <f t="shared" si="57"/>
        <v>-0.26594066490334001</v>
      </c>
      <c r="DB167">
        <v>115</v>
      </c>
      <c r="DC167">
        <v>73990.799530474585</v>
      </c>
      <c r="DD167" t="s">
        <v>82</v>
      </c>
      <c r="DG167" s="82">
        <f t="shared" si="58"/>
        <v>0</v>
      </c>
      <c r="DM167" s="82">
        <f t="shared" si="59"/>
        <v>0</v>
      </c>
    </row>
    <row r="168" spans="1:117" x14ac:dyDescent="0.2">
      <c r="A168">
        <v>117</v>
      </c>
      <c r="B168">
        <v>135.45827545425794</v>
      </c>
      <c r="C168" s="82">
        <f t="shared" si="40"/>
        <v>-0.51221249685136172</v>
      </c>
      <c r="D168">
        <v>117</v>
      </c>
      <c r="E168">
        <v>107106.18237037584</v>
      </c>
      <c r="F168" t="s">
        <v>82</v>
      </c>
      <c r="G168">
        <v>117</v>
      </c>
      <c r="H168">
        <v>134.82382603841211</v>
      </c>
      <c r="I168" s="82">
        <f t="shared" si="41"/>
        <v>-0.49582143267343781</v>
      </c>
      <c r="J168">
        <v>117</v>
      </c>
      <c r="K168">
        <v>104455.93109522024</v>
      </c>
      <c r="L168" t="s">
        <v>82</v>
      </c>
      <c r="M168">
        <v>117</v>
      </c>
      <c r="N168">
        <v>134.18797973382902</v>
      </c>
      <c r="O168" s="82">
        <f t="shared" si="42"/>
        <v>-0.4796428453468593</v>
      </c>
      <c r="P168">
        <v>117</v>
      </c>
      <c r="Q168">
        <v>101877.86637380926</v>
      </c>
      <c r="R168" t="s">
        <v>82</v>
      </c>
      <c r="S168">
        <v>117</v>
      </c>
      <c r="T168">
        <v>133.54950425623346</v>
      </c>
      <c r="U168" s="82">
        <f t="shared" si="43"/>
        <v>-0.46366427888338535</v>
      </c>
      <c r="V168">
        <v>117</v>
      </c>
      <c r="W168">
        <v>99371.877435312301</v>
      </c>
      <c r="X168" t="s">
        <v>82</v>
      </c>
      <c r="Y168">
        <v>117</v>
      </c>
      <c r="Z168">
        <v>132.90880402312578</v>
      </c>
      <c r="AA168" s="82">
        <f t="shared" si="44"/>
        <v>-0.44788653611774976</v>
      </c>
      <c r="AB168">
        <v>117</v>
      </c>
      <c r="AC168">
        <v>96940.059312321799</v>
      </c>
      <c r="AD168" t="s">
        <v>82</v>
      </c>
      <c r="AE168">
        <v>117</v>
      </c>
      <c r="AF168">
        <v>132.26583690877507</v>
      </c>
      <c r="AG168" s="82">
        <f t="shared" si="45"/>
        <v>-0.43231907824485916</v>
      </c>
      <c r="AH168">
        <v>117</v>
      </c>
      <c r="AI168">
        <v>94586.201714131501</v>
      </c>
      <c r="AJ168" t="s">
        <v>82</v>
      </c>
      <c r="AK168">
        <v>117</v>
      </c>
      <c r="AL168">
        <v>131.62024011923242</v>
      </c>
      <c r="AM168" s="82">
        <f t="shared" si="46"/>
        <v>-0.41695896943991784</v>
      </c>
      <c r="AN168">
        <v>117</v>
      </c>
      <c r="AO168">
        <v>92312.44600969521</v>
      </c>
      <c r="AP168" t="s">
        <v>82</v>
      </c>
      <c r="AQ168">
        <v>117</v>
      </c>
      <c r="AR168">
        <v>130.96992094880699</v>
      </c>
      <c r="AS168" s="82">
        <f t="shared" si="47"/>
        <v>-0.40177701931870047</v>
      </c>
      <c r="AT168">
        <v>117</v>
      </c>
      <c r="AU168">
        <v>90117.693516240222</v>
      </c>
      <c r="AV168" t="s">
        <v>82</v>
      </c>
      <c r="AW168">
        <v>117</v>
      </c>
      <c r="AX168">
        <v>130.31593073606501</v>
      </c>
      <c r="AY168" s="82">
        <f t="shared" si="48"/>
        <v>-0.38679719873996987</v>
      </c>
      <c r="AZ168">
        <v>117</v>
      </c>
      <c r="BA168">
        <v>88008.905232551406</v>
      </c>
      <c r="BB168" t="s">
        <v>82</v>
      </c>
      <c r="BC168">
        <v>117</v>
      </c>
      <c r="BD168">
        <v>129.6580318426538</v>
      </c>
      <c r="BE168" s="82">
        <f t="shared" si="49"/>
        <v>-0.37201790828601133</v>
      </c>
      <c r="BF168">
        <v>117</v>
      </c>
      <c r="BG168">
        <v>85989.747734771212</v>
      </c>
      <c r="BH168" t="s">
        <v>82</v>
      </c>
      <c r="BI168">
        <v>117</v>
      </c>
      <c r="BJ168">
        <v>128.99312194479623</v>
      </c>
      <c r="BK168" s="82">
        <f t="shared" si="50"/>
        <v>-0.35741392801432426</v>
      </c>
      <c r="BL168">
        <v>117</v>
      </c>
      <c r="BM168">
        <v>84061.811643378984</v>
      </c>
      <c r="BN168" t="s">
        <v>82</v>
      </c>
      <c r="BO168">
        <v>117</v>
      </c>
      <c r="BP168">
        <v>128.3211368941225</v>
      </c>
      <c r="BQ168" s="82">
        <f t="shared" si="51"/>
        <v>-0.34298654421522201</v>
      </c>
      <c r="BR168">
        <v>117</v>
      </c>
      <c r="BS168">
        <v>82230.747125906186</v>
      </c>
      <c r="BT168" t="s">
        <v>82</v>
      </c>
      <c r="BU168">
        <v>117</v>
      </c>
      <c r="BV168">
        <v>127.64866933003837</v>
      </c>
      <c r="BW168" s="82">
        <f t="shared" si="52"/>
        <v>-0.32882879995736403</v>
      </c>
      <c r="BX168">
        <v>117</v>
      </c>
      <c r="BY168">
        <v>80513.27709878562</v>
      </c>
      <c r="BZ168" t="s">
        <v>82</v>
      </c>
      <c r="CA168">
        <v>117</v>
      </c>
      <c r="CB168">
        <v>127.01387387558266</v>
      </c>
      <c r="CC168" s="82">
        <f t="shared" si="53"/>
        <v>-0.31538470952449416</v>
      </c>
      <c r="CD168">
        <v>117</v>
      </c>
      <c r="CE168">
        <v>78960.207071383833</v>
      </c>
      <c r="CF168" t="s">
        <v>82</v>
      </c>
      <c r="CG168">
        <v>117</v>
      </c>
      <c r="CH168">
        <v>126.4115375447097</v>
      </c>
      <c r="CI168" s="82">
        <f t="shared" si="54"/>
        <v>-0.30260346476821098</v>
      </c>
      <c r="CJ168">
        <v>117</v>
      </c>
      <c r="CK168">
        <v>77563.590917898997</v>
      </c>
      <c r="CL168" t="s">
        <v>82</v>
      </c>
      <c r="CM168">
        <v>117</v>
      </c>
      <c r="CN168">
        <v>125.8380440800088</v>
      </c>
      <c r="CO168" s="82">
        <f t="shared" si="55"/>
        <v>-0.29044603362885368</v>
      </c>
      <c r="CP168">
        <v>117</v>
      </c>
      <c r="CQ168">
        <v>76317.035861775439</v>
      </c>
      <c r="CR168" t="s">
        <v>82</v>
      </c>
      <c r="CS168">
        <v>117</v>
      </c>
      <c r="CT168">
        <v>125.2910483036711</v>
      </c>
      <c r="CU168" s="82">
        <f t="shared" si="56"/>
        <v>-0.27888340926827482</v>
      </c>
      <c r="CV168">
        <v>117</v>
      </c>
      <c r="CW168">
        <v>75215.243023723262</v>
      </c>
      <c r="CX168" t="s">
        <v>82</v>
      </c>
      <c r="CY168">
        <v>117</v>
      </c>
      <c r="CZ168">
        <v>124.75053144806243</v>
      </c>
      <c r="DA168" s="82">
        <f t="shared" si="57"/>
        <v>-0.26767876387557976</v>
      </c>
      <c r="DB168">
        <v>117</v>
      </c>
      <c r="DC168">
        <v>74238.016745130561</v>
      </c>
      <c r="DD168" t="s">
        <v>82</v>
      </c>
      <c r="DG168" s="82">
        <f t="shared" si="58"/>
        <v>0</v>
      </c>
      <c r="DM168" s="82">
        <f t="shared" si="59"/>
        <v>0</v>
      </c>
    </row>
    <row r="169" spans="1:117" x14ac:dyDescent="0.2">
      <c r="A169">
        <v>119</v>
      </c>
      <c r="B169">
        <v>134.93664725112018</v>
      </c>
      <c r="C169" s="82">
        <f t="shared" si="40"/>
        <v>-0.52162820313776592</v>
      </c>
      <c r="D169">
        <v>119</v>
      </c>
      <c r="E169">
        <v>108777.72295730654</v>
      </c>
      <c r="F169" t="s">
        <v>82</v>
      </c>
      <c r="G169">
        <v>119</v>
      </c>
      <c r="H169">
        <v>134.31937970503805</v>
      </c>
      <c r="I169" s="82">
        <f t="shared" si="41"/>
        <v>-0.50444633337406231</v>
      </c>
      <c r="J169">
        <v>119</v>
      </c>
      <c r="K169">
        <v>105979.15469445004</v>
      </c>
      <c r="L169" t="s">
        <v>82</v>
      </c>
      <c r="M169">
        <v>119</v>
      </c>
      <c r="N169">
        <v>133.70044715916333</v>
      </c>
      <c r="O169" s="82">
        <f t="shared" si="42"/>
        <v>-0.48753257466569266</v>
      </c>
      <c r="P169">
        <v>119</v>
      </c>
      <c r="Q169">
        <v>103263.42621491053</v>
      </c>
      <c r="R169" t="s">
        <v>82</v>
      </c>
      <c r="S169">
        <v>119</v>
      </c>
      <c r="T169">
        <v>133.07863372384742</v>
      </c>
      <c r="U169" s="82">
        <f t="shared" si="43"/>
        <v>-0.47087053238604426</v>
      </c>
      <c r="V169">
        <v>119</v>
      </c>
      <c r="W169">
        <v>100629.66419804271</v>
      </c>
      <c r="X169" t="s">
        <v>82</v>
      </c>
      <c r="Y169">
        <v>119</v>
      </c>
      <c r="Z169">
        <v>132.4543458416853</v>
      </c>
      <c r="AA169" s="82">
        <f t="shared" si="44"/>
        <v>-0.45445818144048644</v>
      </c>
      <c r="AB169">
        <v>119</v>
      </c>
      <c r="AC169">
        <v>98079.409942398648</v>
      </c>
      <c r="AD169" t="s">
        <v>82</v>
      </c>
      <c r="AE169">
        <v>119</v>
      </c>
      <c r="AF169">
        <v>131.82753454581857</v>
      </c>
      <c r="AG169" s="82">
        <f t="shared" si="45"/>
        <v>-0.43830236295650593</v>
      </c>
      <c r="AH169">
        <v>119</v>
      </c>
      <c r="AI169">
        <v>95615.940047031778</v>
      </c>
      <c r="AJ169" t="s">
        <v>82</v>
      </c>
      <c r="AK169">
        <v>119</v>
      </c>
      <c r="AL169">
        <v>131.19784291594567</v>
      </c>
      <c r="AM169" s="82">
        <f t="shared" si="46"/>
        <v>-0.42239720328674935</v>
      </c>
      <c r="AN169">
        <v>119</v>
      </c>
      <c r="AO169">
        <v>93240.825596692579</v>
      </c>
      <c r="AP169" t="s">
        <v>82</v>
      </c>
      <c r="AQ169">
        <v>119</v>
      </c>
      <c r="AR169">
        <v>130.56321115582122</v>
      </c>
      <c r="AS169" s="82">
        <f t="shared" si="47"/>
        <v>-0.40670979298576526</v>
      </c>
      <c r="AT169">
        <v>119</v>
      </c>
      <c r="AU169">
        <v>90952.256035558152</v>
      </c>
      <c r="AV169" t="s">
        <v>82</v>
      </c>
      <c r="AW169">
        <v>119</v>
      </c>
      <c r="AX169">
        <v>129.92466815697912</v>
      </c>
      <c r="AY169" s="82">
        <f t="shared" si="48"/>
        <v>-0.39126257908588968</v>
      </c>
      <c r="AZ169">
        <v>119</v>
      </c>
      <c r="BA169">
        <v>88756.88890427156</v>
      </c>
      <c r="BB169" t="s">
        <v>82</v>
      </c>
      <c r="BC169">
        <v>119</v>
      </c>
      <c r="BD169">
        <v>129.28198025348377</v>
      </c>
      <c r="BE169" s="82">
        <f t="shared" si="49"/>
        <v>-0.37605158917003223</v>
      </c>
      <c r="BF169">
        <v>119</v>
      </c>
      <c r="BG169">
        <v>86657.931916566769</v>
      </c>
      <c r="BH169" t="s">
        <v>82</v>
      </c>
      <c r="BI169">
        <v>119</v>
      </c>
      <c r="BJ169">
        <v>128.63207344374766</v>
      </c>
      <c r="BK169" s="82">
        <f t="shared" si="50"/>
        <v>-0.36104850104857178</v>
      </c>
      <c r="BL169">
        <v>119</v>
      </c>
      <c r="BM169">
        <v>84656.386908693734</v>
      </c>
      <c r="BN169" t="s">
        <v>82</v>
      </c>
      <c r="BO169">
        <v>119</v>
      </c>
      <c r="BP169">
        <v>127.97488411491935</v>
      </c>
      <c r="BQ169" s="82">
        <f t="shared" si="51"/>
        <v>-0.34625277920315511</v>
      </c>
      <c r="BR169">
        <v>119</v>
      </c>
      <c r="BS169">
        <v>82757.551551084471</v>
      </c>
      <c r="BT169" t="s">
        <v>82</v>
      </c>
      <c r="BU169">
        <v>119</v>
      </c>
      <c r="BV169">
        <v>127.31691125775562</v>
      </c>
      <c r="BW169" s="82">
        <f t="shared" si="52"/>
        <v>-0.33175807228275289</v>
      </c>
      <c r="BX169">
        <v>119</v>
      </c>
      <c r="BY169">
        <v>80978.239628444033</v>
      </c>
      <c r="BZ169" t="s">
        <v>82</v>
      </c>
      <c r="CA169">
        <v>119</v>
      </c>
      <c r="CB169">
        <v>126.69585660241515</v>
      </c>
      <c r="CC169" s="82">
        <f t="shared" si="53"/>
        <v>-0.31801727316751283</v>
      </c>
      <c r="CD169">
        <v>119</v>
      </c>
      <c r="CE169">
        <v>79370.835878024125</v>
      </c>
      <c r="CF169" t="s">
        <v>82</v>
      </c>
      <c r="CG169">
        <v>119</v>
      </c>
      <c r="CH169">
        <v>126.10656386418658</v>
      </c>
      <c r="CI169" s="82">
        <f t="shared" si="54"/>
        <v>-0.30497368052311913</v>
      </c>
      <c r="CJ169">
        <v>119</v>
      </c>
      <c r="CK169">
        <v>77926.287739359672</v>
      </c>
      <c r="CL169" t="s">
        <v>82</v>
      </c>
      <c r="CM169">
        <v>119</v>
      </c>
      <c r="CN169">
        <v>125.54546047003657</v>
      </c>
      <c r="CO169" s="82">
        <f t="shared" si="55"/>
        <v>-0.2925836099722261</v>
      </c>
      <c r="CP169">
        <v>119</v>
      </c>
      <c r="CQ169">
        <v>76637.328327361596</v>
      </c>
      <c r="CR169" t="s">
        <v>82</v>
      </c>
      <c r="CS169">
        <v>119</v>
      </c>
      <c r="CT169">
        <v>125.01023399409524</v>
      </c>
      <c r="CU169" s="82">
        <f t="shared" si="56"/>
        <v>-0.28081430957585951</v>
      </c>
      <c r="CV169">
        <v>119</v>
      </c>
      <c r="CW169">
        <v>75497.954563112711</v>
      </c>
      <c r="CX169" t="s">
        <v>82</v>
      </c>
      <c r="CY169">
        <v>119</v>
      </c>
      <c r="CZ169">
        <v>124.48110961094967</v>
      </c>
      <c r="DA169" s="82">
        <f t="shared" si="57"/>
        <v>-0.26942183711275902</v>
      </c>
      <c r="DB169">
        <v>119</v>
      </c>
      <c r="DC169">
        <v>74486.673168907437</v>
      </c>
      <c r="DD169" t="s">
        <v>82</v>
      </c>
      <c r="DG169" s="82">
        <f t="shared" si="58"/>
        <v>0</v>
      </c>
      <c r="DM169" s="82">
        <f t="shared" si="59"/>
        <v>0</v>
      </c>
    </row>
    <row r="170" spans="1:117" x14ac:dyDescent="0.2">
      <c r="A170">
        <v>121</v>
      </c>
      <c r="B170">
        <v>134.40544057610347</v>
      </c>
      <c r="C170" s="82">
        <f t="shared" si="40"/>
        <v>-0.53120667501670482</v>
      </c>
      <c r="D170">
        <v>121</v>
      </c>
      <c r="E170">
        <v>110480.31112755848</v>
      </c>
      <c r="F170" t="s">
        <v>82</v>
      </c>
      <c r="G170">
        <v>121</v>
      </c>
      <c r="H170">
        <v>133.80616991530817</v>
      </c>
      <c r="I170" s="82">
        <f t="shared" si="41"/>
        <v>-0.51320978972987064</v>
      </c>
      <c r="J170">
        <v>121</v>
      </c>
      <c r="K170">
        <v>107528.8959129532</v>
      </c>
      <c r="L170" t="s">
        <v>82</v>
      </c>
      <c r="M170">
        <v>121</v>
      </c>
      <c r="N170">
        <v>133.2049074220096</v>
      </c>
      <c r="O170" s="82">
        <f t="shared" si="42"/>
        <v>-0.49553973715373445</v>
      </c>
      <c r="P170">
        <v>121</v>
      </c>
      <c r="Q170">
        <v>104671.55106723039</v>
      </c>
      <c r="R170" t="s">
        <v>82</v>
      </c>
      <c r="S170">
        <v>121</v>
      </c>
      <c r="T170">
        <v>132.60045787678425</v>
      </c>
      <c r="U170" s="82">
        <f t="shared" si="43"/>
        <v>-0.47817584706317007</v>
      </c>
      <c r="V170">
        <v>121</v>
      </c>
      <c r="W170">
        <v>101906.57777171159</v>
      </c>
      <c r="X170" t="s">
        <v>82</v>
      </c>
      <c r="Y170">
        <v>121</v>
      </c>
      <c r="Z170">
        <v>131.99323286323749</v>
      </c>
      <c r="AA170" s="82">
        <f t="shared" si="44"/>
        <v>-0.46111297844780097</v>
      </c>
      <c r="AB170">
        <v>121</v>
      </c>
      <c r="AC170">
        <v>99234.909714732959</v>
      </c>
      <c r="AD170" t="s">
        <v>82</v>
      </c>
      <c r="AE170">
        <v>121</v>
      </c>
      <c r="AF170">
        <v>131.38317946356545</v>
      </c>
      <c r="AG170" s="82">
        <f t="shared" si="45"/>
        <v>-0.44435508225311082</v>
      </c>
      <c r="AH170">
        <v>121</v>
      </c>
      <c r="AI170">
        <v>96659.259729880534</v>
      </c>
      <c r="AJ170" t="s">
        <v>82</v>
      </c>
      <c r="AK170">
        <v>121</v>
      </c>
      <c r="AL170">
        <v>130.76994982673546</v>
      </c>
      <c r="AM170" s="82">
        <f t="shared" si="46"/>
        <v>-0.42789308921021529</v>
      </c>
      <c r="AN170">
        <v>121</v>
      </c>
      <c r="AO170">
        <v>94180.580222058052</v>
      </c>
      <c r="AP170" t="s">
        <v>82</v>
      </c>
      <c r="AQ170">
        <v>121</v>
      </c>
      <c r="AR170">
        <v>130.15152103647117</v>
      </c>
      <c r="AS170" s="82">
        <f t="shared" si="47"/>
        <v>-0.41169011935005528</v>
      </c>
      <c r="AT170">
        <v>121</v>
      </c>
      <c r="AU170">
        <v>91796.301473659347</v>
      </c>
      <c r="AV170" t="s">
        <v>82</v>
      </c>
      <c r="AW170">
        <v>121</v>
      </c>
      <c r="AX170">
        <v>129.52890124894472</v>
      </c>
      <c r="AY170" s="82">
        <f t="shared" si="48"/>
        <v>-0.39576690803440329</v>
      </c>
      <c r="AZ170">
        <v>121</v>
      </c>
      <c r="BA170">
        <v>89512.742315068026</v>
      </c>
      <c r="BB170" t="s">
        <v>82</v>
      </c>
      <c r="BC170">
        <v>121</v>
      </c>
      <c r="BD170">
        <v>128.90186333119004</v>
      </c>
      <c r="BE170" s="82">
        <f t="shared" si="49"/>
        <v>-0.38011692229372329</v>
      </c>
      <c r="BF170">
        <v>121</v>
      </c>
      <c r="BG170">
        <v>87332.616363939902</v>
      </c>
      <c r="BH170" t="s">
        <v>82</v>
      </c>
      <c r="BI170">
        <v>121</v>
      </c>
      <c r="BJ170">
        <v>128.26736488779625</v>
      </c>
      <c r="BK170" s="82">
        <f t="shared" si="50"/>
        <v>-0.36470855595140961</v>
      </c>
      <c r="BL170">
        <v>121</v>
      </c>
      <c r="BM170">
        <v>85256.302513093062</v>
      </c>
      <c r="BN170" t="s">
        <v>82</v>
      </c>
      <c r="BO170">
        <v>121</v>
      </c>
      <c r="BP170">
        <v>127.62534480503723</v>
      </c>
      <c r="BQ170" s="82">
        <f t="shared" si="51"/>
        <v>-0.34953930988211823</v>
      </c>
      <c r="BR170">
        <v>121</v>
      </c>
      <c r="BS170">
        <v>83288.719358045622</v>
      </c>
      <c r="BT170" t="s">
        <v>82</v>
      </c>
      <c r="BU170">
        <v>121</v>
      </c>
      <c r="BV170">
        <v>126.98220791694875</v>
      </c>
      <c r="BW170" s="82">
        <f t="shared" si="52"/>
        <v>-0.33470334080686825</v>
      </c>
      <c r="BX170">
        <v>121</v>
      </c>
      <c r="BY170">
        <v>81446.753346952595</v>
      </c>
      <c r="BZ170" t="s">
        <v>82</v>
      </c>
      <c r="CA170">
        <v>121</v>
      </c>
      <c r="CB170">
        <v>126.37519417630064</v>
      </c>
      <c r="CC170" s="82">
        <f t="shared" si="53"/>
        <v>-0.32066242611450946</v>
      </c>
      <c r="CD170">
        <v>121</v>
      </c>
      <c r="CE170">
        <v>79784.369925079125</v>
      </c>
      <c r="CF170" t="s">
        <v>82</v>
      </c>
      <c r="CG170">
        <v>121</v>
      </c>
      <c r="CH170">
        <v>125.79921008388513</v>
      </c>
      <c r="CI170" s="82">
        <f t="shared" si="54"/>
        <v>-0.30735378030145455</v>
      </c>
      <c r="CJ170">
        <v>121</v>
      </c>
      <c r="CK170">
        <v>78291.37428953436</v>
      </c>
      <c r="CL170" t="s">
        <v>82</v>
      </c>
      <c r="CM170">
        <v>121</v>
      </c>
      <c r="CN170">
        <v>125.25073155107118</v>
      </c>
      <c r="CO170" s="82">
        <f t="shared" si="55"/>
        <v>-0.29472891896539011</v>
      </c>
      <c r="CP170">
        <v>121</v>
      </c>
      <c r="CQ170">
        <v>76959.59791774003</v>
      </c>
      <c r="CR170" t="s">
        <v>82</v>
      </c>
      <c r="CS170">
        <v>121</v>
      </c>
      <c r="CT170">
        <v>124.72748276317307</v>
      </c>
      <c r="CU170" s="82">
        <f t="shared" si="56"/>
        <v>-0.28275123092217314</v>
      </c>
      <c r="CV170">
        <v>121</v>
      </c>
      <c r="CW170">
        <v>75782.312308125634</v>
      </c>
      <c r="CX170" t="s">
        <v>82</v>
      </c>
      <c r="CY170">
        <v>121</v>
      </c>
      <c r="CZ170">
        <v>124.20994007520886</v>
      </c>
      <c r="DA170" s="82">
        <f t="shared" si="57"/>
        <v>-0.27116953574081037</v>
      </c>
      <c r="DB170">
        <v>121</v>
      </c>
      <c r="DC170">
        <v>74736.703376703037</v>
      </c>
      <c r="DD170" t="s">
        <v>82</v>
      </c>
      <c r="DG170" s="82">
        <f t="shared" si="58"/>
        <v>0</v>
      </c>
      <c r="DM170" s="82">
        <f t="shared" si="59"/>
        <v>0</v>
      </c>
    </row>
    <row r="171" spans="1:117" x14ac:dyDescent="0.2">
      <c r="A171">
        <v>123</v>
      </c>
      <c r="B171">
        <v>133.86449377060097</v>
      </c>
      <c r="C171" s="82">
        <f t="shared" si="40"/>
        <v>-0.54094680550250018</v>
      </c>
      <c r="D171">
        <v>123</v>
      </c>
      <c r="E171">
        <v>112213.71081715182</v>
      </c>
      <c r="F171" t="s">
        <v>82</v>
      </c>
      <c r="G171">
        <v>123</v>
      </c>
      <c r="H171">
        <v>133.28405929707662</v>
      </c>
      <c r="I171" s="82">
        <f t="shared" si="41"/>
        <v>-0.52211061823155092</v>
      </c>
      <c r="J171">
        <v>123</v>
      </c>
      <c r="K171">
        <v>109104.91152472825</v>
      </c>
      <c r="L171" t="s">
        <v>82</v>
      </c>
      <c r="M171">
        <v>123</v>
      </c>
      <c r="N171">
        <v>132.70124431720728</v>
      </c>
      <c r="O171" s="82">
        <f t="shared" si="42"/>
        <v>-0.50366310480231391</v>
      </c>
      <c r="P171">
        <v>123</v>
      </c>
      <c r="Q171">
        <v>106101.9949340529</v>
      </c>
      <c r="R171" t="s">
        <v>82</v>
      </c>
      <c r="S171">
        <v>123</v>
      </c>
      <c r="T171">
        <v>132.11487889703537</v>
      </c>
      <c r="U171" s="82">
        <f t="shared" si="43"/>
        <v>-0.48557897974887965</v>
      </c>
      <c r="V171">
        <v>123</v>
      </c>
      <c r="W171">
        <v>103202.37362869158</v>
      </c>
      <c r="X171" t="s">
        <v>82</v>
      </c>
      <c r="Y171">
        <v>123</v>
      </c>
      <c r="Z171">
        <v>131.52538316805214</v>
      </c>
      <c r="AA171" s="82">
        <f t="shared" si="44"/>
        <v>-0.46784969518535036</v>
      </c>
      <c r="AB171">
        <v>123</v>
      </c>
      <c r="AC171">
        <v>100406.31951464647</v>
      </c>
      <c r="AD171" t="s">
        <v>82</v>
      </c>
      <c r="AE171">
        <v>123</v>
      </c>
      <c r="AF171">
        <v>130.93270342622836</v>
      </c>
      <c r="AG171" s="82">
        <f t="shared" si="45"/>
        <v>-0.45047603733709707</v>
      </c>
      <c r="AH171">
        <v>123</v>
      </c>
      <c r="AI171">
        <v>97715.930378222212</v>
      </c>
      <c r="AJ171" t="s">
        <v>82</v>
      </c>
      <c r="AK171">
        <v>123</v>
      </c>
      <c r="AL171">
        <v>130.33650434788703</v>
      </c>
      <c r="AM171" s="82">
        <f t="shared" si="46"/>
        <v>-0.43344547884842655</v>
      </c>
      <c r="AN171">
        <v>123</v>
      </c>
      <c r="AO171">
        <v>95131.490819964427</v>
      </c>
      <c r="AP171" t="s">
        <v>82</v>
      </c>
      <c r="AQ171">
        <v>123</v>
      </c>
      <c r="AR171">
        <v>129.73480412356619</v>
      </c>
      <c r="AS171" s="82">
        <f t="shared" si="47"/>
        <v>-0.41671691290497392</v>
      </c>
      <c r="AT171">
        <v>123</v>
      </c>
      <c r="AU171">
        <v>92649.623923666906</v>
      </c>
      <c r="AV171" t="s">
        <v>82</v>
      </c>
      <c r="AW171">
        <v>123</v>
      </c>
      <c r="AX171">
        <v>129.12859207716681</v>
      </c>
      <c r="AY171" s="82">
        <f t="shared" si="48"/>
        <v>-0.4003091717779057</v>
      </c>
      <c r="AZ171">
        <v>123</v>
      </c>
      <c r="BA171">
        <v>90276.273954188553</v>
      </c>
      <c r="BB171" t="s">
        <v>82</v>
      </c>
      <c r="BC171">
        <v>123</v>
      </c>
      <c r="BD171">
        <v>128.51765036024511</v>
      </c>
      <c r="BE171" s="82">
        <f t="shared" si="49"/>
        <v>-0.38421297094492957</v>
      </c>
      <c r="BF171">
        <v>123</v>
      </c>
      <c r="BG171">
        <v>88013.624651711594</v>
      </c>
      <c r="BH171" t="s">
        <v>82</v>
      </c>
      <c r="BI171">
        <v>123</v>
      </c>
      <c r="BJ171">
        <v>127.89897165263865</v>
      </c>
      <c r="BK171" s="82">
        <f t="shared" si="50"/>
        <v>-0.36839323515759759</v>
      </c>
      <c r="BL171">
        <v>123</v>
      </c>
      <c r="BM171">
        <v>85861.397261224032</v>
      </c>
      <c r="BN171" t="s">
        <v>82</v>
      </c>
      <c r="BO171">
        <v>123</v>
      </c>
      <c r="BP171">
        <v>127.27249944719269</v>
      </c>
      <c r="BQ171" s="82">
        <f t="shared" si="51"/>
        <v>-0.35284535784454363</v>
      </c>
      <c r="BR171">
        <v>123</v>
      </c>
      <c r="BS171">
        <v>83824.104376519725</v>
      </c>
      <c r="BT171" t="s">
        <v>82</v>
      </c>
      <c r="BU171">
        <v>123</v>
      </c>
      <c r="BV171">
        <v>126.64454401231986</v>
      </c>
      <c r="BW171" s="82">
        <f t="shared" si="52"/>
        <v>-0.33766390462889717</v>
      </c>
      <c r="BX171">
        <v>123</v>
      </c>
      <c r="BY171">
        <v>81918.686635440885</v>
      </c>
      <c r="BZ171" t="s">
        <v>82</v>
      </c>
      <c r="CA171">
        <v>123</v>
      </c>
      <c r="CB171">
        <v>126.05187463470152</v>
      </c>
      <c r="CC171" s="82">
        <f t="shared" si="53"/>
        <v>-0.32331954159911902</v>
      </c>
      <c r="CD171">
        <v>123</v>
      </c>
      <c r="CE171">
        <v>80200.691349564426</v>
      </c>
      <c r="CF171" t="s">
        <v>82</v>
      </c>
      <c r="CG171">
        <v>123</v>
      </c>
      <c r="CH171">
        <v>125.48946687878181</v>
      </c>
      <c r="CI171" s="82">
        <f t="shared" si="54"/>
        <v>-0.30974320510331665</v>
      </c>
      <c r="CJ171">
        <v>123</v>
      </c>
      <c r="CK171">
        <v>78658.745204576044</v>
      </c>
      <c r="CL171" t="s">
        <v>82</v>
      </c>
      <c r="CM171">
        <v>123</v>
      </c>
      <c r="CN171">
        <v>124.9538500887476</v>
      </c>
      <c r="CO171" s="82">
        <f t="shared" si="55"/>
        <v>-0.29688146232358292</v>
      </c>
      <c r="CP171">
        <v>123</v>
      </c>
      <c r="CQ171">
        <v>77283.750420827389</v>
      </c>
      <c r="CR171" t="s">
        <v>82</v>
      </c>
      <c r="CS171">
        <v>123</v>
      </c>
      <c r="CT171">
        <v>124.44278903432114</v>
      </c>
      <c r="CU171" s="82">
        <f t="shared" si="56"/>
        <v>-0.28469372885193422</v>
      </c>
      <c r="CV171">
        <v>123</v>
      </c>
      <c r="CW171">
        <v>76068.231913002775</v>
      </c>
      <c r="CX171" t="s">
        <v>82</v>
      </c>
      <c r="CY171">
        <v>123</v>
      </c>
      <c r="CZ171">
        <v>123.93701861160953</v>
      </c>
      <c r="DA171" s="82">
        <f t="shared" si="57"/>
        <v>-0.27292146359933156</v>
      </c>
      <c r="DB171">
        <v>123</v>
      </c>
      <c r="DC171">
        <v>74988.031847063263</v>
      </c>
      <c r="DD171" t="s">
        <v>82</v>
      </c>
      <c r="DG171" s="82">
        <f t="shared" si="58"/>
        <v>0</v>
      </c>
      <c r="DM171" s="82">
        <f t="shared" si="59"/>
        <v>0</v>
      </c>
    </row>
    <row r="172" spans="1:117" x14ac:dyDescent="0.2">
      <c r="A172">
        <v>125</v>
      </c>
      <c r="B172">
        <v>133.31364685652466</v>
      </c>
      <c r="C172" s="82">
        <f t="shared" si="40"/>
        <v>-0.55084691407631681</v>
      </c>
      <c r="D172">
        <v>125</v>
      </c>
      <c r="E172">
        <v>113977.57659870619</v>
      </c>
      <c r="F172" t="s">
        <v>82</v>
      </c>
      <c r="G172">
        <v>125</v>
      </c>
      <c r="H172">
        <v>132.75291213835342</v>
      </c>
      <c r="I172" s="82">
        <f t="shared" si="41"/>
        <v>-0.53114715872320062</v>
      </c>
      <c r="J172">
        <v>125</v>
      </c>
      <c r="K172">
        <v>110706.86755327934</v>
      </c>
      <c r="L172" t="s">
        <v>82</v>
      </c>
      <c r="M172">
        <v>125</v>
      </c>
      <c r="N172">
        <v>132.18934326548549</v>
      </c>
      <c r="O172" s="82">
        <f t="shared" si="42"/>
        <v>-0.51190105172179301</v>
      </c>
      <c r="P172">
        <v>125</v>
      </c>
      <c r="Q172">
        <v>107554.43610071306</v>
      </c>
      <c r="R172" t="s">
        <v>82</v>
      </c>
      <c r="S172">
        <v>125</v>
      </c>
      <c r="T172">
        <v>131.62180054320163</v>
      </c>
      <c r="U172" s="82">
        <f t="shared" si="43"/>
        <v>-0.49307835383373799</v>
      </c>
      <c r="V172">
        <v>125</v>
      </c>
      <c r="W172">
        <v>104516.74374302998</v>
      </c>
      <c r="X172" t="s">
        <v>82</v>
      </c>
      <c r="Y172">
        <v>125</v>
      </c>
      <c r="Z172">
        <v>131.05071634895438</v>
      </c>
      <c r="AA172" s="82">
        <f t="shared" si="44"/>
        <v>-0.47466681909776298</v>
      </c>
      <c r="AB172">
        <v>125</v>
      </c>
      <c r="AC172">
        <v>101593.34667920982</v>
      </c>
      <c r="AD172" t="s">
        <v>82</v>
      </c>
      <c r="AE172">
        <v>125</v>
      </c>
      <c r="AF172">
        <v>130.47603963400948</v>
      </c>
      <c r="AG172" s="82">
        <f t="shared" si="45"/>
        <v>-0.4566637922188761</v>
      </c>
      <c r="AH172">
        <v>125</v>
      </c>
      <c r="AI172">
        <v>98785.676171734114</v>
      </c>
      <c r="AJ172" t="s">
        <v>82</v>
      </c>
      <c r="AK172">
        <v>125</v>
      </c>
      <c r="AL172">
        <v>129.89745132553776</v>
      </c>
      <c r="AM172" s="82">
        <f t="shared" si="46"/>
        <v>-0.43905302234927035</v>
      </c>
      <c r="AN172">
        <v>125</v>
      </c>
      <c r="AO172">
        <v>96093.29953817348</v>
      </c>
      <c r="AP172" t="s">
        <v>82</v>
      </c>
      <c r="AQ172">
        <v>125</v>
      </c>
      <c r="AR172">
        <v>129.31301520741562</v>
      </c>
      <c r="AS172" s="82">
        <f t="shared" si="47"/>
        <v>-0.42178891615057523</v>
      </c>
      <c r="AT172">
        <v>125</v>
      </c>
      <c r="AU172">
        <v>93511.984138990869</v>
      </c>
      <c r="AV172" t="s">
        <v>82</v>
      </c>
      <c r="AW172">
        <v>125</v>
      </c>
      <c r="AX172">
        <v>128.72370386842275</v>
      </c>
      <c r="AY172" s="82">
        <f t="shared" si="48"/>
        <v>-0.40488820874406883</v>
      </c>
      <c r="AZ172">
        <v>125</v>
      </c>
      <c r="BA172">
        <v>91047.263442527808</v>
      </c>
      <c r="BB172" t="s">
        <v>82</v>
      </c>
      <c r="BC172">
        <v>125</v>
      </c>
      <c r="BD172">
        <v>128.12931168975919</v>
      </c>
      <c r="BE172" s="82">
        <f t="shared" si="49"/>
        <v>-0.38833867048592197</v>
      </c>
      <c r="BF172">
        <v>125</v>
      </c>
      <c r="BG172">
        <v>88700.75511704672</v>
      </c>
      <c r="BH172" t="s">
        <v>82</v>
      </c>
      <c r="BI172">
        <v>125</v>
      </c>
      <c r="BJ172">
        <v>127.52687008315065</v>
      </c>
      <c r="BK172" s="82">
        <f t="shared" si="50"/>
        <v>-0.37210156948799522</v>
      </c>
      <c r="BL172">
        <v>125</v>
      </c>
      <c r="BM172">
        <v>86471.48767866203</v>
      </c>
      <c r="BN172" t="s">
        <v>82</v>
      </c>
      <c r="BO172">
        <v>125</v>
      </c>
      <c r="BP172">
        <v>126.91632940078165</v>
      </c>
      <c r="BQ172" s="82">
        <f t="shared" si="51"/>
        <v>-0.35617004641103733</v>
      </c>
      <c r="BR172">
        <v>125</v>
      </c>
      <c r="BS172">
        <v>84363.540578295375</v>
      </c>
      <c r="BT172" t="s">
        <v>82</v>
      </c>
      <c r="BU172">
        <v>125</v>
      </c>
      <c r="BV172">
        <v>126.3039050370509</v>
      </c>
      <c r="BW172" s="82">
        <f t="shared" si="52"/>
        <v>-0.34063897526895914</v>
      </c>
      <c r="BX172">
        <v>125</v>
      </c>
      <c r="BY172">
        <v>82393.889957739579</v>
      </c>
      <c r="BZ172" t="s">
        <v>82</v>
      </c>
      <c r="CA172">
        <v>125</v>
      </c>
      <c r="CB172">
        <v>125.72588672168115</v>
      </c>
      <c r="CC172" s="82">
        <f t="shared" si="53"/>
        <v>-0.32598791302037</v>
      </c>
      <c r="CD172">
        <v>125</v>
      </c>
      <c r="CE172">
        <v>80619.665771538188</v>
      </c>
      <c r="CF172" t="s">
        <v>82</v>
      </c>
      <c r="CG172">
        <v>125</v>
      </c>
      <c r="CH172">
        <v>125.177325556715</v>
      </c>
      <c r="CI172" s="82">
        <f t="shared" si="54"/>
        <v>-0.31214132206680745</v>
      </c>
      <c r="CJ172">
        <v>125</v>
      </c>
      <c r="CK172">
        <v>79028.27968210433</v>
      </c>
      <c r="CL172" t="s">
        <v>82</v>
      </c>
      <c r="CM172">
        <v>125</v>
      </c>
      <c r="CN172">
        <v>124.65480941607312</v>
      </c>
      <c r="CO172" s="82">
        <f t="shared" si="55"/>
        <v>-0.29904067267447942</v>
      </c>
      <c r="CP172">
        <v>125</v>
      </c>
      <c r="CQ172">
        <v>77609.677038688576</v>
      </c>
      <c r="CR172" t="s">
        <v>82</v>
      </c>
      <c r="CS172">
        <v>125</v>
      </c>
      <c r="CT172">
        <v>124.15614774057889</v>
      </c>
      <c r="CU172" s="82">
        <f t="shared" si="56"/>
        <v>-0.28664129374224956</v>
      </c>
      <c r="CV172">
        <v>125</v>
      </c>
      <c r="CW172">
        <v>76355.615141136528</v>
      </c>
      <c r="CX172" t="s">
        <v>82</v>
      </c>
      <c r="CY172">
        <v>125</v>
      </c>
      <c r="CZ172">
        <v>123.6623414488954</v>
      </c>
      <c r="DA172" s="82">
        <f t="shared" si="57"/>
        <v>-0.27467716271412712</v>
      </c>
      <c r="DB172">
        <v>125</v>
      </c>
      <c r="DC172">
        <v>75240.569772007177</v>
      </c>
      <c r="DD172" t="s">
        <v>82</v>
      </c>
      <c r="DG172" s="82">
        <f t="shared" si="58"/>
        <v>0</v>
      </c>
      <c r="DM172" s="82">
        <f t="shared" si="59"/>
        <v>0</v>
      </c>
    </row>
    <row r="173" spans="1:117" x14ac:dyDescent="0.2">
      <c r="A173">
        <v>127</v>
      </c>
      <c r="B173">
        <v>132.75274214657162</v>
      </c>
      <c r="C173" s="82">
        <f t="shared" si="40"/>
        <v>-0.56090470995303576</v>
      </c>
      <c r="D173">
        <v>127</v>
      </c>
      <c r="E173">
        <v>115771.44618201334</v>
      </c>
      <c r="F173" t="s">
        <v>82</v>
      </c>
      <c r="G173">
        <v>127</v>
      </c>
      <c r="H173">
        <v>132.21259489339704</v>
      </c>
      <c r="I173" s="82">
        <f t="shared" si="41"/>
        <v>-0.540317244956384</v>
      </c>
      <c r="J173">
        <v>127</v>
      </c>
      <c r="K173">
        <v>112334.33318871552</v>
      </c>
      <c r="L173" t="s">
        <v>82</v>
      </c>
      <c r="M173">
        <v>127</v>
      </c>
      <c r="N173">
        <v>131.66909173581141</v>
      </c>
      <c r="O173" s="82">
        <f t="shared" si="42"/>
        <v>-0.52025152967408417</v>
      </c>
      <c r="P173">
        <v>127</v>
      </c>
      <c r="Q173">
        <v>109028.47203389308</v>
      </c>
      <c r="R173" t="s">
        <v>82</v>
      </c>
      <c r="S173">
        <v>127</v>
      </c>
      <c r="T173">
        <v>131.12112850513239</v>
      </c>
      <c r="U173" s="82">
        <f t="shared" si="43"/>
        <v>-0.50067203806923999</v>
      </c>
      <c r="V173">
        <v>127</v>
      </c>
      <c r="W173">
        <v>105849.31213425826</v>
      </c>
      <c r="X173" t="s">
        <v>82</v>
      </c>
      <c r="Y173">
        <v>127</v>
      </c>
      <c r="Z173">
        <v>130.56915381108041</v>
      </c>
      <c r="AA173" s="82">
        <f t="shared" si="44"/>
        <v>-0.48156253787396963</v>
      </c>
      <c r="AB173">
        <v>127</v>
      </c>
      <c r="AC173">
        <v>102795.64094045316</v>
      </c>
      <c r="AD173" t="s">
        <v>82</v>
      </c>
      <c r="AE173">
        <v>127</v>
      </c>
      <c r="AF173">
        <v>130.01312297829213</v>
      </c>
      <c r="AG173" s="82">
        <f t="shared" si="45"/>
        <v>-0.46291665571735052</v>
      </c>
      <c r="AH173">
        <v>127</v>
      </c>
      <c r="AI173">
        <v>99868.172051958274</v>
      </c>
      <c r="AJ173" t="s">
        <v>82</v>
      </c>
      <c r="AK173">
        <v>127</v>
      </c>
      <c r="AL173">
        <v>129.45273717461268</v>
      </c>
      <c r="AM173" s="82">
        <f t="shared" si="46"/>
        <v>-0.44471415092507982</v>
      </c>
      <c r="AN173">
        <v>127</v>
      </c>
      <c r="AO173">
        <v>97065.706036944655</v>
      </c>
      <c r="AP173" t="s">
        <v>82</v>
      </c>
      <c r="AQ173">
        <v>127</v>
      </c>
      <c r="AR173">
        <v>128.88611052510316</v>
      </c>
      <c r="AS173" s="82">
        <f t="shared" si="47"/>
        <v>-0.42690468231245404</v>
      </c>
      <c r="AT173">
        <v>127</v>
      </c>
      <c r="AU173">
        <v>94383.10587748434</v>
      </c>
      <c r="AV173" t="s">
        <v>82</v>
      </c>
      <c r="AW173">
        <v>127</v>
      </c>
      <c r="AX173">
        <v>128.31420117622071</v>
      </c>
      <c r="AY173" s="82">
        <f t="shared" si="48"/>
        <v>-0.4095026922020395</v>
      </c>
      <c r="AZ173">
        <v>127</v>
      </c>
      <c r="BA173">
        <v>91825.45781853568</v>
      </c>
      <c r="BB173" t="s">
        <v>82</v>
      </c>
      <c r="BC173">
        <v>127</v>
      </c>
      <c r="BD173">
        <v>127.73681887908005</v>
      </c>
      <c r="BE173" s="82">
        <f t="shared" si="49"/>
        <v>-0.3924928106791441</v>
      </c>
      <c r="BF173">
        <v>127</v>
      </c>
      <c r="BG173">
        <v>89393.777086943825</v>
      </c>
      <c r="BH173" t="s">
        <v>82</v>
      </c>
      <c r="BI173">
        <v>127</v>
      </c>
      <c r="BJ173">
        <v>127.151037623032</v>
      </c>
      <c r="BK173" s="82">
        <f t="shared" si="50"/>
        <v>-0.37583246011865867</v>
      </c>
      <c r="BL173">
        <v>127</v>
      </c>
      <c r="BM173">
        <v>87086.364175082126</v>
      </c>
      <c r="BN173" t="s">
        <v>82</v>
      </c>
      <c r="BO173">
        <v>127</v>
      </c>
      <c r="BP173">
        <v>126.55681701858767</v>
      </c>
      <c r="BQ173" s="82">
        <f t="shared" si="51"/>
        <v>-0.35951238219398363</v>
      </c>
      <c r="BR173">
        <v>127</v>
      </c>
      <c r="BS173">
        <v>84906.838152545519</v>
      </c>
      <c r="BT173" t="s">
        <v>82</v>
      </c>
      <c r="BU173">
        <v>127</v>
      </c>
      <c r="BV173">
        <v>125.96027737924496</v>
      </c>
      <c r="BW173" s="82">
        <f t="shared" si="52"/>
        <v>-0.34362765780593918</v>
      </c>
      <c r="BX173">
        <v>127</v>
      </c>
      <c r="BY173">
        <v>82872.191807961863</v>
      </c>
      <c r="BZ173" t="s">
        <v>82</v>
      </c>
      <c r="CA173">
        <v>127</v>
      </c>
      <c r="CB173">
        <v>125.39721998679856</v>
      </c>
      <c r="CC173" s="82">
        <f t="shared" si="53"/>
        <v>-0.32866673488258868</v>
      </c>
      <c r="CD173">
        <v>127</v>
      </c>
      <c r="CE173">
        <v>81041.138184147203</v>
      </c>
      <c r="CF173" t="s">
        <v>82</v>
      </c>
      <c r="CG173">
        <v>127</v>
      </c>
      <c r="CH173">
        <v>124.86277815147263</v>
      </c>
      <c r="CI173" s="82">
        <f t="shared" si="54"/>
        <v>-0.31454740524237934</v>
      </c>
      <c r="CJ173">
        <v>127</v>
      </c>
      <c r="CK173">
        <v>79399.837310236835</v>
      </c>
      <c r="CL173" t="s">
        <v>82</v>
      </c>
      <c r="CM173">
        <v>127</v>
      </c>
      <c r="CN173">
        <v>124.35360352189335</v>
      </c>
      <c r="CO173" s="82">
        <f t="shared" si="55"/>
        <v>-0.30120589417977328</v>
      </c>
      <c r="CP173">
        <v>127</v>
      </c>
      <c r="CQ173">
        <v>77937.250184184537</v>
      </c>
      <c r="CR173" t="s">
        <v>82</v>
      </c>
      <c r="CS173">
        <v>127</v>
      </c>
      <c r="CT173">
        <v>123.86755440931917</v>
      </c>
      <c r="CU173" s="82">
        <f t="shared" si="56"/>
        <v>-0.28859333125971887</v>
      </c>
      <c r="CV173">
        <v>127</v>
      </c>
      <c r="CW173">
        <v>76644.345611751633</v>
      </c>
      <c r="CX173" t="s">
        <v>82</v>
      </c>
      <c r="CY173">
        <v>127</v>
      </c>
      <c r="CZ173">
        <v>123.38590535529093</v>
      </c>
      <c r="DA173" s="82">
        <f t="shared" si="57"/>
        <v>-0.27643609360447385</v>
      </c>
      <c r="DB173">
        <v>127</v>
      </c>
      <c r="DC173">
        <v>75494.210743373143</v>
      </c>
      <c r="DD173" t="s">
        <v>82</v>
      </c>
      <c r="DG173" s="82">
        <f t="shared" si="58"/>
        <v>0</v>
      </c>
      <c r="DM173" s="82">
        <f t="shared" si="59"/>
        <v>0</v>
      </c>
    </row>
    <row r="174" spans="1:117" x14ac:dyDescent="0.2">
      <c r="A174">
        <v>129</v>
      </c>
      <c r="B174">
        <v>132.18162489836118</v>
      </c>
      <c r="C174" s="82">
        <f t="shared" si="40"/>
        <v>-0.57111724821044163</v>
      </c>
      <c r="D174">
        <v>129</v>
      </c>
      <c r="E174">
        <v>117594.73159249846</v>
      </c>
      <c r="F174" t="s">
        <v>82</v>
      </c>
      <c r="G174">
        <v>129</v>
      </c>
      <c r="H174">
        <v>131.66297672457321</v>
      </c>
      <c r="I174" s="82">
        <f t="shared" si="41"/>
        <v>-0.54961816882382664</v>
      </c>
      <c r="J174">
        <v>129</v>
      </c>
      <c r="K174">
        <v>113986.77356258426</v>
      </c>
      <c r="L174" t="s">
        <v>82</v>
      </c>
      <c r="M174">
        <v>129</v>
      </c>
      <c r="N174">
        <v>131.14037969796595</v>
      </c>
      <c r="O174" s="82">
        <f t="shared" si="42"/>
        <v>-0.52871203784545173</v>
      </c>
      <c r="P174">
        <v>129</v>
      </c>
      <c r="Q174">
        <v>110523.61321961728</v>
      </c>
      <c r="R174" t="s">
        <v>82</v>
      </c>
      <c r="S174">
        <v>129</v>
      </c>
      <c r="T174">
        <v>130.61277078516298</v>
      </c>
      <c r="U174" s="82">
        <f t="shared" si="43"/>
        <v>-0.50835771996941048</v>
      </c>
      <c r="V174">
        <v>129</v>
      </c>
      <c r="W174">
        <v>107199.62938749111</v>
      </c>
      <c r="X174" t="s">
        <v>82</v>
      </c>
      <c r="Y174">
        <v>129</v>
      </c>
      <c r="Z174">
        <v>130.08061909596751</v>
      </c>
      <c r="AA174" s="82">
        <f t="shared" si="44"/>
        <v>-0.48853471511290536</v>
      </c>
      <c r="AB174">
        <v>129</v>
      </c>
      <c r="AC174">
        <v>104012.78940126108</v>
      </c>
      <c r="AD174" t="s">
        <v>82</v>
      </c>
      <c r="AE174">
        <v>129</v>
      </c>
      <c r="AF174">
        <v>129.54389031985687</v>
      </c>
      <c r="AG174" s="82">
        <f t="shared" si="45"/>
        <v>-0.46923265843525996</v>
      </c>
      <c r="AH174">
        <v>129</v>
      </c>
      <c r="AI174">
        <v>100963.03890986922</v>
      </c>
      <c r="AJ174" t="s">
        <v>82</v>
      </c>
      <c r="AK174">
        <v>129</v>
      </c>
      <c r="AL174">
        <v>129.00231012013845</v>
      </c>
      <c r="AM174" s="82">
        <f t="shared" si="46"/>
        <v>-0.45042705447423259</v>
      </c>
      <c r="AN174">
        <v>129</v>
      </c>
      <c r="AO174">
        <v>98048.362787649399</v>
      </c>
      <c r="AP174" t="s">
        <v>82</v>
      </c>
      <c r="AQ174">
        <v>129</v>
      </c>
      <c r="AR174">
        <v>128.45404797200737</v>
      </c>
      <c r="AS174" s="82">
        <f t="shared" si="47"/>
        <v>-0.43206255309578978</v>
      </c>
      <c r="AT174">
        <v>129</v>
      </c>
      <c r="AU174">
        <v>95262.671198220502</v>
      </c>
      <c r="AV174" t="s">
        <v>82</v>
      </c>
      <c r="AW174">
        <v>129</v>
      </c>
      <c r="AX174">
        <v>127.90005006836404</v>
      </c>
      <c r="AY174" s="82">
        <f t="shared" si="48"/>
        <v>-0.41415110785666798</v>
      </c>
      <c r="AZ174">
        <v>129</v>
      </c>
      <c r="BA174">
        <v>92610.566824442853</v>
      </c>
      <c r="BB174" t="s">
        <v>82</v>
      </c>
      <c r="BC174">
        <v>129</v>
      </c>
      <c r="BD174">
        <v>127.34014486614312</v>
      </c>
      <c r="BE174" s="82">
        <f t="shared" si="49"/>
        <v>-0.39667401293692706</v>
      </c>
      <c r="BF174">
        <v>129</v>
      </c>
      <c r="BG174">
        <v>90092.426070051268</v>
      </c>
      <c r="BH174" t="s">
        <v>82</v>
      </c>
      <c r="BI174">
        <v>129</v>
      </c>
      <c r="BJ174">
        <v>126.77145296772925</v>
      </c>
      <c r="BK174" s="82">
        <f t="shared" si="50"/>
        <v>-0.37958465530275021</v>
      </c>
      <c r="BL174">
        <v>129</v>
      </c>
      <c r="BM174">
        <v>87705.786115122377</v>
      </c>
      <c r="BN174" t="s">
        <v>82</v>
      </c>
      <c r="BO174">
        <v>129</v>
      </c>
      <c r="BP174">
        <v>126.19394578737054</v>
      </c>
      <c r="BQ174" s="82">
        <f t="shared" si="51"/>
        <v>-0.36287123121712739</v>
      </c>
      <c r="BR174">
        <v>129</v>
      </c>
      <c r="BS174">
        <v>85453.778396128808</v>
      </c>
      <c r="BT174" t="s">
        <v>82</v>
      </c>
      <c r="BU174">
        <v>129</v>
      </c>
      <c r="BV174">
        <v>125.61364845281615</v>
      </c>
      <c r="BW174" s="82">
        <f t="shared" si="52"/>
        <v>-0.34662892642880649</v>
      </c>
      <c r="BX174">
        <v>129</v>
      </c>
      <c r="BY174">
        <v>83353.393503984524</v>
      </c>
      <c r="BZ174" t="s">
        <v>82</v>
      </c>
      <c r="CA174">
        <v>129</v>
      </c>
      <c r="CB174">
        <v>125.0658649089514</v>
      </c>
      <c r="CC174" s="82">
        <f t="shared" si="53"/>
        <v>-0.33135507784716367</v>
      </c>
      <c r="CD174">
        <v>129</v>
      </c>
      <c r="CE174">
        <v>81464.927616829547</v>
      </c>
      <c r="CF174" t="s">
        <v>82</v>
      </c>
      <c r="CG174">
        <v>129</v>
      </c>
      <c r="CH174">
        <v>124.54581754128401</v>
      </c>
      <c r="CI174" s="82">
        <f t="shared" si="54"/>
        <v>-0.31696061018861599</v>
      </c>
      <c r="CJ174">
        <v>129</v>
      </c>
      <c r="CK174">
        <v>79773.252611363903</v>
      </c>
      <c r="CL174" t="s">
        <v>82</v>
      </c>
      <c r="CM174">
        <v>129</v>
      </c>
      <c r="CN174">
        <v>124.05022716521739</v>
      </c>
      <c r="CO174" s="82">
        <f t="shared" si="55"/>
        <v>-0.30337635667595464</v>
      </c>
      <c r="CP174">
        <v>129</v>
      </c>
      <c r="CQ174">
        <v>78266.317865937381</v>
      </c>
      <c r="CR174" t="s">
        <v>82</v>
      </c>
      <c r="CS174">
        <v>129</v>
      </c>
      <c r="CT174">
        <v>123.57700527324826</v>
      </c>
      <c r="CU174" s="82">
        <f t="shared" si="56"/>
        <v>-0.29054913607090782</v>
      </c>
      <c r="CV174">
        <v>129</v>
      </c>
      <c r="CW174">
        <v>76934.283063426672</v>
      </c>
      <c r="CX174" t="s">
        <v>82</v>
      </c>
      <c r="CY174">
        <v>129</v>
      </c>
      <c r="CZ174">
        <v>123.10770774674712</v>
      </c>
      <c r="DA174" s="82">
        <f t="shared" si="57"/>
        <v>-0.27819760854380604</v>
      </c>
      <c r="DB174">
        <v>129</v>
      </c>
      <c r="DC174">
        <v>75748.824887724768</v>
      </c>
      <c r="DD174" t="s">
        <v>82</v>
      </c>
      <c r="DG174" s="82">
        <f t="shared" si="58"/>
        <v>0</v>
      </c>
      <c r="DM174" s="82">
        <f t="shared" si="59"/>
        <v>0</v>
      </c>
    </row>
    <row r="175" spans="1:117" x14ac:dyDescent="0.2">
      <c r="A175">
        <v>130.5</v>
      </c>
      <c r="B175">
        <v>131.74551423923938</v>
      </c>
      <c r="C175" s="82">
        <f t="shared" si="40"/>
        <v>-0.4361106591217947</v>
      </c>
      <c r="D175">
        <v>130.5</v>
      </c>
      <c r="E175">
        <v>118980.48520775652</v>
      </c>
      <c r="F175" t="s">
        <v>82</v>
      </c>
      <c r="G175">
        <v>130.5</v>
      </c>
      <c r="H175">
        <v>131.24369174594568</v>
      </c>
      <c r="I175" s="82">
        <f t="shared" si="41"/>
        <v>-0.41928497862753034</v>
      </c>
      <c r="J175">
        <v>130.5</v>
      </c>
      <c r="K175">
        <v>115241.83152248278</v>
      </c>
      <c r="L175" t="s">
        <v>82</v>
      </c>
      <c r="M175">
        <v>130.5</v>
      </c>
      <c r="N175">
        <v>130.73742000799422</v>
      </c>
      <c r="O175" s="82">
        <f t="shared" si="42"/>
        <v>-0.40295968997173759</v>
      </c>
      <c r="P175">
        <v>130.5</v>
      </c>
      <c r="Q175">
        <v>111658.45426590281</v>
      </c>
      <c r="R175" t="s">
        <v>82</v>
      </c>
      <c r="S175">
        <v>130.5</v>
      </c>
      <c r="T175">
        <v>130.22567128004528</v>
      </c>
      <c r="U175" s="82">
        <f t="shared" si="43"/>
        <v>-0.3870995051177033</v>
      </c>
      <c r="V175">
        <v>130.5</v>
      </c>
      <c r="W175">
        <v>108223.89779686311</v>
      </c>
      <c r="X175" t="s">
        <v>82</v>
      </c>
      <c r="Y175">
        <v>130.5</v>
      </c>
      <c r="Z175">
        <v>129.7089334506756</v>
      </c>
      <c r="AA175" s="82">
        <f t="shared" si="44"/>
        <v>-0.37168564529190462</v>
      </c>
      <c r="AB175">
        <v>130.5</v>
      </c>
      <c r="AC175">
        <v>104935.48649713528</v>
      </c>
      <c r="AD175" t="s">
        <v>82</v>
      </c>
      <c r="AE175">
        <v>130.5</v>
      </c>
      <c r="AF175">
        <v>129.18718317675828</v>
      </c>
      <c r="AG175" s="82">
        <f t="shared" si="45"/>
        <v>-0.35670714309858909</v>
      </c>
      <c r="AH175">
        <v>130.5</v>
      </c>
      <c r="AI175">
        <v>101792.56239021436</v>
      </c>
      <c r="AJ175" t="s">
        <v>82</v>
      </c>
      <c r="AK175">
        <v>130.5</v>
      </c>
      <c r="AL175">
        <v>128.66016788003003</v>
      </c>
      <c r="AM175" s="82">
        <f t="shared" si="46"/>
        <v>-0.34214224010841576</v>
      </c>
      <c r="AN175">
        <v>130.5</v>
      </c>
      <c r="AO175">
        <v>98792.471345332873</v>
      </c>
      <c r="AP175" t="s">
        <v>82</v>
      </c>
      <c r="AQ175">
        <v>130.5</v>
      </c>
      <c r="AR175">
        <v>128.12610249906726</v>
      </c>
      <c r="AS175" s="82">
        <f t="shared" si="47"/>
        <v>-0.32794547294011522</v>
      </c>
      <c r="AT175">
        <v>130.5</v>
      </c>
      <c r="AU175">
        <v>95928.381671713374</v>
      </c>
      <c r="AV175" t="s">
        <v>82</v>
      </c>
      <c r="AW175">
        <v>130.5</v>
      </c>
      <c r="AX175">
        <v>127.5859262743292</v>
      </c>
      <c r="AY175" s="82">
        <f t="shared" si="48"/>
        <v>-0.31412379403484181</v>
      </c>
      <c r="AZ175">
        <v>130.5</v>
      </c>
      <c r="BA175">
        <v>93204.513105344464</v>
      </c>
      <c r="BB175" t="s">
        <v>82</v>
      </c>
      <c r="BC175">
        <v>130.5</v>
      </c>
      <c r="BD175">
        <v>127.03948434023529</v>
      </c>
      <c r="BE175" s="82">
        <f t="shared" si="49"/>
        <v>-0.30066052590782988</v>
      </c>
      <c r="BF175">
        <v>130.5</v>
      </c>
      <c r="BG175">
        <v>90620.742501012166</v>
      </c>
      <c r="BH175" t="s">
        <v>82</v>
      </c>
      <c r="BI175">
        <v>130.5</v>
      </c>
      <c r="BJ175">
        <v>126.48393542737993</v>
      </c>
      <c r="BK175" s="82">
        <f t="shared" si="50"/>
        <v>-0.28751754034931309</v>
      </c>
      <c r="BL175">
        <v>130.5</v>
      </c>
      <c r="BM175">
        <v>88174.014498047836</v>
      </c>
      <c r="BN175" t="s">
        <v>82</v>
      </c>
      <c r="BO175">
        <v>130.5</v>
      </c>
      <c r="BP175">
        <v>125.91926182129177</v>
      </c>
      <c r="BQ175" s="82">
        <f t="shared" si="51"/>
        <v>-0.27468396607876855</v>
      </c>
      <c r="BR175">
        <v>130.5</v>
      </c>
      <c r="BS175">
        <v>85867.079529541821</v>
      </c>
      <c r="BT175" t="s">
        <v>82</v>
      </c>
      <c r="BU175">
        <v>130.5</v>
      </c>
      <c r="BV175">
        <v>125.3514172583458</v>
      </c>
      <c r="BW175" s="82">
        <f t="shared" si="52"/>
        <v>-0.26223119447034549</v>
      </c>
      <c r="BX175">
        <v>130.5</v>
      </c>
      <c r="BY175">
        <v>83716.916334923415</v>
      </c>
      <c r="BZ175" t="s">
        <v>82</v>
      </c>
      <c r="CA175">
        <v>130.5</v>
      </c>
      <c r="CB175">
        <v>124.81532601693007</v>
      </c>
      <c r="CC175" s="82">
        <f t="shared" si="53"/>
        <v>-0.25053889202132495</v>
      </c>
      <c r="CD175">
        <v>130.5</v>
      </c>
      <c r="CE175">
        <v>81785.010718292149</v>
      </c>
      <c r="CF175" t="s">
        <v>82</v>
      </c>
      <c r="CG175">
        <v>130.5</v>
      </c>
      <c r="CH175">
        <v>124.30628258601048</v>
      </c>
      <c r="CI175" s="82">
        <f t="shared" si="54"/>
        <v>-0.23953495527352686</v>
      </c>
      <c r="CJ175">
        <v>130.5</v>
      </c>
      <c r="CK175">
        <v>80055.2473949626</v>
      </c>
      <c r="CL175" t="s">
        <v>82</v>
      </c>
      <c r="CM175">
        <v>130.5</v>
      </c>
      <c r="CN175">
        <v>123.82106380933701</v>
      </c>
      <c r="CO175" s="82">
        <f t="shared" si="55"/>
        <v>-0.22916335588038805</v>
      </c>
      <c r="CP175">
        <v>130.5</v>
      </c>
      <c r="CQ175">
        <v>78514.801370884743</v>
      </c>
      <c r="CR175" t="s">
        <v>82</v>
      </c>
      <c r="CS175">
        <v>130.5</v>
      </c>
      <c r="CT175">
        <v>123.35762438092461</v>
      </c>
      <c r="CU175" s="82">
        <f t="shared" si="56"/>
        <v>-0.21938089232365598</v>
      </c>
      <c r="CV175">
        <v>130.5</v>
      </c>
      <c r="CW175">
        <v>77153.213661218528</v>
      </c>
      <c r="CX175" t="s">
        <v>82</v>
      </c>
      <c r="CY175">
        <v>130.5</v>
      </c>
      <c r="CZ175">
        <v>122.89773706031011</v>
      </c>
      <c r="DA175" s="82">
        <f t="shared" si="57"/>
        <v>-0.20997068643701766</v>
      </c>
      <c r="DB175">
        <v>130.5</v>
      </c>
      <c r="DC175">
        <v>75941.08968115777</v>
      </c>
      <c r="DD175" t="s">
        <v>82</v>
      </c>
      <c r="DG175" s="82">
        <f t="shared" si="58"/>
        <v>0</v>
      </c>
      <c r="DM175" s="82">
        <f t="shared" si="59"/>
        <v>0</v>
      </c>
    </row>
    <row r="176" spans="1:117" x14ac:dyDescent="0.2">
      <c r="A176">
        <v>131.5</v>
      </c>
      <c r="B176">
        <v>131.45214474777538</v>
      </c>
      <c r="C176" s="82">
        <f t="shared" si="40"/>
        <v>-0.2933694914640057</v>
      </c>
      <c r="D176">
        <v>131.5</v>
      </c>
      <c r="E176">
        <v>119917.4680959501</v>
      </c>
      <c r="F176" t="s">
        <v>82</v>
      </c>
      <c r="G176">
        <v>131.5</v>
      </c>
      <c r="H176">
        <v>130.96177800322036</v>
      </c>
      <c r="I176" s="82">
        <f t="shared" si="41"/>
        <v>-0.28191374272532244</v>
      </c>
      <c r="J176">
        <v>131.5</v>
      </c>
      <c r="K176">
        <v>116089.94480403424</v>
      </c>
      <c r="L176" t="s">
        <v>82</v>
      </c>
      <c r="M176">
        <v>131.5</v>
      </c>
      <c r="N176">
        <v>130.46660928561491</v>
      </c>
      <c r="O176" s="82">
        <f t="shared" si="42"/>
        <v>-0.27081072237930925</v>
      </c>
      <c r="P176">
        <v>131.5</v>
      </c>
      <c r="Q176">
        <v>112424.89384728772</v>
      </c>
      <c r="R176" t="s">
        <v>82</v>
      </c>
      <c r="S176">
        <v>131.5</v>
      </c>
      <c r="T176">
        <v>129.96563590825343</v>
      </c>
      <c r="U176" s="82">
        <f t="shared" si="43"/>
        <v>-0.26003537179184377</v>
      </c>
      <c r="V176">
        <v>131.5</v>
      </c>
      <c r="W176">
        <v>108915.28352807762</v>
      </c>
      <c r="X176" t="s">
        <v>82</v>
      </c>
      <c r="Y176">
        <v>131.5</v>
      </c>
      <c r="Z176">
        <v>129.45935946175152</v>
      </c>
      <c r="AA176" s="82">
        <f t="shared" si="44"/>
        <v>-0.24957398892408378</v>
      </c>
      <c r="AB176">
        <v>131.5</v>
      </c>
      <c r="AC176">
        <v>105557.99188506811</v>
      </c>
      <c r="AD176" t="s">
        <v>82</v>
      </c>
      <c r="AE176">
        <v>131.5</v>
      </c>
      <c r="AF176">
        <v>128.94776502774747</v>
      </c>
      <c r="AG176" s="82">
        <f t="shared" si="45"/>
        <v>-0.23941814901081671</v>
      </c>
      <c r="AH176">
        <v>131.5</v>
      </c>
      <c r="AI176">
        <v>102351.94067934288</v>
      </c>
      <c r="AJ176" t="s">
        <v>82</v>
      </c>
      <c r="AK176">
        <v>131.5</v>
      </c>
      <c r="AL176">
        <v>128.43061571092176</v>
      </c>
      <c r="AM176" s="82">
        <f t="shared" si="46"/>
        <v>-0.22955216910827403</v>
      </c>
      <c r="AN176">
        <v>131.5</v>
      </c>
      <c r="AO176">
        <v>99294.031942329573</v>
      </c>
      <c r="AP176" t="s">
        <v>82</v>
      </c>
      <c r="AQ176">
        <v>131.5</v>
      </c>
      <c r="AR176">
        <v>127.90615812485774</v>
      </c>
      <c r="AS176" s="82">
        <f t="shared" si="47"/>
        <v>-0.2199443742095184</v>
      </c>
      <c r="AT176">
        <v>131.5</v>
      </c>
      <c r="AU176">
        <v>96376.921359904285</v>
      </c>
      <c r="AV176" t="s">
        <v>82</v>
      </c>
      <c r="AW176">
        <v>131.5</v>
      </c>
      <c r="AX176">
        <v>127.37532758180224</v>
      </c>
      <c r="AY176" s="82">
        <f t="shared" si="48"/>
        <v>-0.21059869252695762</v>
      </c>
      <c r="AZ176">
        <v>131.5</v>
      </c>
      <c r="BA176">
        <v>93604.56006585616</v>
      </c>
      <c r="BB176" t="s">
        <v>82</v>
      </c>
      <c r="BC176">
        <v>131.5</v>
      </c>
      <c r="BD176">
        <v>126.83798125390663</v>
      </c>
      <c r="BE176" s="82">
        <f t="shared" si="49"/>
        <v>-0.20150308632865688</v>
      </c>
      <c r="BF176">
        <v>131.5</v>
      </c>
      <c r="BG176">
        <v>90976.478297958805</v>
      </c>
      <c r="BH176" t="s">
        <v>82</v>
      </c>
      <c r="BI176">
        <v>131.5</v>
      </c>
      <c r="BJ176">
        <v>126.29130438326651</v>
      </c>
      <c r="BK176" s="82">
        <f t="shared" si="50"/>
        <v>-0.19263104411342624</v>
      </c>
      <c r="BL176">
        <v>131.5</v>
      </c>
      <c r="BM176">
        <v>88489.212251487319</v>
      </c>
      <c r="BN176" t="s">
        <v>82</v>
      </c>
      <c r="BO176">
        <v>131.5</v>
      </c>
      <c r="BP176">
        <v>125.7352872031593</v>
      </c>
      <c r="BQ176" s="82">
        <f t="shared" si="51"/>
        <v>-0.18397461813246707</v>
      </c>
      <c r="BR176">
        <v>131.5</v>
      </c>
      <c r="BS176">
        <v>86145.248200349248</v>
      </c>
      <c r="BT176" t="s">
        <v>82</v>
      </c>
      <c r="BU176">
        <v>131.5</v>
      </c>
      <c r="BV176">
        <v>125.17583587178804</v>
      </c>
      <c r="BW176" s="82">
        <f t="shared" si="52"/>
        <v>-0.17558138655776645</v>
      </c>
      <c r="BX176">
        <v>131.5</v>
      </c>
      <c r="BY176">
        <v>83961.550516864547</v>
      </c>
      <c r="BZ176" t="s">
        <v>82</v>
      </c>
      <c r="CA176">
        <v>131.5</v>
      </c>
      <c r="CB176">
        <v>124.64761932402089</v>
      </c>
      <c r="CC176" s="82">
        <f t="shared" si="53"/>
        <v>-0.16770669290917795</v>
      </c>
      <c r="CD176">
        <v>131.5</v>
      </c>
      <c r="CE176">
        <v>82000.400928531206</v>
      </c>
      <c r="CF176" t="s">
        <v>82</v>
      </c>
      <c r="CG176">
        <v>131.5</v>
      </c>
      <c r="CH176">
        <v>124.1459819229532</v>
      </c>
      <c r="CI176" s="82">
        <f t="shared" si="54"/>
        <v>-0.16030066305728496</v>
      </c>
      <c r="CJ176">
        <v>131.5</v>
      </c>
      <c r="CK176">
        <v>80245.011758858964</v>
      </c>
      <c r="CL176" t="s">
        <v>82</v>
      </c>
      <c r="CM176">
        <v>131.5</v>
      </c>
      <c r="CN176">
        <v>123.66773927838612</v>
      </c>
      <c r="CO176" s="82">
        <f t="shared" si="55"/>
        <v>-0.15332453095088283</v>
      </c>
      <c r="CP176">
        <v>131.5</v>
      </c>
      <c r="CQ176">
        <v>78682.031129986863</v>
      </c>
      <c r="CR176" t="s">
        <v>82</v>
      </c>
      <c r="CS176">
        <v>131.5</v>
      </c>
      <c r="CT176">
        <v>123.21087601270708</v>
      </c>
      <c r="CU176" s="82">
        <f t="shared" si="56"/>
        <v>-0.1467483682175299</v>
      </c>
      <c r="CV176">
        <v>131.5</v>
      </c>
      <c r="CW176">
        <v>77300.579618051022</v>
      </c>
      <c r="CX176" t="s">
        <v>82</v>
      </c>
      <c r="CY176">
        <v>131.5</v>
      </c>
      <c r="CZ176">
        <v>122.7573114566088</v>
      </c>
      <c r="DA176" s="82">
        <f t="shared" si="57"/>
        <v>-0.14042560370130275</v>
      </c>
      <c r="DB176">
        <v>131.5</v>
      </c>
      <c r="DC176">
        <v>76070.53883795641</v>
      </c>
      <c r="DD176" t="s">
        <v>82</v>
      </c>
      <c r="DG176" s="82">
        <f t="shared" si="58"/>
        <v>0</v>
      </c>
      <c r="DM176" s="82">
        <f t="shared" si="59"/>
        <v>0</v>
      </c>
    </row>
    <row r="177" spans="1:117" x14ac:dyDescent="0.2">
      <c r="A177">
        <v>132.5</v>
      </c>
      <c r="B177">
        <v>131.15612809157153</v>
      </c>
      <c r="C177" s="82">
        <f t="shared" si="40"/>
        <v>-0.29601665620384665</v>
      </c>
      <c r="D177">
        <v>132.5</v>
      </c>
      <c r="E177">
        <v>120861.40438176258</v>
      </c>
      <c r="F177" t="s">
        <v>82</v>
      </c>
      <c r="G177">
        <v>132.5</v>
      </c>
      <c r="H177">
        <v>130.67745856830928</v>
      </c>
      <c r="I177" s="82">
        <f t="shared" si="41"/>
        <v>-0.28431943491108314</v>
      </c>
      <c r="J177">
        <v>132.5</v>
      </c>
      <c r="K177">
        <v>116943.95282674739</v>
      </c>
      <c r="L177" t="s">
        <v>82</v>
      </c>
      <c r="M177">
        <v>132.5</v>
      </c>
      <c r="N177">
        <v>130.19361484691683</v>
      </c>
      <c r="O177" s="82">
        <f t="shared" si="42"/>
        <v>-0.2729944386980776</v>
      </c>
      <c r="P177">
        <v>132.5</v>
      </c>
      <c r="Q177">
        <v>113196.30330074865</v>
      </c>
      <c r="R177" t="s">
        <v>82</v>
      </c>
      <c r="S177">
        <v>132.5</v>
      </c>
      <c r="T177">
        <v>129.70362086621185</v>
      </c>
      <c r="U177" s="82">
        <f t="shared" si="43"/>
        <v>-0.26201504204158255</v>
      </c>
      <c r="V177">
        <v>132.5</v>
      </c>
      <c r="W177">
        <v>109610.83587793363</v>
      </c>
      <c r="X177" t="s">
        <v>82</v>
      </c>
      <c r="Y177">
        <v>132.5</v>
      </c>
      <c r="Z177">
        <v>129.20799313225402</v>
      </c>
      <c r="AA177" s="82">
        <f t="shared" si="44"/>
        <v>-0.25136632949750037</v>
      </c>
      <c r="AB177">
        <v>132.5</v>
      </c>
      <c r="AC177">
        <v>106183.97117486346</v>
      </c>
      <c r="AD177" t="s">
        <v>82</v>
      </c>
      <c r="AE177">
        <v>132.5</v>
      </c>
      <c r="AF177">
        <v>128.70672629585007</v>
      </c>
      <c r="AG177" s="82">
        <f t="shared" si="45"/>
        <v>-0.24103873189739033</v>
      </c>
      <c r="AH177">
        <v>132.5</v>
      </c>
      <c r="AI177">
        <v>102914.19920251006</v>
      </c>
      <c r="AJ177" t="s">
        <v>82</v>
      </c>
      <c r="AK177">
        <v>132.5</v>
      </c>
      <c r="AL177">
        <v>128.19960035310262</v>
      </c>
      <c r="AM177" s="82">
        <f t="shared" si="46"/>
        <v>-0.23101535781913185</v>
      </c>
      <c r="AN177">
        <v>132.5</v>
      </c>
      <c r="AO177">
        <v>99797.966723779042</v>
      </c>
      <c r="AP177" t="s">
        <v>82</v>
      </c>
      <c r="AQ177">
        <v>132.5</v>
      </c>
      <c r="AR177">
        <v>127.6848949900406</v>
      </c>
      <c r="AS177" s="82">
        <f t="shared" si="47"/>
        <v>-0.22126313481713566</v>
      </c>
      <c r="AT177">
        <v>132.5</v>
      </c>
      <c r="AU177">
        <v>96827.405176430984</v>
      </c>
      <c r="AV177" t="s">
        <v>82</v>
      </c>
      <c r="AW177">
        <v>132.5</v>
      </c>
      <c r="AX177">
        <v>127.1635423212154</v>
      </c>
      <c r="AY177" s="82">
        <f t="shared" si="48"/>
        <v>-0.21178526058683644</v>
      </c>
      <c r="AZ177">
        <v>132.5</v>
      </c>
      <c r="BA177">
        <v>94006.188313462801</v>
      </c>
      <c r="BB177" t="s">
        <v>82</v>
      </c>
      <c r="BC177">
        <v>132.5</v>
      </c>
      <c r="BD177">
        <v>126.6354124998258</v>
      </c>
      <c r="BE177" s="82">
        <f t="shared" si="49"/>
        <v>-0.20256875408082919</v>
      </c>
      <c r="BF177">
        <v>132.5</v>
      </c>
      <c r="BG177">
        <v>91333.490887940759</v>
      </c>
      <c r="BH177" t="s">
        <v>82</v>
      </c>
      <c r="BI177">
        <v>132.5</v>
      </c>
      <c r="BJ177">
        <v>126.09771839545456</v>
      </c>
      <c r="BK177" s="82">
        <f t="shared" si="50"/>
        <v>-0.19358598781194303</v>
      </c>
      <c r="BL177">
        <v>132.5</v>
      </c>
      <c r="BM177">
        <v>88805.432008438554</v>
      </c>
      <c r="BN177" t="s">
        <v>82</v>
      </c>
      <c r="BO177">
        <v>132.5</v>
      </c>
      <c r="BP177">
        <v>125.55045890730879</v>
      </c>
      <c r="BQ177" s="82">
        <f t="shared" si="51"/>
        <v>-0.18482829585050808</v>
      </c>
      <c r="BR177">
        <v>132.5</v>
      </c>
      <c r="BS177">
        <v>86424.227112924607</v>
      </c>
      <c r="BT177" t="s">
        <v>82</v>
      </c>
      <c r="BU177">
        <v>132.5</v>
      </c>
      <c r="BV177">
        <v>124.99949264411966</v>
      </c>
      <c r="BW177" s="82">
        <f t="shared" si="52"/>
        <v>-0.17634322766838295</v>
      </c>
      <c r="BX177">
        <v>132.5</v>
      </c>
      <c r="BY177">
        <v>84206.82155594301</v>
      </c>
      <c r="BZ177" t="s">
        <v>82</v>
      </c>
      <c r="CA177">
        <v>132.5</v>
      </c>
      <c r="CB177">
        <v>124.47923096546276</v>
      </c>
      <c r="CC177" s="82">
        <f t="shared" si="53"/>
        <v>-0.16838835855813272</v>
      </c>
      <c r="CD177">
        <v>132.5</v>
      </c>
      <c r="CE177">
        <v>82216.292882555863</v>
      </c>
      <c r="CF177" t="s">
        <v>82</v>
      </c>
      <c r="CG177">
        <v>132.5</v>
      </c>
      <c r="CH177">
        <v>123.98506993779419</v>
      </c>
      <c r="CI177" s="82">
        <f t="shared" si="54"/>
        <v>-0.16091198515900373</v>
      </c>
      <c r="CJ177">
        <v>132.5</v>
      </c>
      <c r="CK177">
        <v>80435.172078765958</v>
      </c>
      <c r="CL177" t="s">
        <v>82</v>
      </c>
      <c r="CM177">
        <v>132.5</v>
      </c>
      <c r="CN177">
        <v>123.51386536856775</v>
      </c>
      <c r="CO177" s="82">
        <f t="shared" si="55"/>
        <v>-0.15387390981837257</v>
      </c>
      <c r="CP177">
        <v>132.5</v>
      </c>
      <c r="CQ177">
        <v>78849.573762795131</v>
      </c>
      <c r="CR177" t="s">
        <v>82</v>
      </c>
      <c r="CS177">
        <v>132.5</v>
      </c>
      <c r="CT177">
        <v>123.0636329493061</v>
      </c>
      <c r="CU177" s="82">
        <f t="shared" si="56"/>
        <v>-0.14724306340097826</v>
      </c>
      <c r="CV177">
        <v>132.5</v>
      </c>
      <c r="CW177">
        <v>77448.193097165087</v>
      </c>
      <c r="CX177" t="s">
        <v>82</v>
      </c>
      <c r="CY177">
        <v>132.5</v>
      </c>
      <c r="CZ177">
        <v>122.61644058129973</v>
      </c>
      <c r="DA177" s="82">
        <f t="shared" si="57"/>
        <v>-0.14087087530907638</v>
      </c>
      <c r="DB177">
        <v>132.5</v>
      </c>
      <c r="DC177">
        <v>76200.182736489645</v>
      </c>
      <c r="DD177" t="s">
        <v>82</v>
      </c>
      <c r="DG177" s="82">
        <f t="shared" si="58"/>
        <v>0</v>
      </c>
      <c r="DM177" s="82">
        <f t="shared" si="59"/>
        <v>0</v>
      </c>
    </row>
    <row r="178" spans="1:117" x14ac:dyDescent="0.2">
      <c r="A178">
        <v>133.5</v>
      </c>
      <c r="B178">
        <v>130.85744638779894</v>
      </c>
      <c r="C178" s="82">
        <f t="shared" si="40"/>
        <v>-0.29868170377258707</v>
      </c>
      <c r="D178">
        <v>133.5</v>
      </c>
      <c r="E178">
        <v>121812.20686034985</v>
      </c>
      <c r="F178" t="s">
        <v>82</v>
      </c>
      <c r="G178">
        <v>133.5</v>
      </c>
      <c r="H178">
        <v>130.39071836101462</v>
      </c>
      <c r="I178" s="82">
        <f t="shared" si="41"/>
        <v>-0.2867402072946561</v>
      </c>
      <c r="J178">
        <v>133.5</v>
      </c>
      <c r="K178">
        <v>117803.78443707387</v>
      </c>
      <c r="L178" t="s">
        <v>82</v>
      </c>
      <c r="M178">
        <v>133.5</v>
      </c>
      <c r="N178">
        <v>129.91842405931962</v>
      </c>
      <c r="O178" s="82">
        <f t="shared" si="42"/>
        <v>-0.27519078759721083</v>
      </c>
      <c r="P178">
        <v>133.5</v>
      </c>
      <c r="Q178">
        <v>113972.62440859411</v>
      </c>
      <c r="R178" t="s">
        <v>82</v>
      </c>
      <c r="S178">
        <v>133.5</v>
      </c>
      <c r="T178">
        <v>129.43961564556147</v>
      </c>
      <c r="U178" s="82">
        <f t="shared" si="43"/>
        <v>-0.26400522065037535</v>
      </c>
      <c r="V178">
        <v>133.5</v>
      </c>
      <c r="W178">
        <v>110310.5072720911</v>
      </c>
      <c r="X178" t="s">
        <v>82</v>
      </c>
      <c r="Y178">
        <v>133.5</v>
      </c>
      <c r="Z178">
        <v>128.95482578375382</v>
      </c>
      <c r="AA178" s="82">
        <f t="shared" si="44"/>
        <v>-0.25316734850019884</v>
      </c>
      <c r="AB178">
        <v>133.5</v>
      </c>
      <c r="AC178">
        <v>106813.38565523142</v>
      </c>
      <c r="AD178" t="s">
        <v>82</v>
      </c>
      <c r="AE178">
        <v>133.5</v>
      </c>
      <c r="AF178">
        <v>128.46405986849479</v>
      </c>
      <c r="AG178" s="82">
        <f t="shared" si="45"/>
        <v>-0.24266642735528876</v>
      </c>
      <c r="AH178">
        <v>133.5</v>
      </c>
      <c r="AI178">
        <v>103479.30683505168</v>
      </c>
      <c r="AJ178" t="s">
        <v>82</v>
      </c>
      <c r="AK178">
        <v>133.5</v>
      </c>
      <c r="AL178">
        <v>127.96711602627248</v>
      </c>
      <c r="AM178" s="82">
        <f t="shared" si="46"/>
        <v>-0.23248432683014641</v>
      </c>
      <c r="AN178">
        <v>133.5</v>
      </c>
      <c r="AO178">
        <v>100304.25104257796</v>
      </c>
      <c r="AP178" t="s">
        <v>82</v>
      </c>
      <c r="AQ178">
        <v>133.5</v>
      </c>
      <c r="AR178">
        <v>127.46230844384465</v>
      </c>
      <c r="AS178" s="82">
        <f t="shared" si="47"/>
        <v>-0.22258654619595575</v>
      </c>
      <c r="AT178">
        <v>133.5</v>
      </c>
      <c r="AU178">
        <v>97279.814108426159</v>
      </c>
      <c r="AV178" t="s">
        <v>82</v>
      </c>
      <c r="AW178">
        <v>133.5</v>
      </c>
      <c r="AX178">
        <v>126.95056679204181</v>
      </c>
      <c r="AY178" s="82">
        <f t="shared" si="48"/>
        <v>-0.21297552917359042</v>
      </c>
      <c r="AZ178">
        <v>133.5</v>
      </c>
      <c r="BA178">
        <v>94409.383724733765</v>
      </c>
      <c r="BB178" t="s">
        <v>82</v>
      </c>
      <c r="BC178">
        <v>133.5</v>
      </c>
      <c r="BD178">
        <v>126.4317751720916</v>
      </c>
      <c r="BE178" s="82">
        <f t="shared" si="49"/>
        <v>-0.2036373277341994</v>
      </c>
      <c r="BF178">
        <v>133.5</v>
      </c>
      <c r="BG178">
        <v>91691.770414612271</v>
      </c>
      <c r="BH178" t="s">
        <v>82</v>
      </c>
      <c r="BI178">
        <v>133.5</v>
      </c>
      <c r="BJ178">
        <v>125.90317522015719</v>
      </c>
      <c r="BK178" s="82">
        <f t="shared" si="50"/>
        <v>-0.19454317529736898</v>
      </c>
      <c r="BL178">
        <v>133.5</v>
      </c>
      <c r="BM178">
        <v>89122.667597444626</v>
      </c>
      <c r="BN178" t="s">
        <v>82</v>
      </c>
      <c r="BO178">
        <v>133.5</v>
      </c>
      <c r="BP178">
        <v>125.36477523734612</v>
      </c>
      <c r="BQ178" s="82">
        <f t="shared" si="51"/>
        <v>-0.18568366996267116</v>
      </c>
      <c r="BR178">
        <v>133.5</v>
      </c>
      <c r="BS178">
        <v>86704.013297928817</v>
      </c>
      <c r="BT178" t="s">
        <v>82</v>
      </c>
      <c r="BU178">
        <v>133.5</v>
      </c>
      <c r="BV178">
        <v>124.82238632417153</v>
      </c>
      <c r="BW178" s="82">
        <f t="shared" si="52"/>
        <v>-0.17710631994812331</v>
      </c>
      <c r="BX178">
        <v>133.5</v>
      </c>
      <c r="BY178">
        <v>84452.729233462436</v>
      </c>
      <c r="BZ178" t="s">
        <v>82</v>
      </c>
      <c r="CA178">
        <v>133.5</v>
      </c>
      <c r="CB178">
        <v>124.31016003390967</v>
      </c>
      <c r="CC178" s="82">
        <f t="shared" si="53"/>
        <v>-0.16907093155309383</v>
      </c>
      <c r="CD178">
        <v>133.5</v>
      </c>
      <c r="CE178">
        <v>82432.688631920551</v>
      </c>
      <c r="CF178" t="s">
        <v>82</v>
      </c>
      <c r="CG178">
        <v>133.5</v>
      </c>
      <c r="CH178">
        <v>123.82354598949476</v>
      </c>
      <c r="CI178" s="82">
        <f t="shared" si="54"/>
        <v>-0.16152394829943262</v>
      </c>
      <c r="CJ178">
        <v>133.5</v>
      </c>
      <c r="CK178">
        <v>80625.732250891058</v>
      </c>
      <c r="CL178" t="s">
        <v>82</v>
      </c>
      <c r="CM178">
        <v>133.5</v>
      </c>
      <c r="CN178">
        <v>123.35944164527825</v>
      </c>
      <c r="CO178" s="82">
        <f t="shared" si="55"/>
        <v>-0.15442372328949716</v>
      </c>
      <c r="CP178">
        <v>133.5</v>
      </c>
      <c r="CQ178">
        <v>79017.434705195687</v>
      </c>
      <c r="CR178" t="s">
        <v>82</v>
      </c>
      <c r="CS178">
        <v>133.5</v>
      </c>
      <c r="CT178">
        <v>122.91589491590999</v>
      </c>
      <c r="CU178" s="82">
        <f t="shared" si="56"/>
        <v>-0.14773803339610936</v>
      </c>
      <c r="CV178">
        <v>133.5</v>
      </c>
      <c r="CW178">
        <v>77596.060795090612</v>
      </c>
      <c r="CX178" t="s">
        <v>82</v>
      </c>
      <c r="CY178">
        <v>133.5</v>
      </c>
      <c r="CZ178">
        <v>122.4751242862997</v>
      </c>
      <c r="DA178" s="82">
        <f t="shared" si="57"/>
        <v>-0.14131629500002418</v>
      </c>
      <c r="DB178">
        <v>133.5</v>
      </c>
      <c r="DC178">
        <v>76330.029082675494</v>
      </c>
      <c r="DD178" t="s">
        <v>82</v>
      </c>
      <c r="DG178" s="82">
        <f t="shared" si="58"/>
        <v>0</v>
      </c>
      <c r="DM178" s="82">
        <f t="shared" si="59"/>
        <v>0</v>
      </c>
    </row>
    <row r="179" spans="1:117" x14ac:dyDescent="0.2">
      <c r="A179">
        <v>134.5</v>
      </c>
      <c r="B179">
        <v>130.55608201116755</v>
      </c>
      <c r="C179" s="82">
        <f t="shared" si="40"/>
        <v>-0.30136437663139759</v>
      </c>
      <c r="D179">
        <v>134.5</v>
      </c>
      <c r="E179">
        <v>122769.77805845895</v>
      </c>
      <c r="F179" t="s">
        <v>82</v>
      </c>
      <c r="G179">
        <v>134.5</v>
      </c>
      <c r="H179">
        <v>130.10154251224481</v>
      </c>
      <c r="I179" s="82">
        <f t="shared" si="41"/>
        <v>-0.2891758487698155</v>
      </c>
      <c r="J179">
        <v>134.5</v>
      </c>
      <c r="K179">
        <v>118669.36007980733</v>
      </c>
      <c r="L179" t="s">
        <v>82</v>
      </c>
      <c r="M179">
        <v>134.5</v>
      </c>
      <c r="N179">
        <v>129.64102446389543</v>
      </c>
      <c r="O179" s="82">
        <f t="shared" si="42"/>
        <v>-0.27739959542418546</v>
      </c>
      <c r="P179">
        <v>134.5</v>
      </c>
      <c r="Q179">
        <v>114753.79198664633</v>
      </c>
      <c r="R179" t="s">
        <v>82</v>
      </c>
      <c r="S179">
        <v>134.5</v>
      </c>
      <c r="T179">
        <v>129.1736098808386</v>
      </c>
      <c r="U179" s="82">
        <f t="shared" si="43"/>
        <v>-0.26600576472287685</v>
      </c>
      <c r="V179">
        <v>134.5</v>
      </c>
      <c r="W179">
        <v>111014.24425427215</v>
      </c>
      <c r="X179" t="s">
        <v>82</v>
      </c>
      <c r="Y179">
        <v>134.5</v>
      </c>
      <c r="Z179">
        <v>128.69984885499514</v>
      </c>
      <c r="AA179" s="82">
        <f t="shared" si="44"/>
        <v>-0.25497692875867983</v>
      </c>
      <c r="AB179">
        <v>134.5</v>
      </c>
      <c r="AC179">
        <v>107446.19165576059</v>
      </c>
      <c r="AD179" t="s">
        <v>82</v>
      </c>
      <c r="AE179">
        <v>134.5</v>
      </c>
      <c r="AF179">
        <v>128.2197587284964</v>
      </c>
      <c r="AG179" s="82">
        <f t="shared" si="45"/>
        <v>-0.24430113999838454</v>
      </c>
      <c r="AH179">
        <v>134.5</v>
      </c>
      <c r="AI179">
        <v>104047.22809202434</v>
      </c>
      <c r="AJ179" t="s">
        <v>82</v>
      </c>
      <c r="AK179">
        <v>134.5</v>
      </c>
      <c r="AL179">
        <v>127.73315702681592</v>
      </c>
      <c r="AM179" s="82">
        <f t="shared" si="46"/>
        <v>-0.2339589994565614</v>
      </c>
      <c r="AN179">
        <v>134.5</v>
      </c>
      <c r="AO179">
        <v>100812.85643147913</v>
      </c>
      <c r="AP179" t="s">
        <v>82</v>
      </c>
      <c r="AQ179">
        <v>134.5</v>
      </c>
      <c r="AR179">
        <v>127.23839389599823</v>
      </c>
      <c r="AS179" s="82">
        <f t="shared" si="47"/>
        <v>-0.22391454784641951</v>
      </c>
      <c r="AT179">
        <v>134.5</v>
      </c>
      <c r="AU179">
        <v>97734.125711904242</v>
      </c>
      <c r="AV179" t="s">
        <v>82</v>
      </c>
      <c r="AW179">
        <v>134.5</v>
      </c>
      <c r="AX179">
        <v>126.73639734019979</v>
      </c>
      <c r="AY179" s="82">
        <f t="shared" si="48"/>
        <v>-0.21416945184202518</v>
      </c>
      <c r="AZ179">
        <v>134.5</v>
      </c>
      <c r="BA179">
        <v>94814.129065743662</v>
      </c>
      <c r="BB179" t="s">
        <v>82</v>
      </c>
      <c r="BC179">
        <v>134.5</v>
      </c>
      <c r="BD179">
        <v>126.22706639904627</v>
      </c>
      <c r="BE179" s="82">
        <f t="shared" si="49"/>
        <v>-0.20470877304533985</v>
      </c>
      <c r="BF179">
        <v>134.5</v>
      </c>
      <c r="BG179">
        <v>92051.304129092474</v>
      </c>
      <c r="BH179" t="s">
        <v>82</v>
      </c>
      <c r="BI179">
        <v>134.5</v>
      </c>
      <c r="BJ179">
        <v>125.70767263722688</v>
      </c>
      <c r="BK179" s="82">
        <f t="shared" si="50"/>
        <v>-0.19550258293031675</v>
      </c>
      <c r="BL179">
        <v>134.5</v>
      </c>
      <c r="BM179">
        <v>89440.91017348296</v>
      </c>
      <c r="BN179" t="s">
        <v>82</v>
      </c>
      <c r="BO179">
        <v>134.5</v>
      </c>
      <c r="BP179">
        <v>125.17823451136525</v>
      </c>
      <c r="BQ179" s="82">
        <f t="shared" si="51"/>
        <v>-0.18654072598087623</v>
      </c>
      <c r="BR179">
        <v>134.5</v>
      </c>
      <c r="BS179">
        <v>86984.601261699499</v>
      </c>
      <c r="BT179" t="s">
        <v>82</v>
      </c>
      <c r="BU179">
        <v>134.5</v>
      </c>
      <c r="BV179">
        <v>124.64451566742156</v>
      </c>
      <c r="BW179" s="82">
        <f t="shared" si="52"/>
        <v>-0.17787065674997393</v>
      </c>
      <c r="BX179">
        <v>134.5</v>
      </c>
      <c r="BY179">
        <v>84699.270876396564</v>
      </c>
      <c r="BZ179" t="s">
        <v>82</v>
      </c>
      <c r="CA179">
        <v>134.5</v>
      </c>
      <c r="CB179">
        <v>124.14040562217193</v>
      </c>
      <c r="CC179" s="82">
        <f t="shared" si="53"/>
        <v>-0.16975441173774186</v>
      </c>
      <c r="CD179">
        <v>134.5</v>
      </c>
      <c r="CE179">
        <v>82649.587849246847</v>
      </c>
      <c r="CF179" t="s">
        <v>82</v>
      </c>
      <c r="CG179">
        <v>134.5</v>
      </c>
      <c r="CH179">
        <v>123.661409431823</v>
      </c>
      <c r="CI179" s="82">
        <f t="shared" si="54"/>
        <v>-0.16213655767175794</v>
      </c>
      <c r="CJ179">
        <v>134.5</v>
      </c>
      <c r="CK179">
        <v>80816.693903123029</v>
      </c>
      <c r="CL179" t="s">
        <v>82</v>
      </c>
      <c r="CM179">
        <v>134.5</v>
      </c>
      <c r="CN179">
        <v>123.2044676643354</v>
      </c>
      <c r="CO179" s="82">
        <f t="shared" si="55"/>
        <v>-0.15497398094285586</v>
      </c>
      <c r="CP179">
        <v>134.5</v>
      </c>
      <c r="CQ179">
        <v>79185.61712321706</v>
      </c>
      <c r="CR179" t="s">
        <v>82</v>
      </c>
      <c r="CS179">
        <v>134.5</v>
      </c>
      <c r="CT179">
        <v>122.76766162453821</v>
      </c>
      <c r="CU179" s="82">
        <f t="shared" si="56"/>
        <v>-0.14823329137178121</v>
      </c>
      <c r="CV179">
        <v>134.5</v>
      </c>
      <c r="CW179">
        <v>77744.187162557428</v>
      </c>
      <c r="CX179" t="s">
        <v>82</v>
      </c>
      <c r="CY179">
        <v>134.5</v>
      </c>
      <c r="CZ179">
        <v>122.33336240740466</v>
      </c>
      <c r="DA179" s="82">
        <f t="shared" si="57"/>
        <v>-0.14176187889503922</v>
      </c>
      <c r="DB179">
        <v>134.5</v>
      </c>
      <c r="DC179">
        <v>76460.083390941567</v>
      </c>
      <c r="DD179" t="s">
        <v>82</v>
      </c>
      <c r="DG179" s="82">
        <f t="shared" si="58"/>
        <v>0</v>
      </c>
      <c r="DM179" s="82">
        <f t="shared" si="59"/>
        <v>0</v>
      </c>
    </row>
    <row r="180" spans="1:117" x14ac:dyDescent="0.2">
      <c r="A180">
        <v>135.5</v>
      </c>
      <c r="B180">
        <v>130.25201762172566</v>
      </c>
      <c r="C180" s="82">
        <f t="shared" si="40"/>
        <v>-0.30406438944189063</v>
      </c>
      <c r="D180">
        <v>135.5</v>
      </c>
      <c r="E180">
        <v>123734.01017006132</v>
      </c>
      <c r="F180" t="s">
        <v>82</v>
      </c>
      <c r="G180">
        <v>135.5</v>
      </c>
      <c r="H180">
        <v>129.80991638667609</v>
      </c>
      <c r="I180" s="82">
        <f t="shared" si="41"/>
        <v>-0.29162612556871181</v>
      </c>
      <c r="J180">
        <v>135.5</v>
      </c>
      <c r="K180">
        <v>119540.5918000901</v>
      </c>
      <c r="L180" t="s">
        <v>82</v>
      </c>
      <c r="M180">
        <v>135.5</v>
      </c>
      <c r="N180">
        <v>129.36140379407442</v>
      </c>
      <c r="O180" s="82">
        <f t="shared" si="42"/>
        <v>-0.27962066982101419</v>
      </c>
      <c r="P180">
        <v>135.5</v>
      </c>
      <c r="Q180">
        <v>115539.73396411065</v>
      </c>
      <c r="R180" t="s">
        <v>82</v>
      </c>
      <c r="S180">
        <v>135.5</v>
      </c>
      <c r="T180">
        <v>128.9055933651216</v>
      </c>
      <c r="U180" s="82">
        <f t="shared" si="43"/>
        <v>-0.26801651571699381</v>
      </c>
      <c r="V180">
        <v>135.5</v>
      </c>
      <c r="W180">
        <v>111721.98763843635</v>
      </c>
      <c r="X180" t="s">
        <v>82</v>
      </c>
      <c r="Y180">
        <v>135.5</v>
      </c>
      <c r="Z180">
        <v>128.44305391520743</v>
      </c>
      <c r="AA180" s="82">
        <f t="shared" si="44"/>
        <v>-0.25679493978771006</v>
      </c>
      <c r="AB180">
        <v>135.5</v>
      </c>
      <c r="AC180">
        <v>108082.34060904237</v>
      </c>
      <c r="AD180" t="s">
        <v>82</v>
      </c>
      <c r="AE180">
        <v>135.5</v>
      </c>
      <c r="AF180">
        <v>127.97381596552849</v>
      </c>
      <c r="AG180" s="82">
        <f t="shared" si="45"/>
        <v>-0.24594276296791406</v>
      </c>
      <c r="AH180">
        <v>135.5</v>
      </c>
      <c r="AI180">
        <v>104617.92331565426</v>
      </c>
      <c r="AJ180" t="s">
        <v>82</v>
      </c>
      <c r="AK180">
        <v>135.5</v>
      </c>
      <c r="AL180">
        <v>127.49771773785369</v>
      </c>
      <c r="AM180" s="82">
        <f t="shared" si="46"/>
        <v>-0.2354392889622261</v>
      </c>
      <c r="AN180">
        <v>135.5</v>
      </c>
      <c r="AO180">
        <v>101323.75076982321</v>
      </c>
      <c r="AP180" t="s">
        <v>82</v>
      </c>
      <c r="AQ180">
        <v>135.5</v>
      </c>
      <c r="AR180">
        <v>127.01314682566284</v>
      </c>
      <c r="AS180" s="82">
        <f t="shared" si="47"/>
        <v>-0.22524707033538505</v>
      </c>
      <c r="AT180">
        <v>135.5</v>
      </c>
      <c r="AU180">
        <v>98190.314317597906</v>
      </c>
      <c r="AV180" t="s">
        <v>82</v>
      </c>
      <c r="AW180">
        <v>135.5</v>
      </c>
      <c r="AX180">
        <v>126.52103036613249</v>
      </c>
      <c r="AY180" s="82">
        <f t="shared" si="48"/>
        <v>-0.21536697406729388</v>
      </c>
      <c r="AZ180">
        <v>135.5</v>
      </c>
      <c r="BA180">
        <v>95220.404204046703</v>
      </c>
      <c r="BB180" t="s">
        <v>82</v>
      </c>
      <c r="BC180">
        <v>135.5</v>
      </c>
      <c r="BD180">
        <v>126.02128335066467</v>
      </c>
      <c r="BE180" s="82">
        <f t="shared" si="49"/>
        <v>-0.20578304838159056</v>
      </c>
      <c r="BF180">
        <v>135.5</v>
      </c>
      <c r="BG180">
        <v>92412.076670083246</v>
      </c>
      <c r="BH180" t="s">
        <v>82</v>
      </c>
      <c r="BI180">
        <v>135.5</v>
      </c>
      <c r="BJ180">
        <v>125.51120845704834</v>
      </c>
      <c r="BK180" s="82">
        <f t="shared" si="50"/>
        <v>-0.19646418017853762</v>
      </c>
      <c r="BL180">
        <v>135.5</v>
      </c>
      <c r="BM180">
        <v>89760.148446571737</v>
      </c>
      <c r="BN180" t="s">
        <v>82</v>
      </c>
      <c r="BO180">
        <v>135.5</v>
      </c>
      <c r="BP180">
        <v>124.99083506841964</v>
      </c>
      <c r="BQ180" s="82">
        <f t="shared" si="51"/>
        <v>-0.18739944294560473</v>
      </c>
      <c r="BR180">
        <v>135.5</v>
      </c>
      <c r="BS180">
        <v>87265.983198167261</v>
      </c>
      <c r="BT180" t="s">
        <v>82</v>
      </c>
      <c r="BU180">
        <v>135.5</v>
      </c>
      <c r="BV180">
        <v>124.4658794421741</v>
      </c>
      <c r="BW180" s="82">
        <f t="shared" si="52"/>
        <v>-0.17863622524745892</v>
      </c>
      <c r="BX180">
        <v>135.5</v>
      </c>
      <c r="BY180">
        <v>84946.44167267748</v>
      </c>
      <c r="BZ180" t="s">
        <v>82</v>
      </c>
      <c r="CA180">
        <v>135.5</v>
      </c>
      <c r="CB180">
        <v>123.96996682917239</v>
      </c>
      <c r="CC180" s="82">
        <f t="shared" si="53"/>
        <v>-0.17043879299953346</v>
      </c>
      <c r="CD180">
        <v>135.5</v>
      </c>
      <c r="CE180">
        <v>82866.988134695144</v>
      </c>
      <c r="CF180" t="s">
        <v>82</v>
      </c>
      <c r="CG180">
        <v>135.5</v>
      </c>
      <c r="CH180">
        <v>123.49865961915414</v>
      </c>
      <c r="CI180" s="82">
        <f t="shared" si="54"/>
        <v>-0.16274981266886357</v>
      </c>
      <c r="CJ180">
        <v>135.5</v>
      </c>
      <c r="CK180">
        <v>81008.056603128367</v>
      </c>
      <c r="CL180" t="s">
        <v>82</v>
      </c>
      <c r="CM180">
        <v>135.5</v>
      </c>
      <c r="CN180">
        <v>123.04894297764588</v>
      </c>
      <c r="CO180" s="82">
        <f t="shared" si="55"/>
        <v>-0.15552468668951747</v>
      </c>
      <c r="CP180">
        <v>135.5</v>
      </c>
      <c r="CQ180">
        <v>79354.122240360273</v>
      </c>
      <c r="CR180" t="s">
        <v>82</v>
      </c>
      <c r="CS180">
        <v>135.5</v>
      </c>
      <c r="CT180">
        <v>122.61893277964556</v>
      </c>
      <c r="CU180" s="82">
        <f t="shared" si="56"/>
        <v>-0.14872884489264493</v>
      </c>
      <c r="CV180">
        <v>135.5</v>
      </c>
      <c r="CW180">
        <v>77892.574709375709</v>
      </c>
      <c r="CX180" t="s">
        <v>82</v>
      </c>
      <c r="CY180">
        <v>135.5</v>
      </c>
      <c r="CZ180">
        <v>122.19115476981409</v>
      </c>
      <c r="DA180" s="82">
        <f t="shared" si="57"/>
        <v>-0.1422076375905732</v>
      </c>
      <c r="DB180">
        <v>135.5</v>
      </c>
      <c r="DC180">
        <v>76590.349239676143</v>
      </c>
      <c r="DD180" t="s">
        <v>82</v>
      </c>
      <c r="DG180" s="82">
        <f t="shared" si="58"/>
        <v>0</v>
      </c>
      <c r="DM180" s="82">
        <f t="shared" si="59"/>
        <v>0</v>
      </c>
    </row>
    <row r="181" spans="1:117" x14ac:dyDescent="0.2">
      <c r="A181">
        <v>136.5</v>
      </c>
      <c r="B181">
        <v>129.94523619285081</v>
      </c>
      <c r="C181" s="82">
        <f t="shared" si="40"/>
        <v>-0.30678142887484228</v>
      </c>
      <c r="D181">
        <v>136.5</v>
      </c>
      <c r="E181">
        <v>124704.78496732377</v>
      </c>
      <c r="F181" t="s">
        <v>82</v>
      </c>
      <c r="G181">
        <v>136.5</v>
      </c>
      <c r="H181">
        <v>129.51582560538441</v>
      </c>
      <c r="I181" s="82">
        <f t="shared" si="41"/>
        <v>-0.2940907812916862</v>
      </c>
      <c r="J181">
        <v>136.5</v>
      </c>
      <c r="K181">
        <v>120417.38326735645</v>
      </c>
      <c r="L181" t="s">
        <v>82</v>
      </c>
      <c r="M181">
        <v>136.5</v>
      </c>
      <c r="N181">
        <v>129.07954999415514</v>
      </c>
      <c r="O181" s="82">
        <f t="shared" si="42"/>
        <v>-0.28185379991927562</v>
      </c>
      <c r="P181">
        <v>136.5</v>
      </c>
      <c r="Q181">
        <v>116330.37142161376</v>
      </c>
      <c r="R181" t="s">
        <v>82</v>
      </c>
      <c r="S181">
        <v>136.5</v>
      </c>
      <c r="T181">
        <v>128.63555606537292</v>
      </c>
      <c r="U181" s="82">
        <f t="shared" si="43"/>
        <v>-0.27003729974867952</v>
      </c>
      <c r="V181">
        <v>136.5</v>
      </c>
      <c r="W181">
        <v>112433.6726203117</v>
      </c>
      <c r="X181" t="s">
        <v>82</v>
      </c>
      <c r="Y181">
        <v>136.5</v>
      </c>
      <c r="Z181">
        <v>128.18443267698936</v>
      </c>
      <c r="AA181" s="82">
        <f t="shared" si="44"/>
        <v>-0.25862123821806904</v>
      </c>
      <c r="AB181">
        <v>136.5</v>
      </c>
      <c r="AC181">
        <v>108721.77926431582</v>
      </c>
      <c r="AD181" t="s">
        <v>82</v>
      </c>
      <c r="AE181">
        <v>136.5</v>
      </c>
      <c r="AF181">
        <v>127.72622478711244</v>
      </c>
      <c r="AG181" s="82">
        <f t="shared" si="45"/>
        <v>-0.2475911784160445</v>
      </c>
      <c r="AH181">
        <v>136.5</v>
      </c>
      <c r="AI181">
        <v>105191.34888994516</v>
      </c>
      <c r="AJ181" t="s">
        <v>82</v>
      </c>
      <c r="AK181">
        <v>136.5</v>
      </c>
      <c r="AL181">
        <v>127.26079263877163</v>
      </c>
      <c r="AM181" s="82">
        <f t="shared" si="46"/>
        <v>-0.2369250990820575</v>
      </c>
      <c r="AN181">
        <v>136.5</v>
      </c>
      <c r="AO181">
        <v>101836.89852375559</v>
      </c>
      <c r="AP181" t="s">
        <v>82</v>
      </c>
      <c r="AQ181">
        <v>136.5</v>
      </c>
      <c r="AR181">
        <v>126.78656278982571</v>
      </c>
      <c r="AS181" s="82">
        <f t="shared" si="47"/>
        <v>-0.22658403583713493</v>
      </c>
      <c r="AT181">
        <v>136.5</v>
      </c>
      <c r="AU181">
        <v>98648.351273193359</v>
      </c>
      <c r="AV181" t="s">
        <v>82</v>
      </c>
      <c r="AW181">
        <v>136.5</v>
      </c>
      <c r="AX181">
        <v>126.30446233229137</v>
      </c>
      <c r="AY181" s="82">
        <f t="shared" si="48"/>
        <v>-0.21656803384112777</v>
      </c>
      <c r="AZ181">
        <v>136.5</v>
      </c>
      <c r="BA181">
        <v>95628.186356880193</v>
      </c>
      <c r="BB181" t="s">
        <v>82</v>
      </c>
      <c r="BC181">
        <v>136.5</v>
      </c>
      <c r="BD181">
        <v>125.8144232453693</v>
      </c>
      <c r="BE181" s="82">
        <f t="shared" si="49"/>
        <v>-0.20686010529537668</v>
      </c>
      <c r="BF181">
        <v>136.5</v>
      </c>
      <c r="BG181">
        <v>92774.070248250908</v>
      </c>
      <c r="BH181" t="s">
        <v>82</v>
      </c>
      <c r="BI181">
        <v>136.5</v>
      </c>
      <c r="BJ181">
        <v>125.31378052676824</v>
      </c>
      <c r="BK181" s="82">
        <f t="shared" si="50"/>
        <v>-0.19742793028009942</v>
      </c>
      <c r="BL181">
        <v>136.5</v>
      </c>
      <c r="BM181">
        <v>90080.368923517555</v>
      </c>
      <c r="BN181" t="s">
        <v>82</v>
      </c>
      <c r="BO181">
        <v>136.5</v>
      </c>
      <c r="BP181">
        <v>124.80257527434577</v>
      </c>
      <c r="BQ181" s="82">
        <f t="shared" si="51"/>
        <v>-0.18825979407387194</v>
      </c>
      <c r="BR181">
        <v>136.5</v>
      </c>
      <c r="BS181">
        <v>87548.149273269781</v>
      </c>
      <c r="BT181" t="s">
        <v>82</v>
      </c>
      <c r="BU181">
        <v>136.5</v>
      </c>
      <c r="BV181">
        <v>124.28647643504416</v>
      </c>
      <c r="BW181" s="82">
        <f t="shared" si="52"/>
        <v>-0.17940300712993462</v>
      </c>
      <c r="BX181">
        <v>136.5</v>
      </c>
      <c r="BY181">
        <v>85194.234847578671</v>
      </c>
      <c r="BZ181" t="s">
        <v>82</v>
      </c>
      <c r="CA181">
        <v>136.5</v>
      </c>
      <c r="CB181">
        <v>123.79884276519047</v>
      </c>
      <c r="CC181" s="82">
        <f t="shared" si="53"/>
        <v>-0.17112406398192093</v>
      </c>
      <c r="CD181">
        <v>136.5</v>
      </c>
      <c r="CE181">
        <v>83084.885266515295</v>
      </c>
      <c r="CF181" t="s">
        <v>82</v>
      </c>
      <c r="CG181">
        <v>136.5</v>
      </c>
      <c r="CH181">
        <v>123.33529591152474</v>
      </c>
      <c r="CI181" s="82">
        <f t="shared" si="54"/>
        <v>-0.16336370762940078</v>
      </c>
      <c r="CJ181">
        <v>136.5</v>
      </c>
      <c r="CK181">
        <v>81199.818187441051</v>
      </c>
      <c r="CL181" t="s">
        <v>82</v>
      </c>
      <c r="CM181">
        <v>136.5</v>
      </c>
      <c r="CN181">
        <v>122.89286713814009</v>
      </c>
      <c r="CO181" s="82">
        <f t="shared" si="55"/>
        <v>-0.15607583950578885</v>
      </c>
      <c r="CP181">
        <v>136.5</v>
      </c>
      <c r="CQ181">
        <v>79522.949540784015</v>
      </c>
      <c r="CR181" t="s">
        <v>82</v>
      </c>
      <c r="CS181">
        <v>136.5</v>
      </c>
      <c r="CT181">
        <v>122.46970808292097</v>
      </c>
      <c r="CU181" s="82">
        <f t="shared" si="56"/>
        <v>-0.1492246967245876</v>
      </c>
      <c r="CV181">
        <v>136.5</v>
      </c>
      <c r="CW181">
        <v>78041.224284082404</v>
      </c>
      <c r="CX181" t="s">
        <v>82</v>
      </c>
      <c r="CY181">
        <v>136.5</v>
      </c>
      <c r="CZ181">
        <v>122.04850119286704</v>
      </c>
      <c r="DA181" s="82">
        <f t="shared" si="57"/>
        <v>-0.14265357694705472</v>
      </c>
      <c r="DB181">
        <v>136.5</v>
      </c>
      <c r="DC181">
        <v>76720.828593007347</v>
      </c>
      <c r="DD181" t="s">
        <v>82</v>
      </c>
      <c r="DG181" s="82">
        <f t="shared" si="58"/>
        <v>0</v>
      </c>
      <c r="DM181" s="82">
        <f t="shared" si="59"/>
        <v>0</v>
      </c>
    </row>
    <row r="182" spans="1:117" x14ac:dyDescent="0.2">
      <c r="A182">
        <v>137.5</v>
      </c>
      <c r="B182">
        <v>129.63572103951441</v>
      </c>
      <c r="C182" s="82">
        <f t="shared" si="40"/>
        <v>-0.309515153336406</v>
      </c>
      <c r="D182">
        <v>137.5</v>
      </c>
      <c r="E182">
        <v>125681.97368872374</v>
      </c>
      <c r="F182" t="s">
        <v>82</v>
      </c>
      <c r="G182">
        <v>137.5</v>
      </c>
      <c r="H182">
        <v>129.21925606852545</v>
      </c>
      <c r="I182" s="82">
        <f t="shared" si="41"/>
        <v>-0.2965695368589536</v>
      </c>
      <c r="J182">
        <v>137.5</v>
      </c>
      <c r="K182">
        <v>121299.62971200237</v>
      </c>
      <c r="L182" t="s">
        <v>82</v>
      </c>
      <c r="M182">
        <v>137.5</v>
      </c>
      <c r="N182">
        <v>128.79545123769375</v>
      </c>
      <c r="O182" s="82">
        <f t="shared" si="42"/>
        <v>-0.28409875646138971</v>
      </c>
      <c r="P182">
        <v>137.5</v>
      </c>
      <c r="Q182">
        <v>117125.61866919007</v>
      </c>
      <c r="R182" t="s">
        <v>82</v>
      </c>
      <c r="S182">
        <v>137.5</v>
      </c>
      <c r="T182">
        <v>128.36348813754893</v>
      </c>
      <c r="U182" s="82">
        <f t="shared" si="43"/>
        <v>-0.27206792782399702</v>
      </c>
      <c r="V182">
        <v>137.5</v>
      </c>
      <c r="W182">
        <v>113149.22880871751</v>
      </c>
      <c r="X182" t="s">
        <v>82</v>
      </c>
      <c r="Y182">
        <v>137.5</v>
      </c>
      <c r="Z182">
        <v>127.92397700888263</v>
      </c>
      <c r="AA182" s="82">
        <f t="shared" si="44"/>
        <v>-0.26045566810672938</v>
      </c>
      <c r="AB182">
        <v>137.5</v>
      </c>
      <c r="AC182">
        <v>109364.44976788625</v>
      </c>
      <c r="AD182" t="s">
        <v>82</v>
      </c>
      <c r="AE182">
        <v>137.5</v>
      </c>
      <c r="AF182">
        <v>127.47697852925144</v>
      </c>
      <c r="AG182" s="82">
        <f t="shared" si="45"/>
        <v>-0.24924625786100307</v>
      </c>
      <c r="AH182">
        <v>137.5</v>
      </c>
      <c r="AI182">
        <v>105767.45728763682</v>
      </c>
      <c r="AJ182" t="s">
        <v>82</v>
      </c>
      <c r="AK182">
        <v>137.5</v>
      </c>
      <c r="AL182">
        <v>127.02237631432124</v>
      </c>
      <c r="AM182" s="82">
        <f t="shared" si="46"/>
        <v>-0.23841632445039806</v>
      </c>
      <c r="AN182">
        <v>137.5</v>
      </c>
      <c r="AO182">
        <v>102352.26085434288</v>
      </c>
      <c r="AP182" t="s">
        <v>82</v>
      </c>
      <c r="AQ182">
        <v>137.5</v>
      </c>
      <c r="AR182">
        <v>126.55863743121455</v>
      </c>
      <c r="AS182" s="82">
        <f t="shared" si="47"/>
        <v>-0.22792535861115937</v>
      </c>
      <c r="AT182">
        <v>137.5</v>
      </c>
      <c r="AU182">
        <v>99108.205050694582</v>
      </c>
      <c r="AV182" t="s">
        <v>82</v>
      </c>
      <c r="AW182">
        <v>137.5</v>
      </c>
      <c r="AX182">
        <v>126.08668977013565</v>
      </c>
      <c r="AY182" s="82">
        <f t="shared" si="48"/>
        <v>-0.21777256215571583</v>
      </c>
      <c r="AZ182">
        <v>137.5</v>
      </c>
      <c r="BA182">
        <v>96037.450188868592</v>
      </c>
      <c r="BB182" t="s">
        <v>82</v>
      </c>
      <c r="BC182">
        <v>137.5</v>
      </c>
      <c r="BD182">
        <v>125.60648335626992</v>
      </c>
      <c r="BE182" s="82">
        <f t="shared" si="49"/>
        <v>-0.20793988909937866</v>
      </c>
      <c r="BF182">
        <v>137.5</v>
      </c>
      <c r="BG182">
        <v>93137.264843161669</v>
      </c>
      <c r="BH182" t="s">
        <v>82</v>
      </c>
      <c r="BI182">
        <v>137.5</v>
      </c>
      <c r="BJ182">
        <v>125.115386736006</v>
      </c>
      <c r="BK182" s="82">
        <f t="shared" si="50"/>
        <v>-0.19839379076223906</v>
      </c>
      <c r="BL182">
        <v>137.5</v>
      </c>
      <c r="BM182">
        <v>90401.556081530842</v>
      </c>
      <c r="BN182" t="s">
        <v>82</v>
      </c>
      <c r="BO182">
        <v>137.5</v>
      </c>
      <c r="BP182">
        <v>124.61345352700913</v>
      </c>
      <c r="BQ182" s="82">
        <f t="shared" si="51"/>
        <v>-0.18912174733664244</v>
      </c>
      <c r="BR182">
        <v>137.5</v>
      </c>
      <c r="BS182">
        <v>87831.087791076265</v>
      </c>
      <c r="BT182" t="s">
        <v>82</v>
      </c>
      <c r="BU182">
        <v>137.5</v>
      </c>
      <c r="BV182">
        <v>124.10630545585789</v>
      </c>
      <c r="BW182" s="82">
        <f t="shared" si="52"/>
        <v>-0.18017097918627201</v>
      </c>
      <c r="BX182">
        <v>137.5</v>
      </c>
      <c r="BY182">
        <v>85442.641943794792</v>
      </c>
      <c r="BZ182" t="s">
        <v>82</v>
      </c>
      <c r="CA182">
        <v>137.5</v>
      </c>
      <c r="CB182">
        <v>123.62703255650636</v>
      </c>
      <c r="CC182" s="82">
        <f t="shared" si="53"/>
        <v>-0.17181020868410712</v>
      </c>
      <c r="CD182">
        <v>137.5</v>
      </c>
      <c r="CE182">
        <v>83303.27338841802</v>
      </c>
      <c r="CF182" t="s">
        <v>82</v>
      </c>
      <c r="CG182">
        <v>137.5</v>
      </c>
      <c r="CH182">
        <v>123.17131767908302</v>
      </c>
      <c r="CI182" s="82">
        <f t="shared" si="54"/>
        <v>-0.16397823244172116</v>
      </c>
      <c r="CJ182">
        <v>137.5</v>
      </c>
      <c r="CK182">
        <v>81391.974938970219</v>
      </c>
      <c r="CL182" t="s">
        <v>82</v>
      </c>
      <c r="CM182">
        <v>137.5</v>
      </c>
      <c r="CN182">
        <v>122.7362397040667</v>
      </c>
      <c r="CO182" s="82">
        <f t="shared" si="55"/>
        <v>-0.15662743407338553</v>
      </c>
      <c r="CP182">
        <v>137.5</v>
      </c>
      <c r="CQ182">
        <v>79692.097035331943</v>
      </c>
      <c r="CR182" t="s">
        <v>82</v>
      </c>
      <c r="CS182">
        <v>137.5</v>
      </c>
      <c r="CT182">
        <v>122.31998723747988</v>
      </c>
      <c r="CU182" s="82">
        <f t="shared" si="56"/>
        <v>-0.14972084544109521</v>
      </c>
      <c r="CV182">
        <v>137.5</v>
      </c>
      <c r="CW182">
        <v>78190.135296921537</v>
      </c>
      <c r="CX182" t="s">
        <v>82</v>
      </c>
      <c r="CY182">
        <v>137.5</v>
      </c>
      <c r="CZ182">
        <v>121.90540149411925</v>
      </c>
      <c r="DA182" s="82">
        <f t="shared" si="57"/>
        <v>-0.14309969874778972</v>
      </c>
      <c r="DB182">
        <v>137.5</v>
      </c>
      <c r="DC182">
        <v>76851.521980775651</v>
      </c>
      <c r="DD182" t="s">
        <v>82</v>
      </c>
      <c r="DG182" s="82">
        <f t="shared" si="58"/>
        <v>0</v>
      </c>
      <c r="DM182" s="82">
        <f t="shared" si="59"/>
        <v>0</v>
      </c>
    </row>
    <row r="183" spans="1:117" x14ac:dyDescent="0.2">
      <c r="A183">
        <v>138.5</v>
      </c>
      <c r="B183">
        <v>129.32345584691052</v>
      </c>
      <c r="C183" s="82">
        <f t="shared" si="40"/>
        <v>-0.31226519260388841</v>
      </c>
      <c r="D183">
        <v>138.5</v>
      </c>
      <c r="E183">
        <v>126665.43687281809</v>
      </c>
      <c r="F183" t="s">
        <v>82</v>
      </c>
      <c r="G183">
        <v>138.5</v>
      </c>
      <c r="H183">
        <v>128.92019397812021</v>
      </c>
      <c r="I183" s="82">
        <f t="shared" si="41"/>
        <v>-0.29906209040524345</v>
      </c>
      <c r="J183">
        <v>138.5</v>
      </c>
      <c r="K183">
        <v>122187.21791867893</v>
      </c>
      <c r="L183" t="s">
        <v>82</v>
      </c>
      <c r="M183">
        <v>138.5</v>
      </c>
      <c r="N183">
        <v>128.5090959458405</v>
      </c>
      <c r="O183" s="82">
        <f t="shared" si="42"/>
        <v>-0.28635529185325481</v>
      </c>
      <c r="P183">
        <v>138.5</v>
      </c>
      <c r="Q183">
        <v>117925.38320518914</v>
      </c>
      <c r="R183" t="s">
        <v>82</v>
      </c>
      <c r="S183">
        <v>138.5</v>
      </c>
      <c r="T183">
        <v>128.0893799414952</v>
      </c>
      <c r="U183" s="82">
        <f t="shared" si="43"/>
        <v>-0.27410819605373149</v>
      </c>
      <c r="V183">
        <v>138.5</v>
      </c>
      <c r="W183">
        <v>113868.58034733844</v>
      </c>
      <c r="X183" t="s">
        <v>82</v>
      </c>
      <c r="Y183">
        <v>138.5</v>
      </c>
      <c r="Z183">
        <v>127.66167894765715</v>
      </c>
      <c r="AA183" s="82">
        <f t="shared" si="44"/>
        <v>-0.26229806122547927</v>
      </c>
      <c r="AB183">
        <v>138.5</v>
      </c>
      <c r="AC183">
        <v>110010.28976123163</v>
      </c>
      <c r="AD183" t="s">
        <v>82</v>
      </c>
      <c r="AE183">
        <v>138.5</v>
      </c>
      <c r="AF183">
        <v>127.22607066668296</v>
      </c>
      <c r="AG183" s="82">
        <f t="shared" si="45"/>
        <v>-0.25090786256848219</v>
      </c>
      <c r="AH183">
        <v>138.5</v>
      </c>
      <c r="AI183">
        <v>106346.19726969409</v>
      </c>
      <c r="AJ183" t="s">
        <v>82</v>
      </c>
      <c r="AK183">
        <v>138.5</v>
      </c>
      <c r="AL183">
        <v>126.78246346333661</v>
      </c>
      <c r="AM183" s="82">
        <f t="shared" si="46"/>
        <v>-0.23991285098462356</v>
      </c>
      <c r="AN183">
        <v>138.5</v>
      </c>
      <c r="AO183">
        <v>102869.79574095992</v>
      </c>
      <c r="AP183" t="s">
        <v>82</v>
      </c>
      <c r="AQ183">
        <v>138.5</v>
      </c>
      <c r="AR183">
        <v>126.32936648578477</v>
      </c>
      <c r="AS183" s="82">
        <f t="shared" si="47"/>
        <v>-0.229270945429775</v>
      </c>
      <c r="AT183">
        <v>138.5</v>
      </c>
      <c r="AU183">
        <v>99569.841425075589</v>
      </c>
      <c r="AV183" t="s">
        <v>82</v>
      </c>
      <c r="AW183">
        <v>138.5</v>
      </c>
      <c r="AX183">
        <v>125.86770928666851</v>
      </c>
      <c r="AY183" s="82">
        <f t="shared" si="48"/>
        <v>-0.21898048346713495</v>
      </c>
      <c r="AZ183">
        <v>138.5</v>
      </c>
      <c r="BA183">
        <v>96448.168072233922</v>
      </c>
      <c r="BB183" t="s">
        <v>82</v>
      </c>
      <c r="BC183">
        <v>138.5</v>
      </c>
      <c r="BD183">
        <v>125.39746101698373</v>
      </c>
      <c r="BE183" s="82">
        <f t="shared" si="49"/>
        <v>-0.20902233928619296</v>
      </c>
      <c r="BF183">
        <v>138.5</v>
      </c>
      <c r="BG183">
        <v>93501.638364364</v>
      </c>
      <c r="BH183" t="s">
        <v>82</v>
      </c>
      <c r="BI183">
        <v>138.5</v>
      </c>
      <c r="BJ183">
        <v>124.91602502206106</v>
      </c>
      <c r="BK183" s="82">
        <f t="shared" si="50"/>
        <v>-0.1993617139449384</v>
      </c>
      <c r="BL183">
        <v>138.5</v>
      </c>
      <c r="BM183">
        <v>90723.692547445302</v>
      </c>
      <c r="BN183" t="s">
        <v>82</v>
      </c>
      <c r="BO183">
        <v>138.5</v>
      </c>
      <c r="BP183">
        <v>124.42346826105896</v>
      </c>
      <c r="BQ183" s="82">
        <f t="shared" si="51"/>
        <v>-0.1899852659501704</v>
      </c>
      <c r="BR183">
        <v>138.5</v>
      </c>
      <c r="BS183">
        <v>88114.785379188572</v>
      </c>
      <c r="BT183" t="s">
        <v>82</v>
      </c>
      <c r="BU183">
        <v>138.5</v>
      </c>
      <c r="BV183">
        <v>123.92536534205126</v>
      </c>
      <c r="BW183" s="82">
        <f t="shared" si="52"/>
        <v>-0.18094011380662778</v>
      </c>
      <c r="BX183">
        <v>138.5</v>
      </c>
      <c r="BY183">
        <v>85691.652923483853</v>
      </c>
      <c r="BZ183" t="s">
        <v>82</v>
      </c>
      <c r="CA183">
        <v>138.5</v>
      </c>
      <c r="CB183">
        <v>123.45453534952267</v>
      </c>
      <c r="CC183" s="82">
        <f t="shared" si="53"/>
        <v>-0.17249720698369231</v>
      </c>
      <c r="CD183">
        <v>138.5</v>
      </c>
      <c r="CE183">
        <v>83522.145194243145</v>
      </c>
      <c r="CF183" t="s">
        <v>82</v>
      </c>
      <c r="CG183">
        <v>138.5</v>
      </c>
      <c r="CH183">
        <v>123.00672430600756</v>
      </c>
      <c r="CI183" s="82">
        <f t="shared" si="54"/>
        <v>-0.16459337307546207</v>
      </c>
      <c r="CJ183">
        <v>138.5</v>
      </c>
      <c r="CK183">
        <v>81584.521743631572</v>
      </c>
      <c r="CL183" t="s">
        <v>82</v>
      </c>
      <c r="CM183">
        <v>138.5</v>
      </c>
      <c r="CN183">
        <v>122.57906024273751</v>
      </c>
      <c r="CO183" s="82">
        <f t="shared" si="55"/>
        <v>-0.1571794613291928</v>
      </c>
      <c r="CP183">
        <v>138.5</v>
      </c>
      <c r="CQ183">
        <v>79861.561412853494</v>
      </c>
      <c r="CR183" t="s">
        <v>82</v>
      </c>
      <c r="CS183">
        <v>138.5</v>
      </c>
      <c r="CT183">
        <v>122.16976995148042</v>
      </c>
      <c r="CU183" s="82">
        <f t="shared" si="56"/>
        <v>-0.15021728599946016</v>
      </c>
      <c r="CV183">
        <v>138.5</v>
      </c>
      <c r="CW183">
        <v>78339.305883772584</v>
      </c>
      <c r="CX183" t="s">
        <v>82</v>
      </c>
      <c r="CY183">
        <v>138.5</v>
      </c>
      <c r="CZ183">
        <v>121.76185549286141</v>
      </c>
      <c r="DA183" s="82">
        <f t="shared" si="57"/>
        <v>-0.14354600125783179</v>
      </c>
      <c r="DB183">
        <v>138.5</v>
      </c>
      <c r="DC183">
        <v>76982.428748522769</v>
      </c>
      <c r="DD183" t="s">
        <v>82</v>
      </c>
      <c r="DG183" s="82">
        <f t="shared" si="58"/>
        <v>0</v>
      </c>
      <c r="DM183" s="82">
        <f t="shared" si="59"/>
        <v>0</v>
      </c>
    </row>
    <row r="184" spans="1:117" x14ac:dyDescent="0.2">
      <c r="A184">
        <v>139.5</v>
      </c>
      <c r="B184">
        <v>129.00842469947398</v>
      </c>
      <c r="C184" s="82">
        <f t="shared" si="40"/>
        <v>-0.31503114743654237</v>
      </c>
      <c r="D184">
        <v>139.5</v>
      </c>
      <c r="E184">
        <v>127655.02424655735</v>
      </c>
      <c r="F184" t="s">
        <v>82</v>
      </c>
      <c r="G184">
        <v>139.5</v>
      </c>
      <c r="H184">
        <v>128.61862586102163</v>
      </c>
      <c r="I184" s="82">
        <f t="shared" si="41"/>
        <v>-0.30156811709858289</v>
      </c>
      <c r="J184">
        <v>139.5</v>
      </c>
      <c r="K184">
        <v>123080.02610249742</v>
      </c>
      <c r="L184" t="s">
        <v>82</v>
      </c>
      <c r="M184">
        <v>139.5</v>
      </c>
      <c r="N184">
        <v>128.22047280565573</v>
      </c>
      <c r="O184" s="82">
        <f t="shared" si="42"/>
        <v>-0.28862314018476809</v>
      </c>
      <c r="P184">
        <v>139.5</v>
      </c>
      <c r="Q184">
        <v>118729.56575533238</v>
      </c>
      <c r="R184" t="s">
        <v>82</v>
      </c>
      <c r="S184">
        <v>139.5</v>
      </c>
      <c r="T184">
        <v>127.81322205574955</v>
      </c>
      <c r="U184" s="82">
        <f t="shared" si="43"/>
        <v>-0.27615788574564704</v>
      </c>
      <c r="V184">
        <v>139.5</v>
      </c>
      <c r="W184">
        <v>114591.64590962855</v>
      </c>
      <c r="X184" t="s">
        <v>82</v>
      </c>
      <c r="Y184">
        <v>139.5</v>
      </c>
      <c r="Z184">
        <v>127.39753071040094</v>
      </c>
      <c r="AA184" s="82">
        <f t="shared" si="44"/>
        <v>-0.26414823725620806</v>
      </c>
      <c r="AB184">
        <v>139.5</v>
      </c>
      <c r="AC184">
        <v>110659.2324260829</v>
      </c>
      <c r="AD184" t="s">
        <v>82</v>
      </c>
      <c r="AE184">
        <v>139.5</v>
      </c>
      <c r="AF184">
        <v>126.9734948228965</v>
      </c>
      <c r="AG184" s="82">
        <f t="shared" si="45"/>
        <v>-0.25257584378645959</v>
      </c>
      <c r="AH184">
        <v>139.5</v>
      </c>
      <c r="AI184">
        <v>106927.51391685307</v>
      </c>
      <c r="AJ184" t="s">
        <v>82</v>
      </c>
      <c r="AK184">
        <v>139.5</v>
      </c>
      <c r="AL184">
        <v>126.54104890712013</v>
      </c>
      <c r="AM184" s="82">
        <f t="shared" si="46"/>
        <v>-0.24141455621648333</v>
      </c>
      <c r="AN184">
        <v>139.5</v>
      </c>
      <c r="AO184">
        <v>103389.45812870766</v>
      </c>
      <c r="AP184" t="s">
        <v>82</v>
      </c>
      <c r="AQ184">
        <v>139.5</v>
      </c>
      <c r="AR184">
        <v>126.09874578987642</v>
      </c>
      <c r="AS184" s="82">
        <f t="shared" si="47"/>
        <v>-0.23062069590835677</v>
      </c>
      <c r="AT184">
        <v>139.5</v>
      </c>
      <c r="AU184">
        <v>100033.22357430159</v>
      </c>
      <c r="AV184" t="s">
        <v>82</v>
      </c>
      <c r="AW184">
        <v>139.5</v>
      </c>
      <c r="AX184">
        <v>125.64751757061008</v>
      </c>
      <c r="AY184" s="82">
        <f t="shared" si="48"/>
        <v>-0.22019171605843724</v>
      </c>
      <c r="AZ184">
        <v>139.5</v>
      </c>
      <c r="BA184">
        <v>96860.310103555021</v>
      </c>
      <c r="BB184" t="s">
        <v>82</v>
      </c>
      <c r="BC184">
        <v>139.5</v>
      </c>
      <c r="BD184">
        <v>125.18735362703296</v>
      </c>
      <c r="BE184" s="82">
        <f t="shared" si="49"/>
        <v>-0.21010738995076395</v>
      </c>
      <c r="BF184">
        <v>139.5</v>
      </c>
      <c r="BG184">
        <v>93867.166775646401</v>
      </c>
      <c r="BH184" t="s">
        <v>82</v>
      </c>
      <c r="BI184">
        <v>139.5</v>
      </c>
      <c r="BJ184">
        <v>124.7156933747207</v>
      </c>
      <c r="BK184" s="82">
        <f t="shared" si="50"/>
        <v>-0.20033164734036291</v>
      </c>
      <c r="BL184">
        <v>139.5</v>
      </c>
      <c r="BM184">
        <v>91046.759241202337</v>
      </c>
      <c r="BN184" t="s">
        <v>82</v>
      </c>
      <c r="BO184">
        <v>139.5</v>
      </c>
      <c r="BP184">
        <v>124.23261795226226</v>
      </c>
      <c r="BQ184" s="82">
        <f t="shared" si="51"/>
        <v>-0.19085030879669773</v>
      </c>
      <c r="BR184">
        <v>139.5</v>
      </c>
      <c r="BS184">
        <v>88399.227129174455</v>
      </c>
      <c r="BT184" t="s">
        <v>82</v>
      </c>
      <c r="BU184">
        <v>139.5</v>
      </c>
      <c r="BV184">
        <v>123.74365496262605</v>
      </c>
      <c r="BW184" s="82">
        <f t="shared" si="52"/>
        <v>-0.18171037942521195</v>
      </c>
      <c r="BX184">
        <v>139.5</v>
      </c>
      <c r="BY184">
        <v>85941.256379551662</v>
      </c>
      <c r="BZ184" t="s">
        <v>82</v>
      </c>
      <c r="CA184">
        <v>139.5</v>
      </c>
      <c r="CB184">
        <v>123.28135031444178</v>
      </c>
      <c r="CC184" s="82">
        <f t="shared" si="53"/>
        <v>-0.17318503508089123</v>
      </c>
      <c r="CD184">
        <v>139.5</v>
      </c>
      <c r="CE184">
        <v>83741.492085983205</v>
      </c>
      <c r="CF184" t="s">
        <v>82</v>
      </c>
      <c r="CG184">
        <v>139.5</v>
      </c>
      <c r="CH184">
        <v>122.84151519395198</v>
      </c>
      <c r="CI184" s="82">
        <f t="shared" si="54"/>
        <v>-0.16520911205557809</v>
      </c>
      <c r="CJ184">
        <v>139.5</v>
      </c>
      <c r="CK184">
        <v>81777.452321411489</v>
      </c>
      <c r="CL184" t="s">
        <v>82</v>
      </c>
      <c r="CM184">
        <v>139.5</v>
      </c>
      <c r="CN184">
        <v>122.42132833382006</v>
      </c>
      <c r="CO184" s="82">
        <f t="shared" si="55"/>
        <v>-0.15773190891745514</v>
      </c>
      <c r="CP184">
        <v>139.5</v>
      </c>
      <c r="CQ184">
        <v>80031.338228199893</v>
      </c>
      <c r="CR184" t="s">
        <v>82</v>
      </c>
      <c r="CS184">
        <v>139.5</v>
      </c>
      <c r="CT184">
        <v>122.01905594126994</v>
      </c>
      <c r="CU184" s="82">
        <f t="shared" si="56"/>
        <v>-0.15071401021047848</v>
      </c>
      <c r="CV184">
        <v>139.5</v>
      </c>
      <c r="CW184">
        <v>78488.733091313348</v>
      </c>
      <c r="CX184" t="s">
        <v>82</v>
      </c>
      <c r="CY184">
        <v>139.5</v>
      </c>
      <c r="CZ184">
        <v>121.61786301314449</v>
      </c>
      <c r="DA184" s="82">
        <f t="shared" si="57"/>
        <v>-0.1439924797169283</v>
      </c>
      <c r="DB184">
        <v>139.5</v>
      </c>
      <c r="DC184">
        <v>77113.54715935477</v>
      </c>
      <c r="DD184" t="s">
        <v>82</v>
      </c>
      <c r="DG184" s="82">
        <f t="shared" si="58"/>
        <v>0</v>
      </c>
      <c r="DM184" s="82">
        <f t="shared" si="59"/>
        <v>0</v>
      </c>
    </row>
    <row r="185" spans="1:117" x14ac:dyDescent="0.2">
      <c r="A185">
        <v>140.5</v>
      </c>
      <c r="B185">
        <v>128.69061211040699</v>
      </c>
      <c r="C185" s="82">
        <f t="shared" si="40"/>
        <v>-0.31781258906698895</v>
      </c>
      <c r="D185">
        <v>140.5</v>
      </c>
      <c r="E185">
        <v>128650.57447126314</v>
      </c>
      <c r="F185" t="s">
        <v>82</v>
      </c>
      <c r="G185">
        <v>140.5</v>
      </c>
      <c r="H185">
        <v>128.31453859209918</v>
      </c>
      <c r="I185" s="82">
        <f t="shared" si="41"/>
        <v>-0.30408726892244431</v>
      </c>
      <c r="J185">
        <v>140.5</v>
      </c>
      <c r="K185">
        <v>123977.92385243725</v>
      </c>
      <c r="L185" t="s">
        <v>82</v>
      </c>
      <c r="M185">
        <v>140.5</v>
      </c>
      <c r="N185">
        <v>127.92957078849743</v>
      </c>
      <c r="O185" s="82">
        <f t="shared" si="42"/>
        <v>-0.29090201715830233</v>
      </c>
      <c r="P185">
        <v>140.5</v>
      </c>
      <c r="Q185">
        <v>119538.06021294653</v>
      </c>
      <c r="R185" t="s">
        <v>82</v>
      </c>
      <c r="S185">
        <v>140.5</v>
      </c>
      <c r="T185">
        <v>127.53500529224667</v>
      </c>
      <c r="U185" s="82">
        <f t="shared" si="43"/>
        <v>-0.27821676350288271</v>
      </c>
      <c r="V185">
        <v>140.5</v>
      </c>
      <c r="W185">
        <v>115318.33872004005</v>
      </c>
      <c r="X185" t="s">
        <v>82</v>
      </c>
      <c r="Y185">
        <v>140.5</v>
      </c>
      <c r="Z185">
        <v>127.13152470642076</v>
      </c>
      <c r="AA185" s="82">
        <f t="shared" si="44"/>
        <v>-0.26600600398018059</v>
      </c>
      <c r="AB185">
        <v>140.5</v>
      </c>
      <c r="AC185">
        <v>111311.2065895213</v>
      </c>
      <c r="AD185" t="s">
        <v>82</v>
      </c>
      <c r="AE185">
        <v>140.5</v>
      </c>
      <c r="AF185">
        <v>126.71924477989057</v>
      </c>
      <c r="AG185" s="82">
        <f t="shared" si="45"/>
        <v>-0.25425004300592491</v>
      </c>
      <c r="AH185">
        <v>140.5</v>
      </c>
      <c r="AI185">
        <v>107511.34874206108</v>
      </c>
      <c r="AJ185" t="s">
        <v>82</v>
      </c>
      <c r="AK185">
        <v>140.5</v>
      </c>
      <c r="AL185">
        <v>126.29812759756335</v>
      </c>
      <c r="AM185" s="82">
        <f t="shared" si="46"/>
        <v>-0.24292130955677749</v>
      </c>
      <c r="AN185">
        <v>140.5</v>
      </c>
      <c r="AO185">
        <v>103911.20000424025</v>
      </c>
      <c r="AP185" t="s">
        <v>82</v>
      </c>
      <c r="AQ185">
        <v>140.5</v>
      </c>
      <c r="AR185">
        <v>125.86677128703792</v>
      </c>
      <c r="AS185" s="82">
        <f t="shared" si="47"/>
        <v>-0.23197450283849719</v>
      </c>
      <c r="AT185">
        <v>140.5</v>
      </c>
      <c r="AU185">
        <v>100498.31220852259</v>
      </c>
      <c r="AV185" t="s">
        <v>82</v>
      </c>
      <c r="AW185">
        <v>140.5</v>
      </c>
      <c r="AX185">
        <v>125.42611139824103</v>
      </c>
      <c r="AY185" s="82">
        <f t="shared" si="48"/>
        <v>-0.22140617236904347</v>
      </c>
      <c r="AZ185">
        <v>140.5</v>
      </c>
      <c r="BA185">
        <v>97273.844306332714</v>
      </c>
      <c r="BB185" t="s">
        <v>82</v>
      </c>
      <c r="BC185">
        <v>140.5</v>
      </c>
      <c r="BD185">
        <v>124.9761586569051</v>
      </c>
      <c r="BE185" s="82">
        <f t="shared" si="49"/>
        <v>-0.21119497012786326</v>
      </c>
      <c r="BF185">
        <v>140.5</v>
      </c>
      <c r="BG185">
        <v>94233.824239514113</v>
      </c>
      <c r="BH185" t="s">
        <v>82</v>
      </c>
      <c r="BI185">
        <v>140.5</v>
      </c>
      <c r="BJ185">
        <v>124.51438984069982</v>
      </c>
      <c r="BK185" s="82">
        <f t="shared" si="50"/>
        <v>-0.20130353402088019</v>
      </c>
      <c r="BL185">
        <v>140.5</v>
      </c>
      <c r="BM185">
        <v>91370.735492651394</v>
      </c>
      <c r="BN185" t="s">
        <v>82</v>
      </c>
      <c r="BO185">
        <v>140.5</v>
      </c>
      <c r="BP185">
        <v>124.04090112145921</v>
      </c>
      <c r="BQ185" s="82">
        <f t="shared" si="51"/>
        <v>-0.19171683080304547</v>
      </c>
      <c r="BR185">
        <v>140.5</v>
      </c>
      <c r="BS185">
        <v>88684.396716439296</v>
      </c>
      <c r="BT185" t="s">
        <v>82</v>
      </c>
      <c r="BU185">
        <v>140.5</v>
      </c>
      <c r="BV185">
        <v>123.56117322173016</v>
      </c>
      <c r="BW185" s="82">
        <f t="shared" si="52"/>
        <v>-0.18248174089589497</v>
      </c>
      <c r="BX185">
        <v>140.5</v>
      </c>
      <c r="BY185">
        <v>86191.43960763514</v>
      </c>
      <c r="BZ185" t="s">
        <v>82</v>
      </c>
      <c r="CA185">
        <v>140.5</v>
      </c>
      <c r="CB185">
        <v>123.10747664855577</v>
      </c>
      <c r="CC185" s="82">
        <f t="shared" si="53"/>
        <v>-0.17387366588600628</v>
      </c>
      <c r="CD185">
        <v>140.5</v>
      </c>
      <c r="CE185">
        <v>83961.304323974211</v>
      </c>
      <c r="CF185" t="s">
        <v>82</v>
      </c>
      <c r="CG185">
        <v>140.5</v>
      </c>
      <c r="CH185">
        <v>122.67568976513196</v>
      </c>
      <c r="CI185" s="82">
        <f t="shared" si="54"/>
        <v>-0.16582542882001405</v>
      </c>
      <c r="CJ185">
        <v>140.5</v>
      </c>
      <c r="CK185">
        <v>81970.759283257052</v>
      </c>
      <c r="CL185" t="s">
        <v>82</v>
      </c>
      <c r="CM185">
        <v>140.5</v>
      </c>
      <c r="CN185">
        <v>122.26304357222084</v>
      </c>
      <c r="CO185" s="82">
        <f t="shared" si="55"/>
        <v>-0.15828476159921934</v>
      </c>
      <c r="CP185">
        <v>140.5</v>
      </c>
      <c r="CQ185">
        <v>80201.422031523281</v>
      </c>
      <c r="CR185" t="s">
        <v>82</v>
      </c>
      <c r="CS185">
        <v>140.5</v>
      </c>
      <c r="CT185">
        <v>121.86784493412975</v>
      </c>
      <c r="CU185" s="82">
        <f t="shared" si="56"/>
        <v>-0.15121100714019065</v>
      </c>
      <c r="CV185">
        <v>140.5</v>
      </c>
      <c r="CW185">
        <v>78638.413021524742</v>
      </c>
      <c r="CX185" t="s">
        <v>82</v>
      </c>
      <c r="CY185">
        <v>140.5</v>
      </c>
      <c r="CZ185">
        <v>121.47342388641489</v>
      </c>
      <c r="DA185" s="82">
        <f t="shared" si="57"/>
        <v>-0.14443912672959414</v>
      </c>
      <c r="DB185">
        <v>140.5</v>
      </c>
      <c r="DC185">
        <v>77244.874586416059</v>
      </c>
      <c r="DD185" t="s">
        <v>82</v>
      </c>
      <c r="DG185" s="82">
        <f t="shared" si="58"/>
        <v>0</v>
      </c>
      <c r="DM185" s="82">
        <f t="shared" si="59"/>
        <v>0</v>
      </c>
    </row>
    <row r="186" spans="1:117" x14ac:dyDescent="0.2">
      <c r="A186">
        <v>141.5</v>
      </c>
      <c r="B186">
        <v>128.37000305173095</v>
      </c>
      <c r="C186" s="82">
        <f t="shared" si="40"/>
        <v>-0.32060905867604106</v>
      </c>
      <c r="D186">
        <v>141.5</v>
      </c>
      <c r="E186">
        <v>129651.91495281707</v>
      </c>
      <c r="F186" t="s">
        <v>82</v>
      </c>
      <c r="G186">
        <v>141.5</v>
      </c>
      <c r="H186">
        <v>128.00791941771107</v>
      </c>
      <c r="I186" s="82">
        <f t="shared" si="41"/>
        <v>-0.3066191743881177</v>
      </c>
      <c r="J186">
        <v>141.5</v>
      </c>
      <c r="K186">
        <v>124880.77198328639</v>
      </c>
      <c r="L186" t="s">
        <v>82</v>
      </c>
      <c r="M186">
        <v>141.5</v>
      </c>
      <c r="N186">
        <v>127.63637916847719</v>
      </c>
      <c r="O186" s="82">
        <f t="shared" si="42"/>
        <v>-0.29319162002023802</v>
      </c>
      <c r="P186">
        <v>141.5</v>
      </c>
      <c r="Q186">
        <v>120350.75360899654</v>
      </c>
      <c r="R186" t="s">
        <v>82</v>
      </c>
      <c r="S186">
        <v>141.5</v>
      </c>
      <c r="T186">
        <v>127.25472071097992</v>
      </c>
      <c r="U186" s="82">
        <f t="shared" si="43"/>
        <v>-0.28028458126674138</v>
      </c>
      <c r="V186">
        <v>141.5</v>
      </c>
      <c r="W186">
        <v>116048.56660619722</v>
      </c>
      <c r="X186" t="s">
        <v>82</v>
      </c>
      <c r="Y186">
        <v>141.5</v>
      </c>
      <c r="Z186">
        <v>126.86365354902875</v>
      </c>
      <c r="AA186" s="82">
        <f t="shared" si="44"/>
        <v>-0.26787115739200829</v>
      </c>
      <c r="AB186">
        <v>141.5</v>
      </c>
      <c r="AC186">
        <v>111966.13671985069</v>
      </c>
      <c r="AD186" t="s">
        <v>82</v>
      </c>
      <c r="AE186">
        <v>141.5</v>
      </c>
      <c r="AF186">
        <v>126.46331448775507</v>
      </c>
      <c r="AG186" s="82">
        <f t="shared" si="45"/>
        <v>-0.25593029213550267</v>
      </c>
      <c r="AH186">
        <v>141.5</v>
      </c>
      <c r="AI186">
        <v>108097.63973693301</v>
      </c>
      <c r="AJ186" t="s">
        <v>82</v>
      </c>
      <c r="AK186">
        <v>141.5</v>
      </c>
      <c r="AL186">
        <v>126.05369462503722</v>
      </c>
      <c r="AM186" s="82">
        <f t="shared" si="46"/>
        <v>-0.24443297252612695</v>
      </c>
      <c r="AN186">
        <v>141.5</v>
      </c>
      <c r="AO186">
        <v>104434.97046128511</v>
      </c>
      <c r="AP186" t="s">
        <v>82</v>
      </c>
      <c r="AQ186">
        <v>141.5</v>
      </c>
      <c r="AR186">
        <v>125.63343903460647</v>
      </c>
      <c r="AS186" s="82">
        <f t="shared" si="47"/>
        <v>-0.2333322524314525</v>
      </c>
      <c r="AT186">
        <v>141.5</v>
      </c>
      <c r="AU186">
        <v>100965.06565399496</v>
      </c>
      <c r="AV186" t="s">
        <v>82</v>
      </c>
      <c r="AW186">
        <v>141.5</v>
      </c>
      <c r="AX186">
        <v>125.20348763894562</v>
      </c>
      <c r="AY186" s="82">
        <f t="shared" si="48"/>
        <v>-0.22262375929541633</v>
      </c>
      <c r="AZ186">
        <v>141.5</v>
      </c>
      <c r="BA186">
        <v>97688.736686783624</v>
      </c>
      <c r="BB186" t="s">
        <v>82</v>
      </c>
      <c r="BC186">
        <v>141.5</v>
      </c>
      <c r="BD186">
        <v>124.76387365281077</v>
      </c>
      <c r="BE186" s="82">
        <f t="shared" si="49"/>
        <v>-0.21228500409432627</v>
      </c>
      <c r="BF186">
        <v>141.5</v>
      </c>
      <c r="BG186">
        <v>94601.58319024714</v>
      </c>
      <c r="BH186" t="s">
        <v>82</v>
      </c>
      <c r="BI186">
        <v>141.5</v>
      </c>
      <c r="BJ186">
        <v>124.31211252778145</v>
      </c>
      <c r="BK186" s="82">
        <f t="shared" si="50"/>
        <v>-0.20227731291836903</v>
      </c>
      <c r="BL186">
        <v>141.5</v>
      </c>
      <c r="BM186">
        <v>91695.59915044051</v>
      </c>
      <c r="BN186" t="s">
        <v>82</v>
      </c>
      <c r="BO186">
        <v>141.5</v>
      </c>
      <c r="BP186">
        <v>123.84831633820312</v>
      </c>
      <c r="BQ186" s="82">
        <f t="shared" si="51"/>
        <v>-0.19258478325609474</v>
      </c>
      <c r="BR186">
        <v>141.5</v>
      </c>
      <c r="BS186">
        <v>88970.276534738077</v>
      </c>
      <c r="BT186" t="s">
        <v>82</v>
      </c>
      <c r="BU186">
        <v>141.5</v>
      </c>
      <c r="BV186">
        <v>123.37791906190348</v>
      </c>
      <c r="BW186" s="82">
        <f t="shared" si="52"/>
        <v>-0.18325415982667437</v>
      </c>
      <c r="BX186">
        <v>141.5</v>
      </c>
      <c r="BY186">
        <v>86442.188791150984</v>
      </c>
      <c r="BZ186" t="s">
        <v>82</v>
      </c>
      <c r="CA186">
        <v>141.5</v>
      </c>
      <c r="CB186">
        <v>122.93291357919905</v>
      </c>
      <c r="CC186" s="82">
        <f t="shared" si="53"/>
        <v>-0.17456306935672217</v>
      </c>
      <c r="CD186">
        <v>141.5</v>
      </c>
      <c r="CE186">
        <v>84181.571121606365</v>
      </c>
      <c r="CF186" t="s">
        <v>82</v>
      </c>
      <c r="CG186">
        <v>141.5</v>
      </c>
      <c r="CH186">
        <v>122.50924746503033</v>
      </c>
      <c r="CI186" s="82">
        <f t="shared" si="54"/>
        <v>-0.16644230010163596</v>
      </c>
      <c r="CJ186">
        <v>141.5</v>
      </c>
      <c r="CK186">
        <v>82164.434297373606</v>
      </c>
      <c r="CL186" t="s">
        <v>82</v>
      </c>
      <c r="CM186">
        <v>141.5</v>
      </c>
      <c r="CN186">
        <v>122.10420557063499</v>
      </c>
      <c r="CO186" s="82">
        <f t="shared" si="55"/>
        <v>-0.15883800158584904</v>
      </c>
      <c r="CP186">
        <v>141.5</v>
      </c>
      <c r="CQ186">
        <v>80371.806469454168</v>
      </c>
      <c r="CR186" t="s">
        <v>82</v>
      </c>
      <c r="CS186">
        <v>141.5</v>
      </c>
      <c r="CT186">
        <v>121.7161366706832</v>
      </c>
      <c r="CU186" s="82">
        <f t="shared" si="56"/>
        <v>-0.15170826344655097</v>
      </c>
      <c r="CV186">
        <v>141.5</v>
      </c>
      <c r="CW186">
        <v>78788.340931751285</v>
      </c>
      <c r="CX186" t="s">
        <v>82</v>
      </c>
      <c r="CY186">
        <v>141.5</v>
      </c>
      <c r="CZ186">
        <v>121.32853795378649</v>
      </c>
      <c r="DA186" s="82">
        <f t="shared" si="57"/>
        <v>-0.144885932628398</v>
      </c>
      <c r="DB186">
        <v>141.5</v>
      </c>
      <c r="DC186">
        <v>77376.407603069703</v>
      </c>
      <c r="DD186" t="s">
        <v>82</v>
      </c>
      <c r="DG186" s="82">
        <f t="shared" si="58"/>
        <v>0</v>
      </c>
      <c r="DM186" s="82">
        <f t="shared" si="59"/>
        <v>0</v>
      </c>
    </row>
    <row r="187" spans="1:117" x14ac:dyDescent="0.2">
      <c r="A187">
        <v>142.5</v>
      </c>
      <c r="B187">
        <v>128.04658298492086</v>
      </c>
      <c r="C187" s="82">
        <f t="shared" si="40"/>
        <v>-0.32342006681008684</v>
      </c>
      <c r="D187">
        <v>142.5</v>
      </c>
      <c r="E187">
        <v>130658.86165870097</v>
      </c>
      <c r="F187" t="s">
        <v>82</v>
      </c>
      <c r="G187">
        <v>142.5</v>
      </c>
      <c r="H187">
        <v>127.69875597949378</v>
      </c>
      <c r="I187" s="82">
        <f t="shared" si="41"/>
        <v>-0.30916343821728276</v>
      </c>
      <c r="J187">
        <v>142.5</v>
      </c>
      <c r="K187">
        <v>125788.42245266288</v>
      </c>
      <c r="L187" t="s">
        <v>82</v>
      </c>
      <c r="M187">
        <v>142.5</v>
      </c>
      <c r="N187">
        <v>127.34088754107542</v>
      </c>
      <c r="O187" s="82">
        <f t="shared" si="42"/>
        <v>-0.29549162740177337</v>
      </c>
      <c r="P187">
        <v>142.5</v>
      </c>
      <c r="Q187">
        <v>121167.52605147869</v>
      </c>
      <c r="R187" t="s">
        <v>82</v>
      </c>
      <c r="S187">
        <v>142.5</v>
      </c>
      <c r="T187">
        <v>126.97235963468543</v>
      </c>
      <c r="U187" s="82">
        <f t="shared" si="43"/>
        <v>-0.28236107629449236</v>
      </c>
      <c r="V187">
        <v>142.5</v>
      </c>
      <c r="W187">
        <v>116782.23191720496</v>
      </c>
      <c r="X187" t="s">
        <v>82</v>
      </c>
      <c r="Y187">
        <v>142.5</v>
      </c>
      <c r="Z187">
        <v>126.59391006723315</v>
      </c>
      <c r="AA187" s="82">
        <f t="shared" si="44"/>
        <v>-0.26974348179560081</v>
      </c>
      <c r="AB187">
        <v>142.5</v>
      </c>
      <c r="AC187">
        <v>112623.94297908466</v>
      </c>
      <c r="AD187" t="s">
        <v>82</v>
      </c>
      <c r="AE187">
        <v>142.5</v>
      </c>
      <c r="AF187">
        <v>126.20569807409237</v>
      </c>
      <c r="AG187" s="82">
        <f t="shared" si="45"/>
        <v>-0.25761641366270283</v>
      </c>
      <c r="AH187">
        <v>142.5</v>
      </c>
      <c r="AI187">
        <v>108686.32145240593</v>
      </c>
      <c r="AJ187" t="s">
        <v>82</v>
      </c>
      <c r="AK187">
        <v>142.5</v>
      </c>
      <c r="AL187">
        <v>125.80774522607268</v>
      </c>
      <c r="AM187" s="82">
        <f t="shared" si="46"/>
        <v>-0.24594939896454093</v>
      </c>
      <c r="AN187">
        <v>142.5</v>
      </c>
      <c r="AO187">
        <v>104960.71578950492</v>
      </c>
      <c r="AP187" t="s">
        <v>82</v>
      </c>
      <c r="AQ187">
        <v>142.5</v>
      </c>
      <c r="AR187">
        <v>125.39874521006432</v>
      </c>
      <c r="AS187" s="82">
        <f t="shared" si="47"/>
        <v>-0.23469382454214838</v>
      </c>
      <c r="AT187">
        <v>142.5</v>
      </c>
      <c r="AU187">
        <v>101433.43990720046</v>
      </c>
      <c r="AV187" t="s">
        <v>82</v>
      </c>
      <c r="AW187">
        <v>142.5</v>
      </c>
      <c r="AX187">
        <v>124.97964326053686</v>
      </c>
      <c r="AY187" s="82">
        <f t="shared" si="48"/>
        <v>-0.22384437840875648</v>
      </c>
      <c r="AZ187">
        <v>142.5</v>
      </c>
      <c r="BA187">
        <v>98104.951319938409</v>
      </c>
      <c r="BB187" t="s">
        <v>82</v>
      </c>
      <c r="BC187">
        <v>142.5</v>
      </c>
      <c r="BD187">
        <v>124.55049624118445</v>
      </c>
      <c r="BE187" s="82">
        <f t="shared" si="49"/>
        <v>-0.2133774116263254</v>
      </c>
      <c r="BF187">
        <v>142.5</v>
      </c>
      <c r="BG187">
        <v>94970.41446598171</v>
      </c>
      <c r="BH187" t="s">
        <v>82</v>
      </c>
      <c r="BI187">
        <v>142.5</v>
      </c>
      <c r="BJ187">
        <v>124.10885960867512</v>
      </c>
      <c r="BK187" s="82">
        <f t="shared" si="50"/>
        <v>-0.20325291910633325</v>
      </c>
      <c r="BL187">
        <v>142.5</v>
      </c>
      <c r="BM187">
        <v>92021.326675140182</v>
      </c>
      <c r="BN187" t="s">
        <v>82</v>
      </c>
      <c r="BO187">
        <v>142.5</v>
      </c>
      <c r="BP187">
        <v>123.6548622241281</v>
      </c>
      <c r="BQ187" s="82">
        <f t="shared" si="51"/>
        <v>-0.19345411407502411</v>
      </c>
      <c r="BR187">
        <v>142.5</v>
      </c>
      <c r="BS187">
        <v>89256.847769474232</v>
      </c>
      <c r="BT187" t="s">
        <v>82</v>
      </c>
      <c r="BU187">
        <v>142.5</v>
      </c>
      <c r="BV187">
        <v>123.1938914670578</v>
      </c>
      <c r="BW187" s="82">
        <f t="shared" si="52"/>
        <v>-0.18402759484568776</v>
      </c>
      <c r="BX187">
        <v>142.5</v>
      </c>
      <c r="BY187">
        <v>86693.489040655491</v>
      </c>
      <c r="BZ187" t="s">
        <v>82</v>
      </c>
      <c r="CA187">
        <v>142.5</v>
      </c>
      <c r="CB187">
        <v>122.75766036642629</v>
      </c>
      <c r="CC187" s="82">
        <f t="shared" si="53"/>
        <v>-0.17525321277275907</v>
      </c>
      <c r="CD187">
        <v>142.5</v>
      </c>
      <c r="CE187">
        <v>84402.280737958004</v>
      </c>
      <c r="CF187" t="s">
        <v>82</v>
      </c>
      <c r="CG187">
        <v>142.5</v>
      </c>
      <c r="CH187">
        <v>122.34218776485001</v>
      </c>
      <c r="CI187" s="82">
        <f t="shared" si="54"/>
        <v>-0.16705970018031735</v>
      </c>
      <c r="CJ187">
        <v>142.5</v>
      </c>
      <c r="CK187">
        <v>82358.468185195685</v>
      </c>
      <c r="CL187" t="s">
        <v>82</v>
      </c>
      <c r="CM187">
        <v>142.5</v>
      </c>
      <c r="CN187">
        <v>121.94481396180207</v>
      </c>
      <c r="CO187" s="82">
        <f t="shared" si="55"/>
        <v>-0.15939160883291947</v>
      </c>
      <c r="CP187">
        <v>142.5</v>
      </c>
      <c r="CQ187">
        <v>80542.48441313261</v>
      </c>
      <c r="CR187" t="s">
        <v>82</v>
      </c>
      <c r="CS187">
        <v>142.5</v>
      </c>
      <c r="CT187">
        <v>121.56393090699825</v>
      </c>
      <c r="CU187" s="82">
        <f t="shared" si="56"/>
        <v>-0.15220576368494676</v>
      </c>
      <c r="CV187">
        <v>142.5</v>
      </c>
      <c r="CW187">
        <v>78938.511339176417</v>
      </c>
      <c r="CX187" t="s">
        <v>82</v>
      </c>
      <c r="CY187">
        <v>142.5</v>
      </c>
      <c r="CZ187">
        <v>121.18320506802982</v>
      </c>
      <c r="DA187" s="82">
        <f t="shared" si="57"/>
        <v>-0.14533288575667314</v>
      </c>
      <c r="DB187">
        <v>142.5</v>
      </c>
      <c r="DC187">
        <v>77508.142107978987</v>
      </c>
      <c r="DD187" t="s">
        <v>82</v>
      </c>
      <c r="DG187" s="82">
        <f t="shared" si="58"/>
        <v>0</v>
      </c>
      <c r="DM187" s="82">
        <f t="shared" si="59"/>
        <v>0</v>
      </c>
    </row>
    <row r="188" spans="1:117" x14ac:dyDescent="0.2">
      <c r="A188">
        <v>143.5</v>
      </c>
      <c r="B188">
        <v>127.7203378922151</v>
      </c>
      <c r="C188" s="82">
        <f t="shared" si="40"/>
        <v>-0.32624509270576141</v>
      </c>
      <c r="D188">
        <v>143.5</v>
      </c>
      <c r="E188">
        <v>131671.21878034135</v>
      </c>
      <c r="F188" t="s">
        <v>82</v>
      </c>
      <c r="G188">
        <v>143.5</v>
      </c>
      <c r="H188">
        <v>127.38703633854765</v>
      </c>
      <c r="I188" s="82">
        <f t="shared" si="41"/>
        <v>-0.31171964094613713</v>
      </c>
      <c r="J188">
        <v>143.5</v>
      </c>
      <c r="K188">
        <v>126700.71815639673</v>
      </c>
      <c r="L188" t="s">
        <v>82</v>
      </c>
      <c r="M188">
        <v>143.5</v>
      </c>
      <c r="N188">
        <v>127.04308584191133</v>
      </c>
      <c r="O188" s="82">
        <f t="shared" si="42"/>
        <v>-0.29780169916408283</v>
      </c>
      <c r="P188">
        <v>143.5</v>
      </c>
      <c r="Q188">
        <v>121988.25066177554</v>
      </c>
      <c r="R188" t="s">
        <v>82</v>
      </c>
      <c r="S188">
        <v>143.5</v>
      </c>
      <c r="T188">
        <v>126.687913663549</v>
      </c>
      <c r="U188" s="82">
        <f t="shared" si="43"/>
        <v>-0.28444597113643511</v>
      </c>
      <c r="V188">
        <v>143.5</v>
      </c>
      <c r="W188">
        <v>117519.23157265213</v>
      </c>
      <c r="X188" t="s">
        <v>82</v>
      </c>
      <c r="Y188">
        <v>143.5</v>
      </c>
      <c r="Z188">
        <v>126.32228731737723</v>
      </c>
      <c r="AA188" s="82">
        <f t="shared" si="44"/>
        <v>-0.27162274985592205</v>
      </c>
      <c r="AB188">
        <v>143.5</v>
      </c>
      <c r="AC188">
        <v>113284.54120987107</v>
      </c>
      <c r="AD188" t="s">
        <v>82</v>
      </c>
      <c r="AE188">
        <v>143.5</v>
      </c>
      <c r="AF188">
        <v>125.94638985333231</v>
      </c>
      <c r="AG188" s="82">
        <f t="shared" si="45"/>
        <v>-0.25930822076006166</v>
      </c>
      <c r="AH188">
        <v>143.5</v>
      </c>
      <c r="AI188">
        <v>109277.32498183461</v>
      </c>
      <c r="AJ188" t="s">
        <v>82</v>
      </c>
      <c r="AK188">
        <v>143.5</v>
      </c>
      <c r="AL188">
        <v>125.56027479089839</v>
      </c>
      <c r="AM188" s="82">
        <f t="shared" si="46"/>
        <v>-0.2474704351742929</v>
      </c>
      <c r="AN188">
        <v>143.5</v>
      </c>
      <c r="AO188">
        <v>105488.37951854257</v>
      </c>
      <c r="AP188" t="s">
        <v>82</v>
      </c>
      <c r="AQ188">
        <v>143.5</v>
      </c>
      <c r="AR188">
        <v>125.16268611718571</v>
      </c>
      <c r="AS188" s="82">
        <f t="shared" si="47"/>
        <v>-0.23605909287860527</v>
      </c>
      <c r="AT188">
        <v>143.5</v>
      </c>
      <c r="AU188">
        <v>101903.38872596154</v>
      </c>
      <c r="AV188" t="s">
        <v>82</v>
      </c>
      <c r="AW188">
        <v>143.5</v>
      </c>
      <c r="AX188">
        <v>124.75457533435016</v>
      </c>
      <c r="AY188" s="82">
        <f t="shared" si="48"/>
        <v>-0.22506792618669635</v>
      </c>
      <c r="AZ188">
        <v>143.5</v>
      </c>
      <c r="BA188">
        <v>98522.45044575182</v>
      </c>
      <c r="BB188" t="s">
        <v>82</v>
      </c>
      <c r="BC188">
        <v>143.5</v>
      </c>
      <c r="BD188">
        <v>124.33602413297184</v>
      </c>
      <c r="BE188" s="82">
        <f t="shared" si="49"/>
        <v>-0.21447210821260398</v>
      </c>
      <c r="BF188">
        <v>143.5</v>
      </c>
      <c r="BG188">
        <v>95340.287318647461</v>
      </c>
      <c r="BH188" t="s">
        <v>82</v>
      </c>
      <c r="BI188">
        <v>143.5</v>
      </c>
      <c r="BJ188">
        <v>123.90462932465437</v>
      </c>
      <c r="BK188" s="82">
        <f t="shared" si="50"/>
        <v>-0.20423028402075261</v>
      </c>
      <c r="BL188">
        <v>143.5</v>
      </c>
      <c r="BM188">
        <v>92347.89323104771</v>
      </c>
      <c r="BN188" t="s">
        <v>82</v>
      </c>
      <c r="BO188">
        <v>143.5</v>
      </c>
      <c r="BP188">
        <v>123.46053745606797</v>
      </c>
      <c r="BQ188" s="82">
        <f t="shared" si="51"/>
        <v>-0.19432476806012744</v>
      </c>
      <c r="BR188">
        <v>143.5</v>
      </c>
      <c r="BS188">
        <v>89544.090496637305</v>
      </c>
      <c r="BT188" t="s">
        <v>82</v>
      </c>
      <c r="BU188">
        <v>143.5</v>
      </c>
      <c r="BV188">
        <v>123.0090894651958</v>
      </c>
      <c r="BW188" s="82">
        <f t="shared" si="52"/>
        <v>-0.18480200186199625</v>
      </c>
      <c r="BX188">
        <v>143.5</v>
      </c>
      <c r="BY188">
        <v>86945.32447718209</v>
      </c>
      <c r="BZ188" t="s">
        <v>82</v>
      </c>
      <c r="CA188">
        <v>143.5</v>
      </c>
      <c r="CB188">
        <v>122.58171630543566</v>
      </c>
      <c r="CC188" s="82">
        <f t="shared" si="53"/>
        <v>-0.17594406099063065</v>
      </c>
      <c r="CD188">
        <v>143.5</v>
      </c>
      <c r="CE188">
        <v>84623.420575114113</v>
      </c>
      <c r="CF188" t="s">
        <v>82</v>
      </c>
      <c r="CG188">
        <v>143.5</v>
      </c>
      <c r="CH188">
        <v>122.17451016370005</v>
      </c>
      <c r="CI188" s="82">
        <f t="shared" si="54"/>
        <v>-0.16767760114996122</v>
      </c>
      <c r="CJ188">
        <v>143.5</v>
      </c>
      <c r="CK188">
        <v>82552.85097768507</v>
      </c>
      <c r="CL188" t="s">
        <v>82</v>
      </c>
      <c r="CM188">
        <v>143.5</v>
      </c>
      <c r="CN188">
        <v>121.78486840051195</v>
      </c>
      <c r="CO188" s="82">
        <f t="shared" si="55"/>
        <v>-0.15994556129011528</v>
      </c>
      <c r="CP188">
        <v>143.5</v>
      </c>
      <c r="CQ188">
        <v>80713.448014109745</v>
      </c>
      <c r="CR188" t="s">
        <v>82</v>
      </c>
      <c r="CS188">
        <v>143.5</v>
      </c>
      <c r="CT188">
        <v>121.41122741644058</v>
      </c>
      <c r="CU188" s="82">
        <f t="shared" si="56"/>
        <v>-0.15270349055766985</v>
      </c>
      <c r="CV188">
        <v>143.5</v>
      </c>
      <c r="CW188">
        <v>79088.918139302303</v>
      </c>
      <c r="CX188" t="s">
        <v>82</v>
      </c>
      <c r="CY188">
        <v>143.5</v>
      </c>
      <c r="CZ188">
        <v>121.03742509529989</v>
      </c>
      <c r="DA188" s="82">
        <f t="shared" si="57"/>
        <v>-0.14577997272992604</v>
      </c>
      <c r="DB188">
        <v>143.5</v>
      </c>
      <c r="DC188">
        <v>77640.07336644613</v>
      </c>
      <c r="DD188" t="s">
        <v>82</v>
      </c>
      <c r="DG188" s="82">
        <f t="shared" si="58"/>
        <v>0</v>
      </c>
      <c r="DM188" s="82">
        <f t="shared" si="59"/>
        <v>0</v>
      </c>
    </row>
    <row r="189" spans="1:117" x14ac:dyDescent="0.2">
      <c r="A189">
        <v>144.5</v>
      </c>
      <c r="B189">
        <v>127.39125430861407</v>
      </c>
      <c r="C189" s="82">
        <f t="shared" si="40"/>
        <v>-0.32908358360103307</v>
      </c>
      <c r="D189">
        <v>144.5</v>
      </c>
      <c r="E189">
        <v>132688.77851083802</v>
      </c>
      <c r="F189" t="s">
        <v>82</v>
      </c>
      <c r="G189">
        <v>144.5</v>
      </c>
      <c r="H189">
        <v>127.07274899999813</v>
      </c>
      <c r="I189" s="82">
        <f t="shared" si="41"/>
        <v>-0.31428733854951929</v>
      </c>
      <c r="J189">
        <v>144.5</v>
      </c>
      <c r="K189">
        <v>127617.49281814018</v>
      </c>
      <c r="L189" t="s">
        <v>82</v>
      </c>
      <c r="M189">
        <v>144.5</v>
      </c>
      <c r="N189">
        <v>126.74296436574083</v>
      </c>
      <c r="O189" s="82">
        <f t="shared" si="42"/>
        <v>-0.30012147617050289</v>
      </c>
      <c r="P189">
        <v>144.5</v>
      </c>
      <c r="Q189">
        <v>122812.79347179458</v>
      </c>
      <c r="R189" t="s">
        <v>82</v>
      </c>
      <c r="S189">
        <v>144.5</v>
      </c>
      <c r="T189">
        <v>126.40137468998384</v>
      </c>
      <c r="U189" s="82">
        <f t="shared" si="43"/>
        <v>-0.28653897356515756</v>
      </c>
      <c r="V189">
        <v>144.5</v>
      </c>
      <c r="W189">
        <v>118259.45698514734</v>
      </c>
      <c r="X189" t="s">
        <v>82</v>
      </c>
      <c r="Y189">
        <v>144.5</v>
      </c>
      <c r="Z189">
        <v>126.04877859474753</v>
      </c>
      <c r="AA189" s="82">
        <f t="shared" si="44"/>
        <v>-0.27350872262969972</v>
      </c>
      <c r="AB189">
        <v>144.5</v>
      </c>
      <c r="AC189">
        <v>113947.84298860549</v>
      </c>
      <c r="AD189" t="s">
        <v>82</v>
      </c>
      <c r="AE189">
        <v>144.5</v>
      </c>
      <c r="AF189">
        <v>125.68538433593528</v>
      </c>
      <c r="AG189" s="82">
        <f t="shared" si="45"/>
        <v>-0.26100551739702382</v>
      </c>
      <c r="AH189">
        <v>144.5</v>
      </c>
      <c r="AI189">
        <v>109870.57803339798</v>
      </c>
      <c r="AJ189" t="s">
        <v>82</v>
      </c>
      <c r="AK189">
        <v>144.5</v>
      </c>
      <c r="AL189">
        <v>125.31127887082597</v>
      </c>
      <c r="AM189" s="82">
        <f t="shared" si="46"/>
        <v>-0.24899592007241722</v>
      </c>
      <c r="AN189">
        <v>144.5</v>
      </c>
      <c r="AO189">
        <v>106017.90247032621</v>
      </c>
      <c r="AP189" t="s">
        <v>82</v>
      </c>
      <c r="AQ189">
        <v>144.5</v>
      </c>
      <c r="AR189">
        <v>124.92525819204484</v>
      </c>
      <c r="AS189" s="82">
        <f t="shared" si="47"/>
        <v>-0.23742792514087796</v>
      </c>
      <c r="AT189">
        <v>144.5</v>
      </c>
      <c r="AU189">
        <v>102374.86368515447</v>
      </c>
      <c r="AV189" t="s">
        <v>82</v>
      </c>
      <c r="AW189">
        <v>144.5</v>
      </c>
      <c r="AX189">
        <v>124.52828104016469</v>
      </c>
      <c r="AY189" s="82">
        <f t="shared" si="48"/>
        <v>-0.22629429418547886</v>
      </c>
      <c r="AZ189">
        <v>144.5</v>
      </c>
      <c r="BA189">
        <v>98941.194495334916</v>
      </c>
      <c r="BB189" t="s">
        <v>82</v>
      </c>
      <c r="BC189">
        <v>144.5</v>
      </c>
      <c r="BD189">
        <v>124.1204551276949</v>
      </c>
      <c r="BE189" s="82">
        <f t="shared" si="49"/>
        <v>-0.21556900527694722</v>
      </c>
      <c r="BF189">
        <v>144.5</v>
      </c>
      <c r="BG189">
        <v>95711.169575060165</v>
      </c>
      <c r="BH189" t="s">
        <v>82</v>
      </c>
      <c r="BI189">
        <v>144.5</v>
      </c>
      <c r="BJ189">
        <v>123.6994199889818</v>
      </c>
      <c r="BK189" s="82">
        <f t="shared" si="50"/>
        <v>-0.2052093356725635</v>
      </c>
      <c r="BL189">
        <v>144.5</v>
      </c>
      <c r="BM189">
        <v>92675.272750315038</v>
      </c>
      <c r="BN189" t="s">
        <v>82</v>
      </c>
      <c r="BO189">
        <v>144.5</v>
      </c>
      <c r="BP189">
        <v>123.26534076897811</v>
      </c>
      <c r="BQ189" s="82">
        <f t="shared" si="51"/>
        <v>-0.1951966870898616</v>
      </c>
      <c r="BR189">
        <v>144.5</v>
      </c>
      <c r="BS189">
        <v>89831.983747047387</v>
      </c>
      <c r="BT189" t="s">
        <v>82</v>
      </c>
      <c r="BU189">
        <v>144.5</v>
      </c>
      <c r="BV189">
        <v>122.82351213092696</v>
      </c>
      <c r="BW189" s="82">
        <f t="shared" si="52"/>
        <v>-0.18557733426884226</v>
      </c>
      <c r="BX189">
        <v>144.5</v>
      </c>
      <c r="BY189">
        <v>87197.678378539582</v>
      </c>
      <c r="BZ189" t="s">
        <v>82</v>
      </c>
      <c r="CA189">
        <v>144.5</v>
      </c>
      <c r="CB189">
        <v>122.40508072876662</v>
      </c>
      <c r="CC189" s="82">
        <f t="shared" si="53"/>
        <v>-0.17663557666904239</v>
      </c>
      <c r="CD189">
        <v>144.5</v>
      </c>
      <c r="CE189">
        <v>84844.977274510165</v>
      </c>
      <c r="CF189" t="s">
        <v>82</v>
      </c>
      <c r="CG189">
        <v>144.5</v>
      </c>
      <c r="CH189">
        <v>122.00621419057093</v>
      </c>
      <c r="CI189" s="82">
        <f t="shared" si="54"/>
        <v>-0.16829597312911915</v>
      </c>
      <c r="CJ189">
        <v>144.5</v>
      </c>
      <c r="CK189">
        <v>82747.572021191212</v>
      </c>
      <c r="CL189" t="s">
        <v>82</v>
      </c>
      <c r="CM189">
        <v>144.5</v>
      </c>
      <c r="CN189">
        <v>121.62436856538815</v>
      </c>
      <c r="CO189" s="82">
        <f t="shared" si="55"/>
        <v>-0.16049983512380095</v>
      </c>
      <c r="CP189">
        <v>144.5</v>
      </c>
      <c r="CQ189">
        <v>80884.688827235266</v>
      </c>
      <c r="CR189" t="s">
        <v>82</v>
      </c>
      <c r="CS189">
        <v>144.5</v>
      </c>
      <c r="CT189">
        <v>121.25802599132527</v>
      </c>
      <c r="CU189" s="82">
        <f t="shared" si="56"/>
        <v>-0.15320142511531287</v>
      </c>
      <c r="CV189">
        <v>144.5</v>
      </c>
      <c r="CW189">
        <v>79239.554609516563</v>
      </c>
      <c r="CX189" t="s">
        <v>82</v>
      </c>
      <c r="CY189">
        <v>144.5</v>
      </c>
      <c r="CZ189">
        <v>120.89119791666089</v>
      </c>
      <c r="DA189" s="82">
        <f t="shared" si="57"/>
        <v>-0.14622717863900903</v>
      </c>
      <c r="DB189">
        <v>144.5</v>
      </c>
      <c r="DC189">
        <v>77772.196152882228</v>
      </c>
      <c r="DD189" t="s">
        <v>82</v>
      </c>
      <c r="DG189" s="82">
        <f t="shared" si="58"/>
        <v>0</v>
      </c>
      <c r="DM189" s="82">
        <f t="shared" si="59"/>
        <v>0</v>
      </c>
    </row>
    <row r="190" spans="1:117" x14ac:dyDescent="0.2">
      <c r="A190">
        <v>145.5</v>
      </c>
      <c r="B190">
        <v>127.05931935461921</v>
      </c>
      <c r="C190" s="82">
        <f t="shared" si="40"/>
        <v>-0.33193495399486039</v>
      </c>
      <c r="D190">
        <v>145.5</v>
      </c>
      <c r="E190">
        <v>133711.32078488512</v>
      </c>
      <c r="F190" t="s">
        <v>82</v>
      </c>
      <c r="G190">
        <v>145.5</v>
      </c>
      <c r="H190">
        <v>126.75588293805313</v>
      </c>
      <c r="I190" s="82">
        <f t="shared" si="41"/>
        <v>-0.31686606194499234</v>
      </c>
      <c r="J190">
        <v>145.5</v>
      </c>
      <c r="K190">
        <v>128538.57077262798</v>
      </c>
      <c r="L190" t="s">
        <v>82</v>
      </c>
      <c r="M190">
        <v>145.5</v>
      </c>
      <c r="N190">
        <v>126.44051378569542</v>
      </c>
      <c r="O190" s="82">
        <f t="shared" si="42"/>
        <v>-0.30245058004541647</v>
      </c>
      <c r="P190">
        <v>145.5</v>
      </c>
      <c r="Q190">
        <v>123641.01333401827</v>
      </c>
      <c r="R190" t="s">
        <v>82</v>
      </c>
      <c r="S190">
        <v>145.5</v>
      </c>
      <c r="T190">
        <v>126.11273491350971</v>
      </c>
      <c r="U190" s="82">
        <f t="shared" si="43"/>
        <v>-0.28863977647412753</v>
      </c>
      <c r="V190">
        <v>145.5</v>
      </c>
      <c r="W190">
        <v>119002.79405436026</v>
      </c>
      <c r="X190" t="s">
        <v>82</v>
      </c>
      <c r="Y190">
        <v>145.5</v>
      </c>
      <c r="Z190">
        <v>125.77337744518395</v>
      </c>
      <c r="AA190" s="82">
        <f t="shared" si="44"/>
        <v>-0.27540114956357797</v>
      </c>
      <c r="AB190">
        <v>145.5</v>
      </c>
      <c r="AC190">
        <v>114613.75555491043</v>
      </c>
      <c r="AD190" t="s">
        <v>82</v>
      </c>
      <c r="AE190">
        <v>145.5</v>
      </c>
      <c r="AF190">
        <v>125.42267623755249</v>
      </c>
      <c r="AG190" s="82">
        <f t="shared" si="45"/>
        <v>-0.26270809838278808</v>
      </c>
      <c r="AH190">
        <v>145.5</v>
      </c>
      <c r="AI190">
        <v>110466.00496388439</v>
      </c>
      <c r="AJ190" t="s">
        <v>82</v>
      </c>
      <c r="AK190">
        <v>145.5</v>
      </c>
      <c r="AL190">
        <v>125.06075318554971</v>
      </c>
      <c r="AM190" s="82">
        <f t="shared" si="46"/>
        <v>-0.25052568527625851</v>
      </c>
      <c r="AN190">
        <v>145.5</v>
      </c>
      <c r="AO190">
        <v>106549.22277317561</v>
      </c>
      <c r="AP190" t="s">
        <v>82</v>
      </c>
      <c r="AQ190">
        <v>145.5</v>
      </c>
      <c r="AR190">
        <v>124.68645800887117</v>
      </c>
      <c r="AS190" s="82">
        <f t="shared" si="47"/>
        <v>-0.23880018317366591</v>
      </c>
      <c r="AT190">
        <v>145.5</v>
      </c>
      <c r="AU190">
        <v>102847.81420519268</v>
      </c>
      <c r="AV190" t="s">
        <v>82</v>
      </c>
      <c r="AW190">
        <v>145.5</v>
      </c>
      <c r="AX190">
        <v>124.30075767097009</v>
      </c>
      <c r="AY190" s="82">
        <f t="shared" si="48"/>
        <v>-0.22752336919459992</v>
      </c>
      <c r="AZ190">
        <v>145.5</v>
      </c>
      <c r="BA190">
        <v>99361.142171330226</v>
      </c>
      <c r="BB190" t="s">
        <v>82</v>
      </c>
      <c r="BC190">
        <v>145.5</v>
      </c>
      <c r="BD190">
        <v>123.90378711739187</v>
      </c>
      <c r="BE190" s="82">
        <f t="shared" si="49"/>
        <v>-0.21666801030302452</v>
      </c>
      <c r="BF190">
        <v>145.5</v>
      </c>
      <c r="BG190">
        <v>96083.027588346595</v>
      </c>
      <c r="BH190" t="s">
        <v>82</v>
      </c>
      <c r="BI190">
        <v>145.5</v>
      </c>
      <c r="BJ190">
        <v>123.49322999017122</v>
      </c>
      <c r="BK190" s="82">
        <f t="shared" si="50"/>
        <v>-0.20618999881058642</v>
      </c>
      <c r="BL190">
        <v>145.5</v>
      </c>
      <c r="BM190">
        <v>93003.437973641121</v>
      </c>
      <c r="BN190" t="s">
        <v>82</v>
      </c>
      <c r="BO190">
        <v>145.5</v>
      </c>
      <c r="BP190">
        <v>123.06927095867248</v>
      </c>
      <c r="BQ190" s="82">
        <f t="shared" si="51"/>
        <v>-0.1960698103056302</v>
      </c>
      <c r="BR190">
        <v>145.5</v>
      </c>
      <c r="BS190">
        <v>90120.505553791882</v>
      </c>
      <c r="BT190" t="s">
        <v>82</v>
      </c>
      <c r="BU190">
        <v>145.5</v>
      </c>
      <c r="BV190">
        <v>122.63715858780866</v>
      </c>
      <c r="BW190" s="82">
        <f t="shared" si="52"/>
        <v>-0.18635354311830099</v>
      </c>
      <c r="BX190">
        <v>145.5</v>
      </c>
      <c r="BY190">
        <v>87450.533129515941</v>
      </c>
      <c r="BZ190" t="s">
        <v>82</v>
      </c>
      <c r="CA190">
        <v>145.5</v>
      </c>
      <c r="CB190">
        <v>122.22775300835083</v>
      </c>
      <c r="CC190" s="82">
        <f t="shared" si="53"/>
        <v>-0.17732772041578926</v>
      </c>
      <c r="CD190">
        <v>145.5</v>
      </c>
      <c r="CE190">
        <v>85066.93673503329</v>
      </c>
      <c r="CF190" t="s">
        <v>82</v>
      </c>
      <c r="CG190">
        <v>145.5</v>
      </c>
      <c r="CH190">
        <v>121.83729940612911</v>
      </c>
      <c r="CI190" s="82">
        <f t="shared" si="54"/>
        <v>-0.16891478444182439</v>
      </c>
      <c r="CJ190">
        <v>145.5</v>
      </c>
      <c r="CK190">
        <v>82942.620023217562</v>
      </c>
      <c r="CL190" t="s">
        <v>82</v>
      </c>
      <c r="CM190">
        <v>145.5</v>
      </c>
      <c r="CN190">
        <v>121.46331416050597</v>
      </c>
      <c r="CO190" s="82">
        <f t="shared" si="55"/>
        <v>-0.16105440488217937</v>
      </c>
      <c r="CP190">
        <v>145.5</v>
      </c>
      <c r="CQ190">
        <v>81056.197805876567</v>
      </c>
      <c r="CR190" t="s">
        <v>82</v>
      </c>
      <c r="CS190">
        <v>145.5</v>
      </c>
      <c r="CT190">
        <v>121.10432644437054</v>
      </c>
      <c r="CU190" s="82">
        <f t="shared" si="56"/>
        <v>-0.15369954695472643</v>
      </c>
      <c r="CV190">
        <v>145.5</v>
      </c>
      <c r="CW190">
        <v>79390.413564089555</v>
      </c>
      <c r="CX190" t="s">
        <v>82</v>
      </c>
      <c r="CY190">
        <v>145.5</v>
      </c>
      <c r="CZ190">
        <v>120.74452342941612</v>
      </c>
      <c r="DA190" s="82">
        <f t="shared" si="57"/>
        <v>-0.14667448724476628</v>
      </c>
      <c r="DB190">
        <v>145.5</v>
      </c>
      <c r="DC190">
        <v>77904.504755786431</v>
      </c>
      <c r="DD190" t="s">
        <v>82</v>
      </c>
      <c r="DG190" s="82">
        <f t="shared" si="58"/>
        <v>0</v>
      </c>
      <c r="DM190" s="82">
        <f t="shared" si="59"/>
        <v>0</v>
      </c>
    </row>
    <row r="191" spans="1:117" x14ac:dyDescent="0.2">
      <c r="A191">
        <v>146.5</v>
      </c>
      <c r="B191">
        <v>126.72452076981338</v>
      </c>
      <c r="C191" s="82">
        <f t="shared" si="40"/>
        <v>-0.33479858480582436</v>
      </c>
      <c r="D191">
        <v>146.5</v>
      </c>
      <c r="E191">
        <v>134738.61287969697</v>
      </c>
      <c r="F191" t="s">
        <v>82</v>
      </c>
      <c r="G191">
        <v>146.5</v>
      </c>
      <c r="H191">
        <v>126.43642762153971</v>
      </c>
      <c r="I191" s="82">
        <f t="shared" si="41"/>
        <v>-0.31945531651342662</v>
      </c>
      <c r="J191">
        <v>146.5</v>
      </c>
      <c r="K191">
        <v>129463.76679465262</v>
      </c>
      <c r="L191" t="s">
        <v>82</v>
      </c>
      <c r="M191">
        <v>146.5</v>
      </c>
      <c r="N191">
        <v>126.13572517278412</v>
      </c>
      <c r="O191" s="82">
        <f t="shared" si="42"/>
        <v>-0.30478861291129533</v>
      </c>
      <c r="P191">
        <v>146.5</v>
      </c>
      <c r="Q191">
        <v>124472.76183450058</v>
      </c>
      <c r="R191" t="s">
        <v>82</v>
      </c>
      <c r="S191">
        <v>146.5</v>
      </c>
      <c r="T191">
        <v>125.82198685577467</v>
      </c>
      <c r="U191" s="82">
        <f t="shared" si="43"/>
        <v>-0.29074805773504409</v>
      </c>
      <c r="V191">
        <v>146.5</v>
      </c>
      <c r="W191">
        <v>119749.12306789478</v>
      </c>
      <c r="X191" t="s">
        <v>82</v>
      </c>
      <c r="Y191">
        <v>146.5</v>
      </c>
      <c r="Z191">
        <v>125.49607767671417</v>
      </c>
      <c r="AA191" s="82">
        <f t="shared" si="44"/>
        <v>-0.27729976846978843</v>
      </c>
      <c r="AB191">
        <v>146.5</v>
      </c>
      <c r="AC191">
        <v>115282.18187301123</v>
      </c>
      <c r="AD191" t="s">
        <v>82</v>
      </c>
      <c r="AE191">
        <v>146.5</v>
      </c>
      <c r="AF191">
        <v>125.15826048812801</v>
      </c>
      <c r="AG191" s="82">
        <f t="shared" si="45"/>
        <v>-0.26441574942448653</v>
      </c>
      <c r="AH191">
        <v>146.5</v>
      </c>
      <c r="AI191">
        <v>111063.52672437734</v>
      </c>
      <c r="AJ191" t="s">
        <v>82</v>
      </c>
      <c r="AK191">
        <v>146.5</v>
      </c>
      <c r="AL191">
        <v>124.80869363032664</v>
      </c>
      <c r="AM191" s="82">
        <f t="shared" si="46"/>
        <v>-0.25205955522307022</v>
      </c>
      <c r="AN191">
        <v>146.5</v>
      </c>
      <c r="AO191">
        <v>107082.27592683627</v>
      </c>
      <c r="AP191" t="s">
        <v>82</v>
      </c>
      <c r="AQ191">
        <v>146.5</v>
      </c>
      <c r="AR191">
        <v>124.44628228579985</v>
      </c>
      <c r="AS191" s="82">
        <f t="shared" si="47"/>
        <v>-0.24017572307131729</v>
      </c>
      <c r="AT191">
        <v>146.5</v>
      </c>
      <c r="AU191">
        <v>103322.18759791109</v>
      </c>
      <c r="AV191" t="s">
        <v>82</v>
      </c>
      <c r="AW191">
        <v>146.5</v>
      </c>
      <c r="AX191">
        <v>124.07200263759836</v>
      </c>
      <c r="AY191" s="82">
        <f t="shared" si="48"/>
        <v>-0.22875503337172631</v>
      </c>
      <c r="AZ191">
        <v>146.5</v>
      </c>
      <c r="BA191">
        <v>99782.250493468295</v>
      </c>
      <c r="BB191" t="s">
        <v>82</v>
      </c>
      <c r="BC191">
        <v>146.5</v>
      </c>
      <c r="BD191">
        <v>123.68601809037108</v>
      </c>
      <c r="BE191" s="82">
        <f t="shared" si="49"/>
        <v>-0.21776902702079326</v>
      </c>
      <c r="BF191">
        <v>146.5</v>
      </c>
      <c r="BG191">
        <v>96455.826376713725</v>
      </c>
      <c r="BH191" t="s">
        <v>82</v>
      </c>
      <c r="BI191">
        <v>146.5</v>
      </c>
      <c r="BJ191">
        <v>123.28605779509215</v>
      </c>
      <c r="BK191" s="82">
        <f t="shared" si="50"/>
        <v>-0.20717219507906748</v>
      </c>
      <c r="BL191">
        <v>146.5</v>
      </c>
      <c r="BM191">
        <v>93332.360527484925</v>
      </c>
      <c r="BN191" t="s">
        <v>82</v>
      </c>
      <c r="BO191">
        <v>146.5</v>
      </c>
      <c r="BP191">
        <v>122.87232688440569</v>
      </c>
      <c r="BQ191" s="82">
        <f t="shared" si="51"/>
        <v>-0.1969440742667814</v>
      </c>
      <c r="BR191">
        <v>146.5</v>
      </c>
      <c r="BS191">
        <v>90409.633044969523</v>
      </c>
      <c r="BT191" t="s">
        <v>82</v>
      </c>
      <c r="BU191">
        <v>146.5</v>
      </c>
      <c r="BV191">
        <v>122.45002801051395</v>
      </c>
      <c r="BW191" s="82">
        <f t="shared" si="52"/>
        <v>-0.18713057729470961</v>
      </c>
      <c r="BX191">
        <v>146.5</v>
      </c>
      <c r="BY191">
        <v>87703.870383301677</v>
      </c>
      <c r="BZ191" t="s">
        <v>82</v>
      </c>
      <c r="CA191">
        <v>146.5</v>
      </c>
      <c r="CB191">
        <v>122.04973255736604</v>
      </c>
      <c r="CC191" s="82">
        <f t="shared" si="53"/>
        <v>-0.17802045098478914</v>
      </c>
      <c r="CD191">
        <v>146.5</v>
      </c>
      <c r="CE191">
        <v>85289.284190845181</v>
      </c>
      <c r="CF191" t="s">
        <v>82</v>
      </c>
      <c r="CG191">
        <v>146.5</v>
      </c>
      <c r="CH191">
        <v>121.66776540434466</v>
      </c>
      <c r="CI191" s="82">
        <f t="shared" si="54"/>
        <v>-0.16953400178444156</v>
      </c>
      <c r="CJ191">
        <v>146.5</v>
      </c>
      <c r="CK191">
        <v>83137.983127338055</v>
      </c>
      <c r="CL191" t="s">
        <v>82</v>
      </c>
      <c r="CM191">
        <v>146.5</v>
      </c>
      <c r="CN191">
        <v>121.30170491683306</v>
      </c>
      <c r="CO191" s="82">
        <f t="shared" si="55"/>
        <v>-0.16160924367291329</v>
      </c>
      <c r="CP191">
        <v>146.5</v>
      </c>
      <c r="CQ191">
        <v>81227.965411004901</v>
      </c>
      <c r="CR191" t="s">
        <v>82</v>
      </c>
      <c r="CS191">
        <v>146.5</v>
      </c>
      <c r="CT191">
        <v>120.95012860999731</v>
      </c>
      <c r="CU191" s="82">
        <f t="shared" si="56"/>
        <v>-0.15419783437323531</v>
      </c>
      <c r="CV191">
        <v>146.5</v>
      </c>
      <c r="CW191">
        <v>79541.487322807297</v>
      </c>
      <c r="CX191" t="s">
        <v>82</v>
      </c>
      <c r="CY191">
        <v>146.5</v>
      </c>
      <c r="CZ191">
        <v>120.5974015482989</v>
      </c>
      <c r="DA191" s="82">
        <f t="shared" si="57"/>
        <v>-0.14712188111721503</v>
      </c>
      <c r="DB191">
        <v>146.5</v>
      </c>
      <c r="DC191">
        <v>78036.993041729889</v>
      </c>
      <c r="DD191" t="s">
        <v>82</v>
      </c>
      <c r="DG191" s="82">
        <f t="shared" si="58"/>
        <v>0</v>
      </c>
      <c r="DM191" s="82">
        <f t="shared" si="59"/>
        <v>0</v>
      </c>
    </row>
    <row r="192" spans="1:117" x14ac:dyDescent="0.2">
      <c r="A192">
        <v>147.5</v>
      </c>
      <c r="B192">
        <v>126.38684694725541</v>
      </c>
      <c r="C192" s="82">
        <f t="shared" si="40"/>
        <v>-0.33767382255797429</v>
      </c>
      <c r="D192">
        <v>147.5</v>
      </c>
      <c r="E192">
        <v>135770.40917537757</v>
      </c>
      <c r="F192" t="s">
        <v>82</v>
      </c>
      <c r="G192">
        <v>147.5</v>
      </c>
      <c r="H192">
        <v>126.11437303997093</v>
      </c>
      <c r="I192" s="82">
        <f t="shared" si="41"/>
        <v>-0.32205458156877853</v>
      </c>
      <c r="J192">
        <v>147.5</v>
      </c>
      <c r="K192">
        <v>130392.88587830335</v>
      </c>
      <c r="L192" t="s">
        <v>82</v>
      </c>
      <c r="M192">
        <v>147.5</v>
      </c>
      <c r="N192">
        <v>125.82859001573463</v>
      </c>
      <c r="O192" s="82">
        <f t="shared" si="42"/>
        <v>-0.30713515704948691</v>
      </c>
      <c r="P192">
        <v>147.5</v>
      </c>
      <c r="Q192">
        <v>125307.88311806915</v>
      </c>
      <c r="R192" t="s">
        <v>82</v>
      </c>
      <c r="S192">
        <v>147.5</v>
      </c>
      <c r="T192">
        <v>125.52912337568733</v>
      </c>
      <c r="U192" s="82">
        <f t="shared" si="43"/>
        <v>-0.29286348008733398</v>
      </c>
      <c r="V192">
        <v>147.5</v>
      </c>
      <c r="W192">
        <v>120498.31868703596</v>
      </c>
      <c r="X192" t="s">
        <v>82</v>
      </c>
      <c r="Y192">
        <v>147.5</v>
      </c>
      <c r="Z192">
        <v>125.2168733712403</v>
      </c>
      <c r="AA192" s="82">
        <f t="shared" si="44"/>
        <v>-0.27920430547386843</v>
      </c>
      <c r="AB192">
        <v>147.5</v>
      </c>
      <c r="AC192">
        <v>115953.02054339125</v>
      </c>
      <c r="AD192" t="s">
        <v>82</v>
      </c>
      <c r="AE192">
        <v>147.5</v>
      </c>
      <c r="AF192">
        <v>124.892132240981</v>
      </c>
      <c r="AG192" s="82">
        <f t="shared" si="45"/>
        <v>-0.26612824714700878</v>
      </c>
      <c r="AH192">
        <v>147.5</v>
      </c>
      <c r="AI192">
        <v>111663.06094108087</v>
      </c>
      <c r="AJ192" t="s">
        <v>82</v>
      </c>
      <c r="AK192">
        <v>147.5</v>
      </c>
      <c r="AL192">
        <v>124.55509628313186</v>
      </c>
      <c r="AM192" s="82">
        <f t="shared" si="46"/>
        <v>-0.25359734719478411</v>
      </c>
      <c r="AN192">
        <v>147.5</v>
      </c>
      <c r="AO192">
        <v>107616.99477747874</v>
      </c>
      <c r="AP192" t="s">
        <v>82</v>
      </c>
      <c r="AQ192">
        <v>147.5</v>
      </c>
      <c r="AR192">
        <v>124.20472789052057</v>
      </c>
      <c r="AS192" s="82">
        <f t="shared" si="47"/>
        <v>-0.24155439527928024</v>
      </c>
      <c r="AT192">
        <v>147.5</v>
      </c>
      <c r="AU192">
        <v>103797.92911053663</v>
      </c>
      <c r="AV192" t="s">
        <v>82</v>
      </c>
      <c r="AW192">
        <v>147.5</v>
      </c>
      <c r="AX192">
        <v>123.84201347324803</v>
      </c>
      <c r="AY192" s="82">
        <f t="shared" si="48"/>
        <v>-0.22998916435032868</v>
      </c>
      <c r="AZ192">
        <v>147.5</v>
      </c>
      <c r="BA192">
        <v>100204.47481892582</v>
      </c>
      <c r="BB192" t="s">
        <v>82</v>
      </c>
      <c r="BC192">
        <v>147.5</v>
      </c>
      <c r="BD192">
        <v>123.4671461348825</v>
      </c>
      <c r="BE192" s="82">
        <f t="shared" si="49"/>
        <v>-0.21887195548858074</v>
      </c>
      <c r="BF192">
        <v>147.5</v>
      </c>
      <c r="BG192">
        <v>96829.529619572757</v>
      </c>
      <c r="BH192" t="s">
        <v>82</v>
      </c>
      <c r="BI192">
        <v>147.5</v>
      </c>
      <c r="BJ192">
        <v>123.07790195193843</v>
      </c>
      <c r="BK192" s="82">
        <f t="shared" si="50"/>
        <v>-0.20815584315371893</v>
      </c>
      <c r="BL192">
        <v>147.5</v>
      </c>
      <c r="BM192">
        <v>93662.010974109362</v>
      </c>
      <c r="BN192" t="s">
        <v>82</v>
      </c>
      <c r="BO192">
        <v>147.5</v>
      </c>
      <c r="BP192">
        <v>122.67450747132618</v>
      </c>
      <c r="BQ192" s="82">
        <f t="shared" si="51"/>
        <v>-0.19781941307951456</v>
      </c>
      <c r="BR192">
        <v>147.5</v>
      </c>
      <c r="BS192">
        <v>90699.342449095202</v>
      </c>
      <c r="BT192" t="s">
        <v>82</v>
      </c>
      <c r="BU192">
        <v>147.5</v>
      </c>
      <c r="BV192">
        <v>122.26211962688303</v>
      </c>
      <c r="BW192" s="82">
        <f t="shared" si="52"/>
        <v>-0.18790838363091211</v>
      </c>
      <c r="BX192">
        <v>147.5</v>
      </c>
      <c r="BY192">
        <v>87957.671025741336</v>
      </c>
      <c r="BZ192" t="s">
        <v>82</v>
      </c>
      <c r="CA192">
        <v>147.5</v>
      </c>
      <c r="CB192">
        <v>121.87101883197107</v>
      </c>
      <c r="CC192" s="82">
        <f t="shared" si="53"/>
        <v>-0.17871372539497088</v>
      </c>
      <c r="CD192">
        <v>147.5</v>
      </c>
      <c r="CE192">
        <v>85512.004276786058</v>
      </c>
      <c r="CF192" t="s">
        <v>82</v>
      </c>
      <c r="CG192">
        <v>147.5</v>
      </c>
      <c r="CH192">
        <v>121.49761181400306</v>
      </c>
      <c r="CI192" s="82">
        <f t="shared" si="54"/>
        <v>-0.17015359034159871</v>
      </c>
      <c r="CJ192">
        <v>147.5</v>
      </c>
      <c r="CK192">
        <v>83333.648910871678</v>
      </c>
      <c r="CL192" t="s">
        <v>82</v>
      </c>
      <c r="CM192">
        <v>147.5</v>
      </c>
      <c r="CN192">
        <v>121.1395405935522</v>
      </c>
      <c r="CO192" s="82">
        <f t="shared" si="55"/>
        <v>-0.16216432328086228</v>
      </c>
      <c r="CP192">
        <v>147.5</v>
      </c>
      <c r="CQ192">
        <v>81399.981642666418</v>
      </c>
      <c r="CR192" t="s">
        <v>82</v>
      </c>
      <c r="CS192">
        <v>147.5</v>
      </c>
      <c r="CT192">
        <v>120.79543234550982</v>
      </c>
      <c r="CU192" s="82">
        <f t="shared" si="56"/>
        <v>-0.15469626448748386</v>
      </c>
      <c r="CV192">
        <v>147.5</v>
      </c>
      <c r="CW192">
        <v>79692.767821642978</v>
      </c>
      <c r="CX192" t="s">
        <v>82</v>
      </c>
      <c r="CY192">
        <v>147.5</v>
      </c>
      <c r="CZ192">
        <v>120.44983220651854</v>
      </c>
      <c r="DA192" s="82">
        <f t="shared" si="57"/>
        <v>-0.14756934178036829</v>
      </c>
      <c r="DB192">
        <v>147.5</v>
      </c>
      <c r="DC192">
        <v>78169.654522568366</v>
      </c>
      <c r="DD192" t="s">
        <v>82</v>
      </c>
      <c r="DG192" s="82">
        <f t="shared" si="58"/>
        <v>0</v>
      </c>
      <c r="DM192" s="82">
        <f t="shared" si="59"/>
        <v>0</v>
      </c>
    </row>
    <row r="193" spans="1:117" x14ac:dyDescent="0.2">
      <c r="A193">
        <v>148.5</v>
      </c>
      <c r="B193">
        <v>126.04628696881817</v>
      </c>
      <c r="C193" s="82">
        <f t="shared" si="40"/>
        <v>-0.34055997843724128</v>
      </c>
      <c r="D193">
        <v>148.5</v>
      </c>
      <c r="E193">
        <v>136806.45075763878</v>
      </c>
      <c r="F193" t="s">
        <v>82</v>
      </c>
      <c r="G193">
        <v>148.5</v>
      </c>
      <c r="H193">
        <v>125.78970973019622</v>
      </c>
      <c r="I193" s="82">
        <f t="shared" si="41"/>
        <v>-0.32466330977470648</v>
      </c>
      <c r="J193">
        <v>148.5</v>
      </c>
      <c r="K193">
        <v>131325.72304524228</v>
      </c>
      <c r="L193" t="s">
        <v>82</v>
      </c>
      <c r="M193">
        <v>148.5</v>
      </c>
      <c r="N193">
        <v>125.5191002411393</v>
      </c>
      <c r="O193" s="82">
        <f t="shared" si="42"/>
        <v>-0.30948977459533467</v>
      </c>
      <c r="P193">
        <v>148.5</v>
      </c>
      <c r="Q193">
        <v>126146.21381489807</v>
      </c>
      <c r="R193" t="s">
        <v>82</v>
      </c>
      <c r="S193">
        <v>148.5</v>
      </c>
      <c r="T193">
        <v>125.23413768477333</v>
      </c>
      <c r="U193" s="82">
        <f t="shared" si="43"/>
        <v>-0.29498569091400384</v>
      </c>
      <c r="V193">
        <v>148.5</v>
      </c>
      <c r="W193">
        <v>121250.24985319829</v>
      </c>
      <c r="X193" t="s">
        <v>82</v>
      </c>
      <c r="Y193">
        <v>148.5</v>
      </c>
      <c r="Z193">
        <v>124.93575889627637</v>
      </c>
      <c r="AA193" s="82">
        <f t="shared" si="44"/>
        <v>-0.28111447496392827</v>
      </c>
      <c r="AB193">
        <v>148.5</v>
      </c>
      <c r="AC193">
        <v>116626.16580082207</v>
      </c>
      <c r="AD193" t="s">
        <v>82</v>
      </c>
      <c r="AE193">
        <v>148.5</v>
      </c>
      <c r="AF193">
        <v>124.6242868818905</v>
      </c>
      <c r="AG193" s="82">
        <f t="shared" si="45"/>
        <v>-0.26784535909050078</v>
      </c>
      <c r="AH193">
        <v>148.5</v>
      </c>
      <c r="AI193">
        <v>112264.52185308264</v>
      </c>
      <c r="AJ193" t="s">
        <v>82</v>
      </c>
      <c r="AK193">
        <v>148.5</v>
      </c>
      <c r="AL193">
        <v>124.29995741172118</v>
      </c>
      <c r="AM193" s="82">
        <f t="shared" si="46"/>
        <v>-0.25513887141067926</v>
      </c>
      <c r="AN193">
        <v>148.5</v>
      </c>
      <c r="AO193">
        <v>108153.30958871933</v>
      </c>
      <c r="AP193" t="s">
        <v>82</v>
      </c>
      <c r="AQ193">
        <v>148.5</v>
      </c>
      <c r="AR193">
        <v>123.96179184585255</v>
      </c>
      <c r="AS193" s="82">
        <f t="shared" si="47"/>
        <v>-0.24293604466802776</v>
      </c>
      <c r="AT193">
        <v>148.5</v>
      </c>
      <c r="AU193">
        <v>104274.98194387562</v>
      </c>
      <c r="AV193" t="s">
        <v>82</v>
      </c>
      <c r="AW193">
        <v>148.5</v>
      </c>
      <c r="AX193">
        <v>123.61078783790512</v>
      </c>
      <c r="AY193" s="82">
        <f t="shared" si="48"/>
        <v>-0.23122563534290919</v>
      </c>
      <c r="AZ193">
        <v>148.5</v>
      </c>
      <c r="BA193">
        <v>100627.76889321227</v>
      </c>
      <c r="BB193" t="s">
        <v>82</v>
      </c>
      <c r="BC193">
        <v>148.5</v>
      </c>
      <c r="BD193">
        <v>123.24716944264389</v>
      </c>
      <c r="BE193" s="82">
        <f t="shared" si="49"/>
        <v>-0.21997669223860328</v>
      </c>
      <c r="BF193">
        <v>148.5</v>
      </c>
      <c r="BG193">
        <v>97204.09969026703</v>
      </c>
      <c r="BH193" t="s">
        <v>82</v>
      </c>
      <c r="BI193">
        <v>148.5</v>
      </c>
      <c r="BJ193">
        <v>122.86876109310954</v>
      </c>
      <c r="BK193" s="82">
        <f t="shared" si="50"/>
        <v>-0.20914085882888855</v>
      </c>
      <c r="BL193">
        <v>148.5</v>
      </c>
      <c r="BM193">
        <v>93992.358810260688</v>
      </c>
      <c r="BN193" t="s">
        <v>82</v>
      </c>
      <c r="BO193">
        <v>148.5</v>
      </c>
      <c r="BP193">
        <v>122.47581171281173</v>
      </c>
      <c r="BQ193" s="82">
        <f t="shared" si="51"/>
        <v>-0.19869575851444665</v>
      </c>
      <c r="BR193">
        <v>148.5</v>
      </c>
      <c r="BS193">
        <v>90989.609148223637</v>
      </c>
      <c r="BT193" t="s">
        <v>82</v>
      </c>
      <c r="BU193">
        <v>148.5</v>
      </c>
      <c r="BV193">
        <v>122.07343271983972</v>
      </c>
      <c r="BW193" s="82">
        <f t="shared" si="52"/>
        <v>-0.18868690704331925</v>
      </c>
      <c r="BX193">
        <v>148.5</v>
      </c>
      <c r="BY193">
        <v>88211.915282994378</v>
      </c>
      <c r="BZ193" t="s">
        <v>82</v>
      </c>
      <c r="CA193">
        <v>148.5</v>
      </c>
      <c r="CB193">
        <v>121.69161133293346</v>
      </c>
      <c r="CC193" s="82">
        <f t="shared" si="53"/>
        <v>-0.17940749903760889</v>
      </c>
      <c r="CD193">
        <v>148.5</v>
      </c>
      <c r="CE193">
        <v>85735.081023918974</v>
      </c>
      <c r="CF193" t="s">
        <v>82</v>
      </c>
      <c r="CG193">
        <v>148.5</v>
      </c>
      <c r="CH193">
        <v>121.32683830006732</v>
      </c>
      <c r="CI193" s="82">
        <f t="shared" si="54"/>
        <v>-0.17077351393574247</v>
      </c>
      <c r="CJ193">
        <v>148.5</v>
      </c>
      <c r="CK193">
        <v>83529.604511363752</v>
      </c>
      <c r="CL193" t="s">
        <v>82</v>
      </c>
      <c r="CM193">
        <v>148.5</v>
      </c>
      <c r="CN193">
        <v>120.97682097925029</v>
      </c>
      <c r="CO193" s="82">
        <f t="shared" si="55"/>
        <v>-0.16271961430190629</v>
      </c>
      <c r="CP193">
        <v>148.5</v>
      </c>
      <c r="CQ193">
        <v>81572.236063436198</v>
      </c>
      <c r="CR193" t="s">
        <v>82</v>
      </c>
      <c r="CS193">
        <v>148.5</v>
      </c>
      <c r="CT193">
        <v>120.64023753213596</v>
      </c>
      <c r="CU193" s="82">
        <f t="shared" si="56"/>
        <v>-0.15519481337386765</v>
      </c>
      <c r="CV193">
        <v>148.5</v>
      </c>
      <c r="CW193">
        <v>79844.246602503801</v>
      </c>
      <c r="CX193" t="s">
        <v>82</v>
      </c>
      <c r="CY193">
        <v>148.5</v>
      </c>
      <c r="CZ193">
        <v>120.30181535669304</v>
      </c>
      <c r="DA193" s="82">
        <f t="shared" si="57"/>
        <v>-0.14801684982549546</v>
      </c>
      <c r="DB193">
        <v>148.5</v>
      </c>
      <c r="DC193">
        <v>78302.482391147962</v>
      </c>
      <c r="DD193" t="s">
        <v>82</v>
      </c>
      <c r="DG193" s="82">
        <f t="shared" si="58"/>
        <v>0</v>
      </c>
      <c r="DM193" s="82">
        <f t="shared" si="59"/>
        <v>0</v>
      </c>
    </row>
    <row r="194" spans="1:117" x14ac:dyDescent="0.2">
      <c r="A194">
        <v>149.5</v>
      </c>
      <c r="B194">
        <v>125.70283064147262</v>
      </c>
      <c r="C194" s="82">
        <f t="shared" si="40"/>
        <v>-0.34345632734554954</v>
      </c>
      <c r="D194">
        <v>149.5</v>
      </c>
      <c r="E194">
        <v>137846.46505463269</v>
      </c>
      <c r="F194" t="s">
        <v>82</v>
      </c>
      <c r="G194">
        <v>149.5</v>
      </c>
      <c r="H194">
        <v>125.46242880367397</v>
      </c>
      <c r="I194" s="82">
        <f t="shared" si="41"/>
        <v>-0.32728092652224916</v>
      </c>
      <c r="J194">
        <v>149.5</v>
      </c>
      <c r="K194">
        <v>132262.06304625908</v>
      </c>
      <c r="L194" t="s">
        <v>82</v>
      </c>
      <c r="M194">
        <v>149.5</v>
      </c>
      <c r="N194">
        <v>125.20724823399165</v>
      </c>
      <c r="O194" s="82">
        <f t="shared" si="42"/>
        <v>-0.3118520071476496</v>
      </c>
      <c r="P194">
        <v>149.5</v>
      </c>
      <c r="Q194">
        <v>126987.58287200282</v>
      </c>
      <c r="R194" t="s">
        <v>82</v>
      </c>
      <c r="S194">
        <v>149.5</v>
      </c>
      <c r="T194">
        <v>124.93702336269111</v>
      </c>
      <c r="U194" s="82">
        <f t="shared" si="43"/>
        <v>-0.29711432208222277</v>
      </c>
      <c r="V194">
        <v>149.5</v>
      </c>
      <c r="W194">
        <v>122004.77971453388</v>
      </c>
      <c r="X194" t="s">
        <v>82</v>
      </c>
      <c r="Y194">
        <v>149.5</v>
      </c>
      <c r="Z194">
        <v>124.65272891678428</v>
      </c>
      <c r="AA194" s="82">
        <f t="shared" si="44"/>
        <v>-0.28302997949208475</v>
      </c>
      <c r="AB194">
        <v>149.5</v>
      </c>
      <c r="AC194">
        <v>117301.50751522968</v>
      </c>
      <c r="AD194" t="s">
        <v>82</v>
      </c>
      <c r="AE194">
        <v>149.5</v>
      </c>
      <c r="AF194">
        <v>124.35472003818506</v>
      </c>
      <c r="AG194" s="82">
        <f t="shared" si="45"/>
        <v>-0.26956684370543371</v>
      </c>
      <c r="AH194">
        <v>149.5</v>
      </c>
      <c r="AI194">
        <v>112867.82035550596</v>
      </c>
      <c r="AJ194" t="s">
        <v>82</v>
      </c>
      <c r="AK194">
        <v>149.5</v>
      </c>
      <c r="AL194">
        <v>124.04327348069263</v>
      </c>
      <c r="AM194" s="82">
        <f t="shared" si="46"/>
        <v>-0.25668393102854736</v>
      </c>
      <c r="AN194">
        <v>149.5</v>
      </c>
      <c r="AO194">
        <v>108691.1479996023</v>
      </c>
      <c r="AP194" t="s">
        <v>82</v>
      </c>
      <c r="AQ194">
        <v>149.5</v>
      </c>
      <c r="AR194">
        <v>123.7174713352578</v>
      </c>
      <c r="AS194" s="82">
        <f t="shared" si="47"/>
        <v>-0.24432051059474702</v>
      </c>
      <c r="AT194">
        <v>149.5</v>
      </c>
      <c r="AU194">
        <v>104753.28725259013</v>
      </c>
      <c r="AV194" t="s">
        <v>82</v>
      </c>
      <c r="AW194">
        <v>149.5</v>
      </c>
      <c r="AX194">
        <v>123.37832352269767</v>
      </c>
      <c r="AY194" s="82">
        <f t="shared" si="48"/>
        <v>-0.23246431520745148</v>
      </c>
      <c r="AZ194">
        <v>149.5</v>
      </c>
      <c r="BA194">
        <v>101052.08485779974</v>
      </c>
      <c r="BB194" t="s">
        <v>82</v>
      </c>
      <c r="BC194">
        <v>149.5</v>
      </c>
      <c r="BD194">
        <v>123.0260863123081</v>
      </c>
      <c r="BE194" s="82">
        <f t="shared" si="49"/>
        <v>-0.22108313033579918</v>
      </c>
      <c r="BF194">
        <v>149.5</v>
      </c>
      <c r="BG194">
        <v>97579.497737462123</v>
      </c>
      <c r="BH194" t="s">
        <v>82</v>
      </c>
      <c r="BI194">
        <v>149.5</v>
      </c>
      <c r="BJ194">
        <v>122.65863393795763</v>
      </c>
      <c r="BK194" s="82">
        <f t="shared" si="50"/>
        <v>-0.21012715515190905</v>
      </c>
      <c r="BL194">
        <v>149.5</v>
      </c>
      <c r="BM194">
        <v>94323.372547739957</v>
      </c>
      <c r="BN194" t="s">
        <v>82</v>
      </c>
      <c r="BO194">
        <v>149.5</v>
      </c>
      <c r="BP194">
        <v>122.27623867269801</v>
      </c>
      <c r="BQ194" s="82">
        <f t="shared" si="51"/>
        <v>-0.19957304011371946</v>
      </c>
      <c r="BR194">
        <v>149.5</v>
      </c>
      <c r="BS194">
        <v>91280.407738684386</v>
      </c>
      <c r="BT194" t="s">
        <v>82</v>
      </c>
      <c r="BU194">
        <v>149.5</v>
      </c>
      <c r="BV194">
        <v>121.88396662922047</v>
      </c>
      <c r="BW194" s="82">
        <f t="shared" si="52"/>
        <v>-0.18946609061924846</v>
      </c>
      <c r="BX194">
        <v>149.5</v>
      </c>
      <c r="BY194">
        <v>88466.58269170174</v>
      </c>
      <c r="BZ194" t="s">
        <v>82</v>
      </c>
      <c r="CA194">
        <v>149.5</v>
      </c>
      <c r="CB194">
        <v>121.51150960713599</v>
      </c>
      <c r="CC194" s="82">
        <f t="shared" si="53"/>
        <v>-0.18010172579747064</v>
      </c>
      <c r="CD194">
        <v>149.5</v>
      </c>
      <c r="CE194">
        <v>85958.497938304135</v>
      </c>
      <c r="CF194" t="s">
        <v>82</v>
      </c>
      <c r="CG194">
        <v>149.5</v>
      </c>
      <c r="CH194">
        <v>121.15544456498196</v>
      </c>
      <c r="CI194" s="82">
        <f t="shared" si="54"/>
        <v>-0.17139373508535982</v>
      </c>
      <c r="CJ194">
        <v>149.5</v>
      </c>
      <c r="CK194">
        <v>83725.836560559866</v>
      </c>
      <c r="CL194" t="s">
        <v>82</v>
      </c>
      <c r="CM194">
        <v>149.5</v>
      </c>
      <c r="CN194">
        <v>120.81354589302781</v>
      </c>
      <c r="CO194" s="82">
        <f t="shared" si="55"/>
        <v>-0.16327508622248388</v>
      </c>
      <c r="CP194">
        <v>149.5</v>
      </c>
      <c r="CQ194">
        <v>81744.7178584387</v>
      </c>
      <c r="CR194" t="s">
        <v>82</v>
      </c>
      <c r="CS194">
        <v>149.5</v>
      </c>
      <c r="CT194">
        <v>120.48454407600362</v>
      </c>
      <c r="CU194" s="82">
        <f t="shared" si="56"/>
        <v>-0.1556934561323402</v>
      </c>
      <c r="CV194">
        <v>149.5</v>
      </c>
      <c r="CW194">
        <v>79995.914877605959</v>
      </c>
      <c r="CX194" t="s">
        <v>82</v>
      </c>
      <c r="CY194">
        <v>149.5</v>
      </c>
      <c r="CZ194">
        <v>120.15335097170443</v>
      </c>
      <c r="DA194" s="82">
        <f t="shared" si="57"/>
        <v>-0.14846438498861403</v>
      </c>
      <c r="DB194">
        <v>149.5</v>
      </c>
      <c r="DC194">
        <v>78435.469516189609</v>
      </c>
      <c r="DD194" t="s">
        <v>82</v>
      </c>
      <c r="DG194" s="82">
        <f t="shared" si="58"/>
        <v>0</v>
      </c>
      <c r="DM194" s="82">
        <f t="shared" si="59"/>
        <v>0</v>
      </c>
    </row>
    <row r="195" spans="1:117" x14ac:dyDescent="0.2">
      <c r="A195">
        <v>150.5</v>
      </c>
      <c r="B195">
        <v>125.3564685345997</v>
      </c>
      <c r="C195" s="82">
        <f t="shared" si="40"/>
        <v>-0.3463621068729168</v>
      </c>
      <c r="D195">
        <v>150.5</v>
      </c>
      <c r="E195">
        <v>138890.1654480857</v>
      </c>
      <c r="F195" t="s">
        <v>82</v>
      </c>
      <c r="G195">
        <v>150.5</v>
      </c>
      <c r="H195">
        <v>125.13252197437734</v>
      </c>
      <c r="I195" s="82">
        <f t="shared" si="41"/>
        <v>-0.32990682929663251</v>
      </c>
      <c r="J195">
        <v>150.5</v>
      </c>
      <c r="K195">
        <v>133201.68018743038</v>
      </c>
      <c r="L195" t="s">
        <v>82</v>
      </c>
      <c r="M195">
        <v>150.5</v>
      </c>
      <c r="N195">
        <v>124.89302685860513</v>
      </c>
      <c r="O195" s="82">
        <f t="shared" si="42"/>
        <v>-0.3142213753865235</v>
      </c>
      <c r="P195">
        <v>150.5</v>
      </c>
      <c r="Q195">
        <v>127831.81137844537</v>
      </c>
      <c r="R195" t="s">
        <v>82</v>
      </c>
      <c r="S195">
        <v>150.5</v>
      </c>
      <c r="T195">
        <v>124.63777437298393</v>
      </c>
      <c r="U195" s="82">
        <f t="shared" si="43"/>
        <v>-0.29924898970718061</v>
      </c>
      <c r="V195">
        <v>150.5</v>
      </c>
      <c r="W195">
        <v>122761.76553124002</v>
      </c>
      <c r="X195" t="s">
        <v>82</v>
      </c>
      <c r="Y195">
        <v>150.5</v>
      </c>
      <c r="Z195">
        <v>124.36777840711119</v>
      </c>
      <c r="AA195" s="82">
        <f t="shared" si="44"/>
        <v>-0.2849505096730951</v>
      </c>
      <c r="AB195">
        <v>150.5</v>
      </c>
      <c r="AC195">
        <v>117978.9310629519</v>
      </c>
      <c r="AD195" t="s">
        <v>82</v>
      </c>
      <c r="AE195">
        <v>150.5</v>
      </c>
      <c r="AF195">
        <v>124.08342758784988</v>
      </c>
      <c r="AG195" s="82">
        <f t="shared" si="45"/>
        <v>-0.27129245033518146</v>
      </c>
      <c r="AH195">
        <v>150.5</v>
      </c>
      <c r="AI195">
        <v>113472.86394355375</v>
      </c>
      <c r="AJ195" t="s">
        <v>82</v>
      </c>
      <c r="AK195">
        <v>150.5</v>
      </c>
      <c r="AL195">
        <v>123.78504115850716</v>
      </c>
      <c r="AM195" s="82">
        <f t="shared" si="46"/>
        <v>-0.25823232218547787</v>
      </c>
      <c r="AN195">
        <v>150.5</v>
      </c>
      <c r="AO195">
        <v>109230.43506023104</v>
      </c>
      <c r="AP195" t="s">
        <v>82</v>
      </c>
      <c r="AQ195">
        <v>150.5</v>
      </c>
      <c r="AR195">
        <v>123.47176370829433</v>
      </c>
      <c r="AS195" s="82">
        <f t="shared" si="47"/>
        <v>-0.24570762696346549</v>
      </c>
      <c r="AT195">
        <v>150.5</v>
      </c>
      <c r="AU195">
        <v>105232.78420496023</v>
      </c>
      <c r="AV195" t="s">
        <v>82</v>
      </c>
      <c r="AW195">
        <v>150.5</v>
      </c>
      <c r="AX195">
        <v>123.14461845415508</v>
      </c>
      <c r="AY195" s="82">
        <f t="shared" si="48"/>
        <v>-0.23370506854259077</v>
      </c>
      <c r="AZ195">
        <v>150.5</v>
      </c>
      <c r="BA195">
        <v>101477.37330080579</v>
      </c>
      <c r="BB195" t="s">
        <v>82</v>
      </c>
      <c r="BC195">
        <v>150.5</v>
      </c>
      <c r="BD195">
        <v>122.80389515283485</v>
      </c>
      <c r="BE195" s="82">
        <f t="shared" si="49"/>
        <v>-0.22219115947324042</v>
      </c>
      <c r="BF195">
        <v>150.5</v>
      </c>
      <c r="BG195">
        <v>97955.683633097608</v>
      </c>
      <c r="BH195" t="s">
        <v>82</v>
      </c>
      <c r="BI195">
        <v>150.5</v>
      </c>
      <c r="BJ195">
        <v>122.44751929548734</v>
      </c>
      <c r="BK195" s="82">
        <f t="shared" si="50"/>
        <v>-0.21111464247029232</v>
      </c>
      <c r="BL195">
        <v>150.5</v>
      </c>
      <c r="BM195">
        <v>94655.019707376341</v>
      </c>
      <c r="BN195" t="s">
        <v>82</v>
      </c>
      <c r="BO195">
        <v>150.5</v>
      </c>
      <c r="BP195">
        <v>122.07578748743671</v>
      </c>
      <c r="BQ195" s="82">
        <f t="shared" si="51"/>
        <v>-0.20045118526130068</v>
      </c>
      <c r="BR195">
        <v>150.5</v>
      </c>
      <c r="BS195">
        <v>91571.712005176683</v>
      </c>
      <c r="BT195" t="s">
        <v>82</v>
      </c>
      <c r="BU195">
        <v>150.5</v>
      </c>
      <c r="BV195">
        <v>121.69372075350769</v>
      </c>
      <c r="BW195" s="82">
        <f t="shared" si="52"/>
        <v>-0.19024587571277607</v>
      </c>
      <c r="BX195">
        <v>150.5</v>
      </c>
      <c r="BY195">
        <v>88721.652201885619</v>
      </c>
      <c r="BZ195" t="s">
        <v>82</v>
      </c>
      <c r="CA195">
        <v>150.5</v>
      </c>
      <c r="CB195">
        <v>121.33071324900379</v>
      </c>
      <c r="CC195" s="82">
        <f t="shared" si="53"/>
        <v>-0.18079635813219852</v>
      </c>
      <c r="CD195">
        <v>150.5</v>
      </c>
      <c r="CE195">
        <v>86182.238011384979</v>
      </c>
      <c r="CF195" t="s">
        <v>82</v>
      </c>
      <c r="CG195">
        <v>150.5</v>
      </c>
      <c r="CH195">
        <v>120.98343034984715</v>
      </c>
      <c r="CI195" s="82">
        <f t="shared" si="54"/>
        <v>-0.17201421513480852</v>
      </c>
      <c r="CJ195">
        <v>150.5</v>
      </c>
      <c r="CK195">
        <v>83922.331288921923</v>
      </c>
      <c r="CL195" t="s">
        <v>82</v>
      </c>
      <c r="CM195">
        <v>150.5</v>
      </c>
      <c r="CN195">
        <v>120.64971518551233</v>
      </c>
      <c r="CO195" s="82">
        <f t="shared" si="55"/>
        <v>-0.1638307075154728</v>
      </c>
      <c r="CP195">
        <v>150.5</v>
      </c>
      <c r="CQ195">
        <v>81917.415838223402</v>
      </c>
      <c r="CR195" t="s">
        <v>82</v>
      </c>
      <c r="CS195">
        <v>150.5</v>
      </c>
      <c r="CT195">
        <v>120.32835190899303</v>
      </c>
      <c r="CU195" s="82">
        <f t="shared" si="56"/>
        <v>-0.15619216701058747</v>
      </c>
      <c r="CV195">
        <v>150.5</v>
      </c>
      <c r="CW195">
        <v>80147.763565399568</v>
      </c>
      <c r="CX195" t="s">
        <v>82</v>
      </c>
      <c r="CY195">
        <v>150.5</v>
      </c>
      <c r="CZ195">
        <v>120.00443904544194</v>
      </c>
      <c r="DA195" s="82">
        <f t="shared" si="57"/>
        <v>-0.14891192626248539</v>
      </c>
      <c r="DB195">
        <v>150.5</v>
      </c>
      <c r="DC195">
        <v>78568.608527322765</v>
      </c>
      <c r="DD195" t="s">
        <v>82</v>
      </c>
      <c r="DG195" s="82">
        <f t="shared" si="58"/>
        <v>0</v>
      </c>
      <c r="DM195" s="82">
        <f t="shared" si="59"/>
        <v>0</v>
      </c>
    </row>
    <row r="196" spans="1:117" x14ac:dyDescent="0.2">
      <c r="A196">
        <v>151.5</v>
      </c>
      <c r="B196">
        <v>125.00719201837256</v>
      </c>
      <c r="C196" s="82">
        <f t="shared" si="40"/>
        <v>-0.3492765162271354</v>
      </c>
      <c r="D196">
        <v>151.5</v>
      </c>
      <c r="E196">
        <v>139937.25086309895</v>
      </c>
      <c r="F196" t="s">
        <v>82</v>
      </c>
      <c r="G196">
        <v>151.5</v>
      </c>
      <c r="H196">
        <v>124.79998158741773</v>
      </c>
      <c r="I196" s="82">
        <f t="shared" si="41"/>
        <v>-0.3325403869596073</v>
      </c>
      <c r="J196">
        <v>151.5</v>
      </c>
      <c r="K196">
        <v>134144.3379884449</v>
      </c>
      <c r="L196" t="s">
        <v>82</v>
      </c>
      <c r="M196">
        <v>151.5</v>
      </c>
      <c r="N196">
        <v>124.57642947996767</v>
      </c>
      <c r="O196" s="82">
        <f t="shared" si="42"/>
        <v>-0.31659737863745363</v>
      </c>
      <c r="P196">
        <v>151.5</v>
      </c>
      <c r="Q196">
        <v>128678.71244572256</v>
      </c>
      <c r="R196" t="s">
        <v>82</v>
      </c>
      <c r="S196">
        <v>151.5</v>
      </c>
      <c r="T196">
        <v>124.33638507907754</v>
      </c>
      <c r="U196" s="82">
        <f t="shared" si="43"/>
        <v>-0.30138929390638225</v>
      </c>
      <c r="V196">
        <v>151.5</v>
      </c>
      <c r="W196">
        <v>123521.05859498482</v>
      </c>
      <c r="X196" t="s">
        <v>82</v>
      </c>
      <c r="Y196">
        <v>151.5</v>
      </c>
      <c r="Z196">
        <v>124.08090266302541</v>
      </c>
      <c r="AA196" s="82">
        <f t="shared" si="44"/>
        <v>-0.28687574408577632</v>
      </c>
      <c r="AB196">
        <v>151.5</v>
      </c>
      <c r="AC196">
        <v>118658.31738631749</v>
      </c>
      <c r="AD196" t="s">
        <v>82</v>
      </c>
      <c r="AE196">
        <v>151.5</v>
      </c>
      <c r="AF196">
        <v>123.81040566869717</v>
      </c>
      <c r="AG196" s="82">
        <f t="shared" si="45"/>
        <v>-0.27302191915271123</v>
      </c>
      <c r="AH196">
        <v>151.5</v>
      </c>
      <c r="AI196">
        <v>114079.55672148558</v>
      </c>
      <c r="AJ196" t="s">
        <v>82</v>
      </c>
      <c r="AK196">
        <v>151.5</v>
      </c>
      <c r="AL196">
        <v>123.52525732450955</v>
      </c>
      <c r="AM196" s="82">
        <f t="shared" si="46"/>
        <v>-0.25978383399760219</v>
      </c>
      <c r="AN196">
        <v>151.5</v>
      </c>
      <c r="AO196">
        <v>109771.09322676185</v>
      </c>
      <c r="AP196" t="s">
        <v>82</v>
      </c>
      <c r="AQ196">
        <v>151.5</v>
      </c>
      <c r="AR196">
        <v>123.22466648604312</v>
      </c>
      <c r="AS196" s="82">
        <f t="shared" si="47"/>
        <v>-0.24709722225121311</v>
      </c>
      <c r="AT196">
        <v>151.5</v>
      </c>
      <c r="AU196">
        <v>105713.4099510933</v>
      </c>
      <c r="AV196" t="s">
        <v>82</v>
      </c>
      <c r="AW196">
        <v>151.5</v>
      </c>
      <c r="AX196">
        <v>122.90967069845117</v>
      </c>
      <c r="AY196" s="82">
        <f t="shared" si="48"/>
        <v>-0.23494775570391369</v>
      </c>
      <c r="AZ196">
        <v>151.5</v>
      </c>
      <c r="BA196">
        <v>101903.58324196194</v>
      </c>
      <c r="BB196" t="s">
        <v>82</v>
      </c>
      <c r="BC196">
        <v>151.5</v>
      </c>
      <c r="BD196">
        <v>122.58059448679948</v>
      </c>
      <c r="BE196" s="82">
        <f t="shared" si="49"/>
        <v>-0.22330066603537091</v>
      </c>
      <c r="BF196">
        <v>151.5</v>
      </c>
      <c r="BG196">
        <v>98332.616062361427</v>
      </c>
      <c r="BH196" t="s">
        <v>82</v>
      </c>
      <c r="BI196">
        <v>151.5</v>
      </c>
      <c r="BJ196">
        <v>122.23541606695616</v>
      </c>
      <c r="BK196" s="82">
        <f t="shared" si="50"/>
        <v>-0.21210322853117702</v>
      </c>
      <c r="BL196">
        <v>151.5</v>
      </c>
      <c r="BM196">
        <v>94987.266878530092</v>
      </c>
      <c r="BN196" t="s">
        <v>82</v>
      </c>
      <c r="BO196">
        <v>151.5</v>
      </c>
      <c r="BP196">
        <v>121.87445736815802</v>
      </c>
      <c r="BQ196" s="82">
        <f t="shared" si="51"/>
        <v>-0.20133011927869404</v>
      </c>
      <c r="BR196">
        <v>151.5</v>
      </c>
      <c r="BS196">
        <v>91863.49501603411</v>
      </c>
      <c r="BT196" t="s">
        <v>82</v>
      </c>
      <c r="BU196">
        <v>151.5</v>
      </c>
      <c r="BV196">
        <v>121.5026945514913</v>
      </c>
      <c r="BW196" s="82">
        <f t="shared" si="52"/>
        <v>-0.19102620201638842</v>
      </c>
      <c r="BX196">
        <v>151.5</v>
      </c>
      <c r="BY196">
        <v>88977.102124862518</v>
      </c>
      <c r="BZ196" t="s">
        <v>82</v>
      </c>
      <c r="CA196">
        <v>151.5</v>
      </c>
      <c r="CB196">
        <v>121.14922190186647</v>
      </c>
      <c r="CC196" s="82">
        <f t="shared" si="53"/>
        <v>-0.18149134713732451</v>
      </c>
      <c r="CD196">
        <v>151.5</v>
      </c>
      <c r="CE196">
        <v>86406.283738884216</v>
      </c>
      <c r="CF196" t="s">
        <v>82</v>
      </c>
      <c r="CG196">
        <v>151.5</v>
      </c>
      <c r="CH196">
        <v>120.81079543555208</v>
      </c>
      <c r="CI196" s="82">
        <f t="shared" si="54"/>
        <v>-0.17263491429507383</v>
      </c>
      <c r="CJ196">
        <v>151.5</v>
      </c>
      <c r="CK196">
        <v>84119.07452403447</v>
      </c>
      <c r="CL196" t="s">
        <v>82</v>
      </c>
      <c r="CM196">
        <v>151.5</v>
      </c>
      <c r="CN196">
        <v>120.48532873978924</v>
      </c>
      <c r="CO196" s="82">
        <f t="shared" si="55"/>
        <v>-0.16438644572309613</v>
      </c>
      <c r="CP196">
        <v>151.5</v>
      </c>
      <c r="CQ196">
        <v>82090.318509726611</v>
      </c>
      <c r="CR196" t="s">
        <v>82</v>
      </c>
      <c r="CS196">
        <v>151.5</v>
      </c>
      <c r="CT196">
        <v>120.17166098955983</v>
      </c>
      <c r="CU196" s="82">
        <f t="shared" si="56"/>
        <v>-0.15669091943320268</v>
      </c>
      <c r="CV196">
        <v>151.5</v>
      </c>
      <c r="CW196">
        <v>80299.78327483272</v>
      </c>
      <c r="CX196" t="s">
        <v>82</v>
      </c>
      <c r="CY196">
        <v>151.5</v>
      </c>
      <c r="CZ196">
        <v>119.85507959351401</v>
      </c>
      <c r="DA196" s="82">
        <f t="shared" si="57"/>
        <v>-0.14935945192793554</v>
      </c>
      <c r="DB196">
        <v>151.5</v>
      </c>
      <c r="DC196">
        <v>78701.891786082051</v>
      </c>
      <c r="DD196" t="s">
        <v>82</v>
      </c>
      <c r="DG196" s="82">
        <f t="shared" si="58"/>
        <v>0</v>
      </c>
      <c r="DM196" s="82">
        <f t="shared" si="59"/>
        <v>0</v>
      </c>
    </row>
    <row r="197" spans="1:117" x14ac:dyDescent="0.2">
      <c r="A197">
        <v>152.5</v>
      </c>
      <c r="B197">
        <v>124.65499330328348</v>
      </c>
      <c r="C197" s="82">
        <f t="shared" si="40"/>
        <v>-0.35219871508908795</v>
      </c>
      <c r="D197">
        <v>152.5</v>
      </c>
      <c r="E197">
        <v>140987.4053422877</v>
      </c>
      <c r="F197" t="s">
        <v>82</v>
      </c>
      <c r="G197">
        <v>152.5</v>
      </c>
      <c r="H197">
        <v>124.46480064839923</v>
      </c>
      <c r="I197" s="82">
        <f t="shared" si="41"/>
        <v>-0.33518093901849966</v>
      </c>
      <c r="J197">
        <v>152.5</v>
      </c>
      <c r="K197">
        <v>135089.78895371655</v>
      </c>
      <c r="L197" t="s">
        <v>82</v>
      </c>
      <c r="M197">
        <v>152.5</v>
      </c>
      <c r="N197">
        <v>124.25744998554607</v>
      </c>
      <c r="O197" s="82">
        <f t="shared" si="42"/>
        <v>-0.31897949442159756</v>
      </c>
      <c r="P197">
        <v>152.5</v>
      </c>
      <c r="Q197">
        <v>129528.0909972668</v>
      </c>
      <c r="R197" t="s">
        <v>82</v>
      </c>
      <c r="S197">
        <v>152.5</v>
      </c>
      <c r="T197">
        <v>124.03285026051199</v>
      </c>
      <c r="U197" s="82">
        <f t="shared" si="43"/>
        <v>-0.3035348185655522</v>
      </c>
      <c r="V197">
        <v>152.5</v>
      </c>
      <c r="W197">
        <v>124282.50414129392</v>
      </c>
      <c r="X197" t="s">
        <v>82</v>
      </c>
      <c r="Y197">
        <v>152.5</v>
      </c>
      <c r="Z197">
        <v>123.79209731391772</v>
      </c>
      <c r="AA197" s="82">
        <f t="shared" si="44"/>
        <v>-0.28880534910769029</v>
      </c>
      <c r="AB197">
        <v>152.5</v>
      </c>
      <c r="AC197">
        <v>119339.54284961391</v>
      </c>
      <c r="AD197" t="s">
        <v>82</v>
      </c>
      <c r="AE197">
        <v>152.5</v>
      </c>
      <c r="AF197">
        <v>123.53565068756124</v>
      </c>
      <c r="AG197" s="82">
        <f t="shared" si="45"/>
        <v>-0.27475498113592778</v>
      </c>
      <c r="AH197">
        <v>152.5</v>
      </c>
      <c r="AI197">
        <v>114687.79937775918</v>
      </c>
      <c r="AJ197" t="s">
        <v>82</v>
      </c>
      <c r="AK197">
        <v>152.5</v>
      </c>
      <c r="AL197">
        <v>123.26391907593525</v>
      </c>
      <c r="AM197" s="82">
        <f t="shared" si="46"/>
        <v>-0.26133824857430454</v>
      </c>
      <c r="AN197">
        <v>152.5</v>
      </c>
      <c r="AO197">
        <v>110313.04235687917</v>
      </c>
      <c r="AP197" t="s">
        <v>82</v>
      </c>
      <c r="AQ197">
        <v>152.5</v>
      </c>
      <c r="AR197">
        <v>122.97617736649572</v>
      </c>
      <c r="AS197" s="82">
        <f t="shared" si="47"/>
        <v>-0.24848911954740061</v>
      </c>
      <c r="AT197">
        <v>152.5</v>
      </c>
      <c r="AU197">
        <v>106195.09967276346</v>
      </c>
      <c r="AV197" t="s">
        <v>82</v>
      </c>
      <c r="AW197">
        <v>152.5</v>
      </c>
      <c r="AX197">
        <v>122.6734784655567</v>
      </c>
      <c r="AY197" s="82">
        <f t="shared" si="48"/>
        <v>-0.23619223289446722</v>
      </c>
      <c r="AZ197">
        <v>152.5</v>
      </c>
      <c r="BA197">
        <v>102330.6621914416</v>
      </c>
      <c r="BB197" t="s">
        <v>82</v>
      </c>
      <c r="BC197">
        <v>152.5</v>
      </c>
      <c r="BD197">
        <v>122.35618295364768</v>
      </c>
      <c r="BE197" s="82">
        <f t="shared" si="49"/>
        <v>-0.22441153315180884</v>
      </c>
      <c r="BF197">
        <v>152.5</v>
      </c>
      <c r="BG197">
        <v>98710.252513540123</v>
      </c>
      <c r="BH197" t="s">
        <v>82</v>
      </c>
      <c r="BI197">
        <v>152.5</v>
      </c>
      <c r="BJ197">
        <v>122.02232324843281</v>
      </c>
      <c r="BK197" s="82">
        <f t="shared" si="50"/>
        <v>-0.21309281852335005</v>
      </c>
      <c r="BL197">
        <v>152.5</v>
      </c>
      <c r="BM197">
        <v>95320.079691846389</v>
      </c>
      <c r="BN197" t="s">
        <v>82</v>
      </c>
      <c r="BO197">
        <v>152.5</v>
      </c>
      <c r="BP197">
        <v>121.67224760269241</v>
      </c>
      <c r="BQ197" s="82">
        <f t="shared" si="51"/>
        <v>-0.20220976546561076</v>
      </c>
      <c r="BR197">
        <v>152.5</v>
      </c>
      <c r="BS197">
        <v>92155.729076054515</v>
      </c>
      <c r="BT197" t="s">
        <v>82</v>
      </c>
      <c r="BU197">
        <v>152.5</v>
      </c>
      <c r="BV197">
        <v>121.31088754386717</v>
      </c>
      <c r="BW197" s="82">
        <f t="shared" si="52"/>
        <v>-0.19180700762413494</v>
      </c>
      <c r="BX197">
        <v>152.5</v>
      </c>
      <c r="BY197">
        <v>89232.910212257659</v>
      </c>
      <c r="BZ197" t="s">
        <v>82</v>
      </c>
      <c r="CA197">
        <v>152.5</v>
      </c>
      <c r="CB197">
        <v>120.96703525923766</v>
      </c>
      <c r="CC197" s="82">
        <f t="shared" si="53"/>
        <v>-0.18218664262880679</v>
      </c>
      <c r="CD197">
        <v>152.5</v>
      </c>
      <c r="CE197">
        <v>86630.617161482922</v>
      </c>
      <c r="CF197" t="s">
        <v>82</v>
      </c>
      <c r="CG197">
        <v>152.5</v>
      </c>
      <c r="CH197">
        <v>120.63753964382796</v>
      </c>
      <c r="CI197" s="82">
        <f t="shared" si="54"/>
        <v>-0.17325579172411665</v>
      </c>
      <c r="CJ197">
        <v>152.5</v>
      </c>
      <c r="CK197">
        <v>84316.051709603125</v>
      </c>
      <c r="CL197" t="s">
        <v>82</v>
      </c>
      <c r="CM197">
        <v>152.5</v>
      </c>
      <c r="CN197">
        <v>120.32038647229862</v>
      </c>
      <c r="CO197" s="82">
        <f t="shared" si="55"/>
        <v>-0.16494226749061625</v>
      </c>
      <c r="CP197">
        <v>152.5</v>
      </c>
      <c r="CQ197">
        <v>82263.414006540304</v>
      </c>
      <c r="CR197" t="s">
        <v>82</v>
      </c>
      <c r="CS197">
        <v>152.5</v>
      </c>
      <c r="CT197">
        <v>120.01447130346334</v>
      </c>
      <c r="CU197" s="82">
        <f t="shared" si="56"/>
        <v>-0.15718968609648698</v>
      </c>
      <c r="CV197">
        <v>152.5</v>
      </c>
      <c r="CW197">
        <v>80451.964355863194</v>
      </c>
      <c r="CX197" t="s">
        <v>82</v>
      </c>
      <c r="CY197">
        <v>152.5</v>
      </c>
      <c r="CZ197">
        <v>119.70527265385824</v>
      </c>
      <c r="DA197" s="82">
        <f t="shared" si="57"/>
        <v>-0.14980693965576108</v>
      </c>
      <c r="DB197">
        <v>152.5</v>
      </c>
      <c r="DC197">
        <v>78835.311453881775</v>
      </c>
      <c r="DD197" t="s">
        <v>82</v>
      </c>
      <c r="DG197" s="82">
        <f t="shared" si="58"/>
        <v>0</v>
      </c>
      <c r="DM197" s="82">
        <f t="shared" si="59"/>
        <v>0</v>
      </c>
    </row>
    <row r="198" spans="1:117" x14ac:dyDescent="0.2">
      <c r="A198">
        <v>153.5</v>
      </c>
      <c r="B198">
        <v>124.29986548088297</v>
      </c>
      <c r="C198" s="82">
        <f t="shared" ref="C198:C261" si="60">B198-B197</f>
        <v>-0.35512782240050456</v>
      </c>
      <c r="D198">
        <v>153.5</v>
      </c>
      <c r="E198">
        <v>142040.29753909077</v>
      </c>
      <c r="F198" t="s">
        <v>82</v>
      </c>
      <c r="G198">
        <v>153.5</v>
      </c>
      <c r="H198">
        <v>124.12697285355759</v>
      </c>
      <c r="I198" s="82">
        <f t="shared" ref="I198:I261" si="61">H198-H197</f>
        <v>-0.33782779484164394</v>
      </c>
      <c r="J198">
        <v>153.5</v>
      </c>
      <c r="K198">
        <v>136037.77424490283</v>
      </c>
      <c r="L198" t="s">
        <v>82</v>
      </c>
      <c r="M198">
        <v>153.5</v>
      </c>
      <c r="N198">
        <v>123.93608280758021</v>
      </c>
      <c r="O198" s="82">
        <f t="shared" ref="O198:O261" si="62">N198-N197</f>
        <v>-0.32136717796586822</v>
      </c>
      <c r="P198">
        <v>153.5</v>
      </c>
      <c r="Q198">
        <v>130379.74360187008</v>
      </c>
      <c r="R198" t="s">
        <v>82</v>
      </c>
      <c r="S198">
        <v>153.5</v>
      </c>
      <c r="T198">
        <v>123.72716512949908</v>
      </c>
      <c r="U198" s="82">
        <f t="shared" ref="U198:U261" si="63">T198-T197</f>
        <v>-0.30568513101290762</v>
      </c>
      <c r="V198">
        <v>153.5</v>
      </c>
      <c r="W198">
        <v>125045.94117274061</v>
      </c>
      <c r="X198" t="s">
        <v>82</v>
      </c>
      <c r="Y198">
        <v>153.5</v>
      </c>
      <c r="Z198">
        <v>123.50135833511263</v>
      </c>
      <c r="AA198" s="82">
        <f t="shared" ref="AA198:AA261" si="64">Z198-Z197</f>
        <v>-0.29073897880509492</v>
      </c>
      <c r="AB198">
        <v>153.5</v>
      </c>
      <c r="AC198">
        <v>120022.4792457866</v>
      </c>
      <c r="AD198" t="s">
        <v>82</v>
      </c>
      <c r="AE198">
        <v>153.5</v>
      </c>
      <c r="AF198">
        <v>123.25915932956876</v>
      </c>
      <c r="AG198" s="82">
        <f t="shared" ref="AG198:AG261" si="65">AF198-AF197</f>
        <v>-0.2764913579924837</v>
      </c>
      <c r="AH198">
        <v>153.5</v>
      </c>
      <c r="AI198">
        <v>115297.48915104558</v>
      </c>
      <c r="AJ198" t="s">
        <v>82</v>
      </c>
      <c r="AK198">
        <v>153.5</v>
      </c>
      <c r="AL198">
        <v>123.0010237349538</v>
      </c>
      <c r="AM198" s="82">
        <f t="shared" ref="AM198:AM261" si="66">AL198-AL197</f>
        <v>-0.26289534098144429</v>
      </c>
      <c r="AN198">
        <v>153.5</v>
      </c>
      <c r="AO198">
        <v>110856.19969719464</v>
      </c>
      <c r="AP198" t="s">
        <v>82</v>
      </c>
      <c r="AQ198">
        <v>153.5</v>
      </c>
      <c r="AR198">
        <v>122.72629422992145</v>
      </c>
      <c r="AS198" s="82">
        <f t="shared" ref="AS198:AS261" si="67">AR198-AR197</f>
        <v>-0.24988313657426886</v>
      </c>
      <c r="AT198">
        <v>153.5</v>
      </c>
      <c r="AU198">
        <v>106677.7865527604</v>
      </c>
      <c r="AV198" t="s">
        <v>82</v>
      </c>
      <c r="AW198">
        <v>153.5</v>
      </c>
      <c r="AX198">
        <v>122.43604011338721</v>
      </c>
      <c r="AY198" s="82">
        <f t="shared" ref="AY198:AY261" si="68">AX198-AX197</f>
        <v>-0.23743835216949094</v>
      </c>
      <c r="AZ198">
        <v>153.5</v>
      </c>
      <c r="BA198">
        <v>102758.55610226437</v>
      </c>
      <c r="BB198" t="s">
        <v>82</v>
      </c>
      <c r="BC198">
        <v>153.5</v>
      </c>
      <c r="BD198">
        <v>122.13065931289647</v>
      </c>
      <c r="BE198" s="82">
        <f t="shared" ref="BE198:BE261" si="69">BD198-BD197</f>
        <v>-0.22552364075120579</v>
      </c>
      <c r="BF198">
        <v>153.5</v>
      </c>
      <c r="BG198">
        <v>99088.549305788751</v>
      </c>
      <c r="BH198" t="s">
        <v>82</v>
      </c>
      <c r="BI198">
        <v>153.5</v>
      </c>
      <c r="BJ198">
        <v>121.80823993328505</v>
      </c>
      <c r="BK198" s="82">
        <f t="shared" ref="BK198:BK261" si="70">BJ198-BJ197</f>
        <v>-0.2140833151477608</v>
      </c>
      <c r="BL198">
        <v>153.5</v>
      </c>
      <c r="BM198">
        <v>95653.422887149922</v>
      </c>
      <c r="BN198" t="s">
        <v>82</v>
      </c>
      <c r="BO198">
        <v>153.5</v>
      </c>
      <c r="BP198">
        <v>121.46915755751272</v>
      </c>
      <c r="BQ198" s="82">
        <f t="shared" ref="BQ198:BQ261" si="71">BP198-BP197</f>
        <v>-0.20309004517969242</v>
      </c>
      <c r="BR198">
        <v>153.5</v>
      </c>
      <c r="BS198">
        <v>92448.385795461611</v>
      </c>
      <c r="BT198" t="s">
        <v>82</v>
      </c>
      <c r="BU198">
        <v>153.5</v>
      </c>
      <c r="BV198">
        <v>121.11829931476791</v>
      </c>
      <c r="BW198" s="82">
        <f t="shared" ref="BW198:BW261" si="72">BV198-BV197</f>
        <v>-0.19258822909925755</v>
      </c>
      <c r="BX198">
        <v>153.5</v>
      </c>
      <c r="BY198">
        <v>89489.053657556738</v>
      </c>
      <c r="BZ198" t="s">
        <v>82</v>
      </c>
      <c r="CA198">
        <v>153.5</v>
      </c>
      <c r="CB198">
        <v>120.78415306605162</v>
      </c>
      <c r="CC198" s="82">
        <f t="shared" ref="CC198:CC261" si="73">CB198-CB197</f>
        <v>-0.18288219318604604</v>
      </c>
      <c r="CD198">
        <v>153.5</v>
      </c>
      <c r="CE198">
        <v>86855.219872529909</v>
      </c>
      <c r="CF198" t="s">
        <v>82</v>
      </c>
      <c r="CG198">
        <v>153.5</v>
      </c>
      <c r="CH198">
        <v>120.46366283824759</v>
      </c>
      <c r="CI198" s="82">
        <f t="shared" ref="CI198:CI261" si="74">CH198-CH197</f>
        <v>-0.17387680558037744</v>
      </c>
      <c r="CJ198">
        <v>153.5</v>
      </c>
      <c r="CK198">
        <v>84513.247926598633</v>
      </c>
      <c r="CL198" t="s">
        <v>82</v>
      </c>
      <c r="CM198">
        <v>153.5</v>
      </c>
      <c r="CN198">
        <v>120.15488833364272</v>
      </c>
      <c r="CO198" s="82">
        <f t="shared" ref="CO198:CO261" si="75">CN198-CN197</f>
        <v>-0.16549813865590579</v>
      </c>
      <c r="CP198">
        <v>153.5</v>
      </c>
      <c r="CQ198">
        <v>82436.690240440497</v>
      </c>
      <c r="CR198" t="s">
        <v>82</v>
      </c>
      <c r="CS198">
        <v>153.5</v>
      </c>
      <c r="CT198">
        <v>119.85678286445977</v>
      </c>
      <c r="CU198" s="82">
        <f t="shared" ref="CU198:CU261" si="76">CT198-CT197</f>
        <v>-0.15768843900356444</v>
      </c>
      <c r="CV198">
        <v>153.5</v>
      </c>
      <c r="CW198">
        <v>80604.296941938228</v>
      </c>
      <c r="CX198" t="s">
        <v>82</v>
      </c>
      <c r="CY198">
        <v>153.5</v>
      </c>
      <c r="CZ198">
        <v>119.55501828733985</v>
      </c>
      <c r="DA198" s="82">
        <f t="shared" ref="DA198:DA261" si="77">CZ198-CZ197</f>
        <v>-0.15025436651839641</v>
      </c>
      <c r="DB198">
        <v>153.5</v>
      </c>
      <c r="DC198">
        <v>78968.859469837174</v>
      </c>
      <c r="DD198" t="s">
        <v>82</v>
      </c>
      <c r="DG198" s="82">
        <f t="shared" ref="DG198:DG261" si="78">DF198-DF197</f>
        <v>0</v>
      </c>
      <c r="DM198" s="82">
        <f t="shared" ref="DM198:DM261" si="79">DL198-DL197</f>
        <v>0</v>
      </c>
    </row>
    <row r="199" spans="1:117" x14ac:dyDescent="0.2">
      <c r="A199">
        <v>154.5</v>
      </c>
      <c r="B199">
        <v>123.94180256578696</v>
      </c>
      <c r="C199" s="82">
        <f t="shared" si="60"/>
        <v>-0.35806291509601351</v>
      </c>
      <c r="D199">
        <v>154.5</v>
      </c>
      <c r="E199">
        <v>143095.58028211695</v>
      </c>
      <c r="F199" t="s">
        <v>82</v>
      </c>
      <c r="G199">
        <v>154.5</v>
      </c>
      <c r="H199">
        <v>123.78649262074272</v>
      </c>
      <c r="I199" s="82">
        <f t="shared" si="61"/>
        <v>-0.34048023281486905</v>
      </c>
      <c r="J199">
        <v>154.5</v>
      </c>
      <c r="K199">
        <v>136988.02333502806</v>
      </c>
      <c r="L199" t="s">
        <v>82</v>
      </c>
      <c r="M199">
        <v>154.5</v>
      </c>
      <c r="N199">
        <v>123.61232294589718</v>
      </c>
      <c r="O199" s="82">
        <f t="shared" si="62"/>
        <v>-0.32375986168302973</v>
      </c>
      <c r="P199">
        <v>154.5</v>
      </c>
      <c r="Q199">
        <v>131233.45824048269</v>
      </c>
      <c r="R199" t="s">
        <v>82</v>
      </c>
      <c r="S199">
        <v>154.5</v>
      </c>
      <c r="T199">
        <v>123.41932534773936</v>
      </c>
      <c r="U199" s="82">
        <f t="shared" si="63"/>
        <v>-0.30783978175972493</v>
      </c>
      <c r="V199">
        <v>154.5</v>
      </c>
      <c r="W199">
        <v>125811.20244682254</v>
      </c>
      <c r="X199" t="s">
        <v>82</v>
      </c>
      <c r="Y199">
        <v>154.5</v>
      </c>
      <c r="Z199">
        <v>123.20868206037571</v>
      </c>
      <c r="AA199" s="82">
        <f t="shared" si="64"/>
        <v>-0.29267627473691959</v>
      </c>
      <c r="AB199">
        <v>154.5</v>
      </c>
      <c r="AC199">
        <v>120706.99367739155</v>
      </c>
      <c r="AD199" t="s">
        <v>82</v>
      </c>
      <c r="AE199">
        <v>154.5</v>
      </c>
      <c r="AF199">
        <v>122.98092856748053</v>
      </c>
      <c r="AG199" s="82">
        <f t="shared" si="65"/>
        <v>-0.27823076208822783</v>
      </c>
      <c r="AH199">
        <v>154.5</v>
      </c>
      <c r="AI199">
        <v>115908.51981450571</v>
      </c>
      <c r="AJ199" t="s">
        <v>82</v>
      </c>
      <c r="AK199">
        <v>154.5</v>
      </c>
      <c r="AL199">
        <v>122.73656885569793</v>
      </c>
      <c r="AM199" s="82">
        <f t="shared" si="66"/>
        <v>-0.2644548792558794</v>
      </c>
      <c r="AN199">
        <v>154.5</v>
      </c>
      <c r="AO199">
        <v>111400.47990183321</v>
      </c>
      <c r="AP199" t="s">
        <v>82</v>
      </c>
      <c r="AQ199">
        <v>154.5</v>
      </c>
      <c r="AR199">
        <v>122.47501514423183</v>
      </c>
      <c r="AS199" s="82">
        <f t="shared" si="67"/>
        <v>-0.25127908568961743</v>
      </c>
      <c r="AT199">
        <v>154.5</v>
      </c>
      <c r="AU199">
        <v>107161.40178642141</v>
      </c>
      <c r="AV199" t="s">
        <v>82</v>
      </c>
      <c r="AW199">
        <v>154.5</v>
      </c>
      <c r="AX199">
        <v>122.1973541518998</v>
      </c>
      <c r="AY199" s="82">
        <f t="shared" si="68"/>
        <v>-0.23868596148740551</v>
      </c>
      <c r="AZ199">
        <v>154.5</v>
      </c>
      <c r="BA199">
        <v>103187.20945305667</v>
      </c>
      <c r="BB199" t="s">
        <v>82</v>
      </c>
      <c r="BC199">
        <v>154.5</v>
      </c>
      <c r="BD199">
        <v>121.90402244730059</v>
      </c>
      <c r="BE199" s="82">
        <f t="shared" si="69"/>
        <v>-0.22663686559587859</v>
      </c>
      <c r="BF199">
        <v>154.5</v>
      </c>
      <c r="BG199">
        <v>99467.461574271903</v>
      </c>
      <c r="BH199" t="s">
        <v>82</v>
      </c>
      <c r="BI199">
        <v>154.5</v>
      </c>
      <c r="BJ199">
        <v>121.59316531463112</v>
      </c>
      <c r="BK199" s="82">
        <f t="shared" si="70"/>
        <v>-0.21507461865392941</v>
      </c>
      <c r="BL199">
        <v>154.5</v>
      </c>
      <c r="BM199">
        <v>95987.260309813908</v>
      </c>
      <c r="BN199" t="s">
        <v>82</v>
      </c>
      <c r="BO199">
        <v>154.5</v>
      </c>
      <c r="BP199">
        <v>121.26518667963926</v>
      </c>
      <c r="BQ199" s="82">
        <f t="shared" si="71"/>
        <v>-0.20397087787345924</v>
      </c>
      <c r="BR199">
        <v>154.5</v>
      </c>
      <c r="BS199">
        <v>92741.436097554193</v>
      </c>
      <c r="BT199" t="s">
        <v>82</v>
      </c>
      <c r="BU199">
        <v>154.5</v>
      </c>
      <c r="BV199">
        <v>120.92492951326102</v>
      </c>
      <c r="BW199" s="82">
        <f t="shared" si="72"/>
        <v>-0.19336980150688987</v>
      </c>
      <c r="BX199">
        <v>154.5</v>
      </c>
      <c r="BY199">
        <v>89745.509117664726</v>
      </c>
      <c r="BZ199" t="s">
        <v>82</v>
      </c>
      <c r="CA199">
        <v>154.5</v>
      </c>
      <c r="CB199">
        <v>120.60057511984338</v>
      </c>
      <c r="CC199" s="82">
        <f t="shared" si="73"/>
        <v>-0.18357794620823142</v>
      </c>
      <c r="CD199">
        <v>154.5</v>
      </c>
      <c r="CE199">
        <v>87080.073031994092</v>
      </c>
      <c r="CF199" t="s">
        <v>82</v>
      </c>
      <c r="CG199">
        <v>154.5</v>
      </c>
      <c r="CH199">
        <v>120.28916492517386</v>
      </c>
      <c r="CI199" s="82">
        <f t="shared" si="74"/>
        <v>-0.17449791307372209</v>
      </c>
      <c r="CJ199">
        <v>154.5</v>
      </c>
      <c r="CK199">
        <v>84710.647928702252</v>
      </c>
      <c r="CL199" t="s">
        <v>82</v>
      </c>
      <c r="CM199">
        <v>154.5</v>
      </c>
      <c r="CN199">
        <v>119.98883430938106</v>
      </c>
      <c r="CO199" s="82">
        <f t="shared" si="75"/>
        <v>-0.16605402426165483</v>
      </c>
      <c r="CP199">
        <v>154.5</v>
      </c>
      <c r="CQ199">
        <v>82610.134778676584</v>
      </c>
      <c r="CR199" t="s">
        <v>82</v>
      </c>
      <c r="CS199">
        <v>154.5</v>
      </c>
      <c r="CT199">
        <v>119.69859571495147</v>
      </c>
      <c r="CU199" s="82">
        <f t="shared" si="76"/>
        <v>-0.15818714950830781</v>
      </c>
      <c r="CV199">
        <v>154.5</v>
      </c>
      <c r="CW199">
        <v>80756.770886137776</v>
      </c>
      <c r="CX199" t="s">
        <v>82</v>
      </c>
      <c r="CY199">
        <v>154.5</v>
      </c>
      <c r="CZ199">
        <v>119.40431657828053</v>
      </c>
      <c r="DA199" s="82">
        <f t="shared" si="77"/>
        <v>-0.15070170905931946</v>
      </c>
      <c r="DB199">
        <v>154.5</v>
      </c>
      <c r="DC199">
        <v>79102.527575251399</v>
      </c>
      <c r="DD199" t="s">
        <v>82</v>
      </c>
      <c r="DG199" s="82">
        <f t="shared" si="78"/>
        <v>0</v>
      </c>
      <c r="DM199" s="82">
        <f t="shared" si="79"/>
        <v>0</v>
      </c>
    </row>
    <row r="200" spans="1:117" x14ac:dyDescent="0.2">
      <c r="A200">
        <v>155.5</v>
      </c>
      <c r="B200">
        <v>123.58079953904756</v>
      </c>
      <c r="C200" s="82">
        <f t="shared" si="60"/>
        <v>-0.36100302673939666</v>
      </c>
      <c r="D200">
        <v>155.5</v>
      </c>
      <c r="E200">
        <v>144152.89000913582</v>
      </c>
      <c r="F200" t="s">
        <v>82</v>
      </c>
      <c r="G200">
        <v>155.5</v>
      </c>
      <c r="H200">
        <v>123.44335512127815</v>
      </c>
      <c r="I200" s="82">
        <f t="shared" si="61"/>
        <v>-0.34313749946457506</v>
      </c>
      <c r="J200">
        <v>155.5</v>
      </c>
      <c r="K200">
        <v>137940.25373318844</v>
      </c>
      <c r="L200" t="s">
        <v>82</v>
      </c>
      <c r="M200">
        <v>155.5</v>
      </c>
      <c r="N200">
        <v>123.28616599128064</v>
      </c>
      <c r="O200" s="82">
        <f t="shared" si="62"/>
        <v>-0.32615695461653615</v>
      </c>
      <c r="P200">
        <v>155.5</v>
      </c>
      <c r="Q200">
        <v>132089.01413149486</v>
      </c>
      <c r="R200" t="s">
        <v>82</v>
      </c>
      <c r="S200">
        <v>155.5</v>
      </c>
      <c r="T200">
        <v>123.10932704360035</v>
      </c>
      <c r="U200" s="82">
        <f t="shared" si="63"/>
        <v>-0.30999830413901464</v>
      </c>
      <c r="V200">
        <v>155.5</v>
      </c>
      <c r="W200">
        <v>126578.11424631723</v>
      </c>
      <c r="X200" t="s">
        <v>82</v>
      </c>
      <c r="Y200">
        <v>155.5</v>
      </c>
      <c r="Z200">
        <v>122.91406519457784</v>
      </c>
      <c r="AA200" s="82">
        <f t="shared" si="64"/>
        <v>-0.29461686579786317</v>
      </c>
      <c r="AB200">
        <v>155.5</v>
      </c>
      <c r="AC200">
        <v>121392.94855049223</v>
      </c>
      <c r="AD200" t="s">
        <v>82</v>
      </c>
      <c r="AE200">
        <v>155.5</v>
      </c>
      <c r="AF200">
        <v>122.70095567112377</v>
      </c>
      <c r="AG200" s="82">
        <f t="shared" si="65"/>
        <v>-0.27997289635676736</v>
      </c>
      <c r="AH200">
        <v>155.5</v>
      </c>
      <c r="AI200">
        <v>116520.78161541781</v>
      </c>
      <c r="AJ200" t="s">
        <v>82</v>
      </c>
      <c r="AK200">
        <v>155.5</v>
      </c>
      <c r="AL200">
        <v>122.47055223134879</v>
      </c>
      <c r="AM200" s="82">
        <f t="shared" si="66"/>
        <v>-0.26601662434913464</v>
      </c>
      <c r="AN200">
        <v>155.5</v>
      </c>
      <c r="AO200">
        <v>111945.79497604874</v>
      </c>
      <c r="AP200" t="s">
        <v>82</v>
      </c>
      <c r="AQ200">
        <v>155.5</v>
      </c>
      <c r="AR200">
        <v>122.22233837031827</v>
      </c>
      <c r="AS200" s="82">
        <f t="shared" si="67"/>
        <v>-0.25267677391356358</v>
      </c>
      <c r="AT200">
        <v>155.5</v>
      </c>
      <c r="AU200">
        <v>107645.87463099729</v>
      </c>
      <c r="AV200" t="s">
        <v>82</v>
      </c>
      <c r="AW200">
        <v>155.5</v>
      </c>
      <c r="AX200">
        <v>121.95741924717015</v>
      </c>
      <c r="AY200" s="82">
        <f t="shared" si="68"/>
        <v>-0.23993490472965107</v>
      </c>
      <c r="AZ200">
        <v>155.5</v>
      </c>
      <c r="BA200">
        <v>103616.56519634141</v>
      </c>
      <c r="BB200" t="s">
        <v>82</v>
      </c>
      <c r="BC200">
        <v>155.5</v>
      </c>
      <c r="BD200">
        <v>121.67627136597532</v>
      </c>
      <c r="BE200" s="82">
        <f t="shared" si="69"/>
        <v>-0.22775108132526611</v>
      </c>
      <c r="BF200">
        <v>155.5</v>
      </c>
      <c r="BG200">
        <v>99846.943342639162</v>
      </c>
      <c r="BH200" t="s">
        <v>82</v>
      </c>
      <c r="BI200">
        <v>155.5</v>
      </c>
      <c r="BJ200">
        <v>121.37709868775518</v>
      </c>
      <c r="BK200" s="82">
        <f t="shared" si="70"/>
        <v>-0.2160666268759428</v>
      </c>
      <c r="BL200">
        <v>155.5</v>
      </c>
      <c r="BM200">
        <v>96321.554893230583</v>
      </c>
      <c r="BN200" t="s">
        <v>82</v>
      </c>
      <c r="BO200">
        <v>155.5</v>
      </c>
      <c r="BP200">
        <v>121.06033449851118</v>
      </c>
      <c r="BQ200" s="82">
        <f t="shared" si="71"/>
        <v>-0.20485218112807502</v>
      </c>
      <c r="BR200">
        <v>155.5</v>
      </c>
      <c r="BS200">
        <v>93034.850204662667</v>
      </c>
      <c r="BT200" t="s">
        <v>82</v>
      </c>
      <c r="BU200">
        <v>155.5</v>
      </c>
      <c r="BV200">
        <v>120.73077785478775</v>
      </c>
      <c r="BW200" s="82">
        <f t="shared" si="72"/>
        <v>-0.19415165847327387</v>
      </c>
      <c r="BX200">
        <v>155.5</v>
      </c>
      <c r="BY200">
        <v>90002.252711382855</v>
      </c>
      <c r="BZ200" t="s">
        <v>82</v>
      </c>
      <c r="CA200">
        <v>155.5</v>
      </c>
      <c r="CB200">
        <v>120.41630127188685</v>
      </c>
      <c r="CC200" s="82">
        <f t="shared" si="73"/>
        <v>-0.18427384795653268</v>
      </c>
      <c r="CD200">
        <v>155.5</v>
      </c>
      <c r="CE200">
        <v>87305.157399326097</v>
      </c>
      <c r="CF200" t="s">
        <v>82</v>
      </c>
      <c r="CG200">
        <v>155.5</v>
      </c>
      <c r="CH200">
        <v>120.11404585468428</v>
      </c>
      <c r="CI200" s="82">
        <f t="shared" si="74"/>
        <v>-0.17511907048958619</v>
      </c>
      <c r="CJ200">
        <v>155.5</v>
      </c>
      <c r="CK200">
        <v>84908.236121633294</v>
      </c>
      <c r="CL200" t="s">
        <v>82</v>
      </c>
      <c r="CM200">
        <v>155.5</v>
      </c>
      <c r="CN200">
        <v>119.82222442075188</v>
      </c>
      <c r="CO200" s="82">
        <f t="shared" si="75"/>
        <v>-0.16660988862918202</v>
      </c>
      <c r="CP200">
        <v>155.5</v>
      </c>
      <c r="CQ200">
        <v>82783.734964426403</v>
      </c>
      <c r="CR200" t="s">
        <v>82</v>
      </c>
      <c r="CS200">
        <v>155.5</v>
      </c>
      <c r="CT200">
        <v>119.53990992658447</v>
      </c>
      <c r="CU200" s="82">
        <f t="shared" si="76"/>
        <v>-0.15868578836699498</v>
      </c>
      <c r="CV200">
        <v>155.5</v>
      </c>
      <c r="CW200">
        <v>80909.375877675178</v>
      </c>
      <c r="CX200" t="s">
        <v>82</v>
      </c>
      <c r="CY200">
        <v>155.5</v>
      </c>
      <c r="CZ200">
        <v>119.25316763496063</v>
      </c>
      <c r="DA200" s="82">
        <f t="shared" si="77"/>
        <v>-0.15114894331989603</v>
      </c>
      <c r="DB200">
        <v>155.5</v>
      </c>
      <c r="DC200">
        <v>79236.307363795131</v>
      </c>
      <c r="DD200" t="s">
        <v>82</v>
      </c>
      <c r="DG200" s="82">
        <f t="shared" si="78"/>
        <v>0</v>
      </c>
      <c r="DM200" s="82">
        <f t="shared" si="79"/>
        <v>0</v>
      </c>
    </row>
    <row r="201" spans="1:117" x14ac:dyDescent="0.2">
      <c r="A201">
        <v>156.5</v>
      </c>
      <c r="B201">
        <v>123.21685239295257</v>
      </c>
      <c r="C201" s="82">
        <f t="shared" si="60"/>
        <v>-0.36394714609498635</v>
      </c>
      <c r="D201">
        <v>156.5</v>
      </c>
      <c r="E201">
        <v>145211.84625037512</v>
      </c>
      <c r="F201" t="s">
        <v>82</v>
      </c>
      <c r="G201">
        <v>156.5</v>
      </c>
      <c r="H201">
        <v>123.09755631277714</v>
      </c>
      <c r="I201" s="82">
        <f t="shared" si="61"/>
        <v>-0.34579880850100153</v>
      </c>
      <c r="J201">
        <v>156.5</v>
      </c>
      <c r="K201">
        <v>138894.17055327041</v>
      </c>
      <c r="L201" t="s">
        <v>82</v>
      </c>
      <c r="M201">
        <v>156.5</v>
      </c>
      <c r="N201">
        <v>122.95760814943242</v>
      </c>
      <c r="O201" s="82">
        <f t="shared" si="62"/>
        <v>-0.32855784184822312</v>
      </c>
      <c r="P201">
        <v>156.5</v>
      </c>
      <c r="Q201">
        <v>132946.1814850074</v>
      </c>
      <c r="R201" t="s">
        <v>82</v>
      </c>
      <c r="S201">
        <v>156.5</v>
      </c>
      <c r="T201">
        <v>122.79716682962581</v>
      </c>
      <c r="U201" s="82">
        <f t="shared" si="63"/>
        <v>-0.3121602139745363</v>
      </c>
      <c r="V201">
        <v>156.5</v>
      </c>
      <c r="W201">
        <v>127346.49630525002</v>
      </c>
      <c r="X201" t="s">
        <v>82</v>
      </c>
      <c r="Y201">
        <v>156.5</v>
      </c>
      <c r="Z201">
        <v>122.61750482655948</v>
      </c>
      <c r="AA201" s="82">
        <f t="shared" si="64"/>
        <v>-0.29656036801836194</v>
      </c>
      <c r="AB201">
        <v>156.5</v>
      </c>
      <c r="AC201">
        <v>122080.20143256961</v>
      </c>
      <c r="AD201" t="s">
        <v>82</v>
      </c>
      <c r="AE201">
        <v>156.5</v>
      </c>
      <c r="AF201">
        <v>122.41923821689493</v>
      </c>
      <c r="AG201" s="82">
        <f t="shared" si="65"/>
        <v>-0.28171745422883987</v>
      </c>
      <c r="AH201">
        <v>156.5</v>
      </c>
      <c r="AI201">
        <v>117134.16127021491</v>
      </c>
      <c r="AJ201" t="s">
        <v>82</v>
      </c>
      <c r="AK201">
        <v>156.5</v>
      </c>
      <c r="AL201">
        <v>122.20297190123067</v>
      </c>
      <c r="AM201" s="82">
        <f t="shared" si="66"/>
        <v>-0.26758033011812188</v>
      </c>
      <c r="AN201">
        <v>156.5</v>
      </c>
      <c r="AO201">
        <v>112492.05431382362</v>
      </c>
      <c r="AP201" t="s">
        <v>82</v>
      </c>
      <c r="AQ201">
        <v>156.5</v>
      </c>
      <c r="AR201">
        <v>121.96826236740996</v>
      </c>
      <c r="AS201" s="82">
        <f t="shared" si="67"/>
        <v>-0.25407600290830601</v>
      </c>
      <c r="AT201">
        <v>156.5</v>
      </c>
      <c r="AU201">
        <v>108131.13231560848</v>
      </c>
      <c r="AV201" t="s">
        <v>82</v>
      </c>
      <c r="AW201">
        <v>156.5</v>
      </c>
      <c r="AX201">
        <v>121.7162342254511</v>
      </c>
      <c r="AY201" s="82">
        <f t="shared" si="68"/>
        <v>-0.24118502171904765</v>
      </c>
      <c r="AZ201">
        <v>156.5</v>
      </c>
      <c r="BA201">
        <v>104046.56480261919</v>
      </c>
      <c r="BB201" t="s">
        <v>82</v>
      </c>
      <c r="BC201">
        <v>156.5</v>
      </c>
      <c r="BD201">
        <v>121.44740520749508</v>
      </c>
      <c r="BE201" s="82">
        <f t="shared" si="69"/>
        <v>-0.22886615848024405</v>
      </c>
      <c r="BF201">
        <v>156.5</v>
      </c>
      <c r="BG201">
        <v>100226.94746370557</v>
      </c>
      <c r="BH201" t="s">
        <v>82</v>
      </c>
      <c r="BI201">
        <v>156.5</v>
      </c>
      <c r="BJ201">
        <v>121.16003945246639</v>
      </c>
      <c r="BK201" s="82">
        <f t="shared" si="70"/>
        <v>-0.21705923528878657</v>
      </c>
      <c r="BL201">
        <v>156.5</v>
      </c>
      <c r="BM201">
        <v>96656.268742294546</v>
      </c>
      <c r="BN201" t="s">
        <v>82</v>
      </c>
      <c r="BO201">
        <v>156.5</v>
      </c>
      <c r="BP201">
        <v>120.8546006278029</v>
      </c>
      <c r="BQ201" s="82">
        <f t="shared" si="71"/>
        <v>-0.2057338707082863</v>
      </c>
      <c r="BR201">
        <v>156.5</v>
      </c>
      <c r="BS201">
        <v>93328.597696278186</v>
      </c>
      <c r="BT201" t="s">
        <v>82</v>
      </c>
      <c r="BU201">
        <v>156.5</v>
      </c>
      <c r="BV201">
        <v>120.53584412257464</v>
      </c>
      <c r="BW201" s="82">
        <f t="shared" si="72"/>
        <v>-0.19493373221310151</v>
      </c>
      <c r="BX201">
        <v>156.5</v>
      </c>
      <c r="BY201">
        <v>90259.260060142522</v>
      </c>
      <c r="BZ201" t="s">
        <v>82</v>
      </c>
      <c r="CA201">
        <v>156.5</v>
      </c>
      <c r="CB201">
        <v>120.23133142830932</v>
      </c>
      <c r="CC201" s="82">
        <f t="shared" si="73"/>
        <v>-0.18496984357753377</v>
      </c>
      <c r="CD201">
        <v>156.5</v>
      </c>
      <c r="CE201">
        <v>87530.453318351938</v>
      </c>
      <c r="CF201" t="s">
        <v>82</v>
      </c>
      <c r="CG201">
        <v>156.5</v>
      </c>
      <c r="CH201">
        <v>119.93830562143602</v>
      </c>
      <c r="CI201" s="82">
        <f t="shared" si="74"/>
        <v>-0.17574023324826271</v>
      </c>
      <c r="CJ201">
        <v>156.5</v>
      </c>
      <c r="CK201">
        <v>85105.996602965388</v>
      </c>
      <c r="CL201" t="s">
        <v>82</v>
      </c>
      <c r="CM201">
        <v>156.5</v>
      </c>
      <c r="CN201">
        <v>119.65505872538787</v>
      </c>
      <c r="CO201" s="82">
        <f t="shared" si="75"/>
        <v>-0.16716569536400527</v>
      </c>
      <c r="CP201">
        <v>156.5</v>
      </c>
      <c r="CQ201">
        <v>82957.477881333019</v>
      </c>
      <c r="CR201" t="s">
        <v>82</v>
      </c>
      <c r="CS201">
        <v>156.5</v>
      </c>
      <c r="CT201">
        <v>119.38072560082591</v>
      </c>
      <c r="CU201" s="82">
        <f t="shared" si="76"/>
        <v>-0.15918432575855945</v>
      </c>
      <c r="CV201">
        <v>156.5</v>
      </c>
      <c r="CW201">
        <v>81062.101362407746</v>
      </c>
      <c r="CX201" t="s">
        <v>82</v>
      </c>
      <c r="CY201">
        <v>156.5</v>
      </c>
      <c r="CZ201">
        <v>119.10157159008851</v>
      </c>
      <c r="DA201" s="82">
        <f t="shared" si="77"/>
        <v>-0.15159604487212164</v>
      </c>
      <c r="DB201">
        <v>156.5</v>
      </c>
      <c r="DC201">
        <v>79370.190236742914</v>
      </c>
      <c r="DD201" t="s">
        <v>82</v>
      </c>
      <c r="DG201" s="82">
        <f t="shared" si="78"/>
        <v>0</v>
      </c>
      <c r="DM201" s="82">
        <f t="shared" si="79"/>
        <v>0</v>
      </c>
    </row>
    <row r="202" spans="1:117" x14ac:dyDescent="0.2">
      <c r="A202">
        <v>157.5</v>
      </c>
      <c r="B202">
        <v>122.84995817736872</v>
      </c>
      <c r="C202" s="82">
        <f t="shared" si="60"/>
        <v>-0.36689421558385504</v>
      </c>
      <c r="D202">
        <v>157.5</v>
      </c>
      <c r="E202">
        <v>146272.05099731009</v>
      </c>
      <c r="F202" t="s">
        <v>82</v>
      </c>
      <c r="G202">
        <v>157.5</v>
      </c>
      <c r="H202">
        <v>122.74909297295876</v>
      </c>
      <c r="I202" s="82">
        <f t="shared" si="61"/>
        <v>-0.34846333981838029</v>
      </c>
      <c r="J202">
        <v>157.5</v>
      </c>
      <c r="K202">
        <v>139849.46615438676</v>
      </c>
      <c r="L202" t="s">
        <v>82</v>
      </c>
      <c r="M202">
        <v>157.5</v>
      </c>
      <c r="N202">
        <v>122.62664626556914</v>
      </c>
      <c r="O202" s="82">
        <f t="shared" si="62"/>
        <v>-0.33096188386328151</v>
      </c>
      <c r="P202">
        <v>157.5</v>
      </c>
      <c r="Q202">
        <v>133804.7212375048</v>
      </c>
      <c r="R202" t="s">
        <v>82</v>
      </c>
      <c r="S202">
        <v>157.5</v>
      </c>
      <c r="T202">
        <v>122.48284182043636</v>
      </c>
      <c r="U202" s="82">
        <f t="shared" si="63"/>
        <v>-0.31432500918944584</v>
      </c>
      <c r="V202">
        <v>157.5</v>
      </c>
      <c r="W202">
        <v>128116.16164255051</v>
      </c>
      <c r="X202" t="s">
        <v>82</v>
      </c>
      <c r="Y202">
        <v>157.5</v>
      </c>
      <c r="Z202">
        <v>122.31899844220189</v>
      </c>
      <c r="AA202" s="82">
        <f t="shared" si="64"/>
        <v>-0.29850638435759436</v>
      </c>
      <c r="AB202">
        <v>157.5</v>
      </c>
      <c r="AC202">
        <v>122768.60501413634</v>
      </c>
      <c r="AD202" t="s">
        <v>82</v>
      </c>
      <c r="AE202">
        <v>157.5</v>
      </c>
      <c r="AF202">
        <v>122.13577409739277</v>
      </c>
      <c r="AG202" s="82">
        <f t="shared" si="65"/>
        <v>-0.28346411950215611</v>
      </c>
      <c r="AH202">
        <v>157.5</v>
      </c>
      <c r="AI202">
        <v>117748.54191434485</v>
      </c>
      <c r="AJ202" t="s">
        <v>82</v>
      </c>
      <c r="AK202">
        <v>157.5</v>
      </c>
      <c r="AL202">
        <v>121.93382615796564</v>
      </c>
      <c r="AM202" s="82">
        <f t="shared" si="66"/>
        <v>-0.26914574326502816</v>
      </c>
      <c r="AN202">
        <v>157.5</v>
      </c>
      <c r="AO202">
        <v>113039.16462782447</v>
      </c>
      <c r="AP202" t="s">
        <v>82</v>
      </c>
      <c r="AQ202">
        <v>157.5</v>
      </c>
      <c r="AR202">
        <v>121.7127857984197</v>
      </c>
      <c r="AS202" s="82">
        <f t="shared" si="67"/>
        <v>-0.25547656899026094</v>
      </c>
      <c r="AT202">
        <v>157.5</v>
      </c>
      <c r="AU202">
        <v>108617.10012108691</v>
      </c>
      <c r="AV202" t="s">
        <v>82</v>
      </c>
      <c r="AW202">
        <v>157.5</v>
      </c>
      <c r="AX202">
        <v>121.47379807721651</v>
      </c>
      <c r="AY202" s="82">
        <f t="shared" si="68"/>
        <v>-0.2424361482345887</v>
      </c>
      <c r="AZ202">
        <v>157.5</v>
      </c>
      <c r="BA202">
        <v>104477.14822651936</v>
      </c>
      <c r="BB202" t="s">
        <v>82</v>
      </c>
      <c r="BC202">
        <v>157.5</v>
      </c>
      <c r="BD202">
        <v>121.21742324296925</v>
      </c>
      <c r="BE202" s="82">
        <f t="shared" si="69"/>
        <v>-0.22998196452583386</v>
      </c>
      <c r="BF202">
        <v>157.5</v>
      </c>
      <c r="BG202">
        <v>100607.4256783132</v>
      </c>
      <c r="BH202" t="s">
        <v>82</v>
      </c>
      <c r="BI202">
        <v>157.5</v>
      </c>
      <c r="BJ202">
        <v>120.94198711545869</v>
      </c>
      <c r="BK202" s="82">
        <f t="shared" si="70"/>
        <v>-0.21805233700770543</v>
      </c>
      <c r="BL202">
        <v>157.5</v>
      </c>
      <c r="BM202">
        <v>96991.363072145701</v>
      </c>
      <c r="BN202" t="s">
        <v>82</v>
      </c>
      <c r="BO202">
        <v>157.5</v>
      </c>
      <c r="BP202">
        <v>120.64798476721541</v>
      </c>
      <c r="BQ202" s="82">
        <f t="shared" si="71"/>
        <v>-0.20661586058749037</v>
      </c>
      <c r="BR202">
        <v>157.5</v>
      </c>
      <c r="BS202">
        <v>93622.647475745543</v>
      </c>
      <c r="BT202" t="s">
        <v>82</v>
      </c>
      <c r="BU202">
        <v>157.5</v>
      </c>
      <c r="BV202">
        <v>120.34012816901823</v>
      </c>
      <c r="BW202" s="82">
        <f t="shared" si="72"/>
        <v>-0.19571595355641591</v>
      </c>
      <c r="BX202">
        <v>157.5</v>
      </c>
      <c r="BY202">
        <v>90516.506258104491</v>
      </c>
      <c r="BZ202" t="s">
        <v>82</v>
      </c>
      <c r="CA202">
        <v>157.5</v>
      </c>
      <c r="CB202">
        <v>120.04566555115113</v>
      </c>
      <c r="CC202" s="82">
        <f t="shared" si="73"/>
        <v>-0.18566587715818628</v>
      </c>
      <c r="CD202">
        <v>157.5</v>
      </c>
      <c r="CE202">
        <v>87755.940748255569</v>
      </c>
      <c r="CF202" t="s">
        <v>82</v>
      </c>
      <c r="CG202">
        <v>157.5</v>
      </c>
      <c r="CH202">
        <v>119.76194426551326</v>
      </c>
      <c r="CI202" s="82">
        <f t="shared" si="74"/>
        <v>-0.17636135592275082</v>
      </c>
      <c r="CJ202">
        <v>157.5</v>
      </c>
      <c r="CK202">
        <v>85303.913167904466</v>
      </c>
      <c r="CL202" t="s">
        <v>82</v>
      </c>
      <c r="CM202">
        <v>157.5</v>
      </c>
      <c r="CN202">
        <v>119.48733731799177</v>
      </c>
      <c r="CO202" s="82">
        <f t="shared" si="75"/>
        <v>-0.16772140739610109</v>
      </c>
      <c r="CP202">
        <v>157.5</v>
      </c>
      <c r="CQ202">
        <v>83131.350345978542</v>
      </c>
      <c r="CR202" t="s">
        <v>82</v>
      </c>
      <c r="CS202">
        <v>157.5</v>
      </c>
      <c r="CT202">
        <v>119.2210428695056</v>
      </c>
      <c r="CU202" s="82">
        <f t="shared" si="76"/>
        <v>-0.15968273132031641</v>
      </c>
      <c r="CV202">
        <v>157.5</v>
      </c>
      <c r="CW202">
        <v>81214.936601371563</v>
      </c>
      <c r="CX202" t="s">
        <v>82</v>
      </c>
      <c r="CY202">
        <v>157.5</v>
      </c>
      <c r="CZ202">
        <v>118.94952860124717</v>
      </c>
      <c r="DA202" s="82">
        <f t="shared" si="77"/>
        <v>-0.1520429888413446</v>
      </c>
      <c r="DB202">
        <v>157.5</v>
      </c>
      <c r="DC202">
        <v>79504.167423046893</v>
      </c>
      <c r="DD202" t="s">
        <v>82</v>
      </c>
      <c r="DG202" s="82">
        <f t="shared" si="78"/>
        <v>0</v>
      </c>
      <c r="DM202" s="82">
        <f t="shared" si="79"/>
        <v>0</v>
      </c>
    </row>
    <row r="203" spans="1:117" x14ac:dyDescent="0.2">
      <c r="A203">
        <v>158.5</v>
      </c>
      <c r="B203">
        <v>122.48011504770163</v>
      </c>
      <c r="C203" s="82">
        <f t="shared" si="60"/>
        <v>-0.36984312966708899</v>
      </c>
      <c r="D203">
        <v>158.5</v>
      </c>
      <c r="E203">
        <v>147333.08812559186</v>
      </c>
      <c r="F203" t="s">
        <v>82</v>
      </c>
      <c r="G203">
        <v>158.5</v>
      </c>
      <c r="H203">
        <v>122.39796273454076</v>
      </c>
      <c r="I203" s="82">
        <f t="shared" si="61"/>
        <v>-0.35113023841800839</v>
      </c>
      <c r="J203">
        <v>158.5</v>
      </c>
      <c r="K203">
        <v>140805.81973472619</v>
      </c>
      <c r="L203" t="s">
        <v>82</v>
      </c>
      <c r="M203">
        <v>158.5</v>
      </c>
      <c r="N203">
        <v>122.29327784969361</v>
      </c>
      <c r="O203" s="82">
        <f t="shared" si="62"/>
        <v>-0.33336841587552613</v>
      </c>
      <c r="P203">
        <v>158.5</v>
      </c>
      <c r="Q203">
        <v>134664.38482729337</v>
      </c>
      <c r="R203" t="s">
        <v>82</v>
      </c>
      <c r="S203">
        <v>158.5</v>
      </c>
      <c r="T203">
        <v>122.16634965102138</v>
      </c>
      <c r="U203" s="82">
        <f t="shared" si="63"/>
        <v>-0.31649216941498537</v>
      </c>
      <c r="V203">
        <v>158.5</v>
      </c>
      <c r="W203">
        <v>128886.91640841271</v>
      </c>
      <c r="X203" t="s">
        <v>82</v>
      </c>
      <c r="Y203">
        <v>158.5</v>
      </c>
      <c r="Z203">
        <v>122.01854393773009</v>
      </c>
      <c r="AA203" s="82">
        <f t="shared" si="64"/>
        <v>-0.30045450447180144</v>
      </c>
      <c r="AB203">
        <v>158.5</v>
      </c>
      <c r="AC203">
        <v>123458.00702369631</v>
      </c>
      <c r="AD203" t="s">
        <v>82</v>
      </c>
      <c r="AE203">
        <v>158.5</v>
      </c>
      <c r="AF203">
        <v>121.85056153115546</v>
      </c>
      <c r="AG203" s="82">
        <f t="shared" si="65"/>
        <v>-0.28521256623730551</v>
      </c>
      <c r="AH203">
        <v>158.5</v>
      </c>
      <c r="AI203">
        <v>118363.80303650364</v>
      </c>
      <c r="AJ203" t="s">
        <v>82</v>
      </c>
      <c r="AK203">
        <v>158.5</v>
      </c>
      <c r="AL203">
        <v>121.66311355465773</v>
      </c>
      <c r="AM203" s="82">
        <f t="shared" si="66"/>
        <v>-0.27071260330791347</v>
      </c>
      <c r="AN203">
        <v>158.5</v>
      </c>
      <c r="AO203">
        <v>113587.02998913378</v>
      </c>
      <c r="AP203" t="s">
        <v>82</v>
      </c>
      <c r="AQ203">
        <v>158.5</v>
      </c>
      <c r="AR203">
        <v>121.45590753530811</v>
      </c>
      <c r="AS203" s="82">
        <f t="shared" si="67"/>
        <v>-0.25687826311158801</v>
      </c>
      <c r="AT203">
        <v>158.5</v>
      </c>
      <c r="AU203">
        <v>109103.70133366405</v>
      </c>
      <c r="AV203" t="s">
        <v>82</v>
      </c>
      <c r="AW203">
        <v>158.5</v>
      </c>
      <c r="AX203">
        <v>121.23010996118326</v>
      </c>
      <c r="AY203" s="82">
        <f t="shared" si="68"/>
        <v>-0.24368811603325469</v>
      </c>
      <c r="AZ203">
        <v>158.5</v>
      </c>
      <c r="BA203">
        <v>104908.25397430861</v>
      </c>
      <c r="BB203" t="s">
        <v>82</v>
      </c>
      <c r="BC203">
        <v>158.5</v>
      </c>
      <c r="BD203">
        <v>120.98632487908387</v>
      </c>
      <c r="BE203" s="82">
        <f t="shared" si="69"/>
        <v>-0.23109836388537985</v>
      </c>
      <c r="BF203">
        <v>158.5</v>
      </c>
      <c r="BG203">
        <v>100988.32857852287</v>
      </c>
      <c r="BH203" t="s">
        <v>82</v>
      </c>
      <c r="BI203">
        <v>158.5</v>
      </c>
      <c r="BJ203">
        <v>120.72294129261772</v>
      </c>
      <c r="BK203" s="82">
        <f t="shared" si="70"/>
        <v>-0.21904582284096819</v>
      </c>
      <c r="BL203">
        <v>158.5</v>
      </c>
      <c r="BM203">
        <v>97326.798258178795</v>
      </c>
      <c r="BN203" t="s">
        <v>82</v>
      </c>
      <c r="BO203">
        <v>158.5</v>
      </c>
      <c r="BP203">
        <v>120.44048670425066</v>
      </c>
      <c r="BQ203" s="82">
        <f t="shared" si="71"/>
        <v>-0.2074980629647456</v>
      </c>
      <c r="BR203">
        <v>158.5</v>
      </c>
      <c r="BS203">
        <v>93916.967806085871</v>
      </c>
      <c r="BT203" t="s">
        <v>82</v>
      </c>
      <c r="BU203">
        <v>158.5</v>
      </c>
      <c r="BV203">
        <v>120.14362991701661</v>
      </c>
      <c r="BW203" s="82">
        <f t="shared" si="72"/>
        <v>-0.19649825200161786</v>
      </c>
      <c r="BX203">
        <v>158.5</v>
      </c>
      <c r="BY203">
        <v>90773.965945337855</v>
      </c>
      <c r="BZ203" t="s">
        <v>82</v>
      </c>
      <c r="CA203">
        <v>158.5</v>
      </c>
      <c r="CB203">
        <v>119.85930365941347</v>
      </c>
      <c r="CC203" s="82">
        <f t="shared" si="73"/>
        <v>-0.18636189173766127</v>
      </c>
      <c r="CD203">
        <v>158.5</v>
      </c>
      <c r="CE203">
        <v>87981.599284778553</v>
      </c>
      <c r="CF203" t="s">
        <v>82</v>
      </c>
      <c r="CG203">
        <v>158.5</v>
      </c>
      <c r="CH203">
        <v>119.58496187324926</v>
      </c>
      <c r="CI203" s="82">
        <f t="shared" si="74"/>
        <v>-0.17698239226400858</v>
      </c>
      <c r="CJ203">
        <v>158.5</v>
      </c>
      <c r="CK203">
        <v>85501.969302834637</v>
      </c>
      <c r="CL203" t="s">
        <v>82</v>
      </c>
      <c r="CM203">
        <v>158.5</v>
      </c>
      <c r="CN203">
        <v>119.31906033097036</v>
      </c>
      <c r="CO203" s="82">
        <f t="shared" si="75"/>
        <v>-0.16827698702141447</v>
      </c>
      <c r="CP203">
        <v>158.5</v>
      </c>
      <c r="CQ203">
        <v>83305.338971834208</v>
      </c>
      <c r="CR203" t="s">
        <v>82</v>
      </c>
      <c r="CS203">
        <v>158.5</v>
      </c>
      <c r="CT203">
        <v>119.06086189534048</v>
      </c>
      <c r="CU203" s="82">
        <f t="shared" si="76"/>
        <v>-0.16018097416511523</v>
      </c>
      <c r="CV203">
        <v>158.5</v>
      </c>
      <c r="CW203">
        <v>81367.870688761483</v>
      </c>
      <c r="CX203" t="s">
        <v>82</v>
      </c>
      <c r="CY203">
        <v>158.5</v>
      </c>
      <c r="CZ203">
        <v>118.79703885130289</v>
      </c>
      <c r="DA203" s="82">
        <f t="shared" si="77"/>
        <v>-0.15248974994428011</v>
      </c>
      <c r="DB203">
        <v>158.5</v>
      </c>
      <c r="DC203">
        <v>79638.230056770612</v>
      </c>
      <c r="DD203" t="s">
        <v>82</v>
      </c>
      <c r="DG203" s="82">
        <f t="shared" si="78"/>
        <v>0</v>
      </c>
      <c r="DM203" s="82">
        <f t="shared" si="79"/>
        <v>0</v>
      </c>
    </row>
    <row r="204" spans="1:117" x14ac:dyDescent="0.2">
      <c r="A204">
        <v>159.5</v>
      </c>
      <c r="B204">
        <v>122.10732231459974</v>
      </c>
      <c r="C204" s="82">
        <f t="shared" si="60"/>
        <v>-0.37279273310188898</v>
      </c>
      <c r="D204">
        <v>159.5</v>
      </c>
      <c r="E204">
        <v>148394.52267528675</v>
      </c>
      <c r="F204" t="s">
        <v>82</v>
      </c>
      <c r="G204">
        <v>159.5</v>
      </c>
      <c r="H204">
        <v>122.04416412128643</v>
      </c>
      <c r="I204" s="82">
        <f t="shared" si="61"/>
        <v>-0.35379861325432671</v>
      </c>
      <c r="J204">
        <v>159.5</v>
      </c>
      <c r="K204">
        <v>141762.89684931119</v>
      </c>
      <c r="L204" t="s">
        <v>82</v>
      </c>
      <c r="M204">
        <v>159.5</v>
      </c>
      <c r="N204">
        <v>121.95750110260119</v>
      </c>
      <c r="O204" s="82">
        <f t="shared" si="62"/>
        <v>-0.33577674709242444</v>
      </c>
      <c r="P204">
        <v>159.5</v>
      </c>
      <c r="Q204">
        <v>135524.91388809768</v>
      </c>
      <c r="R204" t="s">
        <v>82</v>
      </c>
      <c r="S204">
        <v>159.5</v>
      </c>
      <c r="T204">
        <v>121.84768849547713</v>
      </c>
      <c r="U204" s="82">
        <f t="shared" si="63"/>
        <v>-0.31866115554424823</v>
      </c>
      <c r="V204">
        <v>159.5</v>
      </c>
      <c r="W204">
        <v>129658.55970951381</v>
      </c>
      <c r="X204" t="s">
        <v>82</v>
      </c>
      <c r="Y204">
        <v>159.5</v>
      </c>
      <c r="Z204">
        <v>121.71613963324511</v>
      </c>
      <c r="AA204" s="82">
        <f t="shared" si="64"/>
        <v>-0.30240430448498046</v>
      </c>
      <c r="AB204">
        <v>159.5</v>
      </c>
      <c r="AC204">
        <v>124148.25009838735</v>
      </c>
      <c r="AD204" t="s">
        <v>82</v>
      </c>
      <c r="AE204">
        <v>159.5</v>
      </c>
      <c r="AF204">
        <v>121.56359907250703</v>
      </c>
      <c r="AG204" s="82">
        <f t="shared" si="65"/>
        <v>-0.28696245864843206</v>
      </c>
      <c r="AH204">
        <v>159.5</v>
      </c>
      <c r="AI204">
        <v>118979.82045884273</v>
      </c>
      <c r="AJ204" t="s">
        <v>82</v>
      </c>
      <c r="AK204">
        <v>159.5</v>
      </c>
      <c r="AL204">
        <v>121.39083291214818</v>
      </c>
      <c r="AM204" s="82">
        <f t="shared" si="66"/>
        <v>-0.27228064250954276</v>
      </c>
      <c r="AN204">
        <v>159.5</v>
      </c>
      <c r="AO204">
        <v>114135.55173888577</v>
      </c>
      <c r="AP204" t="s">
        <v>82</v>
      </c>
      <c r="AQ204">
        <v>159.5</v>
      </c>
      <c r="AR204">
        <v>121.19762666446078</v>
      </c>
      <c r="AS204" s="82">
        <f t="shared" si="67"/>
        <v>-0.25828087084732942</v>
      </c>
      <c r="AT204">
        <v>159.5</v>
      </c>
      <c r="AU204">
        <v>109590.85722903264</v>
      </c>
      <c r="AV204" t="s">
        <v>82</v>
      </c>
      <c r="AW204">
        <v>159.5</v>
      </c>
      <c r="AX204">
        <v>120.98516920834446</v>
      </c>
      <c r="AY204" s="82">
        <f t="shared" si="68"/>
        <v>-0.24494075283880079</v>
      </c>
      <c r="AZ204">
        <v>159.5</v>
      </c>
      <c r="BA204">
        <v>105339.81901649115</v>
      </c>
      <c r="BB204" t="s">
        <v>82</v>
      </c>
      <c r="BC204">
        <v>159.5</v>
      </c>
      <c r="BD204">
        <v>120.7541096611357</v>
      </c>
      <c r="BE204" s="82">
        <f t="shared" si="69"/>
        <v>-0.23221521794816624</v>
      </c>
      <c r="BF204">
        <v>159.5</v>
      </c>
      <c r="BG204">
        <v>101369.60568014809</v>
      </c>
      <c r="BH204" t="s">
        <v>82</v>
      </c>
      <c r="BI204">
        <v>159.5</v>
      </c>
      <c r="BJ204">
        <v>120.50290171131707</v>
      </c>
      <c r="BK204" s="82">
        <f t="shared" si="70"/>
        <v>-0.22003958130065371</v>
      </c>
      <c r="BL204">
        <v>159.5</v>
      </c>
      <c r="BM204">
        <v>97662.533829236781</v>
      </c>
      <c r="BN204" t="s">
        <v>82</v>
      </c>
      <c r="BO204">
        <v>159.5</v>
      </c>
      <c r="BP204">
        <v>120.23210631593926</v>
      </c>
      <c r="BQ204" s="82">
        <f t="shared" si="71"/>
        <v>-0.20838038831139727</v>
      </c>
      <c r="BR204">
        <v>159.5</v>
      </c>
      <c r="BS204">
        <v>94211.526318493445</v>
      </c>
      <c r="BT204" t="s">
        <v>82</v>
      </c>
      <c r="BU204">
        <v>159.5</v>
      </c>
      <c r="BV204">
        <v>119.94634936131189</v>
      </c>
      <c r="BW204" s="82">
        <f t="shared" si="72"/>
        <v>-0.19728055570472236</v>
      </c>
      <c r="BX204">
        <v>159.5</v>
      </c>
      <c r="BY204">
        <v>91031.613228547678</v>
      </c>
      <c r="BZ204" t="s">
        <v>82</v>
      </c>
      <c r="CA204">
        <v>159.5</v>
      </c>
      <c r="CB204">
        <v>119.67224583008279</v>
      </c>
      <c r="CC204" s="82">
        <f t="shared" si="73"/>
        <v>-0.18705782933068349</v>
      </c>
      <c r="CD204">
        <v>159.5</v>
      </c>
      <c r="CE204">
        <v>88207.408129787844</v>
      </c>
      <c r="CF204" t="s">
        <v>82</v>
      </c>
      <c r="CG204">
        <v>159.5</v>
      </c>
      <c r="CH204">
        <v>119.40735857801478</v>
      </c>
      <c r="CI204" s="82">
        <f t="shared" si="74"/>
        <v>-0.17760329523447638</v>
      </c>
      <c r="CJ204">
        <v>159.5</v>
      </c>
      <c r="CK204">
        <v>85700.148219754614</v>
      </c>
      <c r="CL204" t="s">
        <v>82</v>
      </c>
      <c r="CM204">
        <v>159.5</v>
      </c>
      <c r="CN204">
        <v>119.15022793508075</v>
      </c>
      <c r="CO204" s="82">
        <f t="shared" si="75"/>
        <v>-0.16883239588960919</v>
      </c>
      <c r="CP204">
        <v>159.5</v>
      </c>
      <c r="CQ204">
        <v>83479.430121976839</v>
      </c>
      <c r="CR204" t="s">
        <v>82</v>
      </c>
      <c r="CS204">
        <v>159.5</v>
      </c>
      <c r="CT204">
        <v>118.90018287242805</v>
      </c>
      <c r="CU204" s="82">
        <f t="shared" si="76"/>
        <v>-0.16067902291243286</v>
      </c>
      <c r="CV204">
        <v>159.5</v>
      </c>
      <c r="CW204">
        <v>81520.892494324537</v>
      </c>
      <c r="CX204" t="s">
        <v>82</v>
      </c>
      <c r="CY204">
        <v>159.5</v>
      </c>
      <c r="CZ204">
        <v>118.64410254881639</v>
      </c>
      <c r="DA204" s="82">
        <f t="shared" si="77"/>
        <v>-0.15293630248649492</v>
      </c>
      <c r="DB204">
        <v>159.5</v>
      </c>
      <c r="DC204">
        <v>79772.369059779259</v>
      </c>
      <c r="DD204" t="s">
        <v>82</v>
      </c>
      <c r="DG204" s="82">
        <f t="shared" si="78"/>
        <v>0</v>
      </c>
      <c r="DM204" s="82">
        <f t="shared" si="79"/>
        <v>0</v>
      </c>
    </row>
    <row r="205" spans="1:117" x14ac:dyDescent="0.2">
      <c r="A205">
        <v>160.5</v>
      </c>
      <c r="B205">
        <v>121.73158049552075</v>
      </c>
      <c r="C205" s="82">
        <f t="shared" si="60"/>
        <v>-0.37574181907899629</v>
      </c>
      <c r="D205">
        <v>160.5</v>
      </c>
      <c r="E205">
        <v>149455.90015112032</v>
      </c>
      <c r="F205" t="s">
        <v>82</v>
      </c>
      <c r="G205">
        <v>160.5</v>
      </c>
      <c r="H205">
        <v>121.68769658527171</v>
      </c>
      <c r="I205" s="82">
        <f t="shared" si="61"/>
        <v>-0.35646753601471914</v>
      </c>
      <c r="J205">
        <v>160.5</v>
      </c>
      <c r="K205">
        <v>142720.34900641235</v>
      </c>
      <c r="L205" t="s">
        <v>82</v>
      </c>
      <c r="M205">
        <v>160.5</v>
      </c>
      <c r="N205">
        <v>121.61931494264806</v>
      </c>
      <c r="O205" s="82">
        <f t="shared" si="62"/>
        <v>-0.33818615995312484</v>
      </c>
      <c r="P205">
        <v>160.5</v>
      </c>
      <c r="Q205">
        <v>136386.03995699063</v>
      </c>
      <c r="R205" t="s">
        <v>82</v>
      </c>
      <c r="S205">
        <v>160.5</v>
      </c>
      <c r="T205">
        <v>121.526857086207</v>
      </c>
      <c r="U205" s="82">
        <f t="shared" si="63"/>
        <v>-0.32083140927012721</v>
      </c>
      <c r="V205">
        <v>160.5</v>
      </c>
      <c r="W205">
        <v>130430.88343268767</v>
      </c>
      <c r="X205" t="s">
        <v>82</v>
      </c>
      <c r="Y205">
        <v>160.5</v>
      </c>
      <c r="Z205">
        <v>121.41178428654315</v>
      </c>
      <c r="AA205" s="82">
        <f t="shared" si="64"/>
        <v>-0.30435534670195352</v>
      </c>
      <c r="AB205">
        <v>160.5</v>
      </c>
      <c r="AC205">
        <v>124839.17171150155</v>
      </c>
      <c r="AD205" t="s">
        <v>82</v>
      </c>
      <c r="AE205">
        <v>160.5</v>
      </c>
      <c r="AF205">
        <v>121.27488562156765</v>
      </c>
      <c r="AG205" s="82">
        <f t="shared" si="65"/>
        <v>-0.28871345093938316</v>
      </c>
      <c r="AH205">
        <v>160.5</v>
      </c>
      <c r="AI205">
        <v>119596.46626363954</v>
      </c>
      <c r="AJ205" t="s">
        <v>82</v>
      </c>
      <c r="AK205">
        <v>160.5</v>
      </c>
      <c r="AL205">
        <v>121.11698332631437</v>
      </c>
      <c r="AM205" s="82">
        <f t="shared" si="66"/>
        <v>-0.27384958583381547</v>
      </c>
      <c r="AN205">
        <v>160.5</v>
      </c>
      <c r="AO205">
        <v>114684.62852449979</v>
      </c>
      <c r="AP205" t="s">
        <v>82</v>
      </c>
      <c r="AQ205">
        <v>160.5</v>
      </c>
      <c r="AR205">
        <v>120.93794249207347</v>
      </c>
      <c r="AS205" s="82">
        <f t="shared" si="67"/>
        <v>-0.25968417238730979</v>
      </c>
      <c r="AT205">
        <v>160.5</v>
      </c>
      <c r="AU205">
        <v>110078.48712217301</v>
      </c>
      <c r="AV205" t="s">
        <v>82</v>
      </c>
      <c r="AW205">
        <v>160.5</v>
      </c>
      <c r="AX205">
        <v>120.73897532597483</v>
      </c>
      <c r="AY205" s="82">
        <f t="shared" si="68"/>
        <v>-0.24619388236962436</v>
      </c>
      <c r="AZ205">
        <v>160.5</v>
      </c>
      <c r="BA205">
        <v>105771.77888807673</v>
      </c>
      <c r="BB205" t="s">
        <v>82</v>
      </c>
      <c r="BC205">
        <v>160.5</v>
      </c>
      <c r="BD205">
        <v>120.52077727605479</v>
      </c>
      <c r="BE205" s="82">
        <f t="shared" si="69"/>
        <v>-0.2333323850809137</v>
      </c>
      <c r="BF205">
        <v>160.5</v>
      </c>
      <c r="BG205">
        <v>101751.2053533155</v>
      </c>
      <c r="BH205" t="s">
        <v>82</v>
      </c>
      <c r="BI205">
        <v>160.5</v>
      </c>
      <c r="BJ205">
        <v>120.28186821269082</v>
      </c>
      <c r="BK205" s="82">
        <f t="shared" si="70"/>
        <v>-0.221033498626241</v>
      </c>
      <c r="BL205">
        <v>160.5</v>
      </c>
      <c r="BM205">
        <v>97998.528481019515</v>
      </c>
      <c r="BN205" t="s">
        <v>82</v>
      </c>
      <c r="BO205">
        <v>160.5</v>
      </c>
      <c r="BP205">
        <v>120.02284357056709</v>
      </c>
      <c r="BQ205" s="82">
        <f t="shared" si="71"/>
        <v>-0.20926274537217182</v>
      </c>
      <c r="BR205">
        <v>160.5</v>
      </c>
      <c r="BS205">
        <v>94506.290017328138</v>
      </c>
      <c r="BT205" t="s">
        <v>82</v>
      </c>
      <c r="BU205">
        <v>160.5</v>
      </c>
      <c r="BV205">
        <v>119.74828656977141</v>
      </c>
      <c r="BW205" s="82">
        <f t="shared" si="72"/>
        <v>-0.19806279154047957</v>
      </c>
      <c r="BX205">
        <v>160.5</v>
      </c>
      <c r="BY205">
        <v>91289.421803604288</v>
      </c>
      <c r="BZ205" t="s">
        <v>82</v>
      </c>
      <c r="CA205">
        <v>160.5</v>
      </c>
      <c r="CB205">
        <v>119.48449219912455</v>
      </c>
      <c r="CC205" s="82">
        <f t="shared" si="73"/>
        <v>-0.18775363095824105</v>
      </c>
      <c r="CD205">
        <v>160.5</v>
      </c>
      <c r="CE205">
        <v>88433.346119673719</v>
      </c>
      <c r="CF205" t="s">
        <v>82</v>
      </c>
      <c r="CG205">
        <v>160.5</v>
      </c>
      <c r="CH205">
        <v>119.22913456099786</v>
      </c>
      <c r="CI205" s="82">
        <f t="shared" si="74"/>
        <v>-0.17822401701691604</v>
      </c>
      <c r="CJ205">
        <v>160.5</v>
      </c>
      <c r="CK205">
        <v>85898.432848105047</v>
      </c>
      <c r="CL205" t="s">
        <v>82</v>
      </c>
      <c r="CM205">
        <v>160.5</v>
      </c>
      <c r="CN205">
        <v>118.98084034001739</v>
      </c>
      <c r="CO205" s="82">
        <f t="shared" si="75"/>
        <v>-0.16938759506335543</v>
      </c>
      <c r="CP205">
        <v>160.5</v>
      </c>
      <c r="CQ205">
        <v>83653.609961247712</v>
      </c>
      <c r="CR205" t="s">
        <v>82</v>
      </c>
      <c r="CS205">
        <v>160.5</v>
      </c>
      <c r="CT205">
        <v>118.73900602672494</v>
      </c>
      <c r="CU205" s="82">
        <f t="shared" si="76"/>
        <v>-0.16117684570311042</v>
      </c>
      <c r="CV205">
        <v>160.5</v>
      </c>
      <c r="CW205">
        <v>81673.990766224844</v>
      </c>
      <c r="CX205" t="s">
        <v>82</v>
      </c>
      <c r="CY205">
        <v>160.5</v>
      </c>
      <c r="CZ205">
        <v>118.4907199284106</v>
      </c>
      <c r="DA205" s="82">
        <f t="shared" si="77"/>
        <v>-0.15338262040579309</v>
      </c>
      <c r="DB205">
        <v>160.5</v>
      </c>
      <c r="DC205">
        <v>79906.575272170681</v>
      </c>
      <c r="DD205" t="s">
        <v>82</v>
      </c>
      <c r="DG205" s="82">
        <f t="shared" si="78"/>
        <v>0</v>
      </c>
      <c r="DM205" s="82">
        <f t="shared" si="79"/>
        <v>0</v>
      </c>
    </row>
    <row r="206" spans="1:117" x14ac:dyDescent="0.2">
      <c r="A206">
        <v>161.5</v>
      </c>
      <c r="B206">
        <v>121.3528913682843</v>
      </c>
      <c r="C206" s="82">
        <f t="shared" si="60"/>
        <v>-0.37868912723644144</v>
      </c>
      <c r="D206">
        <v>161.5</v>
      </c>
      <c r="E206">
        <v>150516.74578070239</v>
      </c>
      <c r="F206" t="s">
        <v>82</v>
      </c>
      <c r="G206">
        <v>161.5</v>
      </c>
      <c r="H206">
        <v>121.32856054549291</v>
      </c>
      <c r="I206" s="82">
        <f t="shared" si="61"/>
        <v>-0.35913603977880371</v>
      </c>
      <c r="J206">
        <v>161.5</v>
      </c>
      <c r="K206">
        <v>143677.8130475879</v>
      </c>
      <c r="L206" t="s">
        <v>82</v>
      </c>
      <c r="M206">
        <v>161.5</v>
      </c>
      <c r="N206">
        <v>121.27871903337642</v>
      </c>
      <c r="O206" s="82">
        <f t="shared" si="62"/>
        <v>-0.34059590927164152</v>
      </c>
      <c r="P206">
        <v>161.5</v>
      </c>
      <c r="Q206">
        <v>137247.48412949842</v>
      </c>
      <c r="R206" t="s">
        <v>82</v>
      </c>
      <c r="S206">
        <v>161.5</v>
      </c>
      <c r="T206">
        <v>121.20385473362428</v>
      </c>
      <c r="U206" s="82">
        <f t="shared" si="63"/>
        <v>-0.32300235258271925</v>
      </c>
      <c r="V206">
        <v>161.5</v>
      </c>
      <c r="W206">
        <v>131203.67206466949</v>
      </c>
      <c r="X206" t="s">
        <v>82</v>
      </c>
      <c r="Y206">
        <v>161.5</v>
      </c>
      <c r="Z206">
        <v>121.10547710719176</v>
      </c>
      <c r="AA206" s="82">
        <f t="shared" si="64"/>
        <v>-0.30630717935139273</v>
      </c>
      <c r="AB206">
        <v>161.5</v>
      </c>
      <c r="AC206">
        <v>125530.60404463657</v>
      </c>
      <c r="AD206" t="s">
        <v>82</v>
      </c>
      <c r="AE206">
        <v>161.5</v>
      </c>
      <c r="AF206">
        <v>120.98442043438779</v>
      </c>
      <c r="AG206" s="82">
        <f t="shared" si="65"/>
        <v>-0.29046518717986203</v>
      </c>
      <c r="AH206">
        <v>161.5</v>
      </c>
      <c r="AI206">
        <v>120213.60875478934</v>
      </c>
      <c r="AJ206" t="s">
        <v>82</v>
      </c>
      <c r="AK206">
        <v>161.5</v>
      </c>
      <c r="AL206">
        <v>120.84156417544834</v>
      </c>
      <c r="AM206" s="82">
        <f t="shared" si="66"/>
        <v>-0.27541915086602842</v>
      </c>
      <c r="AN206">
        <v>161.5</v>
      </c>
      <c r="AO206">
        <v>115234.15623801049</v>
      </c>
      <c r="AP206" t="s">
        <v>82</v>
      </c>
      <c r="AQ206">
        <v>161.5</v>
      </c>
      <c r="AR206">
        <v>120.67685454957012</v>
      </c>
      <c r="AS206" s="82">
        <f t="shared" si="67"/>
        <v>-0.26108794250335166</v>
      </c>
      <c r="AT206">
        <v>161.5</v>
      </c>
      <c r="AU206">
        <v>110566.50828017996</v>
      </c>
      <c r="AV206" t="s">
        <v>82</v>
      </c>
      <c r="AW206">
        <v>161.5</v>
      </c>
      <c r="AX206">
        <v>120.49152800165838</v>
      </c>
      <c r="AY206" s="82">
        <f t="shared" si="68"/>
        <v>-0.24744732431645389</v>
      </c>
      <c r="AZ206">
        <v>161.5</v>
      </c>
      <c r="BA206">
        <v>106204.06759626657</v>
      </c>
      <c r="BB206" t="s">
        <v>82</v>
      </c>
      <c r="BC206">
        <v>161.5</v>
      </c>
      <c r="BD206">
        <v>120.28632755539105</v>
      </c>
      <c r="BE206" s="82">
        <f t="shared" si="69"/>
        <v>-0.23444972066373282</v>
      </c>
      <c r="BF206">
        <v>161.5</v>
      </c>
      <c r="BG206">
        <v>102133.0748730029</v>
      </c>
      <c r="BH206" t="s">
        <v>82</v>
      </c>
      <c r="BI206">
        <v>161.5</v>
      </c>
      <c r="BJ206">
        <v>120.05984075388869</v>
      </c>
      <c r="BK206" s="82">
        <f t="shared" si="70"/>
        <v>-0.22202745880213115</v>
      </c>
      <c r="BL206">
        <v>161.5</v>
      </c>
      <c r="BM206">
        <v>98334.740076602873</v>
      </c>
      <c r="BN206" t="s">
        <v>82</v>
      </c>
      <c r="BO206">
        <v>161.5</v>
      </c>
      <c r="BP206">
        <v>119.81269852936326</v>
      </c>
      <c r="BQ206" s="82">
        <f t="shared" si="71"/>
        <v>-0.21014504120383037</v>
      </c>
      <c r="BR206">
        <v>161.5</v>
      </c>
      <c r="BS206">
        <v>94801.225275136079</v>
      </c>
      <c r="BT206" t="s">
        <v>82</v>
      </c>
      <c r="BU206">
        <v>161.5</v>
      </c>
      <c r="BV206">
        <v>119.54944168468741</v>
      </c>
      <c r="BW206" s="82">
        <f t="shared" si="72"/>
        <v>-0.19884488508400011</v>
      </c>
      <c r="BX206">
        <v>161.5</v>
      </c>
      <c r="BY206">
        <v>91547.364818922084</v>
      </c>
      <c r="BZ206" t="s">
        <v>82</v>
      </c>
      <c r="CA206">
        <v>161.5</v>
      </c>
      <c r="CB206">
        <v>119.2960429624558</v>
      </c>
      <c r="CC206" s="82">
        <f t="shared" si="73"/>
        <v>-0.18844923666874536</v>
      </c>
      <c r="CD206">
        <v>161.5</v>
      </c>
      <c r="CE206">
        <v>88659.391766118002</v>
      </c>
      <c r="CF206" t="s">
        <v>82</v>
      </c>
      <c r="CG206">
        <v>161.5</v>
      </c>
      <c r="CH206">
        <v>119.05029005195642</v>
      </c>
      <c r="CI206" s="82">
        <f t="shared" si="74"/>
        <v>-0.17884450904143989</v>
      </c>
      <c r="CJ206">
        <v>161.5</v>
      </c>
      <c r="CK206">
        <v>86096.80582414534</v>
      </c>
      <c r="CL206" t="s">
        <v>82</v>
      </c>
      <c r="CM206">
        <v>161.5</v>
      </c>
      <c r="CN206">
        <v>118.81089779501671</v>
      </c>
      <c r="CO206" s="82">
        <f t="shared" si="75"/>
        <v>-0.16994254500067996</v>
      </c>
      <c r="CP206">
        <v>161.5</v>
      </c>
      <c r="CQ206">
        <v>83827.86441700031</v>
      </c>
      <c r="CR206" t="s">
        <v>82</v>
      </c>
      <c r="CS206">
        <v>161.5</v>
      </c>
      <c r="CT206">
        <v>118.57733161651868</v>
      </c>
      <c r="CU206" s="82">
        <f t="shared" si="76"/>
        <v>-0.16167441020625972</v>
      </c>
      <c r="CV206">
        <v>161.5</v>
      </c>
      <c r="CW206">
        <v>81827.15404902256</v>
      </c>
      <c r="CX206" t="s">
        <v>82</v>
      </c>
      <c r="CY206">
        <v>161.5</v>
      </c>
      <c r="CZ206">
        <v>118.33689125115279</v>
      </c>
      <c r="DA206" s="82">
        <f t="shared" si="77"/>
        <v>-0.15382867725780613</v>
      </c>
      <c r="DB206">
        <v>161.5</v>
      </c>
      <c r="DC206">
        <v>80040.839365818174</v>
      </c>
      <c r="DD206" t="s">
        <v>82</v>
      </c>
      <c r="DG206" s="82">
        <f t="shared" si="78"/>
        <v>0</v>
      </c>
      <c r="DM206" s="82">
        <f t="shared" si="79"/>
        <v>0</v>
      </c>
    </row>
    <row r="207" spans="1:117" x14ac:dyDescent="0.2">
      <c r="A207">
        <v>162.5</v>
      </c>
      <c r="B207">
        <v>120.97125802676337</v>
      </c>
      <c r="C207" s="82">
        <f t="shared" si="60"/>
        <v>-0.38163334152093853</v>
      </c>
      <c r="D207">
        <v>162.5</v>
      </c>
      <c r="E207">
        <v>151576.5636309438</v>
      </c>
      <c r="F207" t="s">
        <v>82</v>
      </c>
      <c r="G207">
        <v>162.5</v>
      </c>
      <c r="H207">
        <v>120.96675742787237</v>
      </c>
      <c r="I207" s="82">
        <f t="shared" si="61"/>
        <v>-0.36180311762053918</v>
      </c>
      <c r="J207">
        <v>162.5</v>
      </c>
      <c r="K207">
        <v>144634.91072406434</v>
      </c>
      <c r="L207" t="s">
        <v>82</v>
      </c>
      <c r="M207">
        <v>162.5</v>
      </c>
      <c r="N207">
        <v>120.93571381203327</v>
      </c>
      <c r="O207" s="82">
        <f t="shared" si="62"/>
        <v>-0.34300522134314804</v>
      </c>
      <c r="P207">
        <v>162.5</v>
      </c>
      <c r="Q207">
        <v>138108.95675263263</v>
      </c>
      <c r="R207" t="s">
        <v>82</v>
      </c>
      <c r="S207">
        <v>162.5</v>
      </c>
      <c r="T207">
        <v>120.87868134641349</v>
      </c>
      <c r="U207" s="82">
        <f t="shared" si="63"/>
        <v>-0.32517338721079625</v>
      </c>
      <c r="V207">
        <v>162.5</v>
      </c>
      <c r="W207">
        <v>131976.70242569092</v>
      </c>
      <c r="X207" t="s">
        <v>82</v>
      </c>
      <c r="Y207">
        <v>162.5</v>
      </c>
      <c r="Z207">
        <v>120.79721777093664</v>
      </c>
      <c r="AA207" s="82">
        <f t="shared" si="64"/>
        <v>-0.30825933625511936</v>
      </c>
      <c r="AB207">
        <v>162.5</v>
      </c>
      <c r="AC207">
        <v>126222.37388304248</v>
      </c>
      <c r="AD207" t="s">
        <v>82</v>
      </c>
      <c r="AE207">
        <v>162.5</v>
      </c>
      <c r="AF207">
        <v>120.69220313325934</v>
      </c>
      <c r="AG207" s="82">
        <f t="shared" si="65"/>
        <v>-0.29221730112844568</v>
      </c>
      <c r="AH207">
        <v>162.5</v>
      </c>
      <c r="AI207">
        <v>120831.11234823507</v>
      </c>
      <c r="AJ207" t="s">
        <v>82</v>
      </c>
      <c r="AK207">
        <v>162.5</v>
      </c>
      <c r="AL207">
        <v>120.56457512770085</v>
      </c>
      <c r="AM207" s="82">
        <f t="shared" si="66"/>
        <v>-0.27698904774749167</v>
      </c>
      <c r="AN207">
        <v>162.5</v>
      </c>
      <c r="AO207">
        <v>115784.02800551432</v>
      </c>
      <c r="AP207" t="s">
        <v>82</v>
      </c>
      <c r="AQ207">
        <v>162.5</v>
      </c>
      <c r="AR207">
        <v>120.41436259904673</v>
      </c>
      <c r="AS207" s="82">
        <f t="shared" si="67"/>
        <v>-0.26249195052339758</v>
      </c>
      <c r="AT207">
        <v>162.5</v>
      </c>
      <c r="AU207">
        <v>111054.83596308708</v>
      </c>
      <c r="AV207" t="s">
        <v>82</v>
      </c>
      <c r="AW207">
        <v>162.5</v>
      </c>
      <c r="AX207">
        <v>120.2428271072967</v>
      </c>
      <c r="AY207" s="82">
        <f t="shared" si="68"/>
        <v>-0.24870089436167575</v>
      </c>
      <c r="AZ207">
        <v>162.5</v>
      </c>
      <c r="BA207">
        <v>106636.61768366251</v>
      </c>
      <c r="BB207" t="s">
        <v>82</v>
      </c>
      <c r="BC207">
        <v>162.5</v>
      </c>
      <c r="BD207">
        <v>120.05076047832098</v>
      </c>
      <c r="BE207" s="82">
        <f t="shared" si="69"/>
        <v>-0.23556707707007263</v>
      </c>
      <c r="BF207">
        <v>162.5</v>
      </c>
      <c r="BG207">
        <v>102515.16041779904</v>
      </c>
      <c r="BH207" t="s">
        <v>82</v>
      </c>
      <c r="BI207">
        <v>162.5</v>
      </c>
      <c r="BJ207">
        <v>119.83681941031678</v>
      </c>
      <c r="BK207" s="82">
        <f t="shared" si="70"/>
        <v>-0.22302134357191505</v>
      </c>
      <c r="BL207">
        <v>162.5</v>
      </c>
      <c r="BM207">
        <v>98671.125670602574</v>
      </c>
      <c r="BN207" t="s">
        <v>82</v>
      </c>
      <c r="BO207">
        <v>162.5</v>
      </c>
      <c r="BP207">
        <v>119.60167134819433</v>
      </c>
      <c r="BQ207" s="82">
        <f t="shared" si="71"/>
        <v>-0.21102718116893016</v>
      </c>
      <c r="BR207">
        <v>162.5</v>
      </c>
      <c r="BS207">
        <v>95096.297837815509</v>
      </c>
      <c r="BT207" t="s">
        <v>82</v>
      </c>
      <c r="BU207">
        <v>162.5</v>
      </c>
      <c r="BV207">
        <v>119.34981492402213</v>
      </c>
      <c r="BW207" s="82">
        <f t="shared" si="72"/>
        <v>-0.19962676066528218</v>
      </c>
      <c r="BX207">
        <v>162.5</v>
      </c>
      <c r="BY207">
        <v>91805.415037728162</v>
      </c>
      <c r="BZ207" t="s">
        <v>82</v>
      </c>
      <c r="CA207">
        <v>162.5</v>
      </c>
      <c r="CB207">
        <v>119.10689837692013</v>
      </c>
      <c r="CC207" s="82">
        <f t="shared" si="73"/>
        <v>-0.18914458553567215</v>
      </c>
      <c r="CD207">
        <v>162.5</v>
      </c>
      <c r="CE207">
        <v>88885.523194927955</v>
      </c>
      <c r="CF207" t="s">
        <v>82</v>
      </c>
      <c r="CG207">
        <v>162.5</v>
      </c>
      <c r="CH207">
        <v>118.8708253299563</v>
      </c>
      <c r="CI207" s="82">
        <f t="shared" si="74"/>
        <v>-0.17946472200011954</v>
      </c>
      <c r="CJ207">
        <v>162.5</v>
      </c>
      <c r="CK207">
        <v>86295.249540579971</v>
      </c>
      <c r="CL207" t="s">
        <v>82</v>
      </c>
      <c r="CM207">
        <v>162.5</v>
      </c>
      <c r="CN207">
        <v>118.64040058941968</v>
      </c>
      <c r="CO207" s="82">
        <f t="shared" si="75"/>
        <v>-0.17049720559703019</v>
      </c>
      <c r="CP207">
        <v>162.5</v>
      </c>
      <c r="CQ207">
        <v>84002.179231015034</v>
      </c>
      <c r="CR207" t="s">
        <v>82</v>
      </c>
      <c r="CS207">
        <v>162.5</v>
      </c>
      <c r="CT207">
        <v>118.41515993286858</v>
      </c>
      <c r="CU207" s="82">
        <f t="shared" si="76"/>
        <v>-0.16217168365010082</v>
      </c>
      <c r="CV207">
        <v>162.5</v>
      </c>
      <c r="CW207">
        <v>81980.370739721286</v>
      </c>
      <c r="CX207" t="s">
        <v>82</v>
      </c>
      <c r="CY207">
        <v>162.5</v>
      </c>
      <c r="CZ207">
        <v>118.18261680489128</v>
      </c>
      <c r="DA207" s="82">
        <f t="shared" si="77"/>
        <v>-0.15427444626151043</v>
      </c>
      <c r="DB207">
        <v>162.5</v>
      </c>
      <c r="DC207">
        <v>80175.151914392554</v>
      </c>
      <c r="DD207" t="s">
        <v>82</v>
      </c>
      <c r="DG207" s="82">
        <f t="shared" si="78"/>
        <v>0</v>
      </c>
      <c r="DM207" s="82">
        <f t="shared" si="79"/>
        <v>0</v>
      </c>
    </row>
    <row r="208" spans="1:117" x14ac:dyDescent="0.2">
      <c r="A208">
        <v>163.5</v>
      </c>
      <c r="B208">
        <v>120.586684938882</v>
      </c>
      <c r="C208" s="82">
        <f t="shared" si="60"/>
        <v>-0.38457308788136402</v>
      </c>
      <c r="D208">
        <v>163.5</v>
      </c>
      <c r="E208">
        <v>152634.83576746646</v>
      </c>
      <c r="F208" t="s">
        <v>82</v>
      </c>
      <c r="G208">
        <v>163.5</v>
      </c>
      <c r="H208">
        <v>120.60228970681858</v>
      </c>
      <c r="I208" s="82">
        <f t="shared" si="61"/>
        <v>-0.364467721053785</v>
      </c>
      <c r="J208">
        <v>163.5</v>
      </c>
      <c r="K208">
        <v>145591.24797776598</v>
      </c>
      <c r="L208" t="s">
        <v>82</v>
      </c>
      <c r="M208">
        <v>163.5</v>
      </c>
      <c r="N208">
        <v>120.59030051906025</v>
      </c>
      <c r="O208" s="82">
        <f t="shared" si="62"/>
        <v>-0.3454132929730207</v>
      </c>
      <c r="P208">
        <v>163.5</v>
      </c>
      <c r="Q208">
        <v>138970.15700053301</v>
      </c>
      <c r="R208" t="s">
        <v>82</v>
      </c>
      <c r="S208">
        <v>163.5</v>
      </c>
      <c r="T208">
        <v>120.55133745235192</v>
      </c>
      <c r="U208" s="82">
        <f t="shared" si="63"/>
        <v>-0.3273438940615705</v>
      </c>
      <c r="V208">
        <v>163.5</v>
      </c>
      <c r="W208">
        <v>132749.7435256812</v>
      </c>
      <c r="X208" t="s">
        <v>82</v>
      </c>
      <c r="Y208">
        <v>163.5</v>
      </c>
      <c r="Z208">
        <v>120.48700643443044</v>
      </c>
      <c r="AA208" s="82">
        <f t="shared" si="64"/>
        <v>-0.31021133650619959</v>
      </c>
      <c r="AB208">
        <v>163.5</v>
      </c>
      <c r="AC208">
        <v>126914.30247540916</v>
      </c>
      <c r="AD208" t="s">
        <v>82</v>
      </c>
      <c r="AE208">
        <v>163.5</v>
      </c>
      <c r="AF208">
        <v>120.39823371718816</v>
      </c>
      <c r="AG208" s="82">
        <f t="shared" si="65"/>
        <v>-0.2939694160711781</v>
      </c>
      <c r="AH208">
        <v>163.5</v>
      </c>
      <c r="AI208">
        <v>121448.83759228722</v>
      </c>
      <c r="AJ208" t="s">
        <v>82</v>
      </c>
      <c r="AK208">
        <v>163.5</v>
      </c>
      <c r="AL208">
        <v>120.28601614861607</v>
      </c>
      <c r="AM208" s="82">
        <f t="shared" si="66"/>
        <v>-0.278558979084778</v>
      </c>
      <c r="AN208">
        <v>163.5</v>
      </c>
      <c r="AO208">
        <v>116334.13412226696</v>
      </c>
      <c r="AP208" t="s">
        <v>82</v>
      </c>
      <c r="AQ208">
        <v>163.5</v>
      </c>
      <c r="AR208">
        <v>120.15046663873279</v>
      </c>
      <c r="AS208" s="82">
        <f t="shared" si="67"/>
        <v>-0.26389596031393125</v>
      </c>
      <c r="AT208">
        <v>163.5</v>
      </c>
      <c r="AU208">
        <v>111543.38341242794</v>
      </c>
      <c r="AV208" t="s">
        <v>82</v>
      </c>
      <c r="AW208">
        <v>163.5</v>
      </c>
      <c r="AX208">
        <v>119.99287270312409</v>
      </c>
      <c r="AY208" s="82">
        <f t="shared" si="68"/>
        <v>-0.2499544041726125</v>
      </c>
      <c r="AZ208">
        <v>163.5</v>
      </c>
      <c r="BA208">
        <v>107069.3602118843</v>
      </c>
      <c r="BB208" t="s">
        <v>82</v>
      </c>
      <c r="BC208">
        <v>163.5</v>
      </c>
      <c r="BD208">
        <v>119.81407617461818</v>
      </c>
      <c r="BE208" s="82">
        <f t="shared" si="69"/>
        <v>-0.23668430370280191</v>
      </c>
      <c r="BF208">
        <v>163.5</v>
      </c>
      <c r="BG208">
        <v>102897.40704255768</v>
      </c>
      <c r="BH208" t="s">
        <v>82</v>
      </c>
      <c r="BI208">
        <v>163.5</v>
      </c>
      <c r="BJ208">
        <v>119.61280437785598</v>
      </c>
      <c r="BK208" s="82">
        <f t="shared" si="70"/>
        <v>-0.22401503246079812</v>
      </c>
      <c r="BL208">
        <v>163.5</v>
      </c>
      <c r="BM208">
        <v>99007.641459853839</v>
      </c>
      <c r="BN208" t="s">
        <v>82</v>
      </c>
      <c r="BO208">
        <v>163.5</v>
      </c>
      <c r="BP208">
        <v>119.38976227920594</v>
      </c>
      <c r="BQ208" s="82">
        <f t="shared" si="71"/>
        <v>-0.21190906898839046</v>
      </c>
      <c r="BR208">
        <v>163.5</v>
      </c>
      <c r="BS208">
        <v>95391.472872543571</v>
      </c>
      <c r="BT208" t="s">
        <v>82</v>
      </c>
      <c r="BU208">
        <v>163.5</v>
      </c>
      <c r="BV208">
        <v>119.14940658266988</v>
      </c>
      <c r="BW208" s="82">
        <f t="shared" si="72"/>
        <v>-0.20040834135224372</v>
      </c>
      <c r="BX208">
        <v>163.5</v>
      </c>
      <c r="BY208">
        <v>92063.544714542018</v>
      </c>
      <c r="BZ208" t="s">
        <v>82</v>
      </c>
      <c r="CA208">
        <v>163.5</v>
      </c>
      <c r="CB208">
        <v>118.91705876122421</v>
      </c>
      <c r="CC208" s="82">
        <f t="shared" si="73"/>
        <v>-0.18983961569591656</v>
      </c>
      <c r="CD208">
        <v>163.5</v>
      </c>
      <c r="CE208">
        <v>89111.718191273452</v>
      </c>
      <c r="CF208" t="s">
        <v>82</v>
      </c>
      <c r="CG208">
        <v>163.5</v>
      </c>
      <c r="CH208">
        <v>118.69074072410162</v>
      </c>
      <c r="CI208" s="82">
        <f t="shared" si="74"/>
        <v>-0.18008460585468811</v>
      </c>
      <c r="CJ208">
        <v>163.5</v>
      </c>
      <c r="CK208">
        <v>86493.746110432694</v>
      </c>
      <c r="CL208" t="s">
        <v>82</v>
      </c>
      <c r="CM208">
        <v>163.5</v>
      </c>
      <c r="CN208">
        <v>118.46934905324292</v>
      </c>
      <c r="CO208" s="82">
        <f t="shared" si="75"/>
        <v>-0.17105153617676194</v>
      </c>
      <c r="CP208">
        <v>163.5</v>
      </c>
      <c r="CQ208">
        <v>84176.539922363751</v>
      </c>
      <c r="CR208" t="s">
        <v>82</v>
      </c>
      <c r="CS208">
        <v>163.5</v>
      </c>
      <c r="CT208">
        <v>118.25249130004966</v>
      </c>
      <c r="CU208" s="82">
        <f t="shared" si="76"/>
        <v>-0.16266863281892086</v>
      </c>
      <c r="CV208">
        <v>163.5</v>
      </c>
      <c r="CW208">
        <v>82133.629071066011</v>
      </c>
      <c r="CX208" t="s">
        <v>82</v>
      </c>
      <c r="CY208">
        <v>163.5</v>
      </c>
      <c r="CZ208">
        <v>118.02789690461584</v>
      </c>
      <c r="DA208" s="82">
        <f t="shared" si="77"/>
        <v>-0.15471990027543825</v>
      </c>
      <c r="DB208">
        <v>163.5</v>
      </c>
      <c r="DC208">
        <v>80309.503333938526</v>
      </c>
      <c r="DD208" t="s">
        <v>82</v>
      </c>
      <c r="DG208" s="82">
        <f t="shared" si="78"/>
        <v>0</v>
      </c>
      <c r="DM208" s="82">
        <f t="shared" si="79"/>
        <v>0</v>
      </c>
    </row>
    <row r="209" spans="1:117" x14ac:dyDescent="0.2">
      <c r="A209">
        <v>164.5</v>
      </c>
      <c r="B209">
        <v>120.19917800708201</v>
      </c>
      <c r="C209" s="82">
        <f t="shared" si="60"/>
        <v>-0.38750693179999018</v>
      </c>
      <c r="D209">
        <v>164.5</v>
      </c>
      <c r="E209">
        <v>153691.02126288056</v>
      </c>
      <c r="F209" t="s">
        <v>82</v>
      </c>
      <c r="G209">
        <v>164.5</v>
      </c>
      <c r="H209">
        <v>120.23516094842651</v>
      </c>
      <c r="I209" s="82">
        <f t="shared" si="61"/>
        <v>-0.36712875839207015</v>
      </c>
      <c r="J209">
        <v>164.5</v>
      </c>
      <c r="K209">
        <v>146546.4144007398</v>
      </c>
      <c r="L209" t="s">
        <v>82</v>
      </c>
      <c r="M209">
        <v>164.5</v>
      </c>
      <c r="N209">
        <v>120.24248122864913</v>
      </c>
      <c r="O209" s="82">
        <f t="shared" si="62"/>
        <v>-0.34781929041112392</v>
      </c>
      <c r="P209">
        <v>164.5</v>
      </c>
      <c r="Q209">
        <v>139830.77248377202</v>
      </c>
      <c r="R209" t="s">
        <v>82</v>
      </c>
      <c r="S209">
        <v>164.5</v>
      </c>
      <c r="T209">
        <v>120.22182421980425</v>
      </c>
      <c r="U209" s="82">
        <f t="shared" si="63"/>
        <v>-0.32951323254766862</v>
      </c>
      <c r="V209">
        <v>164.5</v>
      </c>
      <c r="W209">
        <v>133522.55622825091</v>
      </c>
      <c r="X209" t="s">
        <v>82</v>
      </c>
      <c r="Y209">
        <v>164.5</v>
      </c>
      <c r="Z209">
        <v>120.17484375033557</v>
      </c>
      <c r="AA209" s="82">
        <f t="shared" si="64"/>
        <v>-0.31216268409487213</v>
      </c>
      <c r="AB209">
        <v>164.5</v>
      </c>
      <c r="AC209">
        <v>127606.20537452758</v>
      </c>
      <c r="AD209" t="s">
        <v>82</v>
      </c>
      <c r="AE209">
        <v>164.5</v>
      </c>
      <c r="AF209">
        <v>120.10251257257586</v>
      </c>
      <c r="AG209" s="82">
        <f t="shared" si="65"/>
        <v>-0.29572114461230115</v>
      </c>
      <c r="AH209">
        <v>164.5</v>
      </c>
      <c r="AI209">
        <v>122066.64098293737</v>
      </c>
      <c r="AJ209" t="s">
        <v>82</v>
      </c>
      <c r="AK209">
        <v>164.5</v>
      </c>
      <c r="AL209">
        <v>120.00588750874385</v>
      </c>
      <c r="AM209" s="82">
        <f t="shared" si="66"/>
        <v>-0.28012863987221692</v>
      </c>
      <c r="AN209">
        <v>164.5</v>
      </c>
      <c r="AO209">
        <v>116884.36206775616</v>
      </c>
      <c r="AP209" t="s">
        <v>82</v>
      </c>
      <c r="AQ209">
        <v>164.5</v>
      </c>
      <c r="AR209">
        <v>119.88516690850022</v>
      </c>
      <c r="AS209" s="82">
        <f t="shared" si="67"/>
        <v>-0.26529973023257014</v>
      </c>
      <c r="AT209">
        <v>164.5</v>
      </c>
      <c r="AU209">
        <v>112032.06181392784</v>
      </c>
      <c r="AV209" t="s">
        <v>82</v>
      </c>
      <c r="AW209">
        <v>164.5</v>
      </c>
      <c r="AX209">
        <v>119.74166504174299</v>
      </c>
      <c r="AY209" s="82">
        <f t="shared" si="68"/>
        <v>-0.25120766138110184</v>
      </c>
      <c r="AZ209">
        <v>164.5</v>
      </c>
      <c r="BA209">
        <v>107502.22473083227</v>
      </c>
      <c r="BB209" t="s">
        <v>82</v>
      </c>
      <c r="BC209">
        <v>164.5</v>
      </c>
      <c r="BD209">
        <v>119.57627492762866</v>
      </c>
      <c r="BE209" s="82">
        <f t="shared" si="69"/>
        <v>-0.23780124698951965</v>
      </c>
      <c r="BF209">
        <v>164.5</v>
      </c>
      <c r="BG209">
        <v>103279.75873091297</v>
      </c>
      <c r="BH209" t="s">
        <v>82</v>
      </c>
      <c r="BI209">
        <v>164.5</v>
      </c>
      <c r="BJ209">
        <v>119.38779597507695</v>
      </c>
      <c r="BK209" s="82">
        <f t="shared" si="70"/>
        <v>-0.22500840277902512</v>
      </c>
      <c r="BL209">
        <v>164.5</v>
      </c>
      <c r="BM209">
        <v>99344.24287456309</v>
      </c>
      <c r="BN209" t="s">
        <v>82</v>
      </c>
      <c r="BO209">
        <v>164.5</v>
      </c>
      <c r="BP209">
        <v>119.17697167249197</v>
      </c>
      <c r="BQ209" s="82">
        <f t="shared" si="71"/>
        <v>-0.21279060671396621</v>
      </c>
      <c r="BR209">
        <v>164.5</v>
      </c>
      <c r="BS209">
        <v>95686.714912001946</v>
      </c>
      <c r="BT209" t="s">
        <v>82</v>
      </c>
      <c r="BU209">
        <v>164.5</v>
      </c>
      <c r="BV209">
        <v>118.94821703368059</v>
      </c>
      <c r="BW209" s="82">
        <f t="shared" si="72"/>
        <v>-0.20118954898929076</v>
      </c>
      <c r="BX209">
        <v>164.5</v>
      </c>
      <c r="BY209">
        <v>92321.725666937928</v>
      </c>
      <c r="BZ209" t="s">
        <v>82</v>
      </c>
      <c r="CA209">
        <v>164.5</v>
      </c>
      <c r="CB209">
        <v>118.72652449686807</v>
      </c>
      <c r="CC209" s="82">
        <f t="shared" si="73"/>
        <v>-0.1905342643561454</v>
      </c>
      <c r="CD209">
        <v>164.5</v>
      </c>
      <c r="CE209">
        <v>89337.954223868306</v>
      </c>
      <c r="CF209" t="s">
        <v>82</v>
      </c>
      <c r="CG209">
        <v>164.5</v>
      </c>
      <c r="CH209">
        <v>118.51003661424386</v>
      </c>
      <c r="CI209" s="82">
        <f t="shared" si="74"/>
        <v>-0.18070410985775709</v>
      </c>
      <c r="CJ209">
        <v>164.5</v>
      </c>
      <c r="CK209">
        <v>86692.277382868037</v>
      </c>
      <c r="CL209" t="s">
        <v>82</v>
      </c>
      <c r="CM209">
        <v>164.5</v>
      </c>
      <c r="CN209">
        <v>118.29774355771853</v>
      </c>
      <c r="CO209" s="82">
        <f t="shared" si="75"/>
        <v>-0.17160549552438908</v>
      </c>
      <c r="CP209">
        <v>164.5</v>
      </c>
      <c r="CQ209">
        <v>84350.931816524084</v>
      </c>
      <c r="CR209" t="s">
        <v>82</v>
      </c>
      <c r="CS209">
        <v>164.5</v>
      </c>
      <c r="CT209">
        <v>118.08932607597404</v>
      </c>
      <c r="CU209" s="82">
        <f t="shared" si="76"/>
        <v>-0.16316522407561251</v>
      </c>
      <c r="CV209">
        <v>164.5</v>
      </c>
      <c r="CW209">
        <v>82286.917116284676</v>
      </c>
      <c r="CX209" t="s">
        <v>82</v>
      </c>
      <c r="CY209">
        <v>164.5</v>
      </c>
      <c r="CZ209">
        <v>117.87273189277099</v>
      </c>
      <c r="DA209" s="82">
        <f t="shared" si="77"/>
        <v>-0.15516501184485776</v>
      </c>
      <c r="DB209">
        <v>164.5</v>
      </c>
      <c r="DC209">
        <v>80443.883958651568</v>
      </c>
      <c r="DD209" t="s">
        <v>82</v>
      </c>
      <c r="DG209" s="82">
        <f t="shared" si="78"/>
        <v>0</v>
      </c>
      <c r="DM209" s="82">
        <f t="shared" si="79"/>
        <v>0</v>
      </c>
    </row>
    <row r="210" spans="1:117" x14ac:dyDescent="0.2">
      <c r="A210">
        <v>165.5</v>
      </c>
      <c r="B210">
        <v>119.80874463146542</v>
      </c>
      <c r="C210" s="82">
        <f t="shared" si="60"/>
        <v>-0.39043337561659541</v>
      </c>
      <c r="D210">
        <v>165.5</v>
      </c>
      <c r="E210">
        <v>154744.55518790163</v>
      </c>
      <c r="F210" t="s">
        <v>82</v>
      </c>
      <c r="G210">
        <v>165.5</v>
      </c>
      <c r="H210">
        <v>119.86537585547011</v>
      </c>
      <c r="I210" s="82">
        <f t="shared" si="61"/>
        <v>-0.36978509295640549</v>
      </c>
      <c r="J210">
        <v>165.5</v>
      </c>
      <c r="K210">
        <v>147499.98247246983</v>
      </c>
      <c r="L210" t="s">
        <v>82</v>
      </c>
      <c r="M210">
        <v>165.5</v>
      </c>
      <c r="N210">
        <v>119.89225888042945</v>
      </c>
      <c r="O210" s="82">
        <f t="shared" si="62"/>
        <v>-0.35022234821967402</v>
      </c>
      <c r="P210">
        <v>165.5</v>
      </c>
      <c r="Q210">
        <v>140690.47881219734</v>
      </c>
      <c r="R210" t="s">
        <v>82</v>
      </c>
      <c r="S210">
        <v>165.5</v>
      </c>
      <c r="T210">
        <v>119.89014347988005</v>
      </c>
      <c r="U210" s="82">
        <f t="shared" si="63"/>
        <v>-0.33168073992419522</v>
      </c>
      <c r="V210">
        <v>165.5</v>
      </c>
      <c r="W210">
        <v>134294.89304723739</v>
      </c>
      <c r="X210" t="s">
        <v>82</v>
      </c>
      <c r="Y210">
        <v>165.5</v>
      </c>
      <c r="Z210">
        <v>119.86073088280823</v>
      </c>
      <c r="AA210" s="82">
        <f t="shared" si="64"/>
        <v>-0.31411286752734213</v>
      </c>
      <c r="AB210">
        <v>165.5</v>
      </c>
      <c r="AC210">
        <v>128297.89232635035</v>
      </c>
      <c r="AD210" t="s">
        <v>82</v>
      </c>
      <c r="AE210">
        <v>165.5</v>
      </c>
      <c r="AF210">
        <v>119.80504048409541</v>
      </c>
      <c r="AG210" s="82">
        <f t="shared" si="65"/>
        <v>-0.29747208848044693</v>
      </c>
      <c r="AH210">
        <v>165.5</v>
      </c>
      <c r="AI210">
        <v>122684.37495863119</v>
      </c>
      <c r="AJ210" t="s">
        <v>82</v>
      </c>
      <c r="AK210">
        <v>165.5</v>
      </c>
      <c r="AL210">
        <v>119.72418979136971</v>
      </c>
      <c r="AM210" s="82">
        <f t="shared" si="66"/>
        <v>-0.28169771737414351</v>
      </c>
      <c r="AN210">
        <v>165.5</v>
      </c>
      <c r="AO210">
        <v>117434.59641823873</v>
      </c>
      <c r="AP210" t="s">
        <v>82</v>
      </c>
      <c r="AQ210">
        <v>165.5</v>
      </c>
      <c r="AR210">
        <v>119.61846389540666</v>
      </c>
      <c r="AS210" s="82">
        <f t="shared" si="67"/>
        <v>-0.26670301309356148</v>
      </c>
      <c r="AT210">
        <v>165.5</v>
      </c>
      <c r="AU210">
        <v>112520.78027183106</v>
      </c>
      <c r="AV210" t="s">
        <v>82</v>
      </c>
      <c r="AW210">
        <v>165.5</v>
      </c>
      <c r="AX210">
        <v>119.48920457214902</v>
      </c>
      <c r="AY210" s="82">
        <f t="shared" si="68"/>
        <v>-0.25246046959397006</v>
      </c>
      <c r="AZ210">
        <v>165.5</v>
      </c>
      <c r="BA210">
        <v>107935.13929733177</v>
      </c>
      <c r="BB210" t="s">
        <v>82</v>
      </c>
      <c r="BC210">
        <v>165.5</v>
      </c>
      <c r="BD210">
        <v>119.33735717723873</v>
      </c>
      <c r="BE210" s="82">
        <f t="shared" si="69"/>
        <v>-0.23891775038993046</v>
      </c>
      <c r="BF210">
        <v>165.5</v>
      </c>
      <c r="BG210">
        <v>103662.15835072433</v>
      </c>
      <c r="BH210" t="s">
        <v>82</v>
      </c>
      <c r="BI210">
        <v>165.5</v>
      </c>
      <c r="BJ210">
        <v>119.16179464543262</v>
      </c>
      <c r="BK210" s="82">
        <f t="shared" si="70"/>
        <v>-0.22600132964433328</v>
      </c>
      <c r="BL210">
        <v>165.5</v>
      </c>
      <c r="BM210">
        <v>99680.884505012131</v>
      </c>
      <c r="BN210" t="s">
        <v>82</v>
      </c>
      <c r="BO210">
        <v>165.5</v>
      </c>
      <c r="BP210">
        <v>118.9632999777165</v>
      </c>
      <c r="BQ210" s="82">
        <f t="shared" si="71"/>
        <v>-0.21367169477547066</v>
      </c>
      <c r="BR210">
        <v>165.5</v>
      </c>
      <c r="BS210">
        <v>95981.987890942284</v>
      </c>
      <c r="BT210" t="s">
        <v>82</v>
      </c>
      <c r="BU210">
        <v>165.5</v>
      </c>
      <c r="BV210">
        <v>118.74624672947797</v>
      </c>
      <c r="BW210" s="82">
        <f t="shared" si="72"/>
        <v>-0.20197030420261797</v>
      </c>
      <c r="BX210">
        <v>165.5</v>
      </c>
      <c r="BY210">
        <v>92579.929271586152</v>
      </c>
      <c r="BZ210" t="s">
        <v>82</v>
      </c>
      <c r="CA210">
        <v>165.5</v>
      </c>
      <c r="CB210">
        <v>118.53529602907625</v>
      </c>
      <c r="CC210" s="82">
        <f t="shared" si="73"/>
        <v>-0.19122846779181657</v>
      </c>
      <c r="CD210">
        <v>165.5</v>
      </c>
      <c r="CE210">
        <v>89564.208386483529</v>
      </c>
      <c r="CF210" t="s">
        <v>82</v>
      </c>
      <c r="CG210">
        <v>165.5</v>
      </c>
      <c r="CH210">
        <v>118.32871343167723</v>
      </c>
      <c r="CI210" s="82">
        <f t="shared" si="74"/>
        <v>-0.18132318256662927</v>
      </c>
      <c r="CJ210">
        <v>165.5</v>
      </c>
      <c r="CK210">
        <v>86890.824968898713</v>
      </c>
      <c r="CL210" t="s">
        <v>82</v>
      </c>
      <c r="CM210">
        <v>165.5</v>
      </c>
      <c r="CN210">
        <v>118.12558451583867</v>
      </c>
      <c r="CO210" s="82">
        <f t="shared" si="75"/>
        <v>-0.17215904187986553</v>
      </c>
      <c r="CP210">
        <v>165.5</v>
      </c>
      <c r="CQ210">
        <v>84525.34005821067</v>
      </c>
      <c r="CR210" t="s">
        <v>82</v>
      </c>
      <c r="CS210">
        <v>165.5</v>
      </c>
      <c r="CT210">
        <v>117.92566465261541</v>
      </c>
      <c r="CU210" s="82">
        <f t="shared" si="76"/>
        <v>-0.16366142335863287</v>
      </c>
      <c r="CV210">
        <v>165.5</v>
      </c>
      <c r="CW210">
        <v>82440.22281755085</v>
      </c>
      <c r="CX210" t="s">
        <v>82</v>
      </c>
      <c r="CY210">
        <v>165.5</v>
      </c>
      <c r="CZ210">
        <v>117.71712213959769</v>
      </c>
      <c r="DA210" s="82">
        <f t="shared" si="77"/>
        <v>-0.15560975317329451</v>
      </c>
      <c r="DB210">
        <v>165.5</v>
      </c>
      <c r="DC210">
        <v>80578.283967737356</v>
      </c>
      <c r="DD210" t="s">
        <v>82</v>
      </c>
      <c r="DG210" s="82">
        <f t="shared" si="78"/>
        <v>0</v>
      </c>
      <c r="DM210" s="82">
        <f t="shared" si="79"/>
        <v>0</v>
      </c>
    </row>
    <row r="211" spans="1:117" x14ac:dyDescent="0.2">
      <c r="A211">
        <v>166.5</v>
      </c>
      <c r="B211">
        <v>119.41539377583906</v>
      </c>
      <c r="C211" s="82">
        <f t="shared" si="60"/>
        <v>-0.39335085562635186</v>
      </c>
      <c r="D211">
        <v>166.5</v>
      </c>
      <c r="E211">
        <v>155794.84744658059</v>
      </c>
      <c r="F211" t="s">
        <v>82</v>
      </c>
      <c r="G211">
        <v>166.5</v>
      </c>
      <c r="H211">
        <v>119.49294031433733</v>
      </c>
      <c r="I211" s="82">
        <f t="shared" si="61"/>
        <v>-0.37243554113277355</v>
      </c>
      <c r="J211">
        <v>166.5</v>
      </c>
      <c r="K211">
        <v>148451.50683741042</v>
      </c>
      <c r="L211" t="s">
        <v>82</v>
      </c>
      <c r="M211">
        <v>166.5</v>
      </c>
      <c r="N211">
        <v>119.53963731240491</v>
      </c>
      <c r="O211" s="82">
        <f t="shared" si="62"/>
        <v>-0.3526215680245457</v>
      </c>
      <c r="P211">
        <v>166.5</v>
      </c>
      <c r="Q211">
        <v>141548.93909204702</v>
      </c>
      <c r="R211" t="s">
        <v>82</v>
      </c>
      <c r="S211">
        <v>166.5</v>
      </c>
      <c r="T211">
        <v>119.55629774937061</v>
      </c>
      <c r="U211" s="82">
        <f t="shared" si="63"/>
        <v>-0.333845730509438</v>
      </c>
      <c r="V211">
        <v>166.5</v>
      </c>
      <c r="W211">
        <v>135066.49780274884</v>
      </c>
      <c r="X211" t="s">
        <v>82</v>
      </c>
      <c r="Y211">
        <v>166.5</v>
      </c>
      <c r="Z211">
        <v>119.54466952342595</v>
      </c>
      <c r="AA211" s="82">
        <f t="shared" si="64"/>
        <v>-0.31606135938227453</v>
      </c>
      <c r="AB211">
        <v>166.5</v>
      </c>
      <c r="AC211">
        <v>128989.16705667796</v>
      </c>
      <c r="AD211" t="s">
        <v>82</v>
      </c>
      <c r="AE211">
        <v>166.5</v>
      </c>
      <c r="AF211">
        <v>119.50581864580262</v>
      </c>
      <c r="AG211" s="82">
        <f t="shared" si="65"/>
        <v>-0.29922183829279447</v>
      </c>
      <c r="AH211">
        <v>166.5</v>
      </c>
      <c r="AI211">
        <v>123301.88778980836</v>
      </c>
      <c r="AJ211" t="s">
        <v>82</v>
      </c>
      <c r="AK211">
        <v>166.5</v>
      </c>
      <c r="AL211">
        <v>119.44092390033767</v>
      </c>
      <c r="AM211" s="82">
        <f t="shared" si="66"/>
        <v>-0.28326589103204469</v>
      </c>
      <c r="AN211">
        <v>166.5</v>
      </c>
      <c r="AO211">
        <v>117984.71882875035</v>
      </c>
      <c r="AP211" t="s">
        <v>82</v>
      </c>
      <c r="AQ211">
        <v>166.5</v>
      </c>
      <c r="AR211">
        <v>119.35035833927556</v>
      </c>
      <c r="AS211" s="82">
        <f t="shared" si="67"/>
        <v>-0.26810555613110409</v>
      </c>
      <c r="AT211">
        <v>166.5</v>
      </c>
      <c r="AU211">
        <v>113009.44583915542</v>
      </c>
      <c r="AV211" t="s">
        <v>82</v>
      </c>
      <c r="AW211">
        <v>166.5</v>
      </c>
      <c r="AX211">
        <v>119.23549194377094</v>
      </c>
      <c r="AY211" s="82">
        <f t="shared" si="68"/>
        <v>-0.25371262837808217</v>
      </c>
      <c r="AZ211">
        <v>166.5</v>
      </c>
      <c r="BA211">
        <v>108368.0304932366</v>
      </c>
      <c r="BB211" t="s">
        <v>82</v>
      </c>
      <c r="BC211">
        <v>166.5</v>
      </c>
      <c r="BD211">
        <v>119.09732352282992</v>
      </c>
      <c r="BE211" s="82">
        <f t="shared" si="69"/>
        <v>-0.24003365440880486</v>
      </c>
      <c r="BF211">
        <v>166.5</v>
      </c>
      <c r="BG211">
        <v>104044.54769251608</v>
      </c>
      <c r="BH211" t="s">
        <v>82</v>
      </c>
      <c r="BI211">
        <v>166.5</v>
      </c>
      <c r="BJ211">
        <v>118.93480095945056</v>
      </c>
      <c r="BK211" s="82">
        <f t="shared" si="70"/>
        <v>-0.22699368598206604</v>
      </c>
      <c r="BL211">
        <v>166.5</v>
      </c>
      <c r="BM211">
        <v>100017.52014111074</v>
      </c>
      <c r="BN211" t="s">
        <v>82</v>
      </c>
      <c r="BO211">
        <v>166.5</v>
      </c>
      <c r="BP211">
        <v>118.74874774573257</v>
      </c>
      <c r="BQ211" s="82">
        <f t="shared" si="71"/>
        <v>-0.21455223198393014</v>
      </c>
      <c r="BR211">
        <v>166.5</v>
      </c>
      <c r="BS211">
        <v>96277.255167085343</v>
      </c>
      <c r="BT211" t="s">
        <v>82</v>
      </c>
      <c r="BU211">
        <v>166.5</v>
      </c>
      <c r="BV211">
        <v>118.54349620306833</v>
      </c>
      <c r="BW211" s="82">
        <f t="shared" si="72"/>
        <v>-0.20275052640964475</v>
      </c>
      <c r="BX211">
        <v>166.5</v>
      </c>
      <c r="BY211">
        <v>92838.126458125349</v>
      </c>
      <c r="BZ211" t="s">
        <v>82</v>
      </c>
      <c r="CA211">
        <v>166.5</v>
      </c>
      <c r="CB211">
        <v>118.34337386768999</v>
      </c>
      <c r="CC211" s="82">
        <f t="shared" si="73"/>
        <v>-0.19192216138625895</v>
      </c>
      <c r="CD211">
        <v>166.5</v>
      </c>
      <c r="CE211">
        <v>89790.457485740932</v>
      </c>
      <c r="CF211" t="s">
        <v>82</v>
      </c>
      <c r="CG211">
        <v>166.5</v>
      </c>
      <c r="CH211">
        <v>118.14677165984536</v>
      </c>
      <c r="CI211" s="82">
        <f t="shared" si="74"/>
        <v>-0.18194177183187321</v>
      </c>
      <c r="CJ211">
        <v>166.5</v>
      </c>
      <c r="CK211">
        <v>87089.370199268058</v>
      </c>
      <c r="CL211" t="s">
        <v>82</v>
      </c>
      <c r="CM211">
        <v>166.5</v>
      </c>
      <c r="CN211">
        <v>117.95287238288445</v>
      </c>
      <c r="CO211" s="82">
        <f t="shared" si="75"/>
        <v>-0.17271213295421717</v>
      </c>
      <c r="CP211">
        <v>166.5</v>
      </c>
      <c r="CQ211">
        <v>84699.749573625217</v>
      </c>
      <c r="CR211" t="s">
        <v>82</v>
      </c>
      <c r="CS211">
        <v>166.5</v>
      </c>
      <c r="CT211">
        <v>117.76150745641144</v>
      </c>
      <c r="CU211" s="82">
        <f t="shared" si="76"/>
        <v>-0.1641571962039734</v>
      </c>
      <c r="CV211">
        <v>166.5</v>
      </c>
      <c r="CW211">
        <v>82593.533942655675</v>
      </c>
      <c r="CX211" t="s">
        <v>82</v>
      </c>
      <c r="CY211">
        <v>166.5</v>
      </c>
      <c r="CZ211">
        <v>117.56106804343585</v>
      </c>
      <c r="DA211" s="82">
        <f t="shared" si="77"/>
        <v>-0.15605409616183863</v>
      </c>
      <c r="DB211">
        <v>166.5</v>
      </c>
      <c r="DC211">
        <v>80712.69345295633</v>
      </c>
      <c r="DD211" t="s">
        <v>82</v>
      </c>
      <c r="DG211" s="82">
        <f t="shared" si="78"/>
        <v>0</v>
      </c>
      <c r="DM211" s="82">
        <f t="shared" si="79"/>
        <v>0</v>
      </c>
    </row>
    <row r="212" spans="1:117" x14ac:dyDescent="0.2">
      <c r="A212">
        <v>167.5</v>
      </c>
      <c r="B212">
        <v>119.0191360368801</v>
      </c>
      <c r="C212" s="82">
        <f t="shared" si="60"/>
        <v>-0.39625773895896543</v>
      </c>
      <c r="D212">
        <v>167.5</v>
      </c>
      <c r="E212">
        <v>156841.28158837589</v>
      </c>
      <c r="F212" t="s">
        <v>82</v>
      </c>
      <c r="G212">
        <v>167.5</v>
      </c>
      <c r="H212">
        <v>119.11786144406621</v>
      </c>
      <c r="I212" s="82">
        <f t="shared" si="61"/>
        <v>-0.37507887027112474</v>
      </c>
      <c r="J212">
        <v>167.5</v>
      </c>
      <c r="K212">
        <v>149400.52347967238</v>
      </c>
      <c r="L212" t="s">
        <v>82</v>
      </c>
      <c r="M212">
        <v>167.5</v>
      </c>
      <c r="N212">
        <v>119.18462129523893</v>
      </c>
      <c r="O212" s="82">
        <f t="shared" si="62"/>
        <v>-0.35501601716597975</v>
      </c>
      <c r="P212">
        <v>167.5</v>
      </c>
      <c r="Q212">
        <v>142405.80342164895</v>
      </c>
      <c r="R212" t="s">
        <v>82</v>
      </c>
      <c r="S212">
        <v>167.5</v>
      </c>
      <c r="T212">
        <v>119.22029025448848</v>
      </c>
      <c r="U212" s="82">
        <f t="shared" si="63"/>
        <v>-0.33600749488213921</v>
      </c>
      <c r="V212">
        <v>167.5</v>
      </c>
      <c r="W212">
        <v>135837.10535064826</v>
      </c>
      <c r="X212" t="s">
        <v>82</v>
      </c>
      <c r="Y212">
        <v>167.5</v>
      </c>
      <c r="Z212">
        <v>119.22666190758505</v>
      </c>
      <c r="AA212" s="82">
        <f t="shared" si="64"/>
        <v>-0.31800761584089798</v>
      </c>
      <c r="AB212">
        <v>167.5</v>
      </c>
      <c r="AC212">
        <v>129679.82711640658</v>
      </c>
      <c r="AD212" t="s">
        <v>82</v>
      </c>
      <c r="AE212">
        <v>167.5</v>
      </c>
      <c r="AF212">
        <v>119.20484867249912</v>
      </c>
      <c r="AG212" s="82">
        <f t="shared" si="65"/>
        <v>-0.30096997330349495</v>
      </c>
      <c r="AH212">
        <v>167.5</v>
      </c>
      <c r="AI212">
        <v>123919.02347582723</v>
      </c>
      <c r="AJ212" t="s">
        <v>82</v>
      </c>
      <c r="AK212">
        <v>167.5</v>
      </c>
      <c r="AL212">
        <v>119.15609106799968</v>
      </c>
      <c r="AM212" s="82">
        <f t="shared" si="66"/>
        <v>-0.28483283233798318</v>
      </c>
      <c r="AN212">
        <v>167.5</v>
      </c>
      <c r="AO212">
        <v>118534.60799179113</v>
      </c>
      <c r="AP212" t="s">
        <v>82</v>
      </c>
      <c r="AQ212">
        <v>167.5</v>
      </c>
      <c r="AR212">
        <v>119.08085123833952</v>
      </c>
      <c r="AS212" s="82">
        <f t="shared" si="67"/>
        <v>-0.26950710093603902</v>
      </c>
      <c r="AT212">
        <v>167.5</v>
      </c>
      <c r="AU212">
        <v>113497.96346309385</v>
      </c>
      <c r="AV212" t="s">
        <v>82</v>
      </c>
      <c r="AW212">
        <v>167.5</v>
      </c>
      <c r="AX212">
        <v>118.98052801052957</v>
      </c>
      <c r="AY212" s="82">
        <f t="shared" si="68"/>
        <v>-0.25496393324137046</v>
      </c>
      <c r="AZ212">
        <v>167.5</v>
      </c>
      <c r="BA212">
        <v>108800.82336786935</v>
      </c>
      <c r="BB212" t="s">
        <v>82</v>
      </c>
      <c r="BC212">
        <v>167.5</v>
      </c>
      <c r="BD212">
        <v>118.85617472624429</v>
      </c>
      <c r="BE212" s="82">
        <f t="shared" si="69"/>
        <v>-0.24114879658563382</v>
      </c>
      <c r="BF212">
        <v>167.5</v>
      </c>
      <c r="BG212">
        <v>104426.86743111933</v>
      </c>
      <c r="BH212" t="s">
        <v>82</v>
      </c>
      <c r="BI212">
        <v>167.5</v>
      </c>
      <c r="BJ212">
        <v>118.70681561689747</v>
      </c>
      <c r="BK212" s="82">
        <f t="shared" si="70"/>
        <v>-0.22798534255308311</v>
      </c>
      <c r="BL212">
        <v>167.5</v>
      </c>
      <c r="BM212">
        <v>100354.10277487974</v>
      </c>
      <c r="BN212" t="s">
        <v>82</v>
      </c>
      <c r="BO212">
        <v>167.5</v>
      </c>
      <c r="BP212">
        <v>118.53331563020363</v>
      </c>
      <c r="BQ212" s="82">
        <f t="shared" si="71"/>
        <v>-0.21543211552894093</v>
      </c>
      <c r="BR212">
        <v>167.5</v>
      </c>
      <c r="BS212">
        <v>96572.479480658934</v>
      </c>
      <c r="BT212" t="s">
        <v>82</v>
      </c>
      <c r="BU212">
        <v>167.5</v>
      </c>
      <c r="BV212">
        <v>118.33996606923264</v>
      </c>
      <c r="BW212" s="82">
        <f t="shared" si="72"/>
        <v>-0.20353013383568452</v>
      </c>
      <c r="BX212">
        <v>167.5</v>
      </c>
      <c r="BY212">
        <v>93096.287716511972</v>
      </c>
      <c r="BZ212" t="s">
        <v>82</v>
      </c>
      <c r="CA212">
        <v>167.5</v>
      </c>
      <c r="CB212">
        <v>118.15075858807944</v>
      </c>
      <c r="CC212" s="82">
        <f t="shared" si="73"/>
        <v>-0.19261527961054981</v>
      </c>
      <c r="CD212">
        <v>167.5</v>
      </c>
      <c r="CE212">
        <v>90016.677955153369</v>
      </c>
      <c r="CF212" t="s">
        <v>82</v>
      </c>
      <c r="CG212">
        <v>167.5</v>
      </c>
      <c r="CH212">
        <v>117.96421183499956</v>
      </c>
      <c r="CI212" s="82">
        <f t="shared" si="74"/>
        <v>-0.18255982484579647</v>
      </c>
      <c r="CJ212">
        <v>167.5</v>
      </c>
      <c r="CK212">
        <v>87287.894194700086</v>
      </c>
      <c r="CL212" t="s">
        <v>82</v>
      </c>
      <c r="CM212">
        <v>167.5</v>
      </c>
      <c r="CN212">
        <v>117.77960765694743</v>
      </c>
      <c r="CO212" s="82">
        <f t="shared" si="75"/>
        <v>-0.17326472593701681</v>
      </c>
      <c r="CP212">
        <v>167.5</v>
      </c>
      <c r="CQ212">
        <v>84874.145105119591</v>
      </c>
      <c r="CR212" t="s">
        <v>82</v>
      </c>
      <c r="CS212">
        <v>167.5</v>
      </c>
      <c r="CT212">
        <v>117.59685494866754</v>
      </c>
      <c r="CU212" s="82">
        <f t="shared" si="76"/>
        <v>-0.16465250774389517</v>
      </c>
      <c r="CV212">
        <v>167.5</v>
      </c>
      <c r="CW212">
        <v>82746.838122145215</v>
      </c>
      <c r="CX212" t="s">
        <v>82</v>
      </c>
      <c r="CY212">
        <v>167.5</v>
      </c>
      <c r="CZ212">
        <v>117.40457003104059</v>
      </c>
      <c r="DA212" s="82">
        <f t="shared" si="77"/>
        <v>-0.15649801239526084</v>
      </c>
      <c r="DB212">
        <v>167.5</v>
      </c>
      <c r="DC212">
        <v>80847.102387511375</v>
      </c>
      <c r="DD212" t="s">
        <v>82</v>
      </c>
      <c r="DG212" s="82">
        <f t="shared" si="78"/>
        <v>0</v>
      </c>
      <c r="DM212" s="82">
        <f t="shared" si="79"/>
        <v>0</v>
      </c>
    </row>
    <row r="213" spans="1:117" x14ac:dyDescent="0.2">
      <c r="A213">
        <v>168.5</v>
      </c>
      <c r="B213">
        <v>118.61998371670538</v>
      </c>
      <c r="C213" s="82">
        <f t="shared" si="60"/>
        <v>-0.39915232017472135</v>
      </c>
      <c r="D213">
        <v>168.5</v>
      </c>
      <c r="E213">
        <v>157883.21349688919</v>
      </c>
      <c r="F213" t="s">
        <v>82</v>
      </c>
      <c r="G213">
        <v>168.5</v>
      </c>
      <c r="H213">
        <v>118.74014764767682</v>
      </c>
      <c r="I213" s="82">
        <f t="shared" si="61"/>
        <v>-0.3777137963893864</v>
      </c>
      <c r="J213">
        <v>168.5</v>
      </c>
      <c r="K213">
        <v>150346.54882887879</v>
      </c>
      <c r="L213" t="s">
        <v>82</v>
      </c>
      <c r="M213">
        <v>168.5</v>
      </c>
      <c r="N213">
        <v>118.82721656800764</v>
      </c>
      <c r="O213" s="82">
        <f t="shared" si="62"/>
        <v>-0.35740472723128391</v>
      </c>
      <c r="P213">
        <v>168.5</v>
      </c>
      <c r="Q213">
        <v>143260.70829946431</v>
      </c>
      <c r="R213" t="s">
        <v>82</v>
      </c>
      <c r="S213">
        <v>168.5</v>
      </c>
      <c r="T213">
        <v>118.88212495552681</v>
      </c>
      <c r="U213" s="82">
        <f t="shared" si="63"/>
        <v>-0.33816529896166969</v>
      </c>
      <c r="V213">
        <v>168.5</v>
      </c>
      <c r="W213">
        <v>136606.44116283918</v>
      </c>
      <c r="X213" t="s">
        <v>82</v>
      </c>
      <c r="Y213">
        <v>168.5</v>
      </c>
      <c r="Z213">
        <v>118.90671083141577</v>
      </c>
      <c r="AA213" s="82">
        <f t="shared" si="64"/>
        <v>-0.31995107616928919</v>
      </c>
      <c r="AB213">
        <v>168.5</v>
      </c>
      <c r="AC213">
        <v>130369.66365676881</v>
      </c>
      <c r="AD213" t="s">
        <v>82</v>
      </c>
      <c r="AE213">
        <v>168.5</v>
      </c>
      <c r="AF213">
        <v>118.90213261138094</v>
      </c>
      <c r="AG213" s="82">
        <f t="shared" si="65"/>
        <v>-0.30271606111818983</v>
      </c>
      <c r="AH213">
        <v>168.5</v>
      </c>
      <c r="AI213">
        <v>124535.62162423301</v>
      </c>
      <c r="AJ213" t="s">
        <v>82</v>
      </c>
      <c r="AK213">
        <v>168.5</v>
      </c>
      <c r="AL213">
        <v>118.8696928633141</v>
      </c>
      <c r="AM213" s="82">
        <f t="shared" si="66"/>
        <v>-0.28639820468558241</v>
      </c>
      <c r="AN213">
        <v>168.5</v>
      </c>
      <c r="AO213">
        <v>119084.13953972462</v>
      </c>
      <c r="AP213" t="s">
        <v>82</v>
      </c>
      <c r="AQ213">
        <v>168.5</v>
      </c>
      <c r="AR213">
        <v>118.80994385492545</v>
      </c>
      <c r="AS213" s="82">
        <f t="shared" si="67"/>
        <v>-0.27090738341406961</v>
      </c>
      <c r="AT213">
        <v>168.5</v>
      </c>
      <c r="AU213">
        <v>113986.23596226124</v>
      </c>
      <c r="AV213" t="s">
        <v>82</v>
      </c>
      <c r="AW213">
        <v>168.5</v>
      </c>
      <c r="AX213">
        <v>118.7243138349031</v>
      </c>
      <c r="AY213" s="82">
        <f t="shared" si="68"/>
        <v>-0.25621417562646798</v>
      </c>
      <c r="AZ213">
        <v>168.5</v>
      </c>
      <c r="BA213">
        <v>109233.44147489702</v>
      </c>
      <c r="BB213" t="s">
        <v>82</v>
      </c>
      <c r="BC213">
        <v>168.5</v>
      </c>
      <c r="BD213">
        <v>118.61391171472151</v>
      </c>
      <c r="BE213" s="82">
        <f t="shared" si="69"/>
        <v>-0.2422630115227804</v>
      </c>
      <c r="BF213">
        <v>168.5</v>
      </c>
      <c r="BG213">
        <v>104809.05717663161</v>
      </c>
      <c r="BH213" t="s">
        <v>82</v>
      </c>
      <c r="BI213">
        <v>168.5</v>
      </c>
      <c r="BJ213">
        <v>118.47783944895886</v>
      </c>
      <c r="BK213" s="82">
        <f t="shared" si="70"/>
        <v>-0.22897616793861175</v>
      </c>
      <c r="BL213">
        <v>168.5</v>
      </c>
      <c r="BM213">
        <v>100690.58459625556</v>
      </c>
      <c r="BN213" t="s">
        <v>82</v>
      </c>
      <c r="BO213">
        <v>168.5</v>
      </c>
      <c r="BP213">
        <v>118.31700438918338</v>
      </c>
      <c r="BQ213" s="82">
        <f t="shared" si="71"/>
        <v>-0.21631124102025012</v>
      </c>
      <c r="BR213">
        <v>168.5</v>
      </c>
      <c r="BS213">
        <v>96867.623011412201</v>
      </c>
      <c r="BT213" t="s">
        <v>82</v>
      </c>
      <c r="BU213">
        <v>168.5</v>
      </c>
      <c r="BV213">
        <v>118.13565702570665</v>
      </c>
      <c r="BW213" s="82">
        <f t="shared" si="72"/>
        <v>-0.20430904352599555</v>
      </c>
      <c r="BX213">
        <v>168.5</v>
      </c>
      <c r="BY213">
        <v>93354.383102807857</v>
      </c>
      <c r="BZ213" t="s">
        <v>82</v>
      </c>
      <c r="CA213">
        <v>168.5</v>
      </c>
      <c r="CB213">
        <v>117.957450832018</v>
      </c>
      <c r="CC213" s="82">
        <f t="shared" si="73"/>
        <v>-0.19330775606144357</v>
      </c>
      <c r="CD213">
        <v>168.5</v>
      </c>
      <c r="CE213">
        <v>90242.845929637973</v>
      </c>
      <c r="CF213" t="s">
        <v>82</v>
      </c>
      <c r="CG213">
        <v>168.5</v>
      </c>
      <c r="CH213">
        <v>117.78103454689041</v>
      </c>
      <c r="CI213" s="82">
        <f t="shared" si="74"/>
        <v>-0.18317728810914957</v>
      </c>
      <c r="CJ213">
        <v>168.5</v>
      </c>
      <c r="CK213">
        <v>87486.377787914025</v>
      </c>
      <c r="CL213" t="s">
        <v>82</v>
      </c>
      <c r="CM213">
        <v>168.5</v>
      </c>
      <c r="CN213">
        <v>117.60579087942983</v>
      </c>
      <c r="CO213" s="82">
        <f t="shared" si="75"/>
        <v>-0.17381677751760094</v>
      </c>
      <c r="CP213">
        <v>168.5</v>
      </c>
      <c r="CQ213">
        <v>85048.511229579759</v>
      </c>
      <c r="CR213" t="s">
        <v>82</v>
      </c>
      <c r="CS213">
        <v>168.5</v>
      </c>
      <c r="CT213">
        <v>117.43170762595069</v>
      </c>
      <c r="CU213" s="82">
        <f t="shared" si="76"/>
        <v>-0.16514732271684807</v>
      </c>
      <c r="CV213">
        <v>168.5</v>
      </c>
      <c r="CW213">
        <v>82900.122852271175</v>
      </c>
      <c r="CX213" t="s">
        <v>82</v>
      </c>
      <c r="CY213">
        <v>168.5</v>
      </c>
      <c r="CZ213">
        <v>117.24762855788846</v>
      </c>
      <c r="DA213" s="82">
        <f t="shared" si="77"/>
        <v>-0.15694147315213058</v>
      </c>
      <c r="DB213">
        <v>168.5</v>
      </c>
      <c r="DC213">
        <v>80981.500613262833</v>
      </c>
      <c r="DD213" t="s">
        <v>82</v>
      </c>
      <c r="DG213" s="82">
        <f t="shared" si="78"/>
        <v>0</v>
      </c>
      <c r="DM213" s="82">
        <f t="shared" si="79"/>
        <v>0</v>
      </c>
    </row>
    <row r="214" spans="1:117" x14ac:dyDescent="0.2">
      <c r="A214">
        <v>169.5</v>
      </c>
      <c r="B214">
        <v>118.21795089913681</v>
      </c>
      <c r="C214" s="82">
        <f t="shared" si="60"/>
        <v>-0.40203281756856768</v>
      </c>
      <c r="D214">
        <v>169.5</v>
      </c>
      <c r="E214">
        <v>158919.96992262936</v>
      </c>
      <c r="F214" t="s">
        <v>82</v>
      </c>
      <c r="G214">
        <v>169.5</v>
      </c>
      <c r="H214">
        <v>118.35980866598653</v>
      </c>
      <c r="I214" s="82">
        <f t="shared" si="61"/>
        <v>-0.38033898169028646</v>
      </c>
      <c r="J214">
        <v>169.5</v>
      </c>
      <c r="K214">
        <v>151289.07880096964</v>
      </c>
      <c r="L214" t="s">
        <v>82</v>
      </c>
      <c r="M214">
        <v>169.5</v>
      </c>
      <c r="N214">
        <v>118.46742987557738</v>
      </c>
      <c r="O214" s="82">
        <f t="shared" si="62"/>
        <v>-0.35978669243026218</v>
      </c>
      <c r="P214">
        <v>169.5</v>
      </c>
      <c r="Q214">
        <v>144113.2759904048</v>
      </c>
      <c r="R214" t="s">
        <v>82</v>
      </c>
      <c r="S214">
        <v>169.5</v>
      </c>
      <c r="T214">
        <v>118.54180657248131</v>
      </c>
      <c r="U214" s="82">
        <f t="shared" si="63"/>
        <v>-0.34031838304549922</v>
      </c>
      <c r="V214">
        <v>169.5</v>
      </c>
      <c r="W214">
        <v>137374.22101685544</v>
      </c>
      <c r="X214" t="s">
        <v>82</v>
      </c>
      <c r="Y214">
        <v>169.5</v>
      </c>
      <c r="Z214">
        <v>118.58481966926135</v>
      </c>
      <c r="AA214" s="82">
        <f t="shared" si="64"/>
        <v>-0.32189116215441516</v>
      </c>
      <c r="AB214">
        <v>169.5</v>
      </c>
      <c r="AC214">
        <v>131058.46122423102</v>
      </c>
      <c r="AD214" t="s">
        <v>82</v>
      </c>
      <c r="AE214">
        <v>169.5</v>
      </c>
      <c r="AF214">
        <v>118.59767295397293</v>
      </c>
      <c r="AG214" s="82">
        <f t="shared" si="65"/>
        <v>-0.30445965740800318</v>
      </c>
      <c r="AH214">
        <v>169.5</v>
      </c>
      <c r="AI214">
        <v>125151.51735412372</v>
      </c>
      <c r="AJ214" t="s">
        <v>82</v>
      </c>
      <c r="AK214">
        <v>169.5</v>
      </c>
      <c r="AL214">
        <v>118.58173120006552</v>
      </c>
      <c r="AM214" s="82">
        <f t="shared" si="66"/>
        <v>-0.28796166324858063</v>
      </c>
      <c r="AN214">
        <v>169.5</v>
      </c>
      <c r="AO214">
        <v>119633.18605068579</v>
      </c>
      <c r="AP214" t="s">
        <v>82</v>
      </c>
      <c r="AQ214">
        <v>169.5</v>
      </c>
      <c r="AR214">
        <v>118.5376377212128</v>
      </c>
      <c r="AS214" s="82">
        <f t="shared" si="67"/>
        <v>-0.27230613371264667</v>
      </c>
      <c r="AT214">
        <v>169.5</v>
      </c>
      <c r="AU214">
        <v>114474.16399908537</v>
      </c>
      <c r="AV214" t="s">
        <v>82</v>
      </c>
      <c r="AW214">
        <v>169.5</v>
      </c>
      <c r="AX214">
        <v>118.46685069201681</v>
      </c>
      <c r="AY214" s="82">
        <f t="shared" si="68"/>
        <v>-0.25746314288629435</v>
      </c>
      <c r="AZ214">
        <v>169.5</v>
      </c>
      <c r="BA214">
        <v>109665.80684483809</v>
      </c>
      <c r="BB214" t="s">
        <v>82</v>
      </c>
      <c r="BC214">
        <v>169.5</v>
      </c>
      <c r="BD214">
        <v>118.3705355838694</v>
      </c>
      <c r="BE214" s="82">
        <f t="shared" si="69"/>
        <v>-0.24337613085211274</v>
      </c>
      <c r="BF214">
        <v>169.5</v>
      </c>
      <c r="BG214">
        <v>105191.05541076782</v>
      </c>
      <c r="BH214" t="s">
        <v>82</v>
      </c>
      <c r="BI214">
        <v>169.5</v>
      </c>
      <c r="BJ214">
        <v>118.24787342037605</v>
      </c>
      <c r="BK214" s="82">
        <f t="shared" si="70"/>
        <v>-0.22996602858280824</v>
      </c>
      <c r="BL214">
        <v>169.5</v>
      </c>
      <c r="BM214">
        <v>101026.91699736717</v>
      </c>
      <c r="BN214" t="s">
        <v>82</v>
      </c>
      <c r="BO214">
        <v>169.5</v>
      </c>
      <c r="BP214">
        <v>118.09981488671239</v>
      </c>
      <c r="BQ214" s="82">
        <f t="shared" si="71"/>
        <v>-0.21718950247098689</v>
      </c>
      <c r="BR214">
        <v>169.5</v>
      </c>
      <c r="BS214">
        <v>97162.647328911611</v>
      </c>
      <c r="BT214" t="s">
        <v>82</v>
      </c>
      <c r="BU214">
        <v>169.5</v>
      </c>
      <c r="BV214">
        <v>117.93056985435724</v>
      </c>
      <c r="BW214" s="82">
        <f t="shared" si="72"/>
        <v>-0.20508717134940468</v>
      </c>
      <c r="BX214">
        <v>169.5</v>
      </c>
      <c r="BY214">
        <v>93612.382244793465</v>
      </c>
      <c r="BZ214" t="s">
        <v>82</v>
      </c>
      <c r="CA214">
        <v>169.5</v>
      </c>
      <c r="CB214">
        <v>117.76345130856383</v>
      </c>
      <c r="CC214" s="82">
        <f t="shared" si="73"/>
        <v>-0.19399952345416693</v>
      </c>
      <c r="CD214">
        <v>169.5</v>
      </c>
      <c r="CE214">
        <v>90468.937222659719</v>
      </c>
      <c r="CF214" t="s">
        <v>82</v>
      </c>
      <c r="CG214">
        <v>169.5</v>
      </c>
      <c r="CH214">
        <v>117.59724043941654</v>
      </c>
      <c r="CI214" s="82">
        <f t="shared" si="74"/>
        <v>-0.18379410747387226</v>
      </c>
      <c r="CJ214">
        <v>169.5</v>
      </c>
      <c r="CK214">
        <v>87684.801597558922</v>
      </c>
      <c r="CL214" t="s">
        <v>82</v>
      </c>
      <c r="CM214">
        <v>169.5</v>
      </c>
      <c r="CN214">
        <v>117.43142263557341</v>
      </c>
      <c r="CO214" s="82">
        <f t="shared" si="75"/>
        <v>-0.17436824385642069</v>
      </c>
      <c r="CP214">
        <v>169.5</v>
      </c>
      <c r="CQ214">
        <v>85222.832308073223</v>
      </c>
      <c r="CR214" t="s">
        <v>82</v>
      </c>
      <c r="CS214">
        <v>169.5</v>
      </c>
      <c r="CT214">
        <v>117.26606602047582</v>
      </c>
      <c r="CU214" s="82">
        <f t="shared" si="76"/>
        <v>-0.16564160547487461</v>
      </c>
      <c r="CV214">
        <v>169.5</v>
      </c>
      <c r="CW214">
        <v>83053.375487502854</v>
      </c>
      <c r="CX214" t="s">
        <v>82</v>
      </c>
      <c r="CY214">
        <v>169.5</v>
      </c>
      <c r="CZ214">
        <v>117.09024410846331</v>
      </c>
      <c r="DA214" s="82">
        <f t="shared" si="77"/>
        <v>-0.15738444942515173</v>
      </c>
      <c r="DB214">
        <v>169.5</v>
      </c>
      <c r="DC214">
        <v>81115.877905967631</v>
      </c>
      <c r="DD214" t="s">
        <v>82</v>
      </c>
      <c r="DG214" s="82">
        <f t="shared" si="78"/>
        <v>0</v>
      </c>
      <c r="DM214" s="82">
        <f t="shared" si="79"/>
        <v>0</v>
      </c>
    </row>
    <row r="215" spans="1:117" x14ac:dyDescent="0.2">
      <c r="A215">
        <v>170.5</v>
      </c>
      <c r="B215">
        <v>117.8130535299826</v>
      </c>
      <c r="C215" s="82">
        <f t="shared" si="60"/>
        <v>-0.40489736915421304</v>
      </c>
      <c r="D215">
        <v>170.5</v>
      </c>
      <c r="E215">
        <v>159950.8469244703</v>
      </c>
      <c r="F215" t="s">
        <v>82</v>
      </c>
      <c r="G215">
        <v>170.5</v>
      </c>
      <c r="H215">
        <v>117.97685563415945</v>
      </c>
      <c r="I215" s="82">
        <f t="shared" si="61"/>
        <v>-0.38295303182708551</v>
      </c>
      <c r="J215">
        <v>170.5</v>
      </c>
      <c r="K215">
        <v>152227.58768908872</v>
      </c>
      <c r="L215" t="s">
        <v>82</v>
      </c>
      <c r="M215">
        <v>170.5</v>
      </c>
      <c r="N215">
        <v>118.10526900771475</v>
      </c>
      <c r="O215" s="82">
        <f t="shared" si="62"/>
        <v>-0.36216086786262736</v>
      </c>
      <c r="P215">
        <v>170.5</v>
      </c>
      <c r="Q215">
        <v>144963.11386236461</v>
      </c>
      <c r="R215" t="s">
        <v>82</v>
      </c>
      <c r="S215">
        <v>170.5</v>
      </c>
      <c r="T215">
        <v>118.19934061177359</v>
      </c>
      <c r="U215" s="82">
        <f t="shared" si="63"/>
        <v>-0.34246596070771318</v>
      </c>
      <c r="V215">
        <v>170.5</v>
      </c>
      <c r="W215">
        <v>138140.15051703958</v>
      </c>
      <c r="X215" t="s">
        <v>82</v>
      </c>
      <c r="Y215">
        <v>170.5</v>
      </c>
      <c r="Z215">
        <v>118.26099239178714</v>
      </c>
      <c r="AA215" s="82">
        <f t="shared" si="64"/>
        <v>-0.32382727747420859</v>
      </c>
      <c r="AB215">
        <v>170.5</v>
      </c>
      <c r="AC215">
        <v>131745.99748688654</v>
      </c>
      <c r="AD215" t="s">
        <v>82</v>
      </c>
      <c r="AE215">
        <v>170.5</v>
      </c>
      <c r="AF215">
        <v>118.29147264842054</v>
      </c>
      <c r="AG215" s="82">
        <f t="shared" si="65"/>
        <v>-0.30620030555239452</v>
      </c>
      <c r="AH215">
        <v>170.5</v>
      </c>
      <c r="AI215">
        <v>125766.54115354329</v>
      </c>
      <c r="AJ215" t="s">
        <v>82</v>
      </c>
      <c r="AK215">
        <v>170.5</v>
      </c>
      <c r="AL215">
        <v>118.29220834527933</v>
      </c>
      <c r="AM215" s="82">
        <f t="shared" si="66"/>
        <v>-0.28952285478618478</v>
      </c>
      <c r="AN215">
        <v>170.5</v>
      </c>
      <c r="AO215">
        <v>120181.61693486231</v>
      </c>
      <c r="AP215" t="s">
        <v>82</v>
      </c>
      <c r="AQ215">
        <v>170.5</v>
      </c>
      <c r="AR215">
        <v>118.26393464504959</v>
      </c>
      <c r="AS215" s="82">
        <f t="shared" si="67"/>
        <v>-0.27370307616321554</v>
      </c>
      <c r="AT215">
        <v>170.5</v>
      </c>
      <c r="AU215">
        <v>114961.64607993858</v>
      </c>
      <c r="AV215" t="s">
        <v>82</v>
      </c>
      <c r="AW215">
        <v>170.5</v>
      </c>
      <c r="AX215">
        <v>118.20814007375439</v>
      </c>
      <c r="AY215" s="82">
        <f t="shared" si="68"/>
        <v>-0.25871061826241259</v>
      </c>
      <c r="AZ215">
        <v>170.5</v>
      </c>
      <c r="BA215">
        <v>110097.83997317408</v>
      </c>
      <c r="BB215" t="s">
        <v>82</v>
      </c>
      <c r="BC215">
        <v>170.5</v>
      </c>
      <c r="BD215">
        <v>118.12604760059304</v>
      </c>
      <c r="BE215" s="82">
        <f t="shared" si="69"/>
        <v>-0.24448798327635757</v>
      </c>
      <c r="BF215">
        <v>170.5</v>
      </c>
      <c r="BG215">
        <v>105572.79956784987</v>
      </c>
      <c r="BH215" t="s">
        <v>82</v>
      </c>
      <c r="BI215">
        <v>170.5</v>
      </c>
      <c r="BJ215">
        <v>118.01691863160397</v>
      </c>
      <c r="BK215" s="82">
        <f t="shared" si="70"/>
        <v>-0.23095478877208109</v>
      </c>
      <c r="BL215">
        <v>170.5</v>
      </c>
      <c r="BM215">
        <v>101363.05059187789</v>
      </c>
      <c r="BN215" t="s">
        <v>82</v>
      </c>
      <c r="BO215">
        <v>170.5</v>
      </c>
      <c r="BP215">
        <v>117.88174809438536</v>
      </c>
      <c r="BQ215" s="82">
        <f t="shared" si="71"/>
        <v>-0.2180667923270363</v>
      </c>
      <c r="BR215">
        <v>170.5</v>
      </c>
      <c r="BS215">
        <v>97457.513438585273</v>
      </c>
      <c r="BT215" t="s">
        <v>82</v>
      </c>
      <c r="BU215">
        <v>170.5</v>
      </c>
      <c r="BV215">
        <v>117.72470542232975</v>
      </c>
      <c r="BW215" s="82">
        <f t="shared" si="72"/>
        <v>-0.20586443202749649</v>
      </c>
      <c r="BX215">
        <v>170.5</v>
      </c>
      <c r="BY215">
        <v>93870.254347875249</v>
      </c>
      <c r="BZ215" t="s">
        <v>82</v>
      </c>
      <c r="CA215">
        <v>170.5</v>
      </c>
      <c r="CB215">
        <v>117.56876079492859</v>
      </c>
      <c r="CC215" s="82">
        <f t="shared" si="73"/>
        <v>-0.19469051363523704</v>
      </c>
      <c r="CD215">
        <v>170.5</v>
      </c>
      <c r="CE215">
        <v>90694.9273178601</v>
      </c>
      <c r="CF215" t="s">
        <v>82</v>
      </c>
      <c r="CG215">
        <v>170.5</v>
      </c>
      <c r="CH215">
        <v>117.41283021128412</v>
      </c>
      <c r="CI215" s="82">
        <f t="shared" si="74"/>
        <v>-0.18441022813242114</v>
      </c>
      <c r="CJ215">
        <v>170.5</v>
      </c>
      <c r="CK215">
        <v>87883.14600546626</v>
      </c>
      <c r="CL215" t="s">
        <v>82</v>
      </c>
      <c r="CM215">
        <v>170.5</v>
      </c>
      <c r="CN215">
        <v>117.25650355493286</v>
      </c>
      <c r="CO215" s="82">
        <f t="shared" si="75"/>
        <v>-0.1749190806405494</v>
      </c>
      <c r="CP215">
        <v>170.5</v>
      </c>
      <c r="CQ215">
        <v>85397.092547721433</v>
      </c>
      <c r="CR215" t="s">
        <v>82</v>
      </c>
      <c r="CS215">
        <v>170.5</v>
      </c>
      <c r="CT215">
        <v>117.09993070049097</v>
      </c>
      <c r="CU215" s="82">
        <f t="shared" si="76"/>
        <v>-0.16613531998484632</v>
      </c>
      <c r="CV215">
        <v>170.5</v>
      </c>
      <c r="CW215">
        <v>83206.583223528345</v>
      </c>
      <c r="CX215" t="s">
        <v>82</v>
      </c>
      <c r="CY215">
        <v>170.5</v>
      </c>
      <c r="CZ215">
        <v>116.9324171965596</v>
      </c>
      <c r="DA215" s="82">
        <f t="shared" si="77"/>
        <v>-0.15782691190371168</v>
      </c>
      <c r="DB215">
        <v>170.5</v>
      </c>
      <c r="DC215">
        <v>81250.2238972005</v>
      </c>
      <c r="DD215" t="s">
        <v>82</v>
      </c>
      <c r="DG215" s="82">
        <f t="shared" si="78"/>
        <v>0</v>
      </c>
      <c r="DM215" s="82">
        <f t="shared" si="79"/>
        <v>0</v>
      </c>
    </row>
    <row r="216" spans="1:117" x14ac:dyDescent="0.2">
      <c r="A216">
        <v>171.5</v>
      </c>
      <c r="B216">
        <v>117.40530950169408</v>
      </c>
      <c r="C216" s="82">
        <f t="shared" si="60"/>
        <v>-0.40774402828851919</v>
      </c>
      <c r="D216">
        <v>171.5</v>
      </c>
      <c r="E216">
        <v>160975.10817950877</v>
      </c>
      <c r="F216" t="s">
        <v>82</v>
      </c>
      <c r="G216">
        <v>171.5</v>
      </c>
      <c r="H216">
        <v>117.59130114120562</v>
      </c>
      <c r="I216" s="82">
        <f t="shared" si="61"/>
        <v>-0.38555449295382971</v>
      </c>
      <c r="J216">
        <v>171.5</v>
      </c>
      <c r="K216">
        <v>153161.52708519591</v>
      </c>
      <c r="L216" t="s">
        <v>82</v>
      </c>
      <c r="M216">
        <v>171.5</v>
      </c>
      <c r="N216">
        <v>117.74074284014007</v>
      </c>
      <c r="O216" s="82">
        <f t="shared" si="62"/>
        <v>-0.36452616757468093</v>
      </c>
      <c r="P216">
        <v>171.5</v>
      </c>
      <c r="Q216">
        <v>145809.81363479645</v>
      </c>
      <c r="R216" t="s">
        <v>82</v>
      </c>
      <c r="S216">
        <v>171.5</v>
      </c>
      <c r="T216">
        <v>117.85473339414764</v>
      </c>
      <c r="U216" s="82">
        <f t="shared" si="63"/>
        <v>-0.34460721762594915</v>
      </c>
      <c r="V216">
        <v>171.5</v>
      </c>
      <c r="W216">
        <v>138903.9246491052</v>
      </c>
      <c r="X216" t="s">
        <v>82</v>
      </c>
      <c r="Y216">
        <v>171.5</v>
      </c>
      <c r="Z216">
        <v>117.93523358478103</v>
      </c>
      <c r="AA216" s="82">
        <f t="shared" si="64"/>
        <v>-0.32575880700611037</v>
      </c>
      <c r="AB216">
        <v>171.5</v>
      </c>
      <c r="AC216">
        <v>132432.0430135215</v>
      </c>
      <c r="AD216" t="s">
        <v>82</v>
      </c>
      <c r="AE216">
        <v>171.5</v>
      </c>
      <c r="AF216">
        <v>117.98353511214304</v>
      </c>
      <c r="AG216" s="82">
        <f t="shared" si="65"/>
        <v>-0.30793753627749254</v>
      </c>
      <c r="AH216">
        <v>171.5</v>
      </c>
      <c r="AI216">
        <v>126380.51871104569</v>
      </c>
      <c r="AJ216" t="s">
        <v>82</v>
      </c>
      <c r="AK216">
        <v>171.5</v>
      </c>
      <c r="AL216">
        <v>118.00112692780046</v>
      </c>
      <c r="AM216" s="82">
        <f t="shared" si="66"/>
        <v>-0.29108141747887828</v>
      </c>
      <c r="AN216">
        <v>171.5</v>
      </c>
      <c r="AO216">
        <v>120729.29836774412</v>
      </c>
      <c r="AP216" t="s">
        <v>82</v>
      </c>
      <c r="AQ216">
        <v>171.5</v>
      </c>
      <c r="AR216">
        <v>117.988836715867</v>
      </c>
      <c r="AS216" s="82">
        <f t="shared" si="67"/>
        <v>-0.27509792918259279</v>
      </c>
      <c r="AT216">
        <v>171.5</v>
      </c>
      <c r="AU216">
        <v>115448.57849028664</v>
      </c>
      <c r="AV216" t="s">
        <v>82</v>
      </c>
      <c r="AW216">
        <v>171.5</v>
      </c>
      <c r="AX216">
        <v>117.94818369288279</v>
      </c>
      <c r="AY216" s="82">
        <f t="shared" si="68"/>
        <v>-0.25995638087159989</v>
      </c>
      <c r="AZ216">
        <v>171.5</v>
      </c>
      <c r="BA216">
        <v>110529.45983932576</v>
      </c>
      <c r="BB216" t="s">
        <v>82</v>
      </c>
      <c r="BC216">
        <v>171.5</v>
      </c>
      <c r="BD216">
        <v>117.8804492060622</v>
      </c>
      <c r="BE216" s="82">
        <f t="shared" si="69"/>
        <v>-0.24559839453084464</v>
      </c>
      <c r="BF216">
        <v>171.5</v>
      </c>
      <c r="BG216">
        <v>105954.22593579041</v>
      </c>
      <c r="BH216" t="s">
        <v>82</v>
      </c>
      <c r="BI216">
        <v>171.5</v>
      </c>
      <c r="BJ216">
        <v>117.78497632094889</v>
      </c>
      <c r="BK216" s="82">
        <f t="shared" si="70"/>
        <v>-0.23194231065508575</v>
      </c>
      <c r="BL216">
        <v>171.5</v>
      </c>
      <c r="BM216">
        <v>101698.93518055936</v>
      </c>
      <c r="BN216" t="s">
        <v>82</v>
      </c>
      <c r="BO216">
        <v>171.5</v>
      </c>
      <c r="BP216">
        <v>117.66280509291448</v>
      </c>
      <c r="BQ216" s="82">
        <f t="shared" si="71"/>
        <v>-0.2189430014708762</v>
      </c>
      <c r="BR216">
        <v>171.5</v>
      </c>
      <c r="BS216">
        <v>97752.181768904353</v>
      </c>
      <c r="BT216" t="s">
        <v>82</v>
      </c>
      <c r="BU216">
        <v>171.5</v>
      </c>
      <c r="BV216">
        <v>117.51806468321749</v>
      </c>
      <c r="BW216" s="82">
        <f t="shared" si="72"/>
        <v>-0.20664073911225955</v>
      </c>
      <c r="BX216">
        <v>171.5</v>
      </c>
      <c r="BY216">
        <v>94127.968181818127</v>
      </c>
      <c r="BZ216" t="s">
        <v>82</v>
      </c>
      <c r="CA216">
        <v>171.5</v>
      </c>
      <c r="CB216">
        <v>117.37338013733059</v>
      </c>
      <c r="CC216" s="82">
        <f t="shared" si="73"/>
        <v>-0.19538065759800816</v>
      </c>
      <c r="CD216">
        <v>171.5</v>
      </c>
      <c r="CE216">
        <v>90920.791382863783</v>
      </c>
      <c r="CF216" t="s">
        <v>82</v>
      </c>
      <c r="CG216">
        <v>171.5</v>
      </c>
      <c r="CH216">
        <v>117.22780461665695</v>
      </c>
      <c r="CI216" s="82">
        <f t="shared" si="74"/>
        <v>-0.18502559462716306</v>
      </c>
      <c r="CJ216">
        <v>171.5</v>
      </c>
      <c r="CK216">
        <v>88081.391121760738</v>
      </c>
      <c r="CL216" t="s">
        <v>82</v>
      </c>
      <c r="CM216">
        <v>171.5</v>
      </c>
      <c r="CN216">
        <v>117.08103431188302</v>
      </c>
      <c r="CO216" s="82">
        <f t="shared" si="75"/>
        <v>-0.17546924304984657</v>
      </c>
      <c r="CP216">
        <v>171.5</v>
      </c>
      <c r="CQ216">
        <v>85571.275945983274</v>
      </c>
      <c r="CR216" t="s">
        <v>82</v>
      </c>
      <c r="CS216">
        <v>171.5</v>
      </c>
      <c r="CT216">
        <v>116.93330227064818</v>
      </c>
      <c r="CU216" s="82">
        <f t="shared" si="76"/>
        <v>-0.16662842984278825</v>
      </c>
      <c r="CV216">
        <v>171.5</v>
      </c>
      <c r="CW216">
        <v>83359.733130287539</v>
      </c>
      <c r="CX216" t="s">
        <v>82</v>
      </c>
      <c r="CY216">
        <v>171.5</v>
      </c>
      <c r="CZ216">
        <v>116.77414836557003</v>
      </c>
      <c r="DA216" s="82">
        <f t="shared" si="77"/>
        <v>-0.15826883098957012</v>
      </c>
      <c r="DB216">
        <v>171.5</v>
      </c>
      <c r="DC216">
        <v>81384.528120073446</v>
      </c>
      <c r="DD216" t="s">
        <v>82</v>
      </c>
      <c r="DG216" s="82">
        <f t="shared" si="78"/>
        <v>0</v>
      </c>
      <c r="DM216" s="82">
        <f t="shared" si="79"/>
        <v>0</v>
      </c>
    </row>
    <row r="217" spans="1:117" x14ac:dyDescent="0.2">
      <c r="A217">
        <v>172.5</v>
      </c>
      <c r="B217">
        <v>116.99473874279379</v>
      </c>
      <c r="C217" s="82">
        <f t="shared" si="60"/>
        <v>-0.41057075890029182</v>
      </c>
      <c r="D217">
        <v>172.5</v>
      </c>
      <c r="E217">
        <v>161991.9831323144</v>
      </c>
      <c r="F217" t="s">
        <v>82</v>
      </c>
      <c r="G217">
        <v>172.5</v>
      </c>
      <c r="H217">
        <v>117.20315929275124</v>
      </c>
      <c r="I217" s="82">
        <f t="shared" si="61"/>
        <v>-0.38814184845438149</v>
      </c>
      <c r="J217">
        <v>172.5</v>
      </c>
      <c r="K217">
        <v>154090.32454592842</v>
      </c>
      <c r="L217" t="s">
        <v>82</v>
      </c>
      <c r="M217">
        <v>172.5</v>
      </c>
      <c r="N217">
        <v>117.37386137769816</v>
      </c>
      <c r="O217" s="82">
        <f t="shared" si="62"/>
        <v>-0.36688146244190989</v>
      </c>
      <c r="P217">
        <v>172.5</v>
      </c>
      <c r="Q217">
        <v>146652.95049679358</v>
      </c>
      <c r="R217" t="s">
        <v>82</v>
      </c>
      <c r="S217">
        <v>172.5</v>
      </c>
      <c r="T217">
        <v>117.50799208387066</v>
      </c>
      <c r="U217" s="82">
        <f t="shared" si="63"/>
        <v>-0.34674131027698252</v>
      </c>
      <c r="V217">
        <v>172.5</v>
      </c>
      <c r="W217">
        <v>139665.22729503919</v>
      </c>
      <c r="X217" t="s">
        <v>82</v>
      </c>
      <c r="Y217">
        <v>172.5</v>
      </c>
      <c r="Z217">
        <v>117.6075484687012</v>
      </c>
      <c r="AA217" s="82">
        <f t="shared" si="64"/>
        <v>-0.32768511607983442</v>
      </c>
      <c r="AB217">
        <v>172.5</v>
      </c>
      <c r="AC217">
        <v>133116.36093419339</v>
      </c>
      <c r="AD217" t="s">
        <v>82</v>
      </c>
      <c r="AE217">
        <v>172.5</v>
      </c>
      <c r="AF217">
        <v>117.67386424490721</v>
      </c>
      <c r="AG217" s="82">
        <f t="shared" si="65"/>
        <v>-0.30967086723583748</v>
      </c>
      <c r="AH217">
        <v>172.5</v>
      </c>
      <c r="AI217">
        <v>126993.27080442717</v>
      </c>
      <c r="AJ217" t="s">
        <v>82</v>
      </c>
      <c r="AK217">
        <v>172.5</v>
      </c>
      <c r="AL217">
        <v>117.70848994708999</v>
      </c>
      <c r="AM217" s="82">
        <f t="shared" si="66"/>
        <v>-0.29263698071046917</v>
      </c>
      <c r="AN217">
        <v>172.5</v>
      </c>
      <c r="AO217">
        <v>121276.09321930386</v>
      </c>
      <c r="AP217" t="s">
        <v>82</v>
      </c>
      <c r="AQ217">
        <v>172.5</v>
      </c>
      <c r="AR217">
        <v>117.7123463106641</v>
      </c>
      <c r="AS217" s="82">
        <f t="shared" si="67"/>
        <v>-0.27649040520289248</v>
      </c>
      <c r="AT217">
        <v>172.5</v>
      </c>
      <c r="AU217">
        <v>115934.85527979906</v>
      </c>
      <c r="AV217" t="s">
        <v>82</v>
      </c>
      <c r="AW217">
        <v>172.5</v>
      </c>
      <c r="AX217">
        <v>117.68698348723383</v>
      </c>
      <c r="AY217" s="82">
        <f t="shared" si="68"/>
        <v>-0.26120020564896151</v>
      </c>
      <c r="AZ217">
        <v>172.5</v>
      </c>
      <c r="BA217">
        <v>110960.5838304809</v>
      </c>
      <c r="BB217" t="s">
        <v>82</v>
      </c>
      <c r="BC217">
        <v>172.5</v>
      </c>
      <c r="BD217">
        <v>117.63374201865089</v>
      </c>
      <c r="BE217" s="82">
        <f t="shared" si="69"/>
        <v>-0.24670718741130315</v>
      </c>
      <c r="BF217">
        <v>172.5</v>
      </c>
      <c r="BG217">
        <v>106335.26975604836</v>
      </c>
      <c r="BH217" t="s">
        <v>82</v>
      </c>
      <c r="BI217">
        <v>172.5</v>
      </c>
      <c r="BJ217">
        <v>117.55204786668241</v>
      </c>
      <c r="BK217" s="82">
        <f t="shared" si="70"/>
        <v>-0.23292845426647091</v>
      </c>
      <c r="BL217">
        <v>172.5</v>
      </c>
      <c r="BM217">
        <v>102034.51979390335</v>
      </c>
      <c r="BN217" t="s">
        <v>82</v>
      </c>
      <c r="BO217">
        <v>172.5</v>
      </c>
      <c r="BP217">
        <v>117.44298707368024</v>
      </c>
      <c r="BQ217" s="82">
        <f t="shared" si="71"/>
        <v>-0.21981801923423916</v>
      </c>
      <c r="BR217">
        <v>172.5</v>
      </c>
      <c r="BS217">
        <v>98046.612172922702</v>
      </c>
      <c r="BT217" t="s">
        <v>82</v>
      </c>
      <c r="BU217">
        <v>172.5</v>
      </c>
      <c r="BV217">
        <v>117.31064867817665</v>
      </c>
      <c r="BW217" s="82">
        <f t="shared" si="72"/>
        <v>-0.2074160050408409</v>
      </c>
      <c r="BX217">
        <v>172.5</v>
      </c>
      <c r="BY217">
        <v>94385.492102141885</v>
      </c>
      <c r="BZ217" t="s">
        <v>82</v>
      </c>
      <c r="CA217">
        <v>172.5</v>
      </c>
      <c r="CB217">
        <v>117.17731025184744</v>
      </c>
      <c r="CC217" s="82">
        <f t="shared" si="73"/>
        <v>-0.19606988548314064</v>
      </c>
      <c r="CD217">
        <v>172.5</v>
      </c>
      <c r="CE217">
        <v>91146.504288022013</v>
      </c>
      <c r="CF217" t="s">
        <v>82</v>
      </c>
      <c r="CG217">
        <v>172.5</v>
      </c>
      <c r="CH217">
        <v>117.04216446578928</v>
      </c>
      <c r="CI217" s="82">
        <f t="shared" si="74"/>
        <v>-0.18564015086766972</v>
      </c>
      <c r="CJ217">
        <v>172.5</v>
      </c>
      <c r="CK217">
        <v>88279.516864189034</v>
      </c>
      <c r="CL217" t="s">
        <v>82</v>
      </c>
      <c r="CM217">
        <v>172.5</v>
      </c>
      <c r="CN217">
        <v>116.90501562609838</v>
      </c>
      <c r="CO217" s="82">
        <f t="shared" si="75"/>
        <v>-0.17601868578464064</v>
      </c>
      <c r="CP217">
        <v>172.5</v>
      </c>
      <c r="CQ217">
        <v>85745.366359745254</v>
      </c>
      <c r="CR217" t="s">
        <v>82</v>
      </c>
      <c r="CS217">
        <v>172.5</v>
      </c>
      <c r="CT217">
        <v>116.76618137237936</v>
      </c>
      <c r="CU217" s="82">
        <f t="shared" si="76"/>
        <v>-0.16712089826881993</v>
      </c>
      <c r="CV217">
        <v>172.5</v>
      </c>
      <c r="CW217">
        <v>83512.812165111347</v>
      </c>
      <c r="CX217" t="s">
        <v>82</v>
      </c>
      <c r="CY217">
        <v>172.5</v>
      </c>
      <c r="CZ217">
        <v>116.61543818876007</v>
      </c>
      <c r="DA217" s="82">
        <f t="shared" si="77"/>
        <v>-0.15871017680996147</v>
      </c>
      <c r="DB217">
        <v>172.5</v>
      </c>
      <c r="DC217">
        <v>81518.78002438035</v>
      </c>
      <c r="DD217" t="s">
        <v>82</v>
      </c>
      <c r="DG217" s="82">
        <f t="shared" si="78"/>
        <v>0</v>
      </c>
      <c r="DM217" s="82">
        <f t="shared" si="79"/>
        <v>0</v>
      </c>
    </row>
    <row r="218" spans="1:117" x14ac:dyDescent="0.2">
      <c r="A218">
        <v>173.5</v>
      </c>
      <c r="B218">
        <v>116.58136331252012</v>
      </c>
      <c r="C218" s="82">
        <f t="shared" si="60"/>
        <v>-0.41337543027366053</v>
      </c>
      <c r="D218">
        <v>173.5</v>
      </c>
      <c r="E218">
        <v>163000.66491305656</v>
      </c>
      <c r="F218" t="s">
        <v>82</v>
      </c>
      <c r="G218">
        <v>173.5</v>
      </c>
      <c r="H218">
        <v>116.81244577733706</v>
      </c>
      <c r="I218" s="82">
        <f t="shared" si="61"/>
        <v>-0.39071351541417698</v>
      </c>
      <c r="J218">
        <v>173.5</v>
      </c>
      <c r="K218">
        <v>155013.38223339047</v>
      </c>
      <c r="L218" t="s">
        <v>82</v>
      </c>
      <c r="M218">
        <v>173.5</v>
      </c>
      <c r="N218">
        <v>117.00463579981748</v>
      </c>
      <c r="O218" s="82">
        <f t="shared" si="62"/>
        <v>-0.36922557788068389</v>
      </c>
      <c r="P218">
        <v>173.5</v>
      </c>
      <c r="Q218">
        <v>147492.08229212381</v>
      </c>
      <c r="R218" t="s">
        <v>82</v>
      </c>
      <c r="S218">
        <v>173.5</v>
      </c>
      <c r="T218">
        <v>117.15912471938016</v>
      </c>
      <c r="U218" s="82">
        <f t="shared" si="63"/>
        <v>-0.34886736449050204</v>
      </c>
      <c r="V218">
        <v>173.5</v>
      </c>
      <c r="W218">
        <v>140423.73060554152</v>
      </c>
      <c r="X218" t="s">
        <v>82</v>
      </c>
      <c r="Y218">
        <v>173.5</v>
      </c>
      <c r="Z218">
        <v>117.27794291908205</v>
      </c>
      <c r="AA218" s="82">
        <f t="shared" si="64"/>
        <v>-0.32960554961914568</v>
      </c>
      <c r="AB218">
        <v>173.5</v>
      </c>
      <c r="AC218">
        <v>133798.70660298929</v>
      </c>
      <c r="AD218" t="s">
        <v>82</v>
      </c>
      <c r="AE218">
        <v>173.5</v>
      </c>
      <c r="AF218">
        <v>117.36246444235495</v>
      </c>
      <c r="AG218" s="82">
        <f t="shared" si="65"/>
        <v>-0.31139980255225908</v>
      </c>
      <c r="AH218">
        <v>173.5</v>
      </c>
      <c r="AI218">
        <v>127604.61305252774</v>
      </c>
      <c r="AJ218" t="s">
        <v>82</v>
      </c>
      <c r="AK218">
        <v>173.5</v>
      </c>
      <c r="AL218">
        <v>117.41430078224916</v>
      </c>
      <c r="AM218" s="82">
        <f t="shared" si="66"/>
        <v>-0.29418916484083013</v>
      </c>
      <c r="AN218">
        <v>173.5</v>
      </c>
      <c r="AO218">
        <v>121821.86097609391</v>
      </c>
      <c r="AP218" t="s">
        <v>82</v>
      </c>
      <c r="AQ218">
        <v>173.5</v>
      </c>
      <c r="AR218">
        <v>117.43446610010493</v>
      </c>
      <c r="AS218" s="82">
        <f t="shared" si="67"/>
        <v>-0.27788021055917511</v>
      </c>
      <c r="AT218">
        <v>173.5</v>
      </c>
      <c r="AU218">
        <v>116420.36820410067</v>
      </c>
      <c r="AV218" t="s">
        <v>82</v>
      </c>
      <c r="AW218">
        <v>173.5</v>
      </c>
      <c r="AX218">
        <v>117.42454162388383</v>
      </c>
      <c r="AY218" s="82">
        <f t="shared" si="68"/>
        <v>-0.26244186335000563</v>
      </c>
      <c r="AZ218">
        <v>173.5</v>
      </c>
      <c r="BA218">
        <v>111391.12781287711</v>
      </c>
      <c r="BB218" t="s">
        <v>82</v>
      </c>
      <c r="BC218">
        <v>173.5</v>
      </c>
      <c r="BD218">
        <v>117.3859278369038</v>
      </c>
      <c r="BE218" s="82">
        <f t="shared" si="69"/>
        <v>-0.24781418174708847</v>
      </c>
      <c r="BF218">
        <v>173.5</v>
      </c>
      <c r="BG218">
        <v>106715.86514411151</v>
      </c>
      <c r="BH218" t="s">
        <v>82</v>
      </c>
      <c r="BI218">
        <v>173.5</v>
      </c>
      <c r="BJ218">
        <v>117.31813478917714</v>
      </c>
      <c r="BK218" s="82">
        <f t="shared" si="70"/>
        <v>-0.23391307750527801</v>
      </c>
      <c r="BL218">
        <v>173.5</v>
      </c>
      <c r="BM218">
        <v>102369.7526797421</v>
      </c>
      <c r="BN218" t="s">
        <v>82</v>
      </c>
      <c r="BO218">
        <v>173.5</v>
      </c>
      <c r="BP218">
        <v>117.22229534027164</v>
      </c>
      <c r="BQ218" s="82">
        <f t="shared" si="71"/>
        <v>-0.22069173340860004</v>
      </c>
      <c r="BR218">
        <v>173.5</v>
      </c>
      <c r="BS218">
        <v>98340.76393749156</v>
      </c>
      <c r="BT218" t="s">
        <v>82</v>
      </c>
      <c r="BU218">
        <v>173.5</v>
      </c>
      <c r="BV218">
        <v>117.10245853707153</v>
      </c>
      <c r="BW218" s="82">
        <f t="shared" si="72"/>
        <v>-0.20819014110512057</v>
      </c>
      <c r="BX218">
        <v>173.5</v>
      </c>
      <c r="BY218">
        <v>94642.794075695128</v>
      </c>
      <c r="BZ218" t="s">
        <v>82</v>
      </c>
      <c r="CA218">
        <v>173.5</v>
      </c>
      <c r="CB218">
        <v>116.98055212525182</v>
      </c>
      <c r="CC218" s="82">
        <f t="shared" si="73"/>
        <v>-0.19675812659562553</v>
      </c>
      <c r="CD218">
        <v>173.5</v>
      </c>
      <c r="CE218">
        <v>91372.040592597987</v>
      </c>
      <c r="CF218" t="s">
        <v>82</v>
      </c>
      <c r="CG218">
        <v>173.5</v>
      </c>
      <c r="CH218">
        <v>116.85591062566168</v>
      </c>
      <c r="CI218" s="82">
        <f t="shared" si="74"/>
        <v>-0.18625384012760549</v>
      </c>
      <c r="CJ218">
        <v>173.5</v>
      </c>
      <c r="CK218">
        <v>88477.502896447448</v>
      </c>
      <c r="CL218" t="s">
        <v>82</v>
      </c>
      <c r="CM218">
        <v>173.5</v>
      </c>
      <c r="CN218">
        <v>116.72844826303394</v>
      </c>
      <c r="CO218" s="82">
        <f t="shared" si="75"/>
        <v>-0.17656736306443577</v>
      </c>
      <c r="CP218">
        <v>173.5</v>
      </c>
      <c r="CQ218">
        <v>85919.34743678433</v>
      </c>
      <c r="CR218" t="s">
        <v>82</v>
      </c>
      <c r="CS218">
        <v>173.5</v>
      </c>
      <c r="CT218">
        <v>116.59856868425915</v>
      </c>
      <c r="CU218" s="82">
        <f t="shared" si="76"/>
        <v>-0.16761268812021513</v>
      </c>
      <c r="CV218">
        <v>173.5</v>
      </c>
      <c r="CW218">
        <v>83665.807100355698</v>
      </c>
      <c r="CX218" t="s">
        <v>82</v>
      </c>
      <c r="CY218">
        <v>173.5</v>
      </c>
      <c r="CZ218">
        <v>116.45628726955357</v>
      </c>
      <c r="DA218" s="82">
        <f t="shared" si="77"/>
        <v>-0.15915091920649616</v>
      </c>
      <c r="DB218">
        <v>173.5</v>
      </c>
      <c r="DC218">
        <v>81652.968944212975</v>
      </c>
      <c r="DD218" t="s">
        <v>82</v>
      </c>
      <c r="DG218" s="82">
        <f t="shared" si="78"/>
        <v>0</v>
      </c>
      <c r="DM218" s="82">
        <f t="shared" si="79"/>
        <v>0</v>
      </c>
    </row>
    <row r="219" spans="1:117" x14ac:dyDescent="0.2">
      <c r="A219">
        <v>174.5</v>
      </c>
      <c r="B219">
        <v>116.16520750116428</v>
      </c>
      <c r="C219" s="82">
        <f t="shared" si="60"/>
        <v>-0.41615581135584989</v>
      </c>
      <c r="D219">
        <v>174.5</v>
      </c>
      <c r="E219">
        <v>164000.30816246881</v>
      </c>
      <c r="F219" t="s">
        <v>82</v>
      </c>
      <c r="G219">
        <v>174.5</v>
      </c>
      <c r="H219">
        <v>116.41917793662799</v>
      </c>
      <c r="I219" s="82">
        <f t="shared" si="61"/>
        <v>-0.39326784070907195</v>
      </c>
      <c r="J219">
        <v>174.5</v>
      </c>
      <c r="K219">
        <v>155930.07538959369</v>
      </c>
      <c r="L219" t="s">
        <v>82</v>
      </c>
      <c r="M219">
        <v>174.5</v>
      </c>
      <c r="N219">
        <v>116.63307850853909</v>
      </c>
      <c r="O219" s="82">
        <f t="shared" si="62"/>
        <v>-0.37155729127839265</v>
      </c>
      <c r="P219">
        <v>174.5</v>
      </c>
      <c r="Q219">
        <v>148326.74845369515</v>
      </c>
      <c r="R219" t="s">
        <v>82</v>
      </c>
      <c r="S219">
        <v>174.5</v>
      </c>
      <c r="T219">
        <v>116.80814024549842</v>
      </c>
      <c r="U219" s="82">
        <f t="shared" si="63"/>
        <v>-0.35098447388173781</v>
      </c>
      <c r="V219">
        <v>174.5</v>
      </c>
      <c r="W219">
        <v>141179.09443909492</v>
      </c>
      <c r="X219" t="s">
        <v>82</v>
      </c>
      <c r="Y219">
        <v>174.5</v>
      </c>
      <c r="Z219">
        <v>116.94642348785803</v>
      </c>
      <c r="AA219" s="82">
        <f t="shared" si="64"/>
        <v>-0.33151943122402372</v>
      </c>
      <c r="AB219">
        <v>174.5</v>
      </c>
      <c r="AC219">
        <v>134478.82727432961</v>
      </c>
      <c r="AD219" t="s">
        <v>82</v>
      </c>
      <c r="AE219">
        <v>174.5</v>
      </c>
      <c r="AF219">
        <v>117.04934061004627</v>
      </c>
      <c r="AG219" s="82">
        <f t="shared" si="65"/>
        <v>-0.31312383230867624</v>
      </c>
      <c r="AH219">
        <v>174.5</v>
      </c>
      <c r="AI219">
        <v>128214.35576525138</v>
      </c>
      <c r="AJ219" t="s">
        <v>82</v>
      </c>
      <c r="AK219">
        <v>174.5</v>
      </c>
      <c r="AL219">
        <v>117.11856320129588</v>
      </c>
      <c r="AM219" s="82">
        <f t="shared" si="66"/>
        <v>-0.29573758095327207</v>
      </c>
      <c r="AN219">
        <v>174.5</v>
      </c>
      <c r="AO219">
        <v>122366.45760136639</v>
      </c>
      <c r="AP219" t="s">
        <v>82</v>
      </c>
      <c r="AQ219">
        <v>174.5</v>
      </c>
      <c r="AR219">
        <v>117.15519905472773</v>
      </c>
      <c r="AS219" s="82">
        <f t="shared" si="67"/>
        <v>-0.27926704537719615</v>
      </c>
      <c r="AT219">
        <v>174.5</v>
      </c>
      <c r="AU219">
        <v>116905.00669929046</v>
      </c>
      <c r="AV219" t="s">
        <v>82</v>
      </c>
      <c r="AW219">
        <v>174.5</v>
      </c>
      <c r="AX219">
        <v>117.16086050341188</v>
      </c>
      <c r="AY219" s="82">
        <f t="shared" si="68"/>
        <v>-0.26368112047194359</v>
      </c>
      <c r="AZ219">
        <v>174.5</v>
      </c>
      <c r="BA219">
        <v>111821.00603784488</v>
      </c>
      <c r="BB219" t="s">
        <v>82</v>
      </c>
      <c r="BC219">
        <v>174.5</v>
      </c>
      <c r="BD219">
        <v>117.13700864249158</v>
      </c>
      <c r="BE219" s="82">
        <f t="shared" si="69"/>
        <v>-0.24891919441222399</v>
      </c>
      <c r="BF219">
        <v>174.5</v>
      </c>
      <c r="BG219">
        <v>107095.94512239652</v>
      </c>
      <c r="BH219" t="s">
        <v>82</v>
      </c>
      <c r="BI219">
        <v>174.5</v>
      </c>
      <c r="BJ219">
        <v>117.08323875301298</v>
      </c>
      <c r="BK219" s="82">
        <f t="shared" si="70"/>
        <v>-0.23489603616415877</v>
      </c>
      <c r="BL219">
        <v>174.5</v>
      </c>
      <c r="BM219">
        <v>102704.5812929097</v>
      </c>
      <c r="BN219" t="s">
        <v>82</v>
      </c>
      <c r="BO219">
        <v>174.5</v>
      </c>
      <c r="BP219">
        <v>117.00073131001147</v>
      </c>
      <c r="BQ219" s="82">
        <f t="shared" si="71"/>
        <v>-0.22156403026016847</v>
      </c>
      <c r="BR219">
        <v>174.5</v>
      </c>
      <c r="BS219">
        <v>98634.595781753145</v>
      </c>
      <c r="BT219" t="s">
        <v>82</v>
      </c>
      <c r="BU219">
        <v>174.5</v>
      </c>
      <c r="BV219">
        <v>116.89349547958683</v>
      </c>
      <c r="BW219" s="82">
        <f t="shared" si="72"/>
        <v>-0.20896305748469501</v>
      </c>
      <c r="BX219">
        <v>174.5</v>
      </c>
      <c r="BY219">
        <v>94899.84160089714</v>
      </c>
      <c r="BZ219" t="s">
        <v>82</v>
      </c>
      <c r="CA219">
        <v>174.5</v>
      </c>
      <c r="CB219">
        <v>116.78310681584513</v>
      </c>
      <c r="CC219" s="82">
        <f t="shared" si="73"/>
        <v>-0.19744530940668881</v>
      </c>
      <c r="CD219">
        <v>174.5</v>
      </c>
      <c r="CE219">
        <v>91597.374531787806</v>
      </c>
      <c r="CF219" t="s">
        <v>82</v>
      </c>
      <c r="CG219">
        <v>174.5</v>
      </c>
      <c r="CH219">
        <v>116.66904402060321</v>
      </c>
      <c r="CI219" s="82">
        <f t="shared" si="74"/>
        <v>-0.1868666050584693</v>
      </c>
      <c r="CJ219">
        <v>174.5</v>
      </c>
      <c r="CK219">
        <v>88675.328649581454</v>
      </c>
      <c r="CL219" t="s">
        <v>82</v>
      </c>
      <c r="CM219">
        <v>174.5</v>
      </c>
      <c r="CN219">
        <v>116.5513330343948</v>
      </c>
      <c r="CO219" s="82">
        <f t="shared" si="75"/>
        <v>-0.17711522863913842</v>
      </c>
      <c r="CP219">
        <v>174.5</v>
      </c>
      <c r="CQ219">
        <v>86093.202663721633</v>
      </c>
      <c r="CR219" t="s">
        <v>82</v>
      </c>
      <c r="CS219">
        <v>174.5</v>
      </c>
      <c r="CT219">
        <v>116.43046492236827</v>
      </c>
      <c r="CU219" s="82">
        <f t="shared" si="76"/>
        <v>-0.16810376189087606</v>
      </c>
      <c r="CV219">
        <v>174.5</v>
      </c>
      <c r="CW219">
        <v>83818.704629882341</v>
      </c>
      <c r="CX219" t="s">
        <v>82</v>
      </c>
      <c r="CY219">
        <v>174.5</v>
      </c>
      <c r="CZ219">
        <v>116.29669624181452</v>
      </c>
      <c r="DA219" s="82">
        <f t="shared" si="77"/>
        <v>-0.15959102773905443</v>
      </c>
      <c r="DB219">
        <v>174.5</v>
      </c>
      <c r="DC219">
        <v>81787.084097986459</v>
      </c>
      <c r="DD219" t="s">
        <v>82</v>
      </c>
      <c r="DG219" s="82">
        <f t="shared" si="78"/>
        <v>0</v>
      </c>
      <c r="DM219" s="82">
        <f t="shared" si="79"/>
        <v>0</v>
      </c>
    </row>
    <row r="220" spans="1:117" x14ac:dyDescent="0.2">
      <c r="A220">
        <v>175.5</v>
      </c>
      <c r="B220">
        <v>115.74629793661914</v>
      </c>
      <c r="C220" s="82">
        <f t="shared" si="60"/>
        <v>-0.41890956454513173</v>
      </c>
      <c r="D220">
        <v>175.5</v>
      </c>
      <c r="E220">
        <v>164990.02661248884</v>
      </c>
      <c r="F220" t="s">
        <v>82</v>
      </c>
      <c r="G220">
        <v>175.5</v>
      </c>
      <c r="H220">
        <v>116.02337483987982</v>
      </c>
      <c r="I220" s="82">
        <f t="shared" si="61"/>
        <v>-0.3958030967481676</v>
      </c>
      <c r="J220">
        <v>175.5</v>
      </c>
      <c r="K220">
        <v>156839.75066572722</v>
      </c>
      <c r="L220" t="s">
        <v>82</v>
      </c>
      <c r="M220">
        <v>175.5</v>
      </c>
      <c r="N220">
        <v>116.25920317933402</v>
      </c>
      <c r="O220" s="82">
        <f t="shared" si="62"/>
        <v>-0.37387532920506317</v>
      </c>
      <c r="P220">
        <v>175.5</v>
      </c>
      <c r="Q220">
        <v>149156.46893174315</v>
      </c>
      <c r="R220" t="s">
        <v>82</v>
      </c>
      <c r="S220">
        <v>175.5</v>
      </c>
      <c r="T220">
        <v>116.45504854740361</v>
      </c>
      <c r="U220" s="82">
        <f t="shared" si="63"/>
        <v>-0.35309169809481489</v>
      </c>
      <c r="V220">
        <v>175.5</v>
      </c>
      <c r="W220">
        <v>141930.96568154905</v>
      </c>
      <c r="X220" t="s">
        <v>82</v>
      </c>
      <c r="Y220">
        <v>175.5</v>
      </c>
      <c r="Z220">
        <v>116.61299742571165</v>
      </c>
      <c r="AA220" s="82">
        <f t="shared" si="64"/>
        <v>-0.33342606214637271</v>
      </c>
      <c r="AB220">
        <v>175.5</v>
      </c>
      <c r="AC220">
        <v>135156.46166747643</v>
      </c>
      <c r="AD220" t="s">
        <v>82</v>
      </c>
      <c r="AE220">
        <v>175.5</v>
      </c>
      <c r="AF220">
        <v>116.73449817806545</v>
      </c>
      <c r="AG220" s="82">
        <f t="shared" si="65"/>
        <v>-0.3148424319808214</v>
      </c>
      <c r="AH220">
        <v>175.5</v>
      </c>
      <c r="AI220">
        <v>128822.30371844869</v>
      </c>
      <c r="AJ220" t="s">
        <v>82</v>
      </c>
      <c r="AK220">
        <v>175.5</v>
      </c>
      <c r="AL220">
        <v>116.82128137074319</v>
      </c>
      <c r="AM220" s="82">
        <f t="shared" si="66"/>
        <v>-0.29728183055269142</v>
      </c>
      <c r="AN220">
        <v>175.5</v>
      </c>
      <c r="AO220">
        <v>122909.73543803894</v>
      </c>
      <c r="AP220" t="s">
        <v>82</v>
      </c>
      <c r="AQ220">
        <v>175.5</v>
      </c>
      <c r="AR220">
        <v>116.87454845129051</v>
      </c>
      <c r="AS220" s="82">
        <f t="shared" si="67"/>
        <v>-0.28065060343722337</v>
      </c>
      <c r="AT220">
        <v>175.5</v>
      </c>
      <c r="AU220">
        <v>117388.65780824787</v>
      </c>
      <c r="AV220" t="s">
        <v>82</v>
      </c>
      <c r="AW220">
        <v>175.5</v>
      </c>
      <c r="AX220">
        <v>116.89594276417371</v>
      </c>
      <c r="AY220" s="82">
        <f t="shared" si="68"/>
        <v>-0.26491773923817163</v>
      </c>
      <c r="AZ220">
        <v>175.5</v>
      </c>
      <c r="BA220">
        <v>112250.13116473869</v>
      </c>
      <c r="BB220" t="s">
        <v>82</v>
      </c>
      <c r="BC220">
        <v>175.5</v>
      </c>
      <c r="BD220">
        <v>116.88698660319254</v>
      </c>
      <c r="BE220" s="82">
        <f t="shared" si="69"/>
        <v>-0.25002203929903999</v>
      </c>
      <c r="BF220">
        <v>175.5</v>
      </c>
      <c r="BG220">
        <v>107475.4416070225</v>
      </c>
      <c r="BH220" t="s">
        <v>82</v>
      </c>
      <c r="BI220">
        <v>175.5</v>
      </c>
      <c r="BJ220">
        <v>116.8473615690809</v>
      </c>
      <c r="BK220" s="82">
        <f t="shared" si="70"/>
        <v>-0.23587718393207524</v>
      </c>
      <c r="BL220">
        <v>175.5</v>
      </c>
      <c r="BM220">
        <v>103038.95231682481</v>
      </c>
      <c r="BN220" t="s">
        <v>82</v>
      </c>
      <c r="BO220">
        <v>175.5</v>
      </c>
      <c r="BP220">
        <v>116.77829651547979</v>
      </c>
      <c r="BQ220" s="82">
        <f t="shared" si="71"/>
        <v>-0.22243479453167936</v>
      </c>
      <c r="BR220">
        <v>175.5</v>
      </c>
      <c r="BS220">
        <v>98928.065883236544</v>
      </c>
      <c r="BT220" t="s">
        <v>82</v>
      </c>
      <c r="BU220">
        <v>175.5</v>
      </c>
      <c r="BV220">
        <v>116.68376081633019</v>
      </c>
      <c r="BW220" s="82">
        <f t="shared" si="72"/>
        <v>-0.20973466325663992</v>
      </c>
      <c r="BX220">
        <v>175.5</v>
      </c>
      <c r="BY220">
        <v>95156.601834828223</v>
      </c>
      <c r="BZ220" t="s">
        <v>82</v>
      </c>
      <c r="CA220">
        <v>175.5</v>
      </c>
      <c r="CB220">
        <v>116.58497545427771</v>
      </c>
      <c r="CC220" s="82">
        <f t="shared" si="73"/>
        <v>-0.19813136156741962</v>
      </c>
      <c r="CD220">
        <v>175.5</v>
      </c>
      <c r="CE220">
        <v>91822.480064015253</v>
      </c>
      <c r="CF220" t="s">
        <v>82</v>
      </c>
      <c r="CG220">
        <v>175.5</v>
      </c>
      <c r="CH220">
        <v>116.48156563290887</v>
      </c>
      <c r="CI220" s="82">
        <f t="shared" si="74"/>
        <v>-0.18747838769434111</v>
      </c>
      <c r="CJ220">
        <v>175.5</v>
      </c>
      <c r="CK220">
        <v>88872.973353096313</v>
      </c>
      <c r="CL220" t="s">
        <v>82</v>
      </c>
      <c r="CM220">
        <v>175.5</v>
      </c>
      <c r="CN220">
        <v>116.37367079861119</v>
      </c>
      <c r="CO220" s="82">
        <f t="shared" si="75"/>
        <v>-0.17766223578361462</v>
      </c>
      <c r="CP220">
        <v>175.5</v>
      </c>
      <c r="CQ220">
        <v>86266.915368981485</v>
      </c>
      <c r="CR220" t="s">
        <v>82</v>
      </c>
      <c r="CS220">
        <v>175.5</v>
      </c>
      <c r="CT220">
        <v>116.26187084064468</v>
      </c>
      <c r="CU220" s="82">
        <f t="shared" si="76"/>
        <v>-0.16859408172359736</v>
      </c>
      <c r="CV220">
        <v>175.5</v>
      </c>
      <c r="CW220">
        <v>83971.491282038172</v>
      </c>
      <c r="CX220" t="s">
        <v>82</v>
      </c>
      <c r="CY220">
        <v>175.5</v>
      </c>
      <c r="CZ220">
        <v>116.13666577010204</v>
      </c>
      <c r="DA220" s="82">
        <f t="shared" si="77"/>
        <v>-0.16003047171247431</v>
      </c>
      <c r="DB220">
        <v>175.5</v>
      </c>
      <c r="DC220">
        <v>81921.114639372507</v>
      </c>
      <c r="DD220" t="s">
        <v>82</v>
      </c>
      <c r="DG220" s="82">
        <f t="shared" si="78"/>
        <v>0</v>
      </c>
      <c r="DM220" s="82">
        <f t="shared" si="79"/>
        <v>0</v>
      </c>
    </row>
    <row r="221" spans="1:117" x14ac:dyDescent="0.2">
      <c r="A221">
        <v>176.5</v>
      </c>
      <c r="B221">
        <v>115.32466369775373</v>
      </c>
      <c r="C221" s="82">
        <f t="shared" si="60"/>
        <v>-0.42163423886540841</v>
      </c>
      <c r="D221">
        <v>176.5</v>
      </c>
      <c r="E221">
        <v>165968.89037657363</v>
      </c>
      <c r="F221" t="s">
        <v>82</v>
      </c>
      <c r="G221">
        <v>176.5</v>
      </c>
      <c r="H221">
        <v>115.6250573630892</v>
      </c>
      <c r="I221" s="82">
        <f t="shared" si="61"/>
        <v>-0.39831747679062346</v>
      </c>
      <c r="J221">
        <v>176.5</v>
      </c>
      <c r="K221">
        <v>157741.72430653404</v>
      </c>
      <c r="L221" t="s">
        <v>82</v>
      </c>
      <c r="M221">
        <v>176.5</v>
      </c>
      <c r="N221">
        <v>115.88302481499855</v>
      </c>
      <c r="O221" s="82">
        <f t="shared" si="62"/>
        <v>-0.37617836433547325</v>
      </c>
      <c r="P221">
        <v>176.5</v>
      </c>
      <c r="Q221">
        <v>149980.74297912876</v>
      </c>
      <c r="R221" t="s">
        <v>82</v>
      </c>
      <c r="S221">
        <v>176.5</v>
      </c>
      <c r="T221">
        <v>116.0998604865235</v>
      </c>
      <c r="U221" s="82">
        <f t="shared" si="63"/>
        <v>-0.3551880608801099</v>
      </c>
      <c r="V221">
        <v>176.5</v>
      </c>
      <c r="W221">
        <v>142678.97741088131</v>
      </c>
      <c r="X221" t="s">
        <v>82</v>
      </c>
      <c r="Y221">
        <v>176.5</v>
      </c>
      <c r="Z221">
        <v>116.27767270557692</v>
      </c>
      <c r="AA221" s="82">
        <f t="shared" si="64"/>
        <v>-0.3353247201347358</v>
      </c>
      <c r="AB221">
        <v>176.5</v>
      </c>
      <c r="AC221">
        <v>135831.3395240586</v>
      </c>
      <c r="AD221" t="s">
        <v>82</v>
      </c>
      <c r="AE221">
        <v>176.5</v>
      </c>
      <c r="AF221">
        <v>116.41794311626913</v>
      </c>
      <c r="AG221" s="82">
        <f t="shared" si="65"/>
        <v>-0.31655506179632198</v>
      </c>
      <c r="AH221">
        <v>176.5</v>
      </c>
      <c r="AI221">
        <v>129428.25584118946</v>
      </c>
      <c r="AJ221" t="s">
        <v>82</v>
      </c>
      <c r="AK221">
        <v>176.5</v>
      </c>
      <c r="AL221">
        <v>116.52245986548802</v>
      </c>
      <c r="AM221" s="82">
        <f t="shared" si="66"/>
        <v>-0.29882150525517659</v>
      </c>
      <c r="AN221">
        <v>176.5</v>
      </c>
      <c r="AO221">
        <v>123451.54309710984</v>
      </c>
      <c r="AP221" t="s">
        <v>82</v>
      </c>
      <c r="AQ221">
        <v>176.5</v>
      </c>
      <c r="AR221">
        <v>116.59251787925106</v>
      </c>
      <c r="AS221" s="82">
        <f t="shared" si="67"/>
        <v>-0.28203057203944581</v>
      </c>
      <c r="AT221">
        <v>176.5</v>
      </c>
      <c r="AU221">
        <v>117871.20612895589</v>
      </c>
      <c r="AV221" t="s">
        <v>82</v>
      </c>
      <c r="AW221">
        <v>176.5</v>
      </c>
      <c r="AX221">
        <v>116.62979128665668</v>
      </c>
      <c r="AY221" s="82">
        <f t="shared" si="68"/>
        <v>-0.2661514775170275</v>
      </c>
      <c r="AZ221">
        <v>176.5</v>
      </c>
      <c r="BA221">
        <v>112678.41424070256</v>
      </c>
      <c r="BB221" t="s">
        <v>82</v>
      </c>
      <c r="BC221">
        <v>176.5</v>
      </c>
      <c r="BD221">
        <v>116.63586407586438</v>
      </c>
      <c r="BE221" s="82">
        <f t="shared" si="69"/>
        <v>-0.25112252732816387</v>
      </c>
      <c r="BF221">
        <v>176.5</v>
      </c>
      <c r="BG221">
        <v>107854.28540155025</v>
      </c>
      <c r="BH221" t="s">
        <v>82</v>
      </c>
      <c r="BI221">
        <v>176.5</v>
      </c>
      <c r="BJ221">
        <v>116.61050519669017</v>
      </c>
      <c r="BK221" s="82">
        <f t="shared" si="70"/>
        <v>-0.23685637239073287</v>
      </c>
      <c r="BL221">
        <v>176.5</v>
      </c>
      <c r="BM221">
        <v>103372.81165135247</v>
      </c>
      <c r="BN221" t="s">
        <v>82</v>
      </c>
      <c r="BO221">
        <v>176.5</v>
      </c>
      <c r="BP221">
        <v>116.55499260601817</v>
      </c>
      <c r="BQ221" s="82">
        <f t="shared" si="71"/>
        <v>-0.22330390946162026</v>
      </c>
      <c r="BR221">
        <v>176.5</v>
      </c>
      <c r="BS221">
        <v>99221.131824434095</v>
      </c>
      <c r="BT221" t="s">
        <v>82</v>
      </c>
      <c r="BU221">
        <v>176.5</v>
      </c>
      <c r="BV221">
        <v>116.47325594993232</v>
      </c>
      <c r="BW221" s="82">
        <f t="shared" si="72"/>
        <v>-0.21050486639786925</v>
      </c>
      <c r="BX221">
        <v>176.5</v>
      </c>
      <c r="BY221">
        <v>95413.041483259658</v>
      </c>
      <c r="BZ221" t="s">
        <v>82</v>
      </c>
      <c r="CA221">
        <v>176.5</v>
      </c>
      <c r="CB221">
        <v>116.38615924435933</v>
      </c>
      <c r="CC221" s="82">
        <f t="shared" si="73"/>
        <v>-0.19881620991837679</v>
      </c>
      <c r="CD221">
        <v>176.5</v>
      </c>
      <c r="CE221">
        <v>92047.330829307612</v>
      </c>
      <c r="CF221" t="s">
        <v>82</v>
      </c>
      <c r="CG221">
        <v>176.5</v>
      </c>
      <c r="CH221">
        <v>116.29347650345279</v>
      </c>
      <c r="CI221" s="82">
        <f t="shared" si="74"/>
        <v>-0.18808912945607403</v>
      </c>
      <c r="CJ221">
        <v>176.5</v>
      </c>
      <c r="CK221">
        <v>89070.415968836518</v>
      </c>
      <c r="CL221" t="s">
        <v>82</v>
      </c>
      <c r="CM221">
        <v>176.5</v>
      </c>
      <c r="CN221">
        <v>116.19546246128863</v>
      </c>
      <c r="CO221" s="82">
        <f t="shared" si="75"/>
        <v>-0.17820833732255892</v>
      </c>
      <c r="CP221">
        <v>176.5</v>
      </c>
      <c r="CQ221">
        <v>86440.468688266032</v>
      </c>
      <c r="CR221" t="s">
        <v>82</v>
      </c>
      <c r="CS221">
        <v>176.5</v>
      </c>
      <c r="CT221">
        <v>116.09278723124564</v>
      </c>
      <c r="CU221" s="82">
        <f t="shared" si="76"/>
        <v>-0.16908360939903844</v>
      </c>
      <c r="CV221">
        <v>176.5</v>
      </c>
      <c r="CW221">
        <v>84124.153472902181</v>
      </c>
      <c r="CX221" t="s">
        <v>82</v>
      </c>
      <c r="CY221">
        <v>176.5</v>
      </c>
      <c r="CZ221">
        <v>115.97619654995574</v>
      </c>
      <c r="DA221" s="82">
        <f t="shared" si="77"/>
        <v>-0.16046922014629672</v>
      </c>
      <c r="DB221">
        <v>176.5</v>
      </c>
      <c r="DC221">
        <v>82055.049591540679</v>
      </c>
      <c r="DD221" t="s">
        <v>82</v>
      </c>
      <c r="DG221" s="82">
        <f t="shared" si="78"/>
        <v>0</v>
      </c>
      <c r="DM221" s="82">
        <f t="shared" si="79"/>
        <v>0</v>
      </c>
    </row>
    <row r="222" spans="1:117" x14ac:dyDescent="0.2">
      <c r="A222">
        <v>177.5</v>
      </c>
      <c r="B222">
        <v>114.90033643524541</v>
      </c>
      <c r="C222" s="82">
        <f t="shared" si="60"/>
        <v>-0.42432726250832786</v>
      </c>
      <c r="D222">
        <v>177.5</v>
      </c>
      <c r="E222">
        <v>166935.92308591394</v>
      </c>
      <c r="F222" t="s">
        <v>82</v>
      </c>
      <c r="G222">
        <v>177.5</v>
      </c>
      <c r="H222">
        <v>115.22424827327795</v>
      </c>
      <c r="I222" s="82">
        <f t="shared" si="61"/>
        <v>-0.40080908981124708</v>
      </c>
      <c r="J222">
        <v>177.5</v>
      </c>
      <c r="K222">
        <v>158635.28012304197</v>
      </c>
      <c r="L222" t="s">
        <v>82</v>
      </c>
      <c r="M222">
        <v>177.5</v>
      </c>
      <c r="N222">
        <v>115.50455980293438</v>
      </c>
      <c r="O222" s="82">
        <f t="shared" si="62"/>
        <v>-0.3784650120641686</v>
      </c>
      <c r="P222">
        <v>177.5</v>
      </c>
      <c r="Q222">
        <v>150799.04786085885</v>
      </c>
      <c r="R222" t="s">
        <v>82</v>
      </c>
      <c r="S222">
        <v>177.5</v>
      </c>
      <c r="T222">
        <v>115.74258793855942</v>
      </c>
      <c r="U222" s="82">
        <f t="shared" si="63"/>
        <v>-0.35727254796407237</v>
      </c>
      <c r="V222">
        <v>177.5</v>
      </c>
      <c r="W222">
        <v>143422.74817089332</v>
      </c>
      <c r="X222" t="s">
        <v>82</v>
      </c>
      <c r="Y222">
        <v>177.5</v>
      </c>
      <c r="Z222">
        <v>115.94045804739568</v>
      </c>
      <c r="AA222" s="82">
        <f t="shared" si="64"/>
        <v>-0.33721465818123875</v>
      </c>
      <c r="AB222">
        <v>177.5</v>
      </c>
      <c r="AC222">
        <v>136503.18110222259</v>
      </c>
      <c r="AD222" t="s">
        <v>82</v>
      </c>
      <c r="AE222">
        <v>177.5</v>
      </c>
      <c r="AF222">
        <v>116.09968195022449</v>
      </c>
      <c r="AG222" s="82">
        <f t="shared" si="65"/>
        <v>-0.3182611660446355</v>
      </c>
      <c r="AH222">
        <v>177.5</v>
      </c>
      <c r="AI222">
        <v>130032.00504013129</v>
      </c>
      <c r="AJ222" t="s">
        <v>82</v>
      </c>
      <c r="AK222">
        <v>177.5</v>
      </c>
      <c r="AL222">
        <v>116.22210367906617</v>
      </c>
      <c r="AM222" s="82">
        <f t="shared" si="66"/>
        <v>-0.30035618642185113</v>
      </c>
      <c r="AN222">
        <v>177.5</v>
      </c>
      <c r="AO222">
        <v>123991.72529741553</v>
      </c>
      <c r="AP222" t="s">
        <v>82</v>
      </c>
      <c r="AQ222">
        <v>177.5</v>
      </c>
      <c r="AR222">
        <v>116.30911124742785</v>
      </c>
      <c r="AS222" s="82">
        <f t="shared" si="67"/>
        <v>-0.2834066318232118</v>
      </c>
      <c r="AT222">
        <v>177.5</v>
      </c>
      <c r="AU222">
        <v>118352.53377091716</v>
      </c>
      <c r="AV222" t="s">
        <v>82</v>
      </c>
      <c r="AW222">
        <v>177.5</v>
      </c>
      <c r="AX222">
        <v>116.36240919788212</v>
      </c>
      <c r="AY222" s="82">
        <f t="shared" si="68"/>
        <v>-0.26738208877456771</v>
      </c>
      <c r="AZ222">
        <v>177.5</v>
      </c>
      <c r="BA222">
        <v>113105.76463351419</v>
      </c>
      <c r="BB222" t="s">
        <v>82</v>
      </c>
      <c r="BC222">
        <v>177.5</v>
      </c>
      <c r="BD222">
        <v>116.38364360945872</v>
      </c>
      <c r="BE222" s="82">
        <f t="shared" si="69"/>
        <v>-0.2522204664056602</v>
      </c>
      <c r="BF222">
        <v>177.5</v>
      </c>
      <c r="BG222">
        <v>108232.40619816142</v>
      </c>
      <c r="BH222" t="s">
        <v>82</v>
      </c>
      <c r="BI222">
        <v>177.5</v>
      </c>
      <c r="BJ222">
        <v>116.37267174566165</v>
      </c>
      <c r="BK222" s="82">
        <f t="shared" si="70"/>
        <v>-0.23783345102852138</v>
      </c>
      <c r="BL222">
        <v>177.5</v>
      </c>
      <c r="BM222">
        <v>103706.10442369879</v>
      </c>
      <c r="BN222" t="s">
        <v>82</v>
      </c>
      <c r="BO222">
        <v>177.5</v>
      </c>
      <c r="BP222">
        <v>116.33082134922037</v>
      </c>
      <c r="BQ222" s="82">
        <f t="shared" si="71"/>
        <v>-0.2241712567978027</v>
      </c>
      <c r="BR222">
        <v>177.5</v>
      </c>
      <c r="BS222">
        <v>99513.750683176972</v>
      </c>
      <c r="BT222" t="s">
        <v>82</v>
      </c>
      <c r="BU222">
        <v>177.5</v>
      </c>
      <c r="BV222">
        <v>116.26198237613353</v>
      </c>
      <c r="BW222" s="82">
        <f t="shared" si="72"/>
        <v>-0.21127357379879186</v>
      </c>
      <c r="BX222">
        <v>177.5</v>
      </c>
      <c r="BY222">
        <v>95669.126862806865</v>
      </c>
      <c r="BZ222" t="s">
        <v>82</v>
      </c>
      <c r="CA222">
        <v>177.5</v>
      </c>
      <c r="CB222">
        <v>116.18665946386457</v>
      </c>
      <c r="CC222" s="82">
        <f t="shared" si="73"/>
        <v>-0.19949978049476158</v>
      </c>
      <c r="CD222">
        <v>177.5</v>
      </c>
      <c r="CE222">
        <v>92271.9001893237</v>
      </c>
      <c r="CF222" t="s">
        <v>82</v>
      </c>
      <c r="CG222">
        <v>177.5</v>
      </c>
      <c r="CH222">
        <v>116.10477773227964</v>
      </c>
      <c r="CI222" s="82">
        <f t="shared" si="74"/>
        <v>-0.1886987711731507</v>
      </c>
      <c r="CJ222">
        <v>177.5</v>
      </c>
      <c r="CK222">
        <v>89267.635299141592</v>
      </c>
      <c r="CL222" t="s">
        <v>82</v>
      </c>
      <c r="CM222">
        <v>177.5</v>
      </c>
      <c r="CN222">
        <v>116.01670897567371</v>
      </c>
      <c r="CO222" s="82">
        <f t="shared" si="75"/>
        <v>-0.17875348561491933</v>
      </c>
      <c r="CP222">
        <v>177.5</v>
      </c>
      <c r="CQ222">
        <v>86613.845607395953</v>
      </c>
      <c r="CR222" t="s">
        <v>82</v>
      </c>
      <c r="CS222">
        <v>177.5</v>
      </c>
      <c r="CT222">
        <v>115.92321492488169</v>
      </c>
      <c r="CU222" s="82">
        <f t="shared" si="76"/>
        <v>-0.16957230636394627</v>
      </c>
      <c r="CV222">
        <v>177.5</v>
      </c>
      <c r="CW222">
        <v>84276.677484720611</v>
      </c>
      <c r="CX222" t="s">
        <v>82</v>
      </c>
      <c r="CY222">
        <v>177.5</v>
      </c>
      <c r="CZ222">
        <v>115.81528930814717</v>
      </c>
      <c r="DA222" s="82">
        <f t="shared" si="77"/>
        <v>-0.16090724180857308</v>
      </c>
      <c r="DB222">
        <v>177.5</v>
      </c>
      <c r="DC222">
        <v>82188.877907865841</v>
      </c>
      <c r="DD222" t="s">
        <v>82</v>
      </c>
      <c r="DG222" s="82">
        <f t="shared" si="78"/>
        <v>0</v>
      </c>
      <c r="DM222" s="82">
        <f t="shared" si="79"/>
        <v>0</v>
      </c>
    </row>
    <row r="223" spans="1:117" x14ac:dyDescent="0.2">
      <c r="A223">
        <v>178.5</v>
      </c>
      <c r="B223">
        <v>114.47335050057289</v>
      </c>
      <c r="C223" s="82">
        <f t="shared" si="60"/>
        <v>-0.42698593467251555</v>
      </c>
      <c r="D223">
        <v>178.5</v>
      </c>
      <c r="E223">
        <v>167890.09866885084</v>
      </c>
      <c r="F223" t="s">
        <v>82</v>
      </c>
      <c r="G223">
        <v>178.5</v>
      </c>
      <c r="H223">
        <v>114.82097231842829</v>
      </c>
      <c r="I223" s="82">
        <f t="shared" si="61"/>
        <v>-0.40327595484966139</v>
      </c>
      <c r="J223">
        <v>178.5</v>
      </c>
      <c r="K223">
        <v>159519.6672971466</v>
      </c>
      <c r="L223" t="s">
        <v>82</v>
      </c>
      <c r="M223">
        <v>178.5</v>
      </c>
      <c r="N223">
        <v>115.12382597616899</v>
      </c>
      <c r="O223" s="82">
        <f t="shared" si="62"/>
        <v>-0.38073382676539325</v>
      </c>
      <c r="P223">
        <v>178.5</v>
      </c>
      <c r="Q223">
        <v>151610.83733013895</v>
      </c>
      <c r="R223" t="s">
        <v>82</v>
      </c>
      <c r="S223">
        <v>178.5</v>
      </c>
      <c r="T223">
        <v>115.38324383385871</v>
      </c>
      <c r="U223" s="82">
        <f t="shared" si="63"/>
        <v>-0.35934410470071043</v>
      </c>
      <c r="V223">
        <v>178.5</v>
      </c>
      <c r="W223">
        <v>144161.88095866851</v>
      </c>
      <c r="X223" t="s">
        <v>82</v>
      </c>
      <c r="Y223">
        <v>178.5</v>
      </c>
      <c r="Z223">
        <v>115.60136294427888</v>
      </c>
      <c r="AA223" s="82">
        <f t="shared" si="64"/>
        <v>-0.33909510311680435</v>
      </c>
      <c r="AB223">
        <v>178.5</v>
      </c>
      <c r="AC223">
        <v>137171.69665404924</v>
      </c>
      <c r="AD223" t="s">
        <v>82</v>
      </c>
      <c r="AE223">
        <v>178.5</v>
      </c>
      <c r="AF223">
        <v>115.77972177794969</v>
      </c>
      <c r="AG223" s="82">
        <f t="shared" si="65"/>
        <v>-0.31996017227480422</v>
      </c>
      <c r="AH223">
        <v>178.5</v>
      </c>
      <c r="AI223">
        <v>130633.33777879352</v>
      </c>
      <c r="AJ223" t="s">
        <v>82</v>
      </c>
      <c r="AK223">
        <v>178.5</v>
      </c>
      <c r="AL223">
        <v>115.92021823432938</v>
      </c>
      <c r="AM223" s="82">
        <f t="shared" si="66"/>
        <v>-0.30188544473678292</v>
      </c>
      <c r="AN223">
        <v>178.5</v>
      </c>
      <c r="AO223">
        <v>124530.12269031887</v>
      </c>
      <c r="AP223" t="s">
        <v>82</v>
      </c>
      <c r="AQ223">
        <v>178.5</v>
      </c>
      <c r="AR223">
        <v>116.02433279084852</v>
      </c>
      <c r="AS223" s="82">
        <f t="shared" si="67"/>
        <v>-0.28477845657933187</v>
      </c>
      <c r="AT223">
        <v>178.5</v>
      </c>
      <c r="AU223">
        <v>118832.52022234643</v>
      </c>
      <c r="AV223" t="s">
        <v>82</v>
      </c>
      <c r="AW223">
        <v>178.5</v>
      </c>
      <c r="AX223">
        <v>116.09379987589075</v>
      </c>
      <c r="AY223" s="82">
        <f t="shared" si="68"/>
        <v>-0.268609321991363</v>
      </c>
      <c r="AZ223">
        <v>178.5</v>
      </c>
      <c r="BA223">
        <v>113532.0900445267</v>
      </c>
      <c r="BB223" t="s">
        <v>82</v>
      </c>
      <c r="BC223">
        <v>178.5</v>
      </c>
      <c r="BD223">
        <v>116.13032794802812</v>
      </c>
      <c r="BE223" s="82">
        <f t="shared" si="69"/>
        <v>-0.25331566143059092</v>
      </c>
      <c r="BF223">
        <v>178.5</v>
      </c>
      <c r="BG223">
        <v>108609.73255667115</v>
      </c>
      <c r="BH223" t="s">
        <v>82</v>
      </c>
      <c r="BI223">
        <v>178.5</v>
      </c>
      <c r="BJ223">
        <v>116.13386347841825</v>
      </c>
      <c r="BK223" s="82">
        <f t="shared" si="70"/>
        <v>-0.23880826724339954</v>
      </c>
      <c r="BL223">
        <v>178.5</v>
      </c>
      <c r="BM223">
        <v>104038.77498037215</v>
      </c>
      <c r="BN223" t="s">
        <v>82</v>
      </c>
      <c r="BO223">
        <v>178.5</v>
      </c>
      <c r="BP223">
        <v>116.10578463243066</v>
      </c>
      <c r="BQ223" s="82">
        <f t="shared" si="71"/>
        <v>-0.22503671678971671</v>
      </c>
      <c r="BR223">
        <v>178.5</v>
      </c>
      <c r="BS223">
        <v>99805.878950380196</v>
      </c>
      <c r="BT223" t="s">
        <v>82</v>
      </c>
      <c r="BU223">
        <v>178.5</v>
      </c>
      <c r="BV223">
        <v>116.04994168485162</v>
      </c>
      <c r="BW223" s="82">
        <f t="shared" si="72"/>
        <v>-0.2120406912819135</v>
      </c>
      <c r="BX223">
        <v>178.5</v>
      </c>
      <c r="BY223">
        <v>95924.823912055406</v>
      </c>
      <c r="BZ223" t="s">
        <v>82</v>
      </c>
      <c r="CA223">
        <v>178.5</v>
      </c>
      <c r="CB223">
        <v>115.98647746532477</v>
      </c>
      <c r="CC223" s="82">
        <f t="shared" si="73"/>
        <v>-0.20018199853980434</v>
      </c>
      <c r="CD223">
        <v>178.5</v>
      </c>
      <c r="CE223">
        <v>92496.161205125172</v>
      </c>
      <c r="CF223" t="s">
        <v>82</v>
      </c>
      <c r="CG223">
        <v>178.5</v>
      </c>
      <c r="CH223">
        <v>115.91547047921472</v>
      </c>
      <c r="CI223" s="82">
        <f t="shared" si="74"/>
        <v>-0.18930725306492491</v>
      </c>
      <c r="CJ223">
        <v>178.5</v>
      </c>
      <c r="CK223">
        <v>89464.609859512202</v>
      </c>
      <c r="CL223" t="s">
        <v>82</v>
      </c>
      <c r="CM223">
        <v>178.5</v>
      </c>
      <c r="CN223">
        <v>115.83741134310166</v>
      </c>
      <c r="CO223" s="82">
        <f t="shared" si="75"/>
        <v>-0.17929763257204456</v>
      </c>
      <c r="CP223">
        <v>178.5</v>
      </c>
      <c r="CQ223">
        <v>86787.028946053964</v>
      </c>
      <c r="CR223" t="s">
        <v>82</v>
      </c>
      <c r="CS223">
        <v>178.5</v>
      </c>
      <c r="CT223">
        <v>115.75315479117091</v>
      </c>
      <c r="CU223" s="82">
        <f t="shared" si="76"/>
        <v>-0.170060133710777</v>
      </c>
      <c r="CV223">
        <v>178.5</v>
      </c>
      <c r="CW223">
        <v>84429.049470475657</v>
      </c>
      <c r="CX223" t="s">
        <v>82</v>
      </c>
      <c r="CY223">
        <v>178.5</v>
      </c>
      <c r="CZ223">
        <v>115.65394480294952</v>
      </c>
      <c r="DA223" s="82">
        <f t="shared" si="77"/>
        <v>-0.16134450519764698</v>
      </c>
      <c r="DB223">
        <v>178.5</v>
      </c>
      <c r="DC223">
        <v>82322.588416187995</v>
      </c>
      <c r="DD223" t="s">
        <v>82</v>
      </c>
      <c r="DG223" s="82">
        <f t="shared" si="78"/>
        <v>0</v>
      </c>
      <c r="DM223" s="82">
        <f t="shared" si="79"/>
        <v>0</v>
      </c>
    </row>
    <row r="224" spans="1:117" x14ac:dyDescent="0.2">
      <c r="A224">
        <v>179.5</v>
      </c>
      <c r="B224">
        <v>114.0437430839612</v>
      </c>
      <c r="C224" s="82">
        <f t="shared" si="60"/>
        <v>-0.42960741661168811</v>
      </c>
      <c r="D224">
        <v>179.5</v>
      </c>
      <c r="E224">
        <v>168830.3378777492</v>
      </c>
      <c r="F224" t="s">
        <v>82</v>
      </c>
      <c r="G224">
        <v>179.5</v>
      </c>
      <c r="H224">
        <v>114.41525632360961</v>
      </c>
      <c r="I224" s="82">
        <f t="shared" si="61"/>
        <v>-0.40571599481867793</v>
      </c>
      <c r="J224">
        <v>179.5</v>
      </c>
      <c r="K224">
        <v>160394.0979686502</v>
      </c>
      <c r="L224" t="s">
        <v>82</v>
      </c>
      <c r="M224">
        <v>179.5</v>
      </c>
      <c r="N224">
        <v>114.74084267848318</v>
      </c>
      <c r="O224" s="82">
        <f t="shared" si="62"/>
        <v>-0.38298329768581141</v>
      </c>
      <c r="P224">
        <v>179.5</v>
      </c>
      <c r="Q224">
        <v>152415.54007707469</v>
      </c>
      <c r="R224" t="s">
        <v>82</v>
      </c>
      <c r="S224">
        <v>179.5</v>
      </c>
      <c r="T224">
        <v>115.02184220038977</v>
      </c>
      <c r="U224" s="82">
        <f t="shared" si="63"/>
        <v>-0.36140163346894383</v>
      </c>
      <c r="V224">
        <v>179.5</v>
      </c>
      <c r="W224">
        <v>144895.96226349732</v>
      </c>
      <c r="X224" t="s">
        <v>82</v>
      </c>
      <c r="Y224">
        <v>179.5</v>
      </c>
      <c r="Z224">
        <v>115.26039769023085</v>
      </c>
      <c r="AA224" s="82">
        <f t="shared" si="64"/>
        <v>-0.34096525404802946</v>
      </c>
      <c r="AB224">
        <v>179.5</v>
      </c>
      <c r="AC224">
        <v>137836.58577159897</v>
      </c>
      <c r="AD224" t="s">
        <v>82</v>
      </c>
      <c r="AE224">
        <v>179.5</v>
      </c>
      <c r="AF224">
        <v>115.45807028752056</v>
      </c>
      <c r="AG224" s="82">
        <f t="shared" si="65"/>
        <v>-0.32165149042913299</v>
      </c>
      <c r="AH224">
        <v>179.5</v>
      </c>
      <c r="AI224">
        <v>131232.03382846012</v>
      </c>
      <c r="AJ224" t="s">
        <v>82</v>
      </c>
      <c r="AK224">
        <v>179.5</v>
      </c>
      <c r="AL224">
        <v>115.61680939456008</v>
      </c>
      <c r="AM224" s="82">
        <f t="shared" si="66"/>
        <v>-0.303408839769304</v>
      </c>
      <c r="AN224">
        <v>179.5</v>
      </c>
      <c r="AO224">
        <v>125066.57170953495</v>
      </c>
      <c r="AP224" t="s">
        <v>82</v>
      </c>
      <c r="AQ224">
        <v>179.5</v>
      </c>
      <c r="AR224">
        <v>115.73818707780273</v>
      </c>
      <c r="AS224" s="82">
        <f t="shared" si="67"/>
        <v>-0.28614571304578362</v>
      </c>
      <c r="AT224">
        <v>179.5</v>
      </c>
      <c r="AU224">
        <v>119311.04233828234</v>
      </c>
      <c r="AV224" t="s">
        <v>82</v>
      </c>
      <c r="AW224">
        <v>179.5</v>
      </c>
      <c r="AX224">
        <v>115.82396695431692</v>
      </c>
      <c r="AY224" s="82">
        <f t="shared" si="68"/>
        <v>-0.26983292157383687</v>
      </c>
      <c r="AZ224">
        <v>179.5</v>
      </c>
      <c r="BA224">
        <v>113957.29646295069</v>
      </c>
      <c r="BB224" t="s">
        <v>82</v>
      </c>
      <c r="BC224">
        <v>179.5</v>
      </c>
      <c r="BD224">
        <v>115.87592003377387</v>
      </c>
      <c r="BE224" s="82">
        <f t="shared" si="69"/>
        <v>-0.25440791425425857</v>
      </c>
      <c r="BF224">
        <v>179.5</v>
      </c>
      <c r="BG224">
        <v>108986.191913464</v>
      </c>
      <c r="BH224" t="s">
        <v>82</v>
      </c>
      <c r="BI224">
        <v>179.5</v>
      </c>
      <c r="BJ224">
        <v>115.89408281208011</v>
      </c>
      <c r="BK224" s="82">
        <f t="shared" si="70"/>
        <v>-0.23978066633813455</v>
      </c>
      <c r="BL224">
        <v>179.5</v>
      </c>
      <c r="BM224">
        <v>104370.76690070609</v>
      </c>
      <c r="BN224" t="s">
        <v>82</v>
      </c>
      <c r="BO224">
        <v>179.5</v>
      </c>
      <c r="BP224">
        <v>115.87988446420863</v>
      </c>
      <c r="BQ224" s="82">
        <f t="shared" si="71"/>
        <v>-0.22590016822202585</v>
      </c>
      <c r="BR224">
        <v>179.5</v>
      </c>
      <c r="BS224">
        <v>100097.47259007038</v>
      </c>
      <c r="BT224" t="s">
        <v>82</v>
      </c>
      <c r="BU224">
        <v>179.5</v>
      </c>
      <c r="BV224">
        <v>115.83713556125028</v>
      </c>
      <c r="BW224" s="82">
        <f t="shared" si="72"/>
        <v>-0.21280612360133944</v>
      </c>
      <c r="BX224">
        <v>179.5</v>
      </c>
      <c r="BY224">
        <v>96180.098156694366</v>
      </c>
      <c r="BZ224" t="s">
        <v>82</v>
      </c>
      <c r="CA224">
        <v>179.5</v>
      </c>
      <c r="CB224">
        <v>115.78561467681402</v>
      </c>
      <c r="CC224" s="82">
        <f t="shared" si="73"/>
        <v>-0.20086278851074724</v>
      </c>
      <c r="CD224">
        <v>179.5</v>
      </c>
      <c r="CE224">
        <v>92720.086641154194</v>
      </c>
      <c r="CF224" t="s">
        <v>82</v>
      </c>
      <c r="CG224">
        <v>179.5</v>
      </c>
      <c r="CH224">
        <v>115.72555596443716</v>
      </c>
      <c r="CI224" s="82">
        <f t="shared" si="74"/>
        <v>-0.18991451477755561</v>
      </c>
      <c r="CJ224">
        <v>179.5</v>
      </c>
      <c r="CK224">
        <v>89661.318003567882</v>
      </c>
      <c r="CL224" t="s">
        <v>82</v>
      </c>
      <c r="CM224">
        <v>179.5</v>
      </c>
      <c r="CN224">
        <v>115.65757061343359</v>
      </c>
      <c r="CO224" s="82">
        <f t="shared" si="75"/>
        <v>-0.17984072966807219</v>
      </c>
      <c r="CP224">
        <v>179.5</v>
      </c>
      <c r="CQ224">
        <v>86960.001348276492</v>
      </c>
      <c r="CR224" t="s">
        <v>82</v>
      </c>
      <c r="CS224">
        <v>179.5</v>
      </c>
      <c r="CT224">
        <v>115.58260773897128</v>
      </c>
      <c r="CU224" s="82">
        <f t="shared" si="76"/>
        <v>-0.17054705219963751</v>
      </c>
      <c r="CV224">
        <v>179.5</v>
      </c>
      <c r="CW224">
        <v>84581.25546708965</v>
      </c>
      <c r="CX224" t="s">
        <v>82</v>
      </c>
      <c r="CY224">
        <v>179.5</v>
      </c>
      <c r="CZ224">
        <v>115.49216382438941</v>
      </c>
      <c r="DA224" s="82">
        <f t="shared" si="77"/>
        <v>-0.16178097856011675</v>
      </c>
      <c r="DB224">
        <v>179.5</v>
      </c>
      <c r="DC224">
        <v>82456.169885340263</v>
      </c>
      <c r="DD224" t="s">
        <v>82</v>
      </c>
      <c r="DG224" s="82">
        <f t="shared" si="78"/>
        <v>0</v>
      </c>
      <c r="DM224" s="82">
        <f t="shared" si="79"/>
        <v>0</v>
      </c>
    </row>
    <row r="225" spans="1:117" x14ac:dyDescent="0.2">
      <c r="A225">
        <v>180.5</v>
      </c>
      <c r="B225">
        <v>113.61155436216053</v>
      </c>
      <c r="C225" s="82">
        <f t="shared" si="60"/>
        <v>-0.43218872180067081</v>
      </c>
      <c r="D225">
        <v>180.5</v>
      </c>
      <c r="E225">
        <v>169755.50446328774</v>
      </c>
      <c r="F225" t="s">
        <v>82</v>
      </c>
      <c r="G225">
        <v>180.5</v>
      </c>
      <c r="H225">
        <v>114.00712929392901</v>
      </c>
      <c r="I225" s="82">
        <f t="shared" si="61"/>
        <v>-0.40812702968059966</v>
      </c>
      <c r="J225">
        <v>180.5</v>
      </c>
      <c r="K225">
        <v>161257.74452647625</v>
      </c>
      <c r="L225" t="s">
        <v>82</v>
      </c>
      <c r="M225">
        <v>180.5</v>
      </c>
      <c r="N225">
        <v>114.35563083407435</v>
      </c>
      <c r="O225" s="82">
        <f t="shared" si="62"/>
        <v>-0.38521184440882905</v>
      </c>
      <c r="P225">
        <v>180.5</v>
      </c>
      <c r="Q225">
        <v>153212.5579177617</v>
      </c>
      <c r="R225" t="s">
        <v>82</v>
      </c>
      <c r="S225">
        <v>180.5</v>
      </c>
      <c r="T225">
        <v>114.65839820960286</v>
      </c>
      <c r="U225" s="82">
        <f t="shared" si="63"/>
        <v>-0.36344399078690515</v>
      </c>
      <c r="V225">
        <v>180.5</v>
      </c>
      <c r="W225">
        <v>145624.5608882629</v>
      </c>
      <c r="X225" t="s">
        <v>82</v>
      </c>
      <c r="Y225">
        <v>180.5</v>
      </c>
      <c r="Z225">
        <v>114.91757340959559</v>
      </c>
      <c r="AA225" s="82">
        <f t="shared" si="64"/>
        <v>-0.34282428063525572</v>
      </c>
      <c r="AB225">
        <v>180.5</v>
      </c>
      <c r="AC225">
        <v>138497.53674477473</v>
      </c>
      <c r="AD225" t="s">
        <v>82</v>
      </c>
      <c r="AE225">
        <v>180.5</v>
      </c>
      <c r="AF225">
        <v>115.1347357756615</v>
      </c>
      <c r="AG225" s="82">
        <f t="shared" si="65"/>
        <v>-0.32333451185905915</v>
      </c>
      <c r="AH225">
        <v>180.5</v>
      </c>
      <c r="AI225">
        <v>131827.86581408462</v>
      </c>
      <c r="AJ225" t="s">
        <v>82</v>
      </c>
      <c r="AK225">
        <v>180.5</v>
      </c>
      <c r="AL225">
        <v>115.31188347511244</v>
      </c>
      <c r="AM225" s="82">
        <f t="shared" si="66"/>
        <v>-0.30492591944764058</v>
      </c>
      <c r="AN225">
        <v>180.5</v>
      </c>
      <c r="AO225">
        <v>125600.90434005136</v>
      </c>
      <c r="AP225" t="s">
        <v>82</v>
      </c>
      <c r="AQ225">
        <v>180.5</v>
      </c>
      <c r="AR225">
        <v>115.45067901716735</v>
      </c>
      <c r="AS225" s="82">
        <f t="shared" si="67"/>
        <v>-0.28750806063538903</v>
      </c>
      <c r="AT225">
        <v>180.5</v>
      </c>
      <c r="AU225">
        <v>119787.97417751116</v>
      </c>
      <c r="AV225" t="s">
        <v>82</v>
      </c>
      <c r="AW225">
        <v>180.5</v>
      </c>
      <c r="AX225">
        <v>115.55291432705408</v>
      </c>
      <c r="AY225" s="82">
        <f t="shared" si="68"/>
        <v>-0.27105262726283286</v>
      </c>
      <c r="AZ225">
        <v>180.5</v>
      </c>
      <c r="BA225">
        <v>114381.28810537436</v>
      </c>
      <c r="BB225" t="s">
        <v>82</v>
      </c>
      <c r="BC225">
        <v>180.5</v>
      </c>
      <c r="BD225">
        <v>115.6204230101319</v>
      </c>
      <c r="BE225" s="82">
        <f t="shared" si="69"/>
        <v>-0.25549702364196492</v>
      </c>
      <c r="BF225">
        <v>180.5</v>
      </c>
      <c r="BG225">
        <v>109361.71052574299</v>
      </c>
      <c r="BH225" t="s">
        <v>82</v>
      </c>
      <c r="BI225">
        <v>180.5</v>
      </c>
      <c r="BJ225">
        <v>115.65333232055924</v>
      </c>
      <c r="BK225" s="82">
        <f t="shared" si="70"/>
        <v>-0.24075049152087047</v>
      </c>
      <c r="BL225">
        <v>180.5</v>
      </c>
      <c r="BM225">
        <v>104702.02297313379</v>
      </c>
      <c r="BN225" t="s">
        <v>82</v>
      </c>
      <c r="BO225">
        <v>180.5</v>
      </c>
      <c r="BP225">
        <v>115.65312297580195</v>
      </c>
      <c r="BQ225" s="82">
        <f t="shared" si="71"/>
        <v>-0.2267614884066802</v>
      </c>
      <c r="BR225">
        <v>180.5</v>
      </c>
      <c r="BS225">
        <v>100388.48701166184</v>
      </c>
      <c r="BT225" t="s">
        <v>82</v>
      </c>
      <c r="BU225">
        <v>180.5</v>
      </c>
      <c r="BV225">
        <v>115.62356578678794</v>
      </c>
      <c r="BW225" s="82">
        <f t="shared" si="72"/>
        <v>-0.21356977446234282</v>
      </c>
      <c r="BX225">
        <v>180.5</v>
      </c>
      <c r="BY225">
        <v>96434.914751065648</v>
      </c>
      <c r="BZ225" t="s">
        <v>82</v>
      </c>
      <c r="CA225">
        <v>180.5</v>
      </c>
      <c r="CB225">
        <v>115.58407260272045</v>
      </c>
      <c r="CC225" s="82">
        <f t="shared" si="73"/>
        <v>-0.20154207409356673</v>
      </c>
      <c r="CD225">
        <v>180.5</v>
      </c>
      <c r="CE225">
        <v>92943.648990530259</v>
      </c>
      <c r="CF225" t="s">
        <v>82</v>
      </c>
      <c r="CG225">
        <v>180.5</v>
      </c>
      <c r="CH225">
        <v>115.53503546906622</v>
      </c>
      <c r="CI225" s="82">
        <f t="shared" si="74"/>
        <v>-0.19052049537094717</v>
      </c>
      <c r="CJ225">
        <v>180.5</v>
      </c>
      <c r="CK225">
        <v>89857.737841071852</v>
      </c>
      <c r="CL225" t="s">
        <v>82</v>
      </c>
      <c r="CM225">
        <v>180.5</v>
      </c>
      <c r="CN225">
        <v>115.47718788550254</v>
      </c>
      <c r="CO225" s="82">
        <f t="shared" si="75"/>
        <v>-0.18038272793104682</v>
      </c>
      <c r="CP225">
        <v>180.5</v>
      </c>
      <c r="CQ225">
        <v>87132.74530519369</v>
      </c>
      <c r="CR225" t="s">
        <v>82</v>
      </c>
      <c r="CS225">
        <v>180.5</v>
      </c>
      <c r="CT225">
        <v>115.41157471671151</v>
      </c>
      <c r="CU225" s="82">
        <f t="shared" si="76"/>
        <v>-0.17103302225976336</v>
      </c>
      <c r="CV225">
        <v>180.5</v>
      </c>
      <c r="CW225">
        <v>84733.281399008905</v>
      </c>
      <c r="CX225" t="s">
        <v>82</v>
      </c>
      <c r="CY225">
        <v>180.5</v>
      </c>
      <c r="CZ225">
        <v>115.32994719450203</v>
      </c>
      <c r="DA225" s="82">
        <f t="shared" si="77"/>
        <v>-0.16221662988738217</v>
      </c>
      <c r="DB225">
        <v>180.5</v>
      </c>
      <c r="DC225">
        <v>82589.610962295585</v>
      </c>
      <c r="DD225" t="s">
        <v>82</v>
      </c>
      <c r="DG225" s="82">
        <f t="shared" si="78"/>
        <v>0</v>
      </c>
      <c r="DM225" s="82">
        <f t="shared" si="79"/>
        <v>0</v>
      </c>
    </row>
    <row r="226" spans="1:117" x14ac:dyDescent="0.2">
      <c r="A226">
        <v>181.5</v>
      </c>
      <c r="B226">
        <v>113.17682765697187</v>
      </c>
      <c r="C226" s="82">
        <f t="shared" si="60"/>
        <v>-0.43472670518866607</v>
      </c>
      <c r="D226">
        <v>181.5</v>
      </c>
      <c r="E226">
        <v>170664.40091128324</v>
      </c>
      <c r="F226" t="s">
        <v>82</v>
      </c>
      <c r="G226">
        <v>181.5</v>
      </c>
      <c r="H226">
        <v>113.59662252496308</v>
      </c>
      <c r="I226" s="82">
        <f t="shared" si="61"/>
        <v>-0.41050676896593075</v>
      </c>
      <c r="J226">
        <v>181.5</v>
      </c>
      <c r="K226">
        <v>162109.73674735014</v>
      </c>
      <c r="L226" t="s">
        <v>82</v>
      </c>
      <c r="M226">
        <v>181.5</v>
      </c>
      <c r="N226">
        <v>113.96821302221768</v>
      </c>
      <c r="O226" s="82">
        <f t="shared" si="62"/>
        <v>-0.38741781185666468</v>
      </c>
      <c r="P226">
        <v>181.5</v>
      </c>
      <c r="Q226">
        <v>154001.26385631331</v>
      </c>
      <c r="R226" t="s">
        <v>82</v>
      </c>
      <c r="S226">
        <v>181.5</v>
      </c>
      <c r="T226">
        <v>114.29292822545949</v>
      </c>
      <c r="U226" s="82">
        <f t="shared" si="63"/>
        <v>-0.36546998414337395</v>
      </c>
      <c r="V226">
        <v>181.5</v>
      </c>
      <c r="W226">
        <v>146347.22674231828</v>
      </c>
      <c r="X226" t="s">
        <v>82</v>
      </c>
      <c r="Y226">
        <v>181.5</v>
      </c>
      <c r="Z226">
        <v>114.5729020884352</v>
      </c>
      <c r="AA226" s="82">
        <f t="shared" si="64"/>
        <v>-0.34467132116039068</v>
      </c>
      <c r="AB226">
        <v>181.5</v>
      </c>
      <c r="AC226">
        <v>139154.22577661829</v>
      </c>
      <c r="AD226" t="s">
        <v>82</v>
      </c>
      <c r="AE226">
        <v>181.5</v>
      </c>
      <c r="AF226">
        <v>114.80972716743184</v>
      </c>
      <c r="AG226" s="82">
        <f t="shared" si="65"/>
        <v>-0.32500860822965194</v>
      </c>
      <c r="AH226">
        <v>181.5</v>
      </c>
      <c r="AI226">
        <v>132420.59881292941</v>
      </c>
      <c r="AJ226" t="s">
        <v>82</v>
      </c>
      <c r="AK226">
        <v>181.5</v>
      </c>
      <c r="AL226">
        <v>115.00544725563839</v>
      </c>
      <c r="AM226" s="82">
        <f t="shared" si="66"/>
        <v>-0.30643621947405109</v>
      </c>
      <c r="AN226">
        <v>181.5</v>
      </c>
      <c r="AO226">
        <v>126132.94789235092</v>
      </c>
      <c r="AP226" t="s">
        <v>82</v>
      </c>
      <c r="AQ226">
        <v>181.5</v>
      </c>
      <c r="AR226">
        <v>115.16181386597802</v>
      </c>
      <c r="AS226" s="82">
        <f t="shared" si="67"/>
        <v>-0.28886515118932721</v>
      </c>
      <c r="AT226">
        <v>181.5</v>
      </c>
      <c r="AU226">
        <v>120263.18690646092</v>
      </c>
      <c r="AV226" t="s">
        <v>82</v>
      </c>
      <c r="AW226">
        <v>181.5</v>
      </c>
      <c r="AX226">
        <v>115.28064615305161</v>
      </c>
      <c r="AY226" s="82">
        <f t="shared" si="68"/>
        <v>-0.27226817400247683</v>
      </c>
      <c r="AZ226">
        <v>181.5</v>
      </c>
      <c r="BA226">
        <v>114803.96738986239</v>
      </c>
      <c r="BB226" t="s">
        <v>82</v>
      </c>
      <c r="BC226">
        <v>181.5</v>
      </c>
      <c r="BD226">
        <v>115.36384022486722</v>
      </c>
      <c r="BE226" s="82">
        <f t="shared" si="69"/>
        <v>-0.25658278526468337</v>
      </c>
      <c r="BF226">
        <v>181.5</v>
      </c>
      <c r="BG226">
        <v>109736.21352034312</v>
      </c>
      <c r="BH226" t="s">
        <v>82</v>
      </c>
      <c r="BI226">
        <v>181.5</v>
      </c>
      <c r="BJ226">
        <v>115.41161473664665</v>
      </c>
      <c r="BK226" s="82">
        <f t="shared" si="70"/>
        <v>-0.24171758391258891</v>
      </c>
      <c r="BL226">
        <v>181.5</v>
      </c>
      <c r="BM226">
        <v>105032.48521159796</v>
      </c>
      <c r="BN226" t="s">
        <v>82</v>
      </c>
      <c r="BO226">
        <v>181.5</v>
      </c>
      <c r="BP226">
        <v>115.42550242259706</v>
      </c>
      <c r="BQ226" s="82">
        <f t="shared" si="71"/>
        <v>-0.22762055320488628</v>
      </c>
      <c r="BR226">
        <v>181.5</v>
      </c>
      <c r="BS226">
        <v>100678.87709687979</v>
      </c>
      <c r="BT226" t="s">
        <v>82</v>
      </c>
      <c r="BU226">
        <v>181.5</v>
      </c>
      <c r="BV226">
        <v>115.40923424025769</v>
      </c>
      <c r="BW226" s="82">
        <f t="shared" si="72"/>
        <v>-0.21433154653024644</v>
      </c>
      <c r="BX226">
        <v>181.5</v>
      </c>
      <c r="BY226">
        <v>96689.238453360478</v>
      </c>
      <c r="BZ226" t="s">
        <v>82</v>
      </c>
      <c r="CA226">
        <v>181.5</v>
      </c>
      <c r="CB226">
        <v>115.38185282451182</v>
      </c>
      <c r="CC226" s="82">
        <f t="shared" si="73"/>
        <v>-0.20221977820862946</v>
      </c>
      <c r="CD226">
        <v>181.5</v>
      </c>
      <c r="CE226">
        <v>93166.820459202747</v>
      </c>
      <c r="CF226" t="s">
        <v>82</v>
      </c>
      <c r="CG226">
        <v>181.5</v>
      </c>
      <c r="CH226">
        <v>115.34391033573287</v>
      </c>
      <c r="CI226" s="82">
        <f t="shared" si="74"/>
        <v>-0.19112513333334391</v>
      </c>
      <c r="CJ226">
        <v>181.5</v>
      </c>
      <c r="CK226">
        <v>90053.847299592395</v>
      </c>
      <c r="CL226" t="s">
        <v>82</v>
      </c>
      <c r="CM226">
        <v>181.5</v>
      </c>
      <c r="CN226">
        <v>115.29626430754244</v>
      </c>
      <c r="CO226" s="82">
        <f t="shared" si="75"/>
        <v>-0.18092357796010106</v>
      </c>
      <c r="CP226">
        <v>181.5</v>
      </c>
      <c r="CQ226">
        <v>87305.243166465254</v>
      </c>
      <c r="CR226" t="s">
        <v>82</v>
      </c>
      <c r="CS226">
        <v>181.5</v>
      </c>
      <c r="CT226">
        <v>115.24005671272754</v>
      </c>
      <c r="CU226" s="82">
        <f t="shared" si="76"/>
        <v>-0.17151800398397654</v>
      </c>
      <c r="CV226">
        <v>181.5</v>
      </c>
      <c r="CW226">
        <v>84885.113044590791</v>
      </c>
      <c r="CX226" t="s">
        <v>82</v>
      </c>
      <c r="CY226">
        <v>181.5</v>
      </c>
      <c r="CZ226">
        <v>115.16729576758537</v>
      </c>
      <c r="DA226" s="82">
        <f t="shared" si="77"/>
        <v>-0.16265142691665346</v>
      </c>
      <c r="DB226">
        <v>181.5</v>
      </c>
      <c r="DC226">
        <v>82722.90020973199</v>
      </c>
      <c r="DD226" t="s">
        <v>82</v>
      </c>
      <c r="DG226" s="82">
        <f t="shared" si="78"/>
        <v>0</v>
      </c>
      <c r="DM226" s="82">
        <f t="shared" si="79"/>
        <v>0</v>
      </c>
    </row>
    <row r="227" spans="1:117" x14ac:dyDescent="0.2">
      <c r="A227">
        <v>182.5</v>
      </c>
      <c r="B227">
        <v>112.73960960559447</v>
      </c>
      <c r="C227" s="82">
        <f t="shared" si="60"/>
        <v>-0.43721805137739977</v>
      </c>
      <c r="D227">
        <v>182.5</v>
      </c>
      <c r="E227">
        <v>171555.7639046085</v>
      </c>
      <c r="F227" t="s">
        <v>82</v>
      </c>
      <c r="G227">
        <v>182.5</v>
      </c>
      <c r="H227">
        <v>113.18376972143834</v>
      </c>
      <c r="I227" s="82">
        <f t="shared" si="61"/>
        <v>-0.41285280352474274</v>
      </c>
      <c r="J227">
        <v>182.5</v>
      </c>
      <c r="K227">
        <v>162949.15850350694</v>
      </c>
      <c r="L227" t="s">
        <v>82</v>
      </c>
      <c r="M227">
        <v>182.5</v>
      </c>
      <c r="N227">
        <v>113.57861355744787</v>
      </c>
      <c r="O227" s="82">
        <f t="shared" si="62"/>
        <v>-0.389599464769816</v>
      </c>
      <c r="P227">
        <v>182.5</v>
      </c>
      <c r="Q227">
        <v>154780.99988861792</v>
      </c>
      <c r="R227" t="s">
        <v>82</v>
      </c>
      <c r="S227">
        <v>182.5</v>
      </c>
      <c r="T227">
        <v>113.92544985699139</v>
      </c>
      <c r="U227" s="82">
        <f t="shared" si="63"/>
        <v>-0.36747836846809889</v>
      </c>
      <c r="V227">
        <v>182.5</v>
      </c>
      <c r="W227">
        <v>147063.48945637388</v>
      </c>
      <c r="X227" t="s">
        <v>82</v>
      </c>
      <c r="Y227">
        <v>182.5</v>
      </c>
      <c r="Z227">
        <v>114.22639660803486</v>
      </c>
      <c r="AA227" s="82">
        <f t="shared" si="64"/>
        <v>-0.34650548040033868</v>
      </c>
      <c r="AB227">
        <v>182.5</v>
      </c>
      <c r="AC227">
        <v>139806.31615461412</v>
      </c>
      <c r="AD227" t="s">
        <v>82</v>
      </c>
      <c r="AE227">
        <v>182.5</v>
      </c>
      <c r="AF227">
        <v>114.48305403712237</v>
      </c>
      <c r="AG227" s="82">
        <f t="shared" si="65"/>
        <v>-0.32667313030947298</v>
      </c>
      <c r="AH227">
        <v>182.5</v>
      </c>
      <c r="AI227">
        <v>133009.98987261063</v>
      </c>
      <c r="AJ227" t="s">
        <v>82</v>
      </c>
      <c r="AK227">
        <v>182.5</v>
      </c>
      <c r="AL227">
        <v>114.69750799294623</v>
      </c>
      <c r="AM227" s="82">
        <f t="shared" si="66"/>
        <v>-0.30793926269215888</v>
      </c>
      <c r="AN227">
        <v>182.5</v>
      </c>
      <c r="AO227">
        <v>126662.52477642227</v>
      </c>
      <c r="AP227" t="s">
        <v>82</v>
      </c>
      <c r="AQ227">
        <v>182.5</v>
      </c>
      <c r="AR227">
        <v>114.87159723733495</v>
      </c>
      <c r="AS227" s="82">
        <f t="shared" si="67"/>
        <v>-0.29021662864306563</v>
      </c>
      <c r="AT227">
        <v>182.5</v>
      </c>
      <c r="AU227">
        <v>120736.54873155714</v>
      </c>
      <c r="AV227" t="s">
        <v>82</v>
      </c>
      <c r="AW227">
        <v>182.5</v>
      </c>
      <c r="AX227">
        <v>115.00716686123179</v>
      </c>
      <c r="AY227" s="82">
        <f t="shared" si="68"/>
        <v>-0.27347929181981101</v>
      </c>
      <c r="AZ227">
        <v>182.5</v>
      </c>
      <c r="BA227">
        <v>115225.23486440726</v>
      </c>
      <c r="BB227" t="s">
        <v>82</v>
      </c>
      <c r="BC227">
        <v>182.5</v>
      </c>
      <c r="BD227">
        <v>115.10617523324498</v>
      </c>
      <c r="BE227" s="82">
        <f t="shared" si="69"/>
        <v>-0.25766499162223511</v>
      </c>
      <c r="BF227">
        <v>182.5</v>
      </c>
      <c r="BG227">
        <v>110109.6248093722</v>
      </c>
      <c r="BH227" t="s">
        <v>82</v>
      </c>
      <c r="BI227">
        <v>182.5</v>
      </c>
      <c r="BJ227">
        <v>115.16893295412109</v>
      </c>
      <c r="BK227" s="82">
        <f t="shared" si="70"/>
        <v>-0.24268178252556538</v>
      </c>
      <c r="BL227">
        <v>182.5</v>
      </c>
      <c r="BM227">
        <v>105362.09485106486</v>
      </c>
      <c r="BN227" t="s">
        <v>82</v>
      </c>
      <c r="BO227">
        <v>182.5</v>
      </c>
      <c r="BP227">
        <v>115.1970251855717</v>
      </c>
      <c r="BQ227" s="82">
        <f t="shared" si="71"/>
        <v>-0.22847723702535916</v>
      </c>
      <c r="BR227">
        <v>182.5</v>
      </c>
      <c r="BS227">
        <v>100968.59719102895</v>
      </c>
      <c r="BT227" t="s">
        <v>82</v>
      </c>
      <c r="BU227">
        <v>182.5</v>
      </c>
      <c r="BV227">
        <v>115.19414289881873</v>
      </c>
      <c r="BW227" s="82">
        <f t="shared" si="72"/>
        <v>-0.21509134143896347</v>
      </c>
      <c r="BX227">
        <v>182.5</v>
      </c>
      <c r="BY227">
        <v>96943.033643077739</v>
      </c>
      <c r="BZ227" t="s">
        <v>82</v>
      </c>
      <c r="CA227">
        <v>182.5</v>
      </c>
      <c r="CB227">
        <v>115.17895700148881</v>
      </c>
      <c r="CC227" s="82">
        <f t="shared" si="73"/>
        <v>-0.20289582302301312</v>
      </c>
      <c r="CD227">
        <v>182.5</v>
      </c>
      <c r="CE227">
        <v>93389.572982737678</v>
      </c>
      <c r="CF227" t="s">
        <v>82</v>
      </c>
      <c r="CG227">
        <v>182.5</v>
      </c>
      <c r="CH227">
        <v>115.15218196913855</v>
      </c>
      <c r="CI227" s="82">
        <f t="shared" si="74"/>
        <v>-0.1917283665943188</v>
      </c>
      <c r="CJ227">
        <v>182.5</v>
      </c>
      <c r="CK227">
        <v>90249.624059969734</v>
      </c>
      <c r="CL227" t="s">
        <v>82</v>
      </c>
      <c r="CM227">
        <v>182.5</v>
      </c>
      <c r="CN227">
        <v>115.1148010776128</v>
      </c>
      <c r="CO227" s="82">
        <f t="shared" si="75"/>
        <v>-0.1814632299296477</v>
      </c>
      <c r="CP227">
        <v>182.5</v>
      </c>
      <c r="CQ227">
        <v>87477.47709218094</v>
      </c>
      <c r="CR227" t="s">
        <v>82</v>
      </c>
      <c r="CS227">
        <v>182.5</v>
      </c>
      <c r="CT227">
        <v>115.06805475558185</v>
      </c>
      <c r="CU227" s="82">
        <f t="shared" si="76"/>
        <v>-0.17200195714568167</v>
      </c>
      <c r="CV227">
        <v>182.5</v>
      </c>
      <c r="CW227">
        <v>85036.736078088099</v>
      </c>
      <c r="CX227" t="s">
        <v>82</v>
      </c>
      <c r="CY227">
        <v>182.5</v>
      </c>
      <c r="CZ227">
        <v>115.00421043043838</v>
      </c>
      <c r="DA227" s="82">
        <f t="shared" si="77"/>
        <v>-0.16308533714699536</v>
      </c>
      <c r="DB227">
        <v>182.5</v>
      </c>
      <c r="DC227">
        <v>82856.026118376089</v>
      </c>
      <c r="DD227" t="s">
        <v>82</v>
      </c>
      <c r="DG227" s="82">
        <f t="shared" si="78"/>
        <v>0</v>
      </c>
      <c r="DM227" s="82">
        <f t="shared" si="79"/>
        <v>0</v>
      </c>
    </row>
    <row r="228" spans="1:117" x14ac:dyDescent="0.2">
      <c r="A228">
        <v>183.5</v>
      </c>
      <c r="B228">
        <v>112.29995034392888</v>
      </c>
      <c r="C228" s="82">
        <f t="shared" si="60"/>
        <v>-0.43965926166558233</v>
      </c>
      <c r="D228">
        <v>183.5</v>
      </c>
      <c r="E228">
        <v>172428.25922247849</v>
      </c>
      <c r="F228" t="s">
        <v>82</v>
      </c>
      <c r="G228">
        <v>183.5</v>
      </c>
      <c r="H228">
        <v>112.76860712497391</v>
      </c>
      <c r="I228" s="82">
        <f t="shared" si="61"/>
        <v>-0.41516259646442677</v>
      </c>
      <c r="J228">
        <v>183.5</v>
      </c>
      <c r="K228">
        <v>163775.04427200317</v>
      </c>
      <c r="L228" t="s">
        <v>82</v>
      </c>
      <c r="M228">
        <v>183.5</v>
      </c>
      <c r="N228">
        <v>113.18685857580984</v>
      </c>
      <c r="O228" s="82">
        <f t="shared" si="62"/>
        <v>-0.39175498163803013</v>
      </c>
      <c r="P228">
        <v>183.5</v>
      </c>
      <c r="Q228">
        <v>155551.07468424717</v>
      </c>
      <c r="R228" t="s">
        <v>82</v>
      </c>
      <c r="S228">
        <v>183.5</v>
      </c>
      <c r="T228">
        <v>113.55598201476487</v>
      </c>
      <c r="U228" s="82">
        <f t="shared" si="63"/>
        <v>-0.36946784222652695</v>
      </c>
      <c r="V228">
        <v>183.5</v>
      </c>
      <c r="W228">
        <v>147772.85679173819</v>
      </c>
      <c r="X228" t="s">
        <v>82</v>
      </c>
      <c r="Y228">
        <v>183.5</v>
      </c>
      <c r="Z228">
        <v>113.8780707807814</v>
      </c>
      <c r="AA228" s="82">
        <f t="shared" si="64"/>
        <v>-0.34832582725346128</v>
      </c>
      <c r="AB228">
        <v>183.5</v>
      </c>
      <c r="AC228">
        <v>140453.45732394303</v>
      </c>
      <c r="AD228" t="s">
        <v>82</v>
      </c>
      <c r="AE228">
        <v>183.5</v>
      </c>
      <c r="AF228">
        <v>114.15472663053033</v>
      </c>
      <c r="AG228" s="82">
        <f t="shared" si="65"/>
        <v>-0.32832740659203807</v>
      </c>
      <c r="AH228">
        <v>183.5</v>
      </c>
      <c r="AI228">
        <v>133595.78745683649</v>
      </c>
      <c r="AJ228" t="s">
        <v>82</v>
      </c>
      <c r="AK228">
        <v>183.5</v>
      </c>
      <c r="AL228">
        <v>114.38807343461237</v>
      </c>
      <c r="AM228" s="82">
        <f t="shared" si="66"/>
        <v>-0.30943455833386224</v>
      </c>
      <c r="AN228">
        <v>183.5</v>
      </c>
      <c r="AO228">
        <v>127189.45215353146</v>
      </c>
      <c r="AP228" t="s">
        <v>82</v>
      </c>
      <c r="AQ228">
        <v>183.5</v>
      </c>
      <c r="AR228">
        <v>114.5800351086739</v>
      </c>
      <c r="AS228" s="82">
        <f t="shared" si="67"/>
        <v>-0.29156212866105591</v>
      </c>
      <c r="AT228">
        <v>183.5</v>
      </c>
      <c r="AU228">
        <v>121207.92464733736</v>
      </c>
      <c r="AV228" t="s">
        <v>82</v>
      </c>
      <c r="AW228">
        <v>183.5</v>
      </c>
      <c r="AX228">
        <v>114.73248115557433</v>
      </c>
      <c r="AY228" s="82">
        <f t="shared" si="68"/>
        <v>-0.2746857056574612</v>
      </c>
      <c r="AZ228">
        <v>183.5</v>
      </c>
      <c r="BA228">
        <v>115644.98917020617</v>
      </c>
      <c r="BB228" t="s">
        <v>82</v>
      </c>
      <c r="BC228">
        <v>183.5</v>
      </c>
      <c r="BD228">
        <v>114.84743180123536</v>
      </c>
      <c r="BE228" s="82">
        <f t="shared" si="69"/>
        <v>-0.25874343200962358</v>
      </c>
      <c r="BF228">
        <v>183.5</v>
      </c>
      <c r="BG228">
        <v>110481.8671276176</v>
      </c>
      <c r="BH228" t="s">
        <v>82</v>
      </c>
      <c r="BI228">
        <v>183.5</v>
      </c>
      <c r="BJ228">
        <v>114.92529002985302</v>
      </c>
      <c r="BK228" s="82">
        <f t="shared" si="70"/>
        <v>-0.2436429242680731</v>
      </c>
      <c r="BL228">
        <v>183.5</v>
      </c>
      <c r="BM228">
        <v>105690.79233674808</v>
      </c>
      <c r="BN228" t="s">
        <v>82</v>
      </c>
      <c r="BO228">
        <v>183.5</v>
      </c>
      <c r="BP228">
        <v>114.96769377273915</v>
      </c>
      <c r="BQ228" s="82">
        <f t="shared" si="71"/>
        <v>-0.22933141283255054</v>
      </c>
      <c r="BR228">
        <v>183.5</v>
      </c>
      <c r="BS228">
        <v>101257.60109938409</v>
      </c>
      <c r="BT228" t="s">
        <v>82</v>
      </c>
      <c r="BU228">
        <v>183.5</v>
      </c>
      <c r="BV228">
        <v>114.97829383901306</v>
      </c>
      <c r="BW228" s="82">
        <f t="shared" si="72"/>
        <v>-0.21584905980566305</v>
      </c>
      <c r="BX228">
        <v>183.5</v>
      </c>
      <c r="BY228">
        <v>97196.264336050866</v>
      </c>
      <c r="BZ228" t="s">
        <v>82</v>
      </c>
      <c r="CA228">
        <v>183.5</v>
      </c>
      <c r="CB228">
        <v>114.97538687153238</v>
      </c>
      <c r="CC228" s="82">
        <f t="shared" si="73"/>
        <v>-0.20357012995643231</v>
      </c>
      <c r="CD228">
        <v>183.5</v>
      </c>
      <c r="CE228">
        <v>93611.878203170563</v>
      </c>
      <c r="CF228" t="s">
        <v>82</v>
      </c>
      <c r="CG228">
        <v>183.5</v>
      </c>
      <c r="CH228">
        <v>114.95985183661406</v>
      </c>
      <c r="CI228" s="82">
        <f t="shared" si="74"/>
        <v>-0.19233013252448927</v>
      </c>
      <c r="CJ228">
        <v>183.5</v>
      </c>
      <c r="CK228">
        <v>90445.04564422206</v>
      </c>
      <c r="CL228" t="s">
        <v>82</v>
      </c>
      <c r="CM228">
        <v>183.5</v>
      </c>
      <c r="CN228">
        <v>114.9327994440154</v>
      </c>
      <c r="CO228" s="82">
        <f t="shared" si="75"/>
        <v>-0.18200163359739463</v>
      </c>
      <c r="CP228">
        <v>183.5</v>
      </c>
      <c r="CQ228">
        <v>87649.429117439708</v>
      </c>
      <c r="CR228" t="s">
        <v>82</v>
      </c>
      <c r="CS228">
        <v>183.5</v>
      </c>
      <c r="CT228">
        <v>114.89556991438289</v>
      </c>
      <c r="CU228" s="82">
        <f t="shared" si="76"/>
        <v>-0.17248484119896546</v>
      </c>
      <c r="CV228">
        <v>183.5</v>
      </c>
      <c r="CW228">
        <v>85188.136059844415</v>
      </c>
      <c r="CX228" t="s">
        <v>82</v>
      </c>
      <c r="CY228">
        <v>183.5</v>
      </c>
      <c r="CZ228">
        <v>114.84069210261561</v>
      </c>
      <c r="DA228" s="82">
        <f t="shared" si="77"/>
        <v>-0.16351832782277143</v>
      </c>
      <c r="DB228">
        <v>183.5</v>
      </c>
      <c r="DC228">
        <v>82988.977064299543</v>
      </c>
      <c r="DD228" t="s">
        <v>82</v>
      </c>
      <c r="DG228" s="82">
        <f t="shared" si="78"/>
        <v>0</v>
      </c>
      <c r="DM228" s="82">
        <f t="shared" si="79"/>
        <v>0</v>
      </c>
    </row>
    <row r="229" spans="1:117" x14ac:dyDescent="0.2">
      <c r="A229">
        <v>184.5</v>
      </c>
      <c r="B229">
        <v>111.85790370409585</v>
      </c>
      <c r="C229" s="82">
        <f t="shared" si="60"/>
        <v>-0.4420466398330376</v>
      </c>
      <c r="D229">
        <v>184.5</v>
      </c>
      <c r="E229">
        <v>173280.47618712991</v>
      </c>
      <c r="F229" t="s">
        <v>82</v>
      </c>
      <c r="G229">
        <v>184.5</v>
      </c>
      <c r="H229">
        <v>112.35117365178428</v>
      </c>
      <c r="I229" s="82">
        <f t="shared" si="61"/>
        <v>-0.41743347318963231</v>
      </c>
      <c r="J229">
        <v>184.5</v>
      </c>
      <c r="K229">
        <v>164586.37520213827</v>
      </c>
      <c r="L229" t="s">
        <v>82</v>
      </c>
      <c r="M229">
        <v>184.5</v>
      </c>
      <c r="N229">
        <v>112.79297612782949</v>
      </c>
      <c r="O229" s="82">
        <f t="shared" si="62"/>
        <v>-0.39388244798034577</v>
      </c>
      <c r="P229">
        <v>184.5</v>
      </c>
      <c r="Q229">
        <v>156310.76088590277</v>
      </c>
      <c r="R229" t="s">
        <v>82</v>
      </c>
      <c r="S229">
        <v>184.5</v>
      </c>
      <c r="T229">
        <v>113.18454497164676</v>
      </c>
      <c r="U229" s="82">
        <f t="shared" si="63"/>
        <v>-0.37143704311810666</v>
      </c>
      <c r="V229">
        <v>184.5</v>
      </c>
      <c r="W229">
        <v>148474.81304293915</v>
      </c>
      <c r="X229" t="s">
        <v>82</v>
      </c>
      <c r="Y229">
        <v>184.5</v>
      </c>
      <c r="Z229">
        <v>113.52793938868756</v>
      </c>
      <c r="AA229" s="82">
        <f t="shared" si="64"/>
        <v>-0.35013139209384292</v>
      </c>
      <c r="AB229">
        <v>184.5</v>
      </c>
      <c r="AC229">
        <v>141095.28383870955</v>
      </c>
      <c r="AD229" t="s">
        <v>82</v>
      </c>
      <c r="AE229">
        <v>184.5</v>
      </c>
      <c r="AF229">
        <v>113.8247558887396</v>
      </c>
      <c r="AG229" s="82">
        <f t="shared" si="65"/>
        <v>-0.32997074179073138</v>
      </c>
      <c r="AH229">
        <v>184.5</v>
      </c>
      <c r="AI229">
        <v>134177.73086850974</v>
      </c>
      <c r="AJ229" t="s">
        <v>82</v>
      </c>
      <c r="AK229">
        <v>184.5</v>
      </c>
      <c r="AL229">
        <v>114.0771518333876</v>
      </c>
      <c r="AM229" s="82">
        <f t="shared" si="66"/>
        <v>-0.31092160122476287</v>
      </c>
      <c r="AN229">
        <v>184.5</v>
      </c>
      <c r="AO229">
        <v>127713.5416674366</v>
      </c>
      <c r="AP229" t="s">
        <v>82</v>
      </c>
      <c r="AQ229">
        <v>184.5</v>
      </c>
      <c r="AR229">
        <v>114.28713383042044</v>
      </c>
      <c r="AS229" s="82">
        <f t="shared" si="67"/>
        <v>-0.2929012782534528</v>
      </c>
      <c r="AT229">
        <v>184.5</v>
      </c>
      <c r="AU229">
        <v>121677.17639109967</v>
      </c>
      <c r="AV229" t="s">
        <v>82</v>
      </c>
      <c r="AW229">
        <v>184.5</v>
      </c>
      <c r="AX229">
        <v>114.4565940203664</v>
      </c>
      <c r="AY229" s="82">
        <f t="shared" si="68"/>
        <v>-0.27588713520793817</v>
      </c>
      <c r="AZ229">
        <v>184.5</v>
      </c>
      <c r="BA229">
        <v>116063.12693657374</v>
      </c>
      <c r="BB229" t="s">
        <v>82</v>
      </c>
      <c r="BC229">
        <v>184.5</v>
      </c>
      <c r="BD229">
        <v>114.58761390878976</v>
      </c>
      <c r="BE229" s="82">
        <f t="shared" si="69"/>
        <v>-0.2598178924455965</v>
      </c>
      <c r="BF229">
        <v>184.5</v>
      </c>
      <c r="BG229">
        <v>110852.86194470778</v>
      </c>
      <c r="BH229" t="s">
        <v>82</v>
      </c>
      <c r="BI229">
        <v>184.5</v>
      </c>
      <c r="BJ229">
        <v>114.68068918592715</v>
      </c>
      <c r="BK229" s="82">
        <f t="shared" si="70"/>
        <v>-0.24460084392586623</v>
      </c>
      <c r="BL229">
        <v>184.5</v>
      </c>
      <c r="BM229">
        <v>106018.51731954324</v>
      </c>
      <c r="BN229" t="s">
        <v>82</v>
      </c>
      <c r="BO229">
        <v>184.5</v>
      </c>
      <c r="BP229">
        <v>114.73751082057322</v>
      </c>
      <c r="BQ229" s="82">
        <f t="shared" si="71"/>
        <v>-0.23018295216593287</v>
      </c>
      <c r="BR229">
        <v>184.5</v>
      </c>
      <c r="BS229">
        <v>101545.84208741911</v>
      </c>
      <c r="BT229" t="s">
        <v>82</v>
      </c>
      <c r="BU229">
        <v>184.5</v>
      </c>
      <c r="BV229">
        <v>114.76168923776834</v>
      </c>
      <c r="BW229" s="82">
        <f t="shared" si="72"/>
        <v>-0.21660460124472536</v>
      </c>
      <c r="BX229">
        <v>184.5</v>
      </c>
      <c r="BY229">
        <v>97448.894155595073</v>
      </c>
      <c r="BZ229" t="s">
        <v>82</v>
      </c>
      <c r="CA229">
        <v>184.5</v>
      </c>
      <c r="CB229">
        <v>114.77114425182943</v>
      </c>
      <c r="CC229" s="82">
        <f t="shared" si="73"/>
        <v>-0.20424261970295277</v>
      </c>
      <c r="CD229">
        <v>184.5</v>
      </c>
      <c r="CE229">
        <v>93833.707525903708</v>
      </c>
      <c r="CF229" t="s">
        <v>82</v>
      </c>
      <c r="CG229">
        <v>184.5</v>
      </c>
      <c r="CH229">
        <v>114.76692146866488</v>
      </c>
      <c r="CI229" s="82">
        <f t="shared" si="74"/>
        <v>-0.19293036794918805</v>
      </c>
      <c r="CJ229">
        <v>184.5</v>
      </c>
      <c r="CK229">
        <v>90640.089328559494</v>
      </c>
      <c r="CL229" t="s">
        <v>82</v>
      </c>
      <c r="CM229">
        <v>184.5</v>
      </c>
      <c r="CN229">
        <v>114.75026070571711</v>
      </c>
      <c r="CO229" s="82">
        <f t="shared" si="75"/>
        <v>-0.18253873829829104</v>
      </c>
      <c r="CP229">
        <v>184.5</v>
      </c>
      <c r="CQ229">
        <v>87821.081095717294</v>
      </c>
      <c r="CR229" t="s">
        <v>82</v>
      </c>
      <c r="CS229">
        <v>184.5</v>
      </c>
      <c r="CT229">
        <v>114.7226032990993</v>
      </c>
      <c r="CU229" s="82">
        <f t="shared" si="76"/>
        <v>-0.1729666152835847</v>
      </c>
      <c r="CV229">
        <v>184.5</v>
      </c>
      <c r="CW229">
        <v>85339.298429085888</v>
      </c>
      <c r="CX229" t="s">
        <v>82</v>
      </c>
      <c r="CY229">
        <v>184.5</v>
      </c>
      <c r="CZ229">
        <v>114.67674173665505</v>
      </c>
      <c r="DA229" s="82">
        <f t="shared" si="77"/>
        <v>-0.16395036596055945</v>
      </c>
      <c r="DB229">
        <v>184.5</v>
      </c>
      <c r="DC229">
        <v>83121.741337727566</v>
      </c>
      <c r="DD229" t="s">
        <v>82</v>
      </c>
      <c r="DG229" s="82">
        <f t="shared" si="78"/>
        <v>0</v>
      </c>
      <c r="DM229" s="82">
        <f t="shared" si="79"/>
        <v>0</v>
      </c>
    </row>
    <row r="230" spans="1:117" x14ac:dyDescent="0.2">
      <c r="A230">
        <v>185.5</v>
      </c>
      <c r="B230">
        <v>111.41352742757235</v>
      </c>
      <c r="C230" s="82">
        <f t="shared" si="60"/>
        <v>-0.44437627652349931</v>
      </c>
      <c r="D230">
        <v>185.5</v>
      </c>
      <c r="E230">
        <v>174110.92157808234</v>
      </c>
      <c r="F230" t="s">
        <v>82</v>
      </c>
      <c r="G230">
        <v>185.5</v>
      </c>
      <c r="H230">
        <v>111.93151104136541</v>
      </c>
      <c r="I230" s="82">
        <f t="shared" si="61"/>
        <v>-0.4196626104188681</v>
      </c>
      <c r="J230">
        <v>185.5</v>
      </c>
      <c r="K230">
        <v>165382.07484959994</v>
      </c>
      <c r="L230" t="s">
        <v>82</v>
      </c>
      <c r="M230">
        <v>185.5</v>
      </c>
      <c r="N230">
        <v>112.39699627888891</v>
      </c>
      <c r="O230" s="82">
        <f t="shared" si="62"/>
        <v>-0.39597984894058413</v>
      </c>
      <c r="P230">
        <v>185.5</v>
      </c>
      <c r="Q230">
        <v>157059.29225856639</v>
      </c>
      <c r="R230" t="s">
        <v>82</v>
      </c>
      <c r="S230">
        <v>185.5</v>
      </c>
      <c r="T230">
        <v>112.8111604283562</v>
      </c>
      <c r="U230" s="82">
        <f t="shared" si="63"/>
        <v>-0.37338454329055537</v>
      </c>
      <c r="V230">
        <v>185.5</v>
      </c>
      <c r="W230">
        <v>149168.81709336065</v>
      </c>
      <c r="X230" t="s">
        <v>82</v>
      </c>
      <c r="Y230">
        <v>185.5</v>
      </c>
      <c r="Z230">
        <v>113.17601822482833</v>
      </c>
      <c r="AA230" s="82">
        <f t="shared" si="64"/>
        <v>-0.351921163859231</v>
      </c>
      <c r="AB230">
        <v>185.5</v>
      </c>
      <c r="AC230">
        <v>141731.41421721343</v>
      </c>
      <c r="AD230" t="s">
        <v>82</v>
      </c>
      <c r="AE230">
        <v>185.5</v>
      </c>
      <c r="AF230">
        <v>113.49315347360894</v>
      </c>
      <c r="AG230" s="82">
        <f t="shared" si="65"/>
        <v>-0.33160241513066069</v>
      </c>
      <c r="AH230">
        <v>185.5</v>
      </c>
      <c r="AI230">
        <v>134755.54956221158</v>
      </c>
      <c r="AJ230" t="s">
        <v>82</v>
      </c>
      <c r="AK230">
        <v>185.5</v>
      </c>
      <c r="AL230">
        <v>113.76475196255309</v>
      </c>
      <c r="AM230" s="82">
        <f t="shared" si="66"/>
        <v>-0.31239987083451126</v>
      </c>
      <c r="AN230">
        <v>185.5</v>
      </c>
      <c r="AO230">
        <v>128234.59904163677</v>
      </c>
      <c r="AP230" t="s">
        <v>82</v>
      </c>
      <c r="AQ230">
        <v>185.5</v>
      </c>
      <c r="AR230">
        <v>113.99290013512524</v>
      </c>
      <c r="AS230" s="82">
        <f t="shared" si="67"/>
        <v>-0.29423369529520471</v>
      </c>
      <c r="AT230">
        <v>185.5</v>
      </c>
      <c r="AU230">
        <v>122144.1621558047</v>
      </c>
      <c r="AV230" t="s">
        <v>82</v>
      </c>
      <c r="AW230">
        <v>185.5</v>
      </c>
      <c r="AX230">
        <v>114.17951072567584</v>
      </c>
      <c r="AY230" s="82">
        <f t="shared" si="68"/>
        <v>-0.2770832946905557</v>
      </c>
      <c r="AZ230">
        <v>185.5</v>
      </c>
      <c r="BA230">
        <v>116479.54272690268</v>
      </c>
      <c r="BB230" t="s">
        <v>82</v>
      </c>
      <c r="BC230">
        <v>185.5</v>
      </c>
      <c r="BD230">
        <v>114.32672575319368</v>
      </c>
      <c r="BE230" s="82">
        <f t="shared" si="69"/>
        <v>-0.26088815559607781</v>
      </c>
      <c r="BF230">
        <v>185.5</v>
      </c>
      <c r="BG230">
        <v>111222.52949772512</v>
      </c>
      <c r="BH230" t="s">
        <v>82</v>
      </c>
      <c r="BI230">
        <v>185.5</v>
      </c>
      <c r="BJ230">
        <v>114.43513381178876</v>
      </c>
      <c r="BK230" s="82">
        <f t="shared" si="70"/>
        <v>-0.2455553741383909</v>
      </c>
      <c r="BL230">
        <v>185.5</v>
      </c>
      <c r="BM230">
        <v>106345.2086606089</v>
      </c>
      <c r="BN230" t="s">
        <v>82</v>
      </c>
      <c r="BO230">
        <v>185.5</v>
      </c>
      <c r="BP230">
        <v>114.50647909544659</v>
      </c>
      <c r="BQ230" s="82">
        <f t="shared" si="71"/>
        <v>-0.23103172512662695</v>
      </c>
      <c r="BR230">
        <v>185.5</v>
      </c>
      <c r="BS230">
        <v>101833.27290205324</v>
      </c>
      <c r="BT230" t="s">
        <v>82</v>
      </c>
      <c r="BU230">
        <v>185.5</v>
      </c>
      <c r="BV230">
        <v>114.54433137340196</v>
      </c>
      <c r="BW230" s="82">
        <f t="shared" si="72"/>
        <v>-0.21735786436637738</v>
      </c>
      <c r="BX230">
        <v>185.5</v>
      </c>
      <c r="BY230">
        <v>97700.886382689627</v>
      </c>
      <c r="BZ230" t="s">
        <v>82</v>
      </c>
      <c r="CA230">
        <v>185.5</v>
      </c>
      <c r="CB230">
        <v>114.56623103960523</v>
      </c>
      <c r="CC230" s="82">
        <f t="shared" si="73"/>
        <v>-0.20491321222419856</v>
      </c>
      <c r="CD230">
        <v>185.5</v>
      </c>
      <c r="CE230">
        <v>94055.032040545004</v>
      </c>
      <c r="CF230" t="s">
        <v>82</v>
      </c>
      <c r="CG230">
        <v>185.5</v>
      </c>
      <c r="CH230">
        <v>114.57339245950674</v>
      </c>
      <c r="CI230" s="82">
        <f t="shared" si="74"/>
        <v>-0.19352900915814075</v>
      </c>
      <c r="CJ230">
        <v>185.5</v>
      </c>
      <c r="CK230">
        <v>90834.732233854011</v>
      </c>
      <c r="CL230" t="s">
        <v>82</v>
      </c>
      <c r="CM230">
        <v>185.5</v>
      </c>
      <c r="CN230">
        <v>114.56718621274302</v>
      </c>
      <c r="CO230" s="82">
        <f t="shared" si="75"/>
        <v>-0.18307449297408596</v>
      </c>
      <c r="CP230">
        <v>185.5</v>
      </c>
      <c r="CQ230">
        <v>87992.414770748263</v>
      </c>
      <c r="CR230" t="s">
        <v>82</v>
      </c>
      <c r="CS230">
        <v>185.5</v>
      </c>
      <c r="CT230">
        <v>114.54915606087458</v>
      </c>
      <c r="CU230" s="82">
        <f t="shared" si="76"/>
        <v>-0.17344723822472474</v>
      </c>
      <c r="CV230">
        <v>185.5</v>
      </c>
      <c r="CW230">
        <v>85490.208503959962</v>
      </c>
      <c r="CX230" t="s">
        <v>82</v>
      </c>
      <c r="CY230">
        <v>185.5</v>
      </c>
      <c r="CZ230">
        <v>114.51236031832231</v>
      </c>
      <c r="DA230" s="82">
        <f t="shared" si="77"/>
        <v>-0.16438141833273789</v>
      </c>
      <c r="DB230">
        <v>185.5</v>
      </c>
      <c r="DC230">
        <v>83254.307171551074</v>
      </c>
      <c r="DD230" t="s">
        <v>82</v>
      </c>
      <c r="DG230" s="82">
        <f t="shared" si="78"/>
        <v>0</v>
      </c>
      <c r="DM230" s="82">
        <f t="shared" si="79"/>
        <v>0</v>
      </c>
    </row>
    <row r="231" spans="1:117" x14ac:dyDescent="0.2">
      <c r="A231">
        <v>186.5</v>
      </c>
      <c r="B231">
        <v>110.96688339545284</v>
      </c>
      <c r="C231" s="82">
        <f t="shared" si="60"/>
        <v>-0.44664403211950798</v>
      </c>
      <c r="D231">
        <v>186.5</v>
      </c>
      <c r="E231">
        <v>174918.01292982936</v>
      </c>
      <c r="F231" t="s">
        <v>82</v>
      </c>
      <c r="G231">
        <v>186.5</v>
      </c>
      <c r="H231">
        <v>111.5096640172287</v>
      </c>
      <c r="I231" s="82">
        <f t="shared" si="61"/>
        <v>-0.42184702413671005</v>
      </c>
      <c r="J231">
        <v>186.5</v>
      </c>
      <c r="K231">
        <v>166161.00443788251</v>
      </c>
      <c r="L231" t="s">
        <v>82</v>
      </c>
      <c r="M231">
        <v>186.5</v>
      </c>
      <c r="N231">
        <v>111.99895121775054</v>
      </c>
      <c r="O231" s="82">
        <f t="shared" si="62"/>
        <v>-0.39804506113836169</v>
      </c>
      <c r="P231">
        <v>186.5</v>
      </c>
      <c r="Q231">
        <v>157795.86049567006</v>
      </c>
      <c r="R231" t="s">
        <v>82</v>
      </c>
      <c r="S231">
        <v>186.5</v>
      </c>
      <c r="T231">
        <v>112.43585158429845</v>
      </c>
      <c r="U231" s="82">
        <f t="shared" si="63"/>
        <v>-0.37530884405775566</v>
      </c>
      <c r="V231">
        <v>186.5</v>
      </c>
      <c r="W231">
        <v>149854.30035087137</v>
      </c>
      <c r="X231" t="s">
        <v>82</v>
      </c>
      <c r="Y231">
        <v>186.5</v>
      </c>
      <c r="Z231">
        <v>112.82232413805022</v>
      </c>
      <c r="AA231" s="82">
        <f t="shared" si="64"/>
        <v>-0.35369408677810554</v>
      </c>
      <c r="AB231">
        <v>186.5</v>
      </c>
      <c r="AC231">
        <v>142361.44965749484</v>
      </c>
      <c r="AD231" t="s">
        <v>82</v>
      </c>
      <c r="AE231">
        <v>186.5</v>
      </c>
      <c r="AF231">
        <v>113.15993179515321</v>
      </c>
      <c r="AG231" s="82">
        <f t="shared" si="65"/>
        <v>-0.33322167845572892</v>
      </c>
      <c r="AH231">
        <v>186.5</v>
      </c>
      <c r="AI231">
        <v>135328.9624042449</v>
      </c>
      <c r="AJ231" t="s">
        <v>82</v>
      </c>
      <c r="AK231">
        <v>186.5</v>
      </c>
      <c r="AL231">
        <v>113.45088313228536</v>
      </c>
      <c r="AM231" s="82">
        <f t="shared" si="66"/>
        <v>-0.3138688302677366</v>
      </c>
      <c r="AN231">
        <v>186.5</v>
      </c>
      <c r="AO231">
        <v>128752.42370935329</v>
      </c>
      <c r="AP231" t="s">
        <v>82</v>
      </c>
      <c r="AQ231">
        <v>186.5</v>
      </c>
      <c r="AR231">
        <v>113.69734114710587</v>
      </c>
      <c r="AS231" s="82">
        <f t="shared" si="67"/>
        <v>-0.29555898801936564</v>
      </c>
      <c r="AT231">
        <v>186.5</v>
      </c>
      <c r="AU231">
        <v>122608.73647439056</v>
      </c>
      <c r="AV231" t="s">
        <v>82</v>
      </c>
      <c r="AW231">
        <v>186.5</v>
      </c>
      <c r="AX231">
        <v>113.90123683303824</v>
      </c>
      <c r="AY231" s="82">
        <f t="shared" si="68"/>
        <v>-0.27827389263759983</v>
      </c>
      <c r="AZ231">
        <v>186.5</v>
      </c>
      <c r="BA231">
        <v>116894.12892002778</v>
      </c>
      <c r="BB231" t="s">
        <v>82</v>
      </c>
      <c r="BC231">
        <v>186.5</v>
      </c>
      <c r="BD231">
        <v>114.06477175250495</v>
      </c>
      <c r="BE231" s="82">
        <f t="shared" si="69"/>
        <v>-0.26195400068873198</v>
      </c>
      <c r="BF231">
        <v>186.5</v>
      </c>
      <c r="BG231">
        <v>111590.78869475826</v>
      </c>
      <c r="BH231" t="s">
        <v>82</v>
      </c>
      <c r="BI231">
        <v>186.5</v>
      </c>
      <c r="BJ231">
        <v>114.18862746639651</v>
      </c>
      <c r="BK231" s="82">
        <f t="shared" si="70"/>
        <v>-0.24650634539224825</v>
      </c>
      <c r="BL231">
        <v>186.5</v>
      </c>
      <c r="BM231">
        <v>106670.80438471281</v>
      </c>
      <c r="BN231" t="s">
        <v>82</v>
      </c>
      <c r="BO231">
        <v>186.5</v>
      </c>
      <c r="BP231">
        <v>114.2746014950544</v>
      </c>
      <c r="BQ231" s="82">
        <f t="shared" si="71"/>
        <v>-0.2318776003921954</v>
      </c>
      <c r="BR231">
        <v>186.5</v>
      </c>
      <c r="BS231">
        <v>102119.8457622063</v>
      </c>
      <c r="BT231" t="s">
        <v>82</v>
      </c>
      <c r="BU231">
        <v>186.5</v>
      </c>
      <c r="BV231">
        <v>114.32622262659672</v>
      </c>
      <c r="BW231" s="82">
        <f t="shared" si="72"/>
        <v>-0.2181087468052425</v>
      </c>
      <c r="BX231">
        <v>186.5</v>
      </c>
      <c r="BY231">
        <v>97952.203906262526</v>
      </c>
      <c r="BZ231" t="s">
        <v>82</v>
      </c>
      <c r="CA231">
        <v>186.5</v>
      </c>
      <c r="CB231">
        <v>114.36064921282535</v>
      </c>
      <c r="CC231" s="82">
        <f t="shared" si="73"/>
        <v>-0.20558182677987702</v>
      </c>
      <c r="CD231">
        <v>186.5</v>
      </c>
      <c r="CE231">
        <v>94275.822634561686</v>
      </c>
      <c r="CF231" t="s">
        <v>82</v>
      </c>
      <c r="CG231">
        <v>186.5</v>
      </c>
      <c r="CH231">
        <v>114.3792664676002</v>
      </c>
      <c r="CI231" s="82">
        <f t="shared" si="74"/>
        <v>-0.19412599190653168</v>
      </c>
      <c r="CJ231">
        <v>186.5</v>
      </c>
      <c r="CK231">
        <v>91028.951258727218</v>
      </c>
      <c r="CL231" t="s">
        <v>82</v>
      </c>
      <c r="CM231">
        <v>186.5</v>
      </c>
      <c r="CN231">
        <v>114.38357736658303</v>
      </c>
      <c r="CO231" s="82">
        <f t="shared" si="75"/>
        <v>-0.18360884615999851</v>
      </c>
      <c r="CP231">
        <v>186.5</v>
      </c>
      <c r="CQ231">
        <v>88163.411713404639</v>
      </c>
      <c r="CR231" t="s">
        <v>82</v>
      </c>
      <c r="CS231">
        <v>186.5</v>
      </c>
      <c r="CT231">
        <v>114.37522939232051</v>
      </c>
      <c r="CU231" s="82">
        <f t="shared" si="76"/>
        <v>-0.17392666855407413</v>
      </c>
      <c r="CV231">
        <v>186.5</v>
      </c>
      <c r="CW231">
        <v>85640.85151944746</v>
      </c>
      <c r="CX231" t="s">
        <v>82</v>
      </c>
      <c r="CY231">
        <v>186.5</v>
      </c>
      <c r="CZ231">
        <v>114.34754886683949</v>
      </c>
      <c r="DA231" s="82">
        <f t="shared" si="77"/>
        <v>-0.16481145148281939</v>
      </c>
      <c r="DB231">
        <v>186.5</v>
      </c>
      <c r="DC231">
        <v>83386.662681029746</v>
      </c>
      <c r="DD231" t="s">
        <v>82</v>
      </c>
      <c r="DG231" s="82">
        <f t="shared" si="78"/>
        <v>0</v>
      </c>
      <c r="DM231" s="82">
        <f t="shared" si="79"/>
        <v>0</v>
      </c>
    </row>
    <row r="232" spans="1:117" x14ac:dyDescent="0.2">
      <c r="A232">
        <v>187.5</v>
      </c>
      <c r="B232">
        <v>110.51803787750904</v>
      </c>
      <c r="C232" s="82">
        <f t="shared" si="60"/>
        <v>-0.4488455179437949</v>
      </c>
      <c r="D232">
        <v>187.5</v>
      </c>
      <c r="E232">
        <v>175700.07121140714</v>
      </c>
      <c r="F232" t="s">
        <v>82</v>
      </c>
      <c r="G232">
        <v>187.5</v>
      </c>
      <c r="H232">
        <v>111.08568046092971</v>
      </c>
      <c r="I232" s="82">
        <f t="shared" si="61"/>
        <v>-0.42398355629899243</v>
      </c>
      <c r="J232">
        <v>187.5</v>
      </c>
      <c r="K232">
        <v>166921.95767130589</v>
      </c>
      <c r="L232" t="s">
        <v>82</v>
      </c>
      <c r="M232">
        <v>187.5</v>
      </c>
      <c r="N232">
        <v>111.59887537411392</v>
      </c>
      <c r="O232" s="82">
        <f t="shared" si="62"/>
        <v>-0.40007584363662829</v>
      </c>
      <c r="P232">
        <v>187.5</v>
      </c>
      <c r="Q232">
        <v>158519.61164104447</v>
      </c>
      <c r="R232" t="s">
        <v>82</v>
      </c>
      <c r="S232">
        <v>187.5</v>
      </c>
      <c r="T232">
        <v>112.05864321425078</v>
      </c>
      <c r="U232" s="82">
        <f t="shared" si="63"/>
        <v>-0.3772083700476685</v>
      </c>
      <c r="V232">
        <v>187.5</v>
      </c>
      <c r="W232">
        <v>150530.66448704505</v>
      </c>
      <c r="X232" t="s">
        <v>82</v>
      </c>
      <c r="Y232">
        <v>187.5</v>
      </c>
      <c r="Z232">
        <v>112.4668750812784</v>
      </c>
      <c r="AA232" s="82">
        <f t="shared" si="64"/>
        <v>-0.3554490567718176</v>
      </c>
      <c r="AB232">
        <v>187.5</v>
      </c>
      <c r="AC232">
        <v>142984.9726199416</v>
      </c>
      <c r="AD232" t="s">
        <v>82</v>
      </c>
      <c r="AE232">
        <v>187.5</v>
      </c>
      <c r="AF232">
        <v>112.82510404103651</v>
      </c>
      <c r="AG232" s="82">
        <f t="shared" si="65"/>
        <v>-0.33482775411670218</v>
      </c>
      <c r="AH232">
        <v>187.5</v>
      </c>
      <c r="AI232">
        <v>135897.67682558385</v>
      </c>
      <c r="AJ232" t="s">
        <v>82</v>
      </c>
      <c r="AK232">
        <v>187.5</v>
      </c>
      <c r="AL232">
        <v>113.1355552072048</v>
      </c>
      <c r="AM232" s="82">
        <f t="shared" si="66"/>
        <v>-0.31532792508055252</v>
      </c>
      <c r="AN232">
        <v>187.5</v>
      </c>
      <c r="AO232">
        <v>129266.80828506348</v>
      </c>
      <c r="AP232" t="s">
        <v>82</v>
      </c>
      <c r="AQ232">
        <v>187.5</v>
      </c>
      <c r="AR232">
        <v>113.40046439268519</v>
      </c>
      <c r="AS232" s="82">
        <f t="shared" si="67"/>
        <v>-0.29687675442067984</v>
      </c>
      <c r="AT232">
        <v>187.5</v>
      </c>
      <c r="AU232">
        <v>123070.7499183663</v>
      </c>
      <c r="AV232" t="s">
        <v>82</v>
      </c>
      <c r="AW232">
        <v>187.5</v>
      </c>
      <c r="AX232">
        <v>113.62177820142854</v>
      </c>
      <c r="AY232" s="82">
        <f t="shared" si="68"/>
        <v>-0.27945863160969964</v>
      </c>
      <c r="AZ232">
        <v>187.5</v>
      </c>
      <c r="BA232">
        <v>117306.77563226188</v>
      </c>
      <c r="BB232" t="s">
        <v>82</v>
      </c>
      <c r="BC232">
        <v>187.5</v>
      </c>
      <c r="BD232">
        <v>113.80175654910326</v>
      </c>
      <c r="BE232" s="82">
        <f t="shared" si="69"/>
        <v>-0.26301520340169304</v>
      </c>
      <c r="BF232">
        <v>187.5</v>
      </c>
      <c r="BG232">
        <v>111957.55712211116</v>
      </c>
      <c r="BH232" t="s">
        <v>82</v>
      </c>
      <c r="BI232">
        <v>187.5</v>
      </c>
      <c r="BJ232">
        <v>113.9411738804251</v>
      </c>
      <c r="BK232" s="82">
        <f t="shared" si="70"/>
        <v>-0.24745358597141376</v>
      </c>
      <c r="BL232">
        <v>187.5</v>
      </c>
      <c r="BM232">
        <v>106995.24172449157</v>
      </c>
      <c r="BN232" t="s">
        <v>82</v>
      </c>
      <c r="BO232">
        <v>187.5</v>
      </c>
      <c r="BP232">
        <v>114.04188104983533</v>
      </c>
      <c r="BQ232" s="82">
        <f t="shared" si="71"/>
        <v>-0.23272044521907276</v>
      </c>
      <c r="BR232">
        <v>187.5</v>
      </c>
      <c r="BS232">
        <v>102405.51234331148</v>
      </c>
      <c r="BT232" t="s">
        <v>82</v>
      </c>
      <c r="BU232">
        <v>187.5</v>
      </c>
      <c r="BV232">
        <v>114.1073654813826</v>
      </c>
      <c r="BW232" s="82">
        <f t="shared" si="72"/>
        <v>-0.21885714521411614</v>
      </c>
      <c r="BX232">
        <v>187.5</v>
      </c>
      <c r="BY232">
        <v>98202.80927583322</v>
      </c>
      <c r="BZ232" t="s">
        <v>82</v>
      </c>
      <c r="CA232">
        <v>187.5</v>
      </c>
      <c r="CB232">
        <v>114.15440083090341</v>
      </c>
      <c r="CC232" s="82">
        <f t="shared" si="73"/>
        <v>-0.20624838192193806</v>
      </c>
      <c r="CD232">
        <v>187.5</v>
      </c>
      <c r="CE232">
        <v>94496.049885835426</v>
      </c>
      <c r="CF232" t="s">
        <v>82</v>
      </c>
      <c r="CG232">
        <v>187.5</v>
      </c>
      <c r="CH232">
        <v>114.18454521616262</v>
      </c>
      <c r="CI232" s="82">
        <f t="shared" si="74"/>
        <v>-0.1947212514375849</v>
      </c>
      <c r="CJ232">
        <v>187.5</v>
      </c>
      <c r="CK232">
        <v>91222.72311132442</v>
      </c>
      <c r="CL232" t="s">
        <v>82</v>
      </c>
      <c r="CM232">
        <v>187.5</v>
      </c>
      <c r="CN232">
        <v>114.1994356205865</v>
      </c>
      <c r="CO232" s="82">
        <f t="shared" si="75"/>
        <v>-0.18414174599652711</v>
      </c>
      <c r="CP232">
        <v>187.5</v>
      </c>
      <c r="CQ232">
        <v>88334.053339941907</v>
      </c>
      <c r="CR232" t="s">
        <v>82</v>
      </c>
      <c r="CS232">
        <v>187.5</v>
      </c>
      <c r="CT232">
        <v>114.20082452783019</v>
      </c>
      <c r="CU232" s="82">
        <f t="shared" si="76"/>
        <v>-0.17440486449031312</v>
      </c>
      <c r="CV232">
        <v>187.5</v>
      </c>
      <c r="CW232">
        <v>85791.212552649609</v>
      </c>
      <c r="CX232" t="s">
        <v>82</v>
      </c>
      <c r="CY232">
        <v>187.5</v>
      </c>
      <c r="CZ232">
        <v>114.18230843511311</v>
      </c>
      <c r="DA232" s="82">
        <f t="shared" si="77"/>
        <v>-0.16524043172637448</v>
      </c>
      <c r="DB232">
        <v>187.5</v>
      </c>
      <c r="DC232">
        <v>83518.795905224499</v>
      </c>
      <c r="DD232" t="s">
        <v>82</v>
      </c>
      <c r="DG232" s="82">
        <f t="shared" si="78"/>
        <v>0</v>
      </c>
      <c r="DM232" s="82">
        <f t="shared" si="79"/>
        <v>0</v>
      </c>
    </row>
    <row r="233" spans="1:117" x14ac:dyDescent="0.2">
      <c r="A233">
        <v>188.5</v>
      </c>
      <c r="B233">
        <v>110.06706180190068</v>
      </c>
      <c r="C233" s="82">
        <f t="shared" si="60"/>
        <v>-0.4509760756083665</v>
      </c>
      <c r="D233">
        <v>188.5</v>
      </c>
      <c r="E233">
        <v>176455.31273017224</v>
      </c>
      <c r="F233" t="s">
        <v>82</v>
      </c>
      <c r="G233">
        <v>188.5</v>
      </c>
      <c r="H233">
        <v>110.65961160068585</v>
      </c>
      <c r="I233" s="82">
        <f t="shared" si="61"/>
        <v>-0.42606886024385915</v>
      </c>
      <c r="J233">
        <v>188.5</v>
      </c>
      <c r="K233">
        <v>167663.65504874103</v>
      </c>
      <c r="L233" t="s">
        <v>82</v>
      </c>
      <c r="M233">
        <v>188.5</v>
      </c>
      <c r="N233">
        <v>111.19680554608765</v>
      </c>
      <c r="O233" s="82">
        <f t="shared" si="62"/>
        <v>-0.40206982802627067</v>
      </c>
      <c r="P233">
        <v>188.5</v>
      </c>
      <c r="Q233">
        <v>159229.64224675516</v>
      </c>
      <c r="R233" t="s">
        <v>82</v>
      </c>
      <c r="S233">
        <v>188.5</v>
      </c>
      <c r="T233">
        <v>111.67956175152067</v>
      </c>
      <c r="U233" s="82">
        <f t="shared" si="63"/>
        <v>-0.37908146273011312</v>
      </c>
      <c r="V233">
        <v>188.5</v>
      </c>
      <c r="W233">
        <v>151197.27886602361</v>
      </c>
      <c r="X233" t="s">
        <v>82</v>
      </c>
      <c r="Y233">
        <v>188.5</v>
      </c>
      <c r="Z233">
        <v>112.10969016384993</v>
      </c>
      <c r="AA233" s="82">
        <f t="shared" si="64"/>
        <v>-0.35718491742846936</v>
      </c>
      <c r="AB233">
        <v>188.5</v>
      </c>
      <c r="AC233">
        <v>143601.54525436219</v>
      </c>
      <c r="AD233" t="s">
        <v>82</v>
      </c>
      <c r="AE233">
        <v>188.5</v>
      </c>
      <c r="AF233">
        <v>112.48868420842807</v>
      </c>
      <c r="AG233" s="82">
        <f t="shared" si="65"/>
        <v>-0.33641983260844199</v>
      </c>
      <c r="AH233">
        <v>188.5</v>
      </c>
      <c r="AI233">
        <v>136461.38793606387</v>
      </c>
      <c r="AJ233" t="s">
        <v>82</v>
      </c>
      <c r="AK233">
        <v>188.5</v>
      </c>
      <c r="AL233">
        <v>112.81877862520351</v>
      </c>
      <c r="AM233" s="82">
        <f t="shared" si="66"/>
        <v>-0.31677658200129599</v>
      </c>
      <c r="AN233">
        <v>188.5</v>
      </c>
      <c r="AO233">
        <v>129777.5381541745</v>
      </c>
      <c r="AP233" t="s">
        <v>82</v>
      </c>
      <c r="AQ233">
        <v>188.5</v>
      </c>
      <c r="AR233">
        <v>113.10227781109235</v>
      </c>
      <c r="AS233" s="82">
        <f t="shared" si="67"/>
        <v>-0.29818658159284439</v>
      </c>
      <c r="AT233">
        <v>188.5</v>
      </c>
      <c r="AU233">
        <v>123530.04887209926</v>
      </c>
      <c r="AV233" t="s">
        <v>82</v>
      </c>
      <c r="AW233">
        <v>188.5</v>
      </c>
      <c r="AX233">
        <v>113.3411409935388</v>
      </c>
      <c r="AY233" s="82">
        <f t="shared" si="68"/>
        <v>-0.28063720788973967</v>
      </c>
      <c r="AZ233">
        <v>188.5</v>
      </c>
      <c r="BA233">
        <v>117717.37055604422</v>
      </c>
      <c r="BB233" t="s">
        <v>82</v>
      </c>
      <c r="BC233">
        <v>188.5</v>
      </c>
      <c r="BD233">
        <v>113.53768501335365</v>
      </c>
      <c r="BE233" s="82">
        <f t="shared" si="69"/>
        <v>-0.26407153574960773</v>
      </c>
      <c r="BF233">
        <v>188.5</v>
      </c>
      <c r="BG233">
        <v>112322.75095384641</v>
      </c>
      <c r="BH233" t="s">
        <v>82</v>
      </c>
      <c r="BI233">
        <v>188.5</v>
      </c>
      <c r="BJ233">
        <v>113.69277695848299</v>
      </c>
      <c r="BK233" s="82">
        <f t="shared" si="70"/>
        <v>-0.24839692194210272</v>
      </c>
      <c r="BL233">
        <v>188.5</v>
      </c>
      <c r="BM233">
        <v>107318.4570522689</v>
      </c>
      <c r="BN233" t="s">
        <v>82</v>
      </c>
      <c r="BO233">
        <v>188.5</v>
      </c>
      <c r="BP233">
        <v>113.80832092440548</v>
      </c>
      <c r="BQ233" s="82">
        <f t="shared" si="71"/>
        <v>-0.23356012542984672</v>
      </c>
      <c r="BR233">
        <v>188.5</v>
      </c>
      <c r="BS233">
        <v>102690.22378537949</v>
      </c>
      <c r="BT233" t="s">
        <v>82</v>
      </c>
      <c r="BU233">
        <v>188.5</v>
      </c>
      <c r="BV233">
        <v>113.88776252609843</v>
      </c>
      <c r="BW233" s="82">
        <f t="shared" si="72"/>
        <v>-0.21960295528417362</v>
      </c>
      <c r="BX233">
        <v>188.5</v>
      </c>
      <c r="BY233">
        <v>98452.664670796978</v>
      </c>
      <c r="BZ233" t="s">
        <v>82</v>
      </c>
      <c r="CA233">
        <v>188.5</v>
      </c>
      <c r="CB233">
        <v>113.94748803539149</v>
      </c>
      <c r="CC233" s="82">
        <f t="shared" si="73"/>
        <v>-0.20691279551192565</v>
      </c>
      <c r="CD233">
        <v>188.5</v>
      </c>
      <c r="CE233">
        <v>94715.684137048054</v>
      </c>
      <c r="CF233" t="s">
        <v>82</v>
      </c>
      <c r="CG233">
        <v>188.5</v>
      </c>
      <c r="CH233">
        <v>113.98923049368355</v>
      </c>
      <c r="CI233" s="82">
        <f t="shared" si="74"/>
        <v>-0.19531472247906834</v>
      </c>
      <c r="CJ233">
        <v>188.5</v>
      </c>
      <c r="CK233">
        <v>91416.024331208391</v>
      </c>
      <c r="CL233" t="s">
        <v>82</v>
      </c>
      <c r="CM233">
        <v>188.5</v>
      </c>
      <c r="CN233">
        <v>114.01476248033664</v>
      </c>
      <c r="CO233" s="82">
        <f t="shared" si="75"/>
        <v>-0.18467314024985626</v>
      </c>
      <c r="CP233">
        <v>188.5</v>
      </c>
      <c r="CQ233">
        <v>88504.320959386911</v>
      </c>
      <c r="CR233" t="s">
        <v>82</v>
      </c>
      <c r="CS233">
        <v>188.5</v>
      </c>
      <c r="CT233">
        <v>114.02594274386118</v>
      </c>
      <c r="CU233" s="82">
        <f t="shared" si="76"/>
        <v>-0.17488178396901333</v>
      </c>
      <c r="CV233">
        <v>188.5</v>
      </c>
      <c r="CW233">
        <v>85941.276628675871</v>
      </c>
      <c r="CX233" t="s">
        <v>82</v>
      </c>
      <c r="CY233">
        <v>188.5</v>
      </c>
      <c r="CZ233">
        <v>114.01664010995714</v>
      </c>
      <c r="DA233" s="82">
        <f t="shared" si="77"/>
        <v>-0.16566832515597696</v>
      </c>
      <c r="DB233">
        <v>188.5</v>
      </c>
      <c r="DC233">
        <v>83650.694819293989</v>
      </c>
      <c r="DD233" t="s">
        <v>82</v>
      </c>
      <c r="DG233" s="82">
        <f t="shared" si="78"/>
        <v>0</v>
      </c>
      <c r="DM233" s="82">
        <f t="shared" si="79"/>
        <v>0</v>
      </c>
    </row>
    <row r="234" spans="1:117" x14ac:dyDescent="0.2">
      <c r="A234">
        <v>189.5</v>
      </c>
      <c r="B234">
        <v>109.61403104753755</v>
      </c>
      <c r="C234" s="82">
        <f t="shared" si="60"/>
        <v>-0.45303075436312668</v>
      </c>
      <c r="D234">
        <v>189.5</v>
      </c>
      <c r="E234">
        <v>177181.84032602786</v>
      </c>
      <c r="F234" t="s">
        <v>82</v>
      </c>
      <c r="G234">
        <v>189.5</v>
      </c>
      <c r="H234">
        <v>110.2315122160705</v>
      </c>
      <c r="I234" s="82">
        <f t="shared" si="61"/>
        <v>-0.42809938461535069</v>
      </c>
      <c r="J234">
        <v>189.5</v>
      </c>
      <c r="K234">
        <v>168384.73755160053</v>
      </c>
      <c r="L234" t="s">
        <v>82</v>
      </c>
      <c r="M234">
        <v>189.5</v>
      </c>
      <c r="N234">
        <v>110.79278103864337</v>
      </c>
      <c r="O234" s="82">
        <f t="shared" si="62"/>
        <v>-0.40402450744427654</v>
      </c>
      <c r="P234">
        <v>189.5</v>
      </c>
      <c r="Q234">
        <v>159924.99507512306</v>
      </c>
      <c r="R234" t="s">
        <v>82</v>
      </c>
      <c r="S234">
        <v>189.5</v>
      </c>
      <c r="T234">
        <v>111.2986353782661</v>
      </c>
      <c r="U234" s="82">
        <f t="shared" si="63"/>
        <v>-0.38092637325456735</v>
      </c>
      <c r="V234">
        <v>189.5</v>
      </c>
      <c r="W234">
        <v>151853.47773775776</v>
      </c>
      <c r="X234" t="s">
        <v>82</v>
      </c>
      <c r="Y234">
        <v>189.5</v>
      </c>
      <c r="Z234">
        <v>111.75078970830684</v>
      </c>
      <c r="AA234" s="82">
        <f t="shared" si="64"/>
        <v>-0.35890045554309324</v>
      </c>
      <c r="AB234">
        <v>189.5</v>
      </c>
      <c r="AC234">
        <v>144210.70764271962</v>
      </c>
      <c r="AD234" t="s">
        <v>82</v>
      </c>
      <c r="AE234">
        <v>189.5</v>
      </c>
      <c r="AF234">
        <v>112.15068713848505</v>
      </c>
      <c r="AG234" s="82">
        <f t="shared" si="65"/>
        <v>-0.33799706994301459</v>
      </c>
      <c r="AH234">
        <v>189.5</v>
      </c>
      <c r="AI234">
        <v>137019.77743401233</v>
      </c>
      <c r="AJ234" t="s">
        <v>82</v>
      </c>
      <c r="AK234">
        <v>189.5</v>
      </c>
      <c r="AL234">
        <v>112.50056441775848</v>
      </c>
      <c r="AM234" s="82">
        <f t="shared" si="66"/>
        <v>-0.31821420744502404</v>
      </c>
      <c r="AN234">
        <v>189.5</v>
      </c>
      <c r="AO234">
        <v>130284.39078322155</v>
      </c>
      <c r="AP234" t="s">
        <v>82</v>
      </c>
      <c r="AQ234">
        <v>189.5</v>
      </c>
      <c r="AR234">
        <v>112.80278976611108</v>
      </c>
      <c r="AS234" s="82">
        <f t="shared" si="67"/>
        <v>-0.29948804498127402</v>
      </c>
      <c r="AT234">
        <v>189.5</v>
      </c>
      <c r="AU234">
        <v>123986.4752017776</v>
      </c>
      <c r="AV234" t="s">
        <v>82</v>
      </c>
      <c r="AW234">
        <v>189.5</v>
      </c>
      <c r="AX234">
        <v>113.05933168239747</v>
      </c>
      <c r="AY234" s="82">
        <f t="shared" si="68"/>
        <v>-0.28180931114133045</v>
      </c>
      <c r="AZ234">
        <v>189.5</v>
      </c>
      <c r="BA234">
        <v>118125.79885085156</v>
      </c>
      <c r="BB234" t="s">
        <v>82</v>
      </c>
      <c r="BC234">
        <v>189.5</v>
      </c>
      <c r="BD234">
        <v>113.27256224742762</v>
      </c>
      <c r="BE234" s="82">
        <f t="shared" si="69"/>
        <v>-0.26512276592603712</v>
      </c>
      <c r="BF234">
        <v>189.5</v>
      </c>
      <c r="BG234">
        <v>112686.28492752985</v>
      </c>
      <c r="BH234" t="s">
        <v>82</v>
      </c>
      <c r="BI234">
        <v>189.5</v>
      </c>
      <c r="BJ234">
        <v>113.44344078139403</v>
      </c>
      <c r="BK234" s="82">
        <f t="shared" si="70"/>
        <v>-0.2493361770889635</v>
      </c>
      <c r="BL234">
        <v>189.5</v>
      </c>
      <c r="BM234">
        <v>107640.38589415856</v>
      </c>
      <c r="BN234" t="s">
        <v>82</v>
      </c>
      <c r="BO234">
        <v>189.5</v>
      </c>
      <c r="BP234">
        <v>113.57392441898256</v>
      </c>
      <c r="BQ234" s="82">
        <f t="shared" si="71"/>
        <v>-0.23439650542292156</v>
      </c>
      <c r="BR234">
        <v>189.5</v>
      </c>
      <c r="BS234">
        <v>102973.93072235366</v>
      </c>
      <c r="BT234" t="s">
        <v>82</v>
      </c>
      <c r="BU234">
        <v>189.5</v>
      </c>
      <c r="BV234">
        <v>113.66741645435249</v>
      </c>
      <c r="BW234" s="82">
        <f t="shared" si="72"/>
        <v>-0.22034607174593646</v>
      </c>
      <c r="BX234">
        <v>189.5</v>
      </c>
      <c r="BY234">
        <v>98701.731927885819</v>
      </c>
      <c r="BZ234" t="s">
        <v>82</v>
      </c>
      <c r="CA234">
        <v>189.5</v>
      </c>
      <c r="CB234">
        <v>113.73991305065141</v>
      </c>
      <c r="CC234" s="82">
        <f t="shared" si="73"/>
        <v>-0.20757498474007718</v>
      </c>
      <c r="CD234">
        <v>189.5</v>
      </c>
      <c r="CE234">
        <v>94934.695495755266</v>
      </c>
      <c r="CF234" t="s">
        <v>82</v>
      </c>
      <c r="CG234">
        <v>189.5</v>
      </c>
      <c r="CH234">
        <v>113.79332415442903</v>
      </c>
      <c r="CI234" s="82">
        <f t="shared" si="74"/>
        <v>-0.19590633925452039</v>
      </c>
      <c r="CJ234">
        <v>189.5</v>
      </c>
      <c r="CK234">
        <v>91608.831244613728</v>
      </c>
      <c r="CL234" t="s">
        <v>82</v>
      </c>
      <c r="CM234">
        <v>189.5</v>
      </c>
      <c r="CN234">
        <v>113.82955950404383</v>
      </c>
      <c r="CO234" s="82">
        <f t="shared" si="75"/>
        <v>-0.18520297629281401</v>
      </c>
      <c r="CP234">
        <v>189.5</v>
      </c>
      <c r="CQ234">
        <v>88674.195715325171</v>
      </c>
      <c r="CR234" t="s">
        <v>82</v>
      </c>
      <c r="CS234">
        <v>189.5</v>
      </c>
      <c r="CT234">
        <v>113.85058535922593</v>
      </c>
      <c r="CU234" s="82">
        <f t="shared" si="76"/>
        <v>-0.17535738463524808</v>
      </c>
      <c r="CV234">
        <v>189.5</v>
      </c>
      <c r="CW234">
        <v>86091.028621726611</v>
      </c>
      <c r="CX234" t="s">
        <v>82</v>
      </c>
      <c r="CY234">
        <v>189.5</v>
      </c>
      <c r="CZ234">
        <v>113.85054501231731</v>
      </c>
      <c r="DA234" s="82">
        <f t="shared" si="77"/>
        <v>-0.16609509763982544</v>
      </c>
      <c r="DB234">
        <v>189.5</v>
      </c>
      <c r="DC234">
        <v>83782.347293425206</v>
      </c>
      <c r="DD234" t="s">
        <v>82</v>
      </c>
      <c r="DG234" s="82">
        <f t="shared" si="78"/>
        <v>0</v>
      </c>
      <c r="DM234" s="82">
        <f t="shared" si="79"/>
        <v>0</v>
      </c>
    </row>
    <row r="235" spans="1:117" x14ac:dyDescent="0.2">
      <c r="A235">
        <v>190.5</v>
      </c>
      <c r="B235">
        <v>109.15902676130992</v>
      </c>
      <c r="C235" s="82">
        <f t="shared" si="60"/>
        <v>-0.45500428622763422</v>
      </c>
      <c r="D235">
        <v>190.5</v>
      </c>
      <c r="E235">
        <v>177877.63361364929</v>
      </c>
      <c r="F235" t="s">
        <v>82</v>
      </c>
      <c r="G235">
        <v>190.5</v>
      </c>
      <c r="H235">
        <v>109.80144086039192</v>
      </c>
      <c r="I235" s="82">
        <f t="shared" si="61"/>
        <v>-0.43007135567857802</v>
      </c>
      <c r="J235">
        <v>190.5</v>
      </c>
      <c r="K235">
        <v>169083.75973415916</v>
      </c>
      <c r="L235" t="s">
        <v>82</v>
      </c>
      <c r="M235">
        <v>190.5</v>
      </c>
      <c r="N235">
        <v>110.38684381415381</v>
      </c>
      <c r="O235" s="82">
        <f t="shared" si="62"/>
        <v>-0.40593722448956271</v>
      </c>
      <c r="P235">
        <v>190.5</v>
      </c>
      <c r="Q235">
        <v>160604.65432267255</v>
      </c>
      <c r="R235" t="s">
        <v>82</v>
      </c>
      <c r="S235">
        <v>190.5</v>
      </c>
      <c r="T235">
        <v>110.91589412375237</v>
      </c>
      <c r="U235" s="82">
        <f t="shared" si="63"/>
        <v>-0.38274125451373209</v>
      </c>
      <c r="V235">
        <v>190.5</v>
      </c>
      <c r="W235">
        <v>152498.55713783123</v>
      </c>
      <c r="X235" t="s">
        <v>82</v>
      </c>
      <c r="Y235">
        <v>190.5</v>
      </c>
      <c r="Z235">
        <v>111.39019531213027</v>
      </c>
      <c r="AA235" s="82">
        <f t="shared" si="64"/>
        <v>-0.36059439617656608</v>
      </c>
      <c r="AB235">
        <v>190.5</v>
      </c>
      <c r="AC235">
        <v>144811.97583981103</v>
      </c>
      <c r="AD235" t="s">
        <v>82</v>
      </c>
      <c r="AE235">
        <v>190.5</v>
      </c>
      <c r="AF235">
        <v>111.81112855378048</v>
      </c>
      <c r="AG235" s="82">
        <f t="shared" si="65"/>
        <v>-0.33955858470457656</v>
      </c>
      <c r="AH235">
        <v>190.5</v>
      </c>
      <c r="AI235">
        <v>137572.51246254772</v>
      </c>
      <c r="AJ235" t="s">
        <v>82</v>
      </c>
      <c r="AK235">
        <v>190.5</v>
      </c>
      <c r="AL235">
        <v>112.18092423185438</v>
      </c>
      <c r="AM235" s="82">
        <f t="shared" si="66"/>
        <v>-0.31964018590410603</v>
      </c>
      <c r="AN235">
        <v>190.5</v>
      </c>
      <c r="AO235">
        <v>130787.13515506967</v>
      </c>
      <c r="AP235" t="s">
        <v>82</v>
      </c>
      <c r="AQ235">
        <v>190.5</v>
      </c>
      <c r="AR235">
        <v>112.50200905858114</v>
      </c>
      <c r="AS235" s="82">
        <f t="shared" si="67"/>
        <v>-0.30078070752993824</v>
      </c>
      <c r="AT235">
        <v>190.5</v>
      </c>
      <c r="AU235">
        <v>124439.86596734215</v>
      </c>
      <c r="AV235" t="s">
        <v>82</v>
      </c>
      <c r="AW235">
        <v>190.5</v>
      </c>
      <c r="AX235">
        <v>112.77635705840089</v>
      </c>
      <c r="AY235" s="82">
        <f t="shared" si="68"/>
        <v>-0.28297462399658002</v>
      </c>
      <c r="AZ235">
        <v>190.5</v>
      </c>
      <c r="BA235">
        <v>118531.94298515776</v>
      </c>
      <c r="BB235" t="s">
        <v>82</v>
      </c>
      <c r="BC235">
        <v>190.5</v>
      </c>
      <c r="BD235">
        <v>113.00639358926918</v>
      </c>
      <c r="BE235" s="82">
        <f t="shared" si="69"/>
        <v>-0.26616865815843482</v>
      </c>
      <c r="BF235">
        <v>190.5</v>
      </c>
      <c r="BG235">
        <v>113048.07225899129</v>
      </c>
      <c r="BH235" t="s">
        <v>82</v>
      </c>
      <c r="BI235">
        <v>190.5</v>
      </c>
      <c r="BJ235">
        <v>113.19316960852451</v>
      </c>
      <c r="BK235" s="82">
        <f t="shared" si="70"/>
        <v>-0.2502711728695175</v>
      </c>
      <c r="BL235">
        <v>190.5</v>
      </c>
      <c r="BM235">
        <v>107960.96289017759</v>
      </c>
      <c r="BN235" t="s">
        <v>82</v>
      </c>
      <c r="BO235">
        <v>190.5</v>
      </c>
      <c r="BP235">
        <v>113.33869497082925</v>
      </c>
      <c r="BQ235" s="82">
        <f t="shared" si="71"/>
        <v>-0.23522944815330504</v>
      </c>
      <c r="BR235">
        <v>190.5</v>
      </c>
      <c r="BS235">
        <v>103256.58321376363</v>
      </c>
      <c r="BT235" t="s">
        <v>82</v>
      </c>
      <c r="BU235">
        <v>190.5</v>
      </c>
      <c r="BV235">
        <v>113.44633006596327</v>
      </c>
      <c r="BW235" s="82">
        <f t="shared" si="72"/>
        <v>-0.22108638838922445</v>
      </c>
      <c r="BX235">
        <v>190.5</v>
      </c>
      <c r="BY235">
        <v>98949.972515284433</v>
      </c>
      <c r="BZ235" t="s">
        <v>82</v>
      </c>
      <c r="CA235">
        <v>190.5</v>
      </c>
      <c r="CB235">
        <v>113.53167818453517</v>
      </c>
      <c r="CC235" s="82">
        <f t="shared" si="73"/>
        <v>-0.20823486611624276</v>
      </c>
      <c r="CD235">
        <v>190.5</v>
      </c>
      <c r="CE235">
        <v>95153.053782727526</v>
      </c>
      <c r="CF235" t="s">
        <v>82</v>
      </c>
      <c r="CG235">
        <v>190.5</v>
      </c>
      <c r="CH235">
        <v>113.59682811892424</v>
      </c>
      <c r="CI235" s="82">
        <f t="shared" si="74"/>
        <v>-0.19649603550479355</v>
      </c>
      <c r="CJ235">
        <v>190.5</v>
      </c>
      <c r="CK235">
        <v>91801.120026132528</v>
      </c>
      <c r="CL235" t="s">
        <v>82</v>
      </c>
      <c r="CM235">
        <v>190.5</v>
      </c>
      <c r="CN235">
        <v>113.6438283029028</v>
      </c>
      <c r="CO235" s="82">
        <f t="shared" si="75"/>
        <v>-0.18573120114102437</v>
      </c>
      <c r="CP235">
        <v>190.5</v>
      </c>
      <c r="CQ235">
        <v>88843.65861699832</v>
      </c>
      <c r="CR235" t="s">
        <v>82</v>
      </c>
      <c r="CS235">
        <v>190.5</v>
      </c>
      <c r="CT235">
        <v>113.67475373538046</v>
      </c>
      <c r="CU235" s="82">
        <f t="shared" si="76"/>
        <v>-0.17583162384546824</v>
      </c>
      <c r="CV235">
        <v>190.5</v>
      </c>
      <c r="CW235">
        <v>86240.453320409491</v>
      </c>
      <c r="CX235" t="s">
        <v>82</v>
      </c>
      <c r="CY235">
        <v>190.5</v>
      </c>
      <c r="CZ235">
        <v>113.68402429748183</v>
      </c>
      <c r="DA235" s="82">
        <f t="shared" si="77"/>
        <v>-0.16652071483548525</v>
      </c>
      <c r="DB235">
        <v>190.5</v>
      </c>
      <c r="DC235">
        <v>83913.741131414121</v>
      </c>
      <c r="DD235" t="s">
        <v>82</v>
      </c>
      <c r="DG235" s="82">
        <f t="shared" si="78"/>
        <v>0</v>
      </c>
      <c r="DM235" s="82">
        <f t="shared" si="79"/>
        <v>0</v>
      </c>
    </row>
    <row r="236" spans="1:117" x14ac:dyDescent="0.2">
      <c r="A236">
        <v>191.5</v>
      </c>
      <c r="B236">
        <v>108.70213570262337</v>
      </c>
      <c r="C236" s="82">
        <f t="shared" si="60"/>
        <v>-0.45689105868655133</v>
      </c>
      <c r="D236">
        <v>191.5</v>
      </c>
      <c r="E236">
        <v>178540.53836792649</v>
      </c>
      <c r="F236" t="s">
        <v>82</v>
      </c>
      <c r="G236">
        <v>191.5</v>
      </c>
      <c r="H236">
        <v>109.36946010250296</v>
      </c>
      <c r="I236" s="82">
        <f t="shared" si="61"/>
        <v>-0.43198075788896517</v>
      </c>
      <c r="J236">
        <v>191.5</v>
      </c>
      <c r="K236">
        <v>169759.18214011783</v>
      </c>
      <c r="L236" t="s">
        <v>82</v>
      </c>
      <c r="M236">
        <v>191.5</v>
      </c>
      <c r="N236">
        <v>109.9790386562633</v>
      </c>
      <c r="O236" s="82">
        <f t="shared" si="62"/>
        <v>-0.40780515789050753</v>
      </c>
      <c r="P236">
        <v>191.5</v>
      </c>
      <c r="Q236">
        <v>161267.54046917046</v>
      </c>
      <c r="R236" t="s">
        <v>82</v>
      </c>
      <c r="S236">
        <v>191.5</v>
      </c>
      <c r="T236">
        <v>110.53136997136093</v>
      </c>
      <c r="U236" s="82">
        <f t="shared" si="63"/>
        <v>-0.38452415239143534</v>
      </c>
      <c r="V236">
        <v>191.5</v>
      </c>
      <c r="W236">
        <v>153131.77146690333</v>
      </c>
      <c r="X236" t="s">
        <v>82</v>
      </c>
      <c r="Y236">
        <v>191.5</v>
      </c>
      <c r="Z236">
        <v>111.02792991498119</v>
      </c>
      <c r="AA236" s="82">
        <f t="shared" si="64"/>
        <v>-0.36226539714908768</v>
      </c>
      <c r="AB236">
        <v>191.5</v>
      </c>
      <c r="AC236">
        <v>145404.83974151095</v>
      </c>
      <c r="AD236" t="s">
        <v>82</v>
      </c>
      <c r="AE236">
        <v>191.5</v>
      </c>
      <c r="AF236">
        <v>111.47002509898259</v>
      </c>
      <c r="AG236" s="82">
        <f t="shared" si="65"/>
        <v>-0.34110345479788862</v>
      </c>
      <c r="AH236">
        <v>191.5</v>
      </c>
      <c r="AI236">
        <v>138119.24436491684</v>
      </c>
      <c r="AJ236" t="s">
        <v>82</v>
      </c>
      <c r="AK236">
        <v>191.5</v>
      </c>
      <c r="AL236">
        <v>111.85987035376928</v>
      </c>
      <c r="AM236" s="82">
        <f t="shared" si="66"/>
        <v>-0.32105387808509533</v>
      </c>
      <c r="AN236">
        <v>191.5</v>
      </c>
      <c r="AO236">
        <v>131285.53101118209</v>
      </c>
      <c r="AP236" t="s">
        <v>82</v>
      </c>
      <c r="AQ236">
        <v>191.5</v>
      </c>
      <c r="AR236">
        <v>112.19994493985197</v>
      </c>
      <c r="AS236" s="82">
        <f t="shared" si="67"/>
        <v>-0.30206411872916306</v>
      </c>
      <c r="AT236">
        <v>191.5</v>
      </c>
      <c r="AU236">
        <v>124890.05299208626</v>
      </c>
      <c r="AV236" t="s">
        <v>82</v>
      </c>
      <c r="AW236">
        <v>191.5</v>
      </c>
      <c r="AX236">
        <v>112.49222423679204</v>
      </c>
      <c r="AY236" s="82">
        <f t="shared" si="68"/>
        <v>-0.28413282160884989</v>
      </c>
      <c r="AZ236">
        <v>191.5</v>
      </c>
      <c r="BA236">
        <v>118935.68252421264</v>
      </c>
      <c r="BB236" t="s">
        <v>82</v>
      </c>
      <c r="BC236">
        <v>191.5</v>
      </c>
      <c r="BD236">
        <v>112.73918461678012</v>
      </c>
      <c r="BE236" s="82">
        <f t="shared" si="69"/>
        <v>-0.26720897248905828</v>
      </c>
      <c r="BF236">
        <v>191.5</v>
      </c>
      <c r="BG236">
        <v>113408.02455182823</v>
      </c>
      <c r="BH236" t="s">
        <v>82</v>
      </c>
      <c r="BI236">
        <v>191.5</v>
      </c>
      <c r="BJ236">
        <v>112.94196788017119</v>
      </c>
      <c r="BK236" s="82">
        <f t="shared" si="70"/>
        <v>-0.25120172835332255</v>
      </c>
      <c r="BL236">
        <v>191.5</v>
      </c>
      <c r="BM236">
        <v>108280.12176455582</v>
      </c>
      <c r="BN236" t="s">
        <v>82</v>
      </c>
      <c r="BO236">
        <v>191.5</v>
      </c>
      <c r="BP236">
        <v>113.10263615570415</v>
      </c>
      <c r="BQ236" s="82">
        <f t="shared" si="71"/>
        <v>-0.23605881512510507</v>
      </c>
      <c r="BR236">
        <v>191.5</v>
      </c>
      <c r="BS236">
        <v>103538.13078889102</v>
      </c>
      <c r="BT236" t="s">
        <v>82</v>
      </c>
      <c r="BU236">
        <v>191.5</v>
      </c>
      <c r="BV236">
        <v>113.22450626791428</v>
      </c>
      <c r="BW236" s="82">
        <f t="shared" si="72"/>
        <v>-0.22182379804898744</v>
      </c>
      <c r="BX236">
        <v>191.5</v>
      </c>
      <c r="BY236">
        <v>99197.347557960078</v>
      </c>
      <c r="BZ236" t="s">
        <v>82</v>
      </c>
      <c r="CA236">
        <v>191.5</v>
      </c>
      <c r="CB236">
        <v>113.32278582903429</v>
      </c>
      <c r="CC236" s="82">
        <f t="shared" si="73"/>
        <v>-0.20889235550087903</v>
      </c>
      <c r="CD236">
        <v>191.5</v>
      </c>
      <c r="CE236">
        <v>95370.728623238945</v>
      </c>
      <c r="CF236" t="s">
        <v>82</v>
      </c>
      <c r="CG236">
        <v>191.5</v>
      </c>
      <c r="CH236">
        <v>113.39974437444363</v>
      </c>
      <c r="CI236" s="82">
        <f t="shared" si="74"/>
        <v>-0.19708374448060795</v>
      </c>
      <c r="CJ236">
        <v>191.5</v>
      </c>
      <c r="CK236">
        <v>91992.866655175443</v>
      </c>
      <c r="CL236" t="s">
        <v>82</v>
      </c>
      <c r="CM236">
        <v>191.5</v>
      </c>
      <c r="CN236">
        <v>113.45757054146165</v>
      </c>
      <c r="CO236" s="82">
        <f t="shared" si="75"/>
        <v>-0.18625776144115491</v>
      </c>
      <c r="CP236">
        <v>191.5</v>
      </c>
      <c r="CQ236">
        <v>89012.690545499077</v>
      </c>
      <c r="CR236" t="s">
        <v>82</v>
      </c>
      <c r="CS236">
        <v>191.5</v>
      </c>
      <c r="CT236">
        <v>113.49844927669334</v>
      </c>
      <c r="CU236" s="82">
        <f t="shared" si="76"/>
        <v>-0.17630445868712741</v>
      </c>
      <c r="CV236">
        <v>191.5</v>
      </c>
      <c r="CW236">
        <v>86389.535412393292</v>
      </c>
      <c r="CX236" t="s">
        <v>82</v>
      </c>
      <c r="CY236">
        <v>191.5</v>
      </c>
      <c r="CZ236">
        <v>113.51707915529943</v>
      </c>
      <c r="DA236" s="82">
        <f t="shared" si="77"/>
        <v>-0.16694514218239931</v>
      </c>
      <c r="DB236">
        <v>191.5</v>
      </c>
      <c r="DC236">
        <v>84044.864052140692</v>
      </c>
      <c r="DD236" t="s">
        <v>82</v>
      </c>
      <c r="DG236" s="82">
        <f t="shared" si="78"/>
        <v>0</v>
      </c>
      <c r="DM236" s="82">
        <f t="shared" si="79"/>
        <v>0</v>
      </c>
    </row>
    <row r="237" spans="1:117" x14ac:dyDescent="0.2">
      <c r="A237">
        <v>192.5</v>
      </c>
      <c r="B237">
        <v>108.24345061788375</v>
      </c>
      <c r="C237" s="82">
        <f t="shared" si="60"/>
        <v>-0.45868508473961356</v>
      </c>
      <c r="D237">
        <v>192.5</v>
      </c>
      <c r="E237">
        <v>179168.25479192837</v>
      </c>
      <c r="F237" t="s">
        <v>82</v>
      </c>
      <c r="G237">
        <v>192.5</v>
      </c>
      <c r="H237">
        <v>108.93563679001485</v>
      </c>
      <c r="I237" s="82">
        <f t="shared" si="61"/>
        <v>-0.43382331248810146</v>
      </c>
      <c r="J237">
        <v>192.5</v>
      </c>
      <c r="K237">
        <v>170409.36293143677</v>
      </c>
      <c r="L237" t="s">
        <v>82</v>
      </c>
      <c r="M237">
        <v>192.5</v>
      </c>
      <c r="N237">
        <v>109.56941334848098</v>
      </c>
      <c r="O237" s="82">
        <f t="shared" si="62"/>
        <v>-0.40962530778232065</v>
      </c>
      <c r="P237">
        <v>192.5</v>
      </c>
      <c r="Q237">
        <v>161912.50443850973</v>
      </c>
      <c r="R237" t="s">
        <v>82</v>
      </c>
      <c r="S237">
        <v>192.5</v>
      </c>
      <c r="T237">
        <v>110.14509697530815</v>
      </c>
      <c r="U237" s="82">
        <f t="shared" si="63"/>
        <v>-0.38627299605278154</v>
      </c>
      <c r="V237">
        <v>192.5</v>
      </c>
      <c r="W237">
        <v>153752.32964186906</v>
      </c>
      <c r="X237" t="s">
        <v>82</v>
      </c>
      <c r="Y237">
        <v>192.5</v>
      </c>
      <c r="Z237">
        <v>110.66401787204087</v>
      </c>
      <c r="AA237" s="82">
        <f t="shared" si="64"/>
        <v>-0.36391204294031354</v>
      </c>
      <c r="AB237">
        <v>192.5</v>
      </c>
      <c r="AC237">
        <v>145988.76066052425</v>
      </c>
      <c r="AD237" t="s">
        <v>82</v>
      </c>
      <c r="AE237">
        <v>192.5</v>
      </c>
      <c r="AF237">
        <v>111.12739438519611</v>
      </c>
      <c r="AG237" s="82">
        <f t="shared" si="65"/>
        <v>-0.3426307137864768</v>
      </c>
      <c r="AH237">
        <v>192.5</v>
      </c>
      <c r="AI237">
        <v>138659.60718928001</v>
      </c>
      <c r="AJ237" t="s">
        <v>82</v>
      </c>
      <c r="AK237">
        <v>192.5</v>
      </c>
      <c r="AL237">
        <v>111.53741573488163</v>
      </c>
      <c r="AM237" s="82">
        <f t="shared" si="66"/>
        <v>-0.32245461888764737</v>
      </c>
      <c r="AN237">
        <v>192.5</v>
      </c>
      <c r="AO237">
        <v>131779.32804760186</v>
      </c>
      <c r="AP237" t="s">
        <v>82</v>
      </c>
      <c r="AQ237">
        <v>192.5</v>
      </c>
      <c r="AR237">
        <v>111.89660712631145</v>
      </c>
      <c r="AS237" s="82">
        <f t="shared" si="67"/>
        <v>-0.30333781354052292</v>
      </c>
      <c r="AT237">
        <v>192.5</v>
      </c>
      <c r="AU237">
        <v>125336.86247376427</v>
      </c>
      <c r="AV237" t="s">
        <v>82</v>
      </c>
      <c r="AW237">
        <v>192.5</v>
      </c>
      <c r="AX237">
        <v>112.2069406656713</v>
      </c>
      <c r="AY237" s="82">
        <f t="shared" si="68"/>
        <v>-0.28528357112074332</v>
      </c>
      <c r="AZ237">
        <v>192.5</v>
      </c>
      <c r="BA237">
        <v>119336.89393086033</v>
      </c>
      <c r="BB237" t="s">
        <v>82</v>
      </c>
      <c r="BC237">
        <v>192.5</v>
      </c>
      <c r="BD237">
        <v>112.47094115219828</v>
      </c>
      <c r="BE237" s="82">
        <f t="shared" si="69"/>
        <v>-0.26824346458184323</v>
      </c>
      <c r="BF237">
        <v>192.5</v>
      </c>
      <c r="BG237">
        <v>113766.0517500703</v>
      </c>
      <c r="BH237" t="s">
        <v>82</v>
      </c>
      <c r="BI237">
        <v>192.5</v>
      </c>
      <c r="BJ237">
        <v>112.68984022004162</v>
      </c>
      <c r="BK237" s="82">
        <f t="shared" si="70"/>
        <v>-0.25212766012957388</v>
      </c>
      <c r="BL237">
        <v>192.5</v>
      </c>
      <c r="BM237">
        <v>108597.79531962331</v>
      </c>
      <c r="BN237" t="s">
        <v>82</v>
      </c>
      <c r="BO237">
        <v>192.5</v>
      </c>
      <c r="BP237">
        <v>112.86575168932312</v>
      </c>
      <c r="BQ237" s="82">
        <f t="shared" si="71"/>
        <v>-0.23688446638102789</v>
      </c>
      <c r="BR237">
        <v>192.5</v>
      </c>
      <c r="BS237">
        <v>103818.52244287133</v>
      </c>
      <c r="BT237" t="s">
        <v>82</v>
      </c>
      <c r="BU237">
        <v>192.5</v>
      </c>
      <c r="BV237">
        <v>113.00194807527988</v>
      </c>
      <c r="BW237" s="82">
        <f t="shared" si="72"/>
        <v>-0.22255819263439491</v>
      </c>
      <c r="BX237">
        <v>192.5</v>
      </c>
      <c r="BY237">
        <v>99443.817831281165</v>
      </c>
      <c r="BZ237" t="s">
        <v>82</v>
      </c>
      <c r="CA237">
        <v>192.5</v>
      </c>
      <c r="CB237">
        <v>113.11323846092856</v>
      </c>
      <c r="CC237" s="82">
        <f t="shared" si="73"/>
        <v>-0.20954736810573138</v>
      </c>
      <c r="CD237">
        <v>192.5</v>
      </c>
      <c r="CE237">
        <v>95587.689361344601</v>
      </c>
      <c r="CF237" t="s">
        <v>82</v>
      </c>
      <c r="CG237">
        <v>192.5</v>
      </c>
      <c r="CH237">
        <v>113.2020749754782</v>
      </c>
      <c r="CI237" s="82">
        <f t="shared" si="74"/>
        <v>-0.19766939896543079</v>
      </c>
      <c r="CJ237">
        <v>192.5</v>
      </c>
      <c r="CK237">
        <v>92184.046937058811</v>
      </c>
      <c r="CL237" t="s">
        <v>82</v>
      </c>
      <c r="CM237">
        <v>192.5</v>
      </c>
      <c r="CN237">
        <v>113.27078793797172</v>
      </c>
      <c r="CO237" s="82">
        <f t="shared" si="75"/>
        <v>-0.18678260348993092</v>
      </c>
      <c r="CP237">
        <v>192.5</v>
      </c>
      <c r="CQ237">
        <v>89181.272266856889</v>
      </c>
      <c r="CR237" t="s">
        <v>82</v>
      </c>
      <c r="CS237">
        <v>192.5</v>
      </c>
      <c r="CT237">
        <v>113.32167343072054</v>
      </c>
      <c r="CU237" s="82">
        <f t="shared" si="76"/>
        <v>-0.17677584597279861</v>
      </c>
      <c r="CV237">
        <v>192.5</v>
      </c>
      <c r="CW237">
        <v>86538.259489066419</v>
      </c>
      <c r="CX237" t="s">
        <v>82</v>
      </c>
      <c r="CY237">
        <v>192.5</v>
      </c>
      <c r="CZ237">
        <v>113.3497108103783</v>
      </c>
      <c r="DA237" s="82">
        <f t="shared" si="77"/>
        <v>-0.16736834492112962</v>
      </c>
      <c r="DB237">
        <v>192.5</v>
      </c>
      <c r="DC237">
        <v>84175.703718043413</v>
      </c>
      <c r="DD237" t="s">
        <v>82</v>
      </c>
      <c r="DG237" s="82">
        <f t="shared" si="78"/>
        <v>0</v>
      </c>
      <c r="DM237" s="82">
        <f t="shared" si="79"/>
        <v>0</v>
      </c>
    </row>
    <row r="238" spans="1:117" x14ac:dyDescent="0.2">
      <c r="A238">
        <v>193.5</v>
      </c>
      <c r="B238">
        <v>107.78307064788609</v>
      </c>
      <c r="C238" s="82">
        <f t="shared" si="60"/>
        <v>-0.46037996999766051</v>
      </c>
      <c r="D238">
        <v>193.5</v>
      </c>
      <c r="E238">
        <v>179758.3246984494</v>
      </c>
      <c r="F238" t="s">
        <v>82</v>
      </c>
      <c r="G238">
        <v>193.5</v>
      </c>
      <c r="H238">
        <v>108.5000423360389</v>
      </c>
      <c r="I238" s="82">
        <f t="shared" si="61"/>
        <v>-0.43559445397595198</v>
      </c>
      <c r="J238">
        <v>193.5</v>
      </c>
      <c r="K238">
        <v>171032.54868456582</v>
      </c>
      <c r="L238" t="s">
        <v>82</v>
      </c>
      <c r="M238">
        <v>193.5</v>
      </c>
      <c r="N238">
        <v>109.15801886897506</v>
      </c>
      <c r="O238" s="82">
        <f t="shared" si="62"/>
        <v>-0.41139447950591546</v>
      </c>
      <c r="P238">
        <v>193.5</v>
      </c>
      <c r="Q238">
        <v>162538.3213296395</v>
      </c>
      <c r="R238" t="s">
        <v>82</v>
      </c>
      <c r="S238">
        <v>193.5</v>
      </c>
      <c r="T238">
        <v>109.75711138809008</v>
      </c>
      <c r="U238" s="82">
        <f t="shared" si="63"/>
        <v>-0.38798558721806842</v>
      </c>
      <c r="V238">
        <v>193.5</v>
      </c>
      <c r="W238">
        <v>154359.39094418325</v>
      </c>
      <c r="X238" t="s">
        <v>82</v>
      </c>
      <c r="Y238">
        <v>193.5</v>
      </c>
      <c r="Z238">
        <v>110.29848503410498</v>
      </c>
      <c r="AA238" s="82">
        <f t="shared" si="64"/>
        <v>-0.36553283793588776</v>
      </c>
      <c r="AB238">
        <v>193.5</v>
      </c>
      <c r="AC238">
        <v>146563.16871053298</v>
      </c>
      <c r="AD238" t="s">
        <v>82</v>
      </c>
      <c r="AE238">
        <v>193.5</v>
      </c>
      <c r="AF238">
        <v>110.7832550383545</v>
      </c>
      <c r="AG238" s="82">
        <f t="shared" si="65"/>
        <v>-0.34413934684161518</v>
      </c>
      <c r="AH238">
        <v>193.5</v>
      </c>
      <c r="AI238">
        <v>139193.21614096881</v>
      </c>
      <c r="AJ238" t="s">
        <v>82</v>
      </c>
      <c r="AK238">
        <v>193.5</v>
      </c>
      <c r="AL238">
        <v>111.21357401980643</v>
      </c>
      <c r="AM238" s="82">
        <f t="shared" si="66"/>
        <v>-0.32384171507520421</v>
      </c>
      <c r="AN238">
        <v>193.5</v>
      </c>
      <c r="AO238">
        <v>132268.26500019536</v>
      </c>
      <c r="AP238" t="s">
        <v>82</v>
      </c>
      <c r="AQ238">
        <v>193.5</v>
      </c>
      <c r="AR238">
        <v>111.59200581513474</v>
      </c>
      <c r="AS238" s="82">
        <f t="shared" si="67"/>
        <v>-0.30460131117671096</v>
      </c>
      <c r="AT238">
        <v>193.5</v>
      </c>
      <c r="AU238">
        <v>125780.11448869553</v>
      </c>
      <c r="AV238" t="s">
        <v>82</v>
      </c>
      <c r="AW238">
        <v>193.5</v>
      </c>
      <c r="AX238">
        <v>111.92051413457037</v>
      </c>
      <c r="AY238" s="82">
        <f t="shared" si="68"/>
        <v>-0.28642653110092908</v>
      </c>
      <c r="AZ238">
        <v>193.5</v>
      </c>
      <c r="BA238">
        <v>119735.45038073628</v>
      </c>
      <c r="BB238" t="s">
        <v>82</v>
      </c>
      <c r="BC238">
        <v>193.5</v>
      </c>
      <c r="BD238">
        <v>112.20166926676112</v>
      </c>
      <c r="BE238" s="82">
        <f t="shared" si="69"/>
        <v>-0.26927188543716341</v>
      </c>
      <c r="BF238">
        <v>193.5</v>
      </c>
      <c r="BG238">
        <v>114122.06198384234</v>
      </c>
      <c r="BH238" t="s">
        <v>82</v>
      </c>
      <c r="BI238">
        <v>193.5</v>
      </c>
      <c r="BJ238">
        <v>112.43679143781463</v>
      </c>
      <c r="BK238" s="82">
        <f t="shared" si="70"/>
        <v>-0.25304878222698335</v>
      </c>
      <c r="BL238">
        <v>193.5</v>
      </c>
      <c r="BM238">
        <v>108913.91538041609</v>
      </c>
      <c r="BN238" t="s">
        <v>82</v>
      </c>
      <c r="BO238">
        <v>193.5</v>
      </c>
      <c r="BP238">
        <v>112.62804542885713</v>
      </c>
      <c r="BQ238" s="82">
        <f t="shared" si="71"/>
        <v>-0.23770626046598409</v>
      </c>
      <c r="BR238">
        <v>193.5</v>
      </c>
      <c r="BS238">
        <v>104097.70658180602</v>
      </c>
      <c r="BT238" t="s">
        <v>82</v>
      </c>
      <c r="BU238">
        <v>193.5</v>
      </c>
      <c r="BV238">
        <v>112.77865861216098</v>
      </c>
      <c r="BW238" s="82">
        <f t="shared" si="72"/>
        <v>-0.22328946311890263</v>
      </c>
      <c r="BX238">
        <v>193.5</v>
      </c>
      <c r="BY238">
        <v>99689.343777435104</v>
      </c>
      <c r="BZ238" t="s">
        <v>82</v>
      </c>
      <c r="CA238">
        <v>193.5</v>
      </c>
      <c r="CB238">
        <v>112.90303864242837</v>
      </c>
      <c r="CC238" s="82">
        <f t="shared" si="73"/>
        <v>-0.2101998185001861</v>
      </c>
      <c r="CD238">
        <v>193.5</v>
      </c>
      <c r="CE238">
        <v>95803.905132448344</v>
      </c>
      <c r="CF238" t="s">
        <v>82</v>
      </c>
      <c r="CG238">
        <v>193.5</v>
      </c>
      <c r="CH238">
        <v>113.00382204420193</v>
      </c>
      <c r="CI238" s="82">
        <f t="shared" si="74"/>
        <v>-0.19825293127627219</v>
      </c>
      <c r="CJ238">
        <v>193.5</v>
      </c>
      <c r="CK238">
        <v>92374.636516246392</v>
      </c>
      <c r="CL238" t="s">
        <v>82</v>
      </c>
      <c r="CM238">
        <v>193.5</v>
      </c>
      <c r="CN238">
        <v>113.08348226474615</v>
      </c>
      <c r="CO238" s="82">
        <f t="shared" si="75"/>
        <v>-0.18730567322556624</v>
      </c>
      <c r="CP238">
        <v>193.5</v>
      </c>
      <c r="CQ238">
        <v>89349.384382589837</v>
      </c>
      <c r="CR238" t="s">
        <v>82</v>
      </c>
      <c r="CS238">
        <v>193.5</v>
      </c>
      <c r="CT238">
        <v>113.14442768847174</v>
      </c>
      <c r="CU238" s="82">
        <f t="shared" si="76"/>
        <v>-0.1772457422488003</v>
      </c>
      <c r="CV238">
        <v>193.5</v>
      </c>
      <c r="CW238">
        <v>86686.610031272619</v>
      </c>
      <c r="CX238" t="s">
        <v>82</v>
      </c>
      <c r="CY238">
        <v>193.5</v>
      </c>
      <c r="CZ238">
        <v>113.18192052229557</v>
      </c>
      <c r="DA238" s="82">
        <f t="shared" si="77"/>
        <v>-0.16779028808272756</v>
      </c>
      <c r="DB238">
        <v>193.5</v>
      </c>
      <c r="DC238">
        <v>84306.247681968598</v>
      </c>
      <c r="DD238" t="s">
        <v>82</v>
      </c>
      <c r="DG238" s="82">
        <f t="shared" si="78"/>
        <v>0</v>
      </c>
      <c r="DM238" s="82">
        <f t="shared" si="79"/>
        <v>0</v>
      </c>
    </row>
    <row r="239" spans="1:117" x14ac:dyDescent="0.2">
      <c r="A239">
        <v>194.5</v>
      </c>
      <c r="B239">
        <v>107.32110177126741</v>
      </c>
      <c r="C239" s="82">
        <f t="shared" si="60"/>
        <v>-0.46196887661868402</v>
      </c>
      <c r="D239">
        <v>194.5</v>
      </c>
      <c r="E239">
        <v>180308.11740880681</v>
      </c>
      <c r="F239" t="s">
        <v>82</v>
      </c>
      <c r="G239">
        <v>194.5</v>
      </c>
      <c r="H239">
        <v>108.0627530317918</v>
      </c>
      <c r="I239" s="82">
        <f t="shared" si="61"/>
        <v>-0.437289304247102</v>
      </c>
      <c r="J239">
        <v>194.5</v>
      </c>
      <c r="K239">
        <v>171626.86429326082</v>
      </c>
      <c r="L239" t="s">
        <v>82</v>
      </c>
      <c r="M239">
        <v>194.5</v>
      </c>
      <c r="N239">
        <v>108.74490960326639</v>
      </c>
      <c r="O239" s="82">
        <f t="shared" si="62"/>
        <v>-0.41310926570866968</v>
      </c>
      <c r="P239">
        <v>194.5</v>
      </c>
      <c r="Q239">
        <v>163143.68335697215</v>
      </c>
      <c r="R239" t="s">
        <v>82</v>
      </c>
      <c r="S239">
        <v>194.5</v>
      </c>
      <c r="T239">
        <v>109.36745179977726</v>
      </c>
      <c r="U239" s="82">
        <f t="shared" si="63"/>
        <v>-0.38965958831282421</v>
      </c>
      <c r="V239">
        <v>194.5</v>
      </c>
      <c r="W239">
        <v>154952.06032280324</v>
      </c>
      <c r="X239" t="s">
        <v>82</v>
      </c>
      <c r="Y239">
        <v>194.5</v>
      </c>
      <c r="Z239">
        <v>109.93135883521649</v>
      </c>
      <c r="AA239" s="82">
        <f t="shared" si="64"/>
        <v>-0.36712619888849929</v>
      </c>
      <c r="AB239">
        <v>194.5</v>
      </c>
      <c r="AC239">
        <v>147127.45979176427</v>
      </c>
      <c r="AD239" t="s">
        <v>82</v>
      </c>
      <c r="AE239">
        <v>194.5</v>
      </c>
      <c r="AF239">
        <v>110.4376267521405</v>
      </c>
      <c r="AG239" s="82">
        <f t="shared" si="65"/>
        <v>-0.34562828621399433</v>
      </c>
      <c r="AH239">
        <v>194.5</v>
      </c>
      <c r="AI239">
        <v>139719.66576874931</v>
      </c>
      <c r="AJ239" t="s">
        <v>82</v>
      </c>
      <c r="AK239">
        <v>194.5</v>
      </c>
      <c r="AL239">
        <v>110.88835957708083</v>
      </c>
      <c r="AM239" s="82">
        <f t="shared" si="66"/>
        <v>-0.32521444272559563</v>
      </c>
      <c r="AN239">
        <v>194.5</v>
      </c>
      <c r="AO239">
        <v>132752.06864503646</v>
      </c>
      <c r="AP239" t="s">
        <v>82</v>
      </c>
      <c r="AQ239">
        <v>194.5</v>
      </c>
      <c r="AR239">
        <v>111.28615170139089</v>
      </c>
      <c r="AS239" s="82">
        <f t="shared" si="67"/>
        <v>-0.30585411374384819</v>
      </c>
      <c r="AT239">
        <v>194.5</v>
      </c>
      <c r="AU239">
        <v>126219.62244057683</v>
      </c>
      <c r="AV239" t="s">
        <v>82</v>
      </c>
      <c r="AW239">
        <v>194.5</v>
      </c>
      <c r="AX239">
        <v>111.63295278372574</v>
      </c>
      <c r="AY239" s="82">
        <f t="shared" si="68"/>
        <v>-0.28756135084462642</v>
      </c>
      <c r="AZ239">
        <v>194.5</v>
      </c>
      <c r="BA239">
        <v>120131.22142400418</v>
      </c>
      <c r="BB239" t="s">
        <v>82</v>
      </c>
      <c r="BC239">
        <v>194.5</v>
      </c>
      <c r="BD239">
        <v>111.93137528563489</v>
      </c>
      <c r="BE239" s="82">
        <f t="shared" si="69"/>
        <v>-0.27029398112622971</v>
      </c>
      <c r="BF239">
        <v>194.5</v>
      </c>
      <c r="BG239">
        <v>114475.96149799999</v>
      </c>
      <c r="BH239" t="s">
        <v>82</v>
      </c>
      <c r="BI239">
        <v>194.5</v>
      </c>
      <c r="BJ239">
        <v>112.1828265318191</v>
      </c>
      <c r="BK239" s="82">
        <f t="shared" si="70"/>
        <v>-0.2539649059955309</v>
      </c>
      <c r="BL239">
        <v>194.5</v>
      </c>
      <c r="BM239">
        <v>109228.4127210078</v>
      </c>
      <c r="BN239" t="s">
        <v>82</v>
      </c>
      <c r="BO239">
        <v>194.5</v>
      </c>
      <c r="BP239">
        <v>112.38952137444954</v>
      </c>
      <c r="BQ239" s="82">
        <f t="shared" si="71"/>
        <v>-0.23852405440759128</v>
      </c>
      <c r="BR239">
        <v>194.5</v>
      </c>
      <c r="BS239">
        <v>104375.63104319792</v>
      </c>
      <c r="BT239" t="s">
        <v>82</v>
      </c>
      <c r="BU239">
        <v>194.5</v>
      </c>
      <c r="BV239">
        <v>112.55464111262553</v>
      </c>
      <c r="BW239" s="82">
        <f t="shared" si="72"/>
        <v>-0.22401749953544936</v>
      </c>
      <c r="BX239">
        <v>194.5</v>
      </c>
      <c r="BY239">
        <v>99933.885450765563</v>
      </c>
      <c r="BZ239" t="s">
        <v>82</v>
      </c>
      <c r="CA239">
        <v>194.5</v>
      </c>
      <c r="CB239">
        <v>112.69218902179874</v>
      </c>
      <c r="CC239" s="82">
        <f t="shared" si="73"/>
        <v>-0.21084962062963086</v>
      </c>
      <c r="CD239">
        <v>194.5</v>
      </c>
      <c r="CE239">
        <v>96019.344827044843</v>
      </c>
      <c r="CF239" t="s">
        <v>82</v>
      </c>
      <c r="CG239">
        <v>194.5</v>
      </c>
      <c r="CH239">
        <v>112.80498777092284</v>
      </c>
      <c r="CI239" s="82">
        <f t="shared" si="74"/>
        <v>-0.19883427327908976</v>
      </c>
      <c r="CJ239">
        <v>194.5</v>
      </c>
      <c r="CK239">
        <v>92564.610850364028</v>
      </c>
      <c r="CL239" t="s">
        <v>82</v>
      </c>
      <c r="CM239">
        <v>194.5</v>
      </c>
      <c r="CN239">
        <v>112.89565534848192</v>
      </c>
      <c r="CO239" s="82">
        <f t="shared" si="75"/>
        <v>-0.18782691626422832</v>
      </c>
      <c r="CP239">
        <v>194.5</v>
      </c>
      <c r="CQ239">
        <v>89517.007400280287</v>
      </c>
      <c r="CR239" t="s">
        <v>82</v>
      </c>
      <c r="CS239">
        <v>194.5</v>
      </c>
      <c r="CT239">
        <v>112.9667135846671</v>
      </c>
      <c r="CU239" s="82">
        <f t="shared" si="76"/>
        <v>-0.17771410380463237</v>
      </c>
      <c r="CV239">
        <v>194.5</v>
      </c>
      <c r="CW239">
        <v>86834.57143196353</v>
      </c>
      <c r="CX239" t="s">
        <v>82</v>
      </c>
      <c r="CY239">
        <v>194.5</v>
      </c>
      <c r="CZ239">
        <v>113.01370958579662</v>
      </c>
      <c r="DA239" s="82">
        <f t="shared" si="77"/>
        <v>-0.16821093649895147</v>
      </c>
      <c r="DB239">
        <v>194.5</v>
      </c>
      <c r="DC239">
        <v>84436.483453472538</v>
      </c>
      <c r="DD239" t="s">
        <v>82</v>
      </c>
      <c r="DG239" s="82">
        <f t="shared" si="78"/>
        <v>0</v>
      </c>
      <c r="DM239" s="82">
        <f t="shared" si="79"/>
        <v>0</v>
      </c>
    </row>
    <row r="240" spans="1:117" x14ac:dyDescent="0.2">
      <c r="A240">
        <v>195.5</v>
      </c>
      <c r="B240">
        <v>106.85765728759043</v>
      </c>
      <c r="C240" s="82">
        <f t="shared" si="60"/>
        <v>-0.46344448367698021</v>
      </c>
      <c r="D240">
        <v>195.5</v>
      </c>
      <c r="E240">
        <v>180814.81430904157</v>
      </c>
      <c r="F240" t="s">
        <v>82</v>
      </c>
      <c r="G240">
        <v>195.5</v>
      </c>
      <c r="H240">
        <v>107.62385038766942</v>
      </c>
      <c r="I240" s="82">
        <f t="shared" si="61"/>
        <v>-0.43890264412237912</v>
      </c>
      <c r="J240">
        <v>195.5</v>
      </c>
      <c r="K240">
        <v>172190.3018282936</v>
      </c>
      <c r="L240" t="s">
        <v>82</v>
      </c>
      <c r="M240">
        <v>195.5</v>
      </c>
      <c r="N240">
        <v>108.3301435766197</v>
      </c>
      <c r="O240" s="82">
        <f t="shared" si="62"/>
        <v>-0.4147660266466886</v>
      </c>
      <c r="P240">
        <v>195.5</v>
      </c>
      <c r="Q240">
        <v>163727.19217979317</v>
      </c>
      <c r="R240" t="s">
        <v>82</v>
      </c>
      <c r="S240">
        <v>195.5</v>
      </c>
      <c r="T240">
        <v>108.97615929043147</v>
      </c>
      <c r="U240" s="82">
        <f t="shared" si="63"/>
        <v>-0.39129250934578863</v>
      </c>
      <c r="V240">
        <v>195.5</v>
      </c>
      <c r="W240">
        <v>155529.3833038226</v>
      </c>
      <c r="X240" t="s">
        <v>82</v>
      </c>
      <c r="Y240">
        <v>195.5</v>
      </c>
      <c r="Z240">
        <v>109.5626683886004</v>
      </c>
      <c r="AA240" s="82">
        <f t="shared" si="64"/>
        <v>-0.36869044661608541</v>
      </c>
      <c r="AB240">
        <v>195.5</v>
      </c>
      <c r="AC240">
        <v>147680.99238299116</v>
      </c>
      <c r="AD240" t="s">
        <v>82</v>
      </c>
      <c r="AE240">
        <v>195.5</v>
      </c>
      <c r="AF240">
        <v>110.09053034593084</v>
      </c>
      <c r="AG240" s="82">
        <f t="shared" si="65"/>
        <v>-0.34709640620965843</v>
      </c>
      <c r="AH240">
        <v>195.5</v>
      </c>
      <c r="AI240">
        <v>140238.52798591787</v>
      </c>
      <c r="AJ240" t="s">
        <v>82</v>
      </c>
      <c r="AK240">
        <v>195.5</v>
      </c>
      <c r="AL240">
        <v>110.56178753273478</v>
      </c>
      <c r="AM240" s="82">
        <f t="shared" si="66"/>
        <v>-0.32657204434605092</v>
      </c>
      <c r="AN240">
        <v>195.5</v>
      </c>
      <c r="AO240">
        <v>133230.45265796804</v>
      </c>
      <c r="AP240" t="s">
        <v>82</v>
      </c>
      <c r="AQ240">
        <v>195.5</v>
      </c>
      <c r="AR240">
        <v>110.97905599668606</v>
      </c>
      <c r="AS240" s="82">
        <f t="shared" si="67"/>
        <v>-0.30709570470483527</v>
      </c>
      <c r="AT240">
        <v>195.5</v>
      </c>
      <c r="AU240">
        <v>126655.19248389812</v>
      </c>
      <c r="AV240" t="s">
        <v>82</v>
      </c>
      <c r="AW240">
        <v>195.5</v>
      </c>
      <c r="AX240">
        <v>111.34426511408608</v>
      </c>
      <c r="AY240" s="82">
        <f t="shared" si="68"/>
        <v>-0.28868766963965697</v>
      </c>
      <c r="AZ240">
        <v>195.5</v>
      </c>
      <c r="BA240">
        <v>120524.07272925694</v>
      </c>
      <c r="BB240" t="s">
        <v>82</v>
      </c>
      <c r="BC240">
        <v>195.5</v>
      </c>
      <c r="BD240">
        <v>111.66006579320464</v>
      </c>
      <c r="BE240" s="82">
        <f t="shared" si="69"/>
        <v>-0.27130949243024816</v>
      </c>
      <c r="BF240">
        <v>195.5</v>
      </c>
      <c r="BG240">
        <v>114827.65446854354</v>
      </c>
      <c r="BH240" t="s">
        <v>82</v>
      </c>
      <c r="BI240">
        <v>195.5</v>
      </c>
      <c r="BJ240">
        <v>111.92795069183482</v>
      </c>
      <c r="BK240" s="82">
        <f t="shared" si="70"/>
        <v>-0.25487583998427965</v>
      </c>
      <c r="BL240">
        <v>195.5</v>
      </c>
      <c r="BM240">
        <v>109541.21707135433</v>
      </c>
      <c r="BN240" t="s">
        <v>82</v>
      </c>
      <c r="BO240">
        <v>195.5</v>
      </c>
      <c r="BP240">
        <v>112.15018367076556</v>
      </c>
      <c r="BQ240" s="82">
        <f t="shared" si="71"/>
        <v>-0.23933770368398655</v>
      </c>
      <c r="BR240">
        <v>195.5</v>
      </c>
      <c r="BS240">
        <v>104652.2430890496</v>
      </c>
      <c r="BT240" t="s">
        <v>82</v>
      </c>
      <c r="BU240">
        <v>195.5</v>
      </c>
      <c r="BV240">
        <v>112.32989892163189</v>
      </c>
      <c r="BW240" s="82">
        <f t="shared" si="72"/>
        <v>-0.22474219099363779</v>
      </c>
      <c r="BX240">
        <v>195.5</v>
      </c>
      <c r="BY240">
        <v>100177.40260736064</v>
      </c>
      <c r="BZ240" t="s">
        <v>82</v>
      </c>
      <c r="CA240">
        <v>195.5</v>
      </c>
      <c r="CB240">
        <v>112.48069233398219</v>
      </c>
      <c r="CC240" s="82">
        <f t="shared" si="73"/>
        <v>-0.21149668781654896</v>
      </c>
      <c r="CD240">
        <v>195.5</v>
      </c>
      <c r="CE240">
        <v>96233.977094981296</v>
      </c>
      <c r="CF240" t="s">
        <v>82</v>
      </c>
      <c r="CG240">
        <v>195.5</v>
      </c>
      <c r="CH240">
        <v>112.60557441452072</v>
      </c>
      <c r="CI240" s="82">
        <f t="shared" si="74"/>
        <v>-0.19941335640211832</v>
      </c>
      <c r="CJ240">
        <v>195.5</v>
      </c>
      <c r="CK240">
        <v>92753.945266733819</v>
      </c>
      <c r="CL240" t="s">
        <v>82</v>
      </c>
      <c r="CM240">
        <v>195.5</v>
      </c>
      <c r="CN240">
        <v>112.7073090706057</v>
      </c>
      <c r="CO240" s="82">
        <f t="shared" si="75"/>
        <v>-0.18834627787622082</v>
      </c>
      <c r="CP240">
        <v>195.5</v>
      </c>
      <c r="CQ240">
        <v>89684.121698479881</v>
      </c>
      <c r="CR240" t="s">
        <v>82</v>
      </c>
      <c r="CS240">
        <v>195.5</v>
      </c>
      <c r="CT240">
        <v>112.78853269798714</v>
      </c>
      <c r="CU240" s="82">
        <f t="shared" si="76"/>
        <v>-0.1781808866799679</v>
      </c>
      <c r="CV240">
        <v>195.5</v>
      </c>
      <c r="CW240">
        <v>86982.127992177397</v>
      </c>
      <c r="CX240" t="s">
        <v>82</v>
      </c>
      <c r="CY240">
        <v>195.5</v>
      </c>
      <c r="CZ240">
        <v>112.8450793309822</v>
      </c>
      <c r="DA240" s="82">
        <f t="shared" si="77"/>
        <v>-0.16863025481441696</v>
      </c>
      <c r="DB240">
        <v>195.5</v>
      </c>
      <c r="DC240">
        <v>84566.398459625692</v>
      </c>
      <c r="DD240" t="s">
        <v>82</v>
      </c>
      <c r="DG240" s="82">
        <f t="shared" si="78"/>
        <v>0</v>
      </c>
      <c r="DM240" s="82">
        <f t="shared" si="79"/>
        <v>0</v>
      </c>
    </row>
    <row r="241" spans="1:117" x14ac:dyDescent="0.2">
      <c r="A241">
        <v>196.5</v>
      </c>
      <c r="B241">
        <v>106.39285834387162</v>
      </c>
      <c r="C241" s="82">
        <f t="shared" si="60"/>
        <v>-0.46479894371880448</v>
      </c>
      <c r="D241">
        <v>196.5</v>
      </c>
      <c r="E241">
        <v>181275.39185635428</v>
      </c>
      <c r="F241" t="s">
        <v>82</v>
      </c>
      <c r="G241">
        <v>196.5</v>
      </c>
      <c r="H241">
        <v>107.18342150561384</v>
      </c>
      <c r="I241" s="82">
        <f t="shared" si="61"/>
        <v>-0.44042888205558484</v>
      </c>
      <c r="J241">
        <v>196.5</v>
      </c>
      <c r="K241">
        <v>172720.70834210722</v>
      </c>
      <c r="L241" t="s">
        <v>82</v>
      </c>
      <c r="M241">
        <v>196.5</v>
      </c>
      <c r="N241">
        <v>107.91378270817378</v>
      </c>
      <c r="O241" s="82">
        <f t="shared" si="62"/>
        <v>-0.41636086844592057</v>
      </c>
      <c r="P241">
        <v>196.5</v>
      </c>
      <c r="Q241">
        <v>164287.35037386845</v>
      </c>
      <c r="R241" t="s">
        <v>82</v>
      </c>
      <c r="S241">
        <v>196.5</v>
      </c>
      <c r="T241">
        <v>108.58327759700489</v>
      </c>
      <c r="U241" s="82">
        <f t="shared" si="63"/>
        <v>-0.39288169342657397</v>
      </c>
      <c r="V241">
        <v>196.5</v>
      </c>
      <c r="W241">
        <v>156090.34026948665</v>
      </c>
      <c r="X241" t="s">
        <v>82</v>
      </c>
      <c r="Y241">
        <v>196.5</v>
      </c>
      <c r="Z241">
        <v>109.19244459184624</v>
      </c>
      <c r="AA241" s="82">
        <f t="shared" si="64"/>
        <v>-0.37022379675416062</v>
      </c>
      <c r="AB241">
        <v>196.5</v>
      </c>
      <c r="AC241">
        <v>148223.08389466224</v>
      </c>
      <c r="AD241" t="s">
        <v>82</v>
      </c>
      <c r="AE241">
        <v>196.5</v>
      </c>
      <c r="AF241">
        <v>109.74198782835215</v>
      </c>
      <c r="AG241" s="82">
        <f t="shared" si="65"/>
        <v>-0.34854251757869292</v>
      </c>
      <c r="AH241">
        <v>196.5</v>
      </c>
      <c r="AI241">
        <v>140749.34991145157</v>
      </c>
      <c r="AJ241" t="s">
        <v>82</v>
      </c>
      <c r="AK241">
        <v>196.5</v>
      </c>
      <c r="AL241">
        <v>110.23387380707354</v>
      </c>
      <c r="AM241" s="82">
        <f t="shared" si="66"/>
        <v>-0.32791372566124721</v>
      </c>
      <c r="AN241">
        <v>196.5</v>
      </c>
      <c r="AO241">
        <v>133703.11632196905</v>
      </c>
      <c r="AP241" t="s">
        <v>82</v>
      </c>
      <c r="AQ241">
        <v>196.5</v>
      </c>
      <c r="AR241">
        <v>110.6707304495332</v>
      </c>
      <c r="AS241" s="82">
        <f t="shared" si="67"/>
        <v>-0.30832554715286165</v>
      </c>
      <c r="AT241">
        <v>196.5</v>
      </c>
      <c r="AU241">
        <v>127086.62280613546</v>
      </c>
      <c r="AV241" t="s">
        <v>82</v>
      </c>
      <c r="AW241">
        <v>196.5</v>
      </c>
      <c r="AX241">
        <v>111.05445999819086</v>
      </c>
      <c r="AY241" s="82">
        <f t="shared" si="68"/>
        <v>-0.28980511589521996</v>
      </c>
      <c r="AZ241">
        <v>196.5</v>
      </c>
      <c r="BA241">
        <v>120913.86571811124</v>
      </c>
      <c r="BB241" t="s">
        <v>82</v>
      </c>
      <c r="BC241">
        <v>196.5</v>
      </c>
      <c r="BD241">
        <v>111.38774763873582</v>
      </c>
      <c r="BE241" s="82">
        <f t="shared" si="69"/>
        <v>-0.27231815446882024</v>
      </c>
      <c r="BF241">
        <v>196.5</v>
      </c>
      <c r="BG241">
        <v>115177.04291592946</v>
      </c>
      <c r="BH241" t="s">
        <v>82</v>
      </c>
      <c r="BI241">
        <v>196.5</v>
      </c>
      <c r="BJ241">
        <v>111.67216930205699</v>
      </c>
      <c r="BK241" s="82">
        <f t="shared" si="70"/>
        <v>-0.25578138977783738</v>
      </c>
      <c r="BL241">
        <v>196.5</v>
      </c>
      <c r="BM241">
        <v>109852.25700585774</v>
      </c>
      <c r="BN241" t="s">
        <v>82</v>
      </c>
      <c r="BO241">
        <v>196.5</v>
      </c>
      <c r="BP241">
        <v>111.91003660860386</v>
      </c>
      <c r="BQ241" s="82">
        <f t="shared" si="71"/>
        <v>-0.24014706216169657</v>
      </c>
      <c r="BR241">
        <v>196.5</v>
      </c>
      <c r="BS241">
        <v>104927.48935569229</v>
      </c>
      <c r="BT241" t="s">
        <v>82</v>
      </c>
      <c r="BU241">
        <v>196.5</v>
      </c>
      <c r="BV241">
        <v>112.10443549597599</v>
      </c>
      <c r="BW241" s="82">
        <f t="shared" si="72"/>
        <v>-0.22546342565590294</v>
      </c>
      <c r="BX241">
        <v>196.5</v>
      </c>
      <c r="BY241">
        <v>100419.85460241449</v>
      </c>
      <c r="BZ241" t="s">
        <v>82</v>
      </c>
      <c r="CA241">
        <v>196.5</v>
      </c>
      <c r="CB241">
        <v>112.26855140120597</v>
      </c>
      <c r="CC241" s="82">
        <f t="shared" si="73"/>
        <v>-0.21214093277622226</v>
      </c>
      <c r="CD241">
        <v>196.5</v>
      </c>
      <c r="CE241">
        <v>96447.770382547795</v>
      </c>
      <c r="CF241" t="s">
        <v>82</v>
      </c>
      <c r="CG241">
        <v>196.5</v>
      </c>
      <c r="CH241">
        <v>112.40558430289047</v>
      </c>
      <c r="CI241" s="82">
        <f t="shared" si="74"/>
        <v>-0.1999901116302425</v>
      </c>
      <c r="CJ241">
        <v>196.5</v>
      </c>
      <c r="CK241">
        <v>92942.614891550576</v>
      </c>
      <c r="CL241" t="s">
        <v>82</v>
      </c>
      <c r="CM241">
        <v>196.5</v>
      </c>
      <c r="CN241">
        <v>112.51844536758581</v>
      </c>
      <c r="CO241" s="82">
        <f t="shared" si="75"/>
        <v>-0.18886370301989075</v>
      </c>
      <c r="CP241">
        <v>196.5</v>
      </c>
      <c r="CQ241">
        <v>89850.707525631544</v>
      </c>
      <c r="CR241" t="s">
        <v>82</v>
      </c>
      <c r="CS241">
        <v>196.5</v>
      </c>
      <c r="CT241">
        <v>112.60988665132699</v>
      </c>
      <c r="CU241" s="82">
        <f t="shared" si="76"/>
        <v>-0.17864604666014827</v>
      </c>
      <c r="CV241">
        <v>196.5</v>
      </c>
      <c r="CW241">
        <v>87129.263926909814</v>
      </c>
      <c r="CX241" t="s">
        <v>82</v>
      </c>
      <c r="CY241">
        <v>196.5</v>
      </c>
      <c r="CZ241">
        <v>112.67603112350042</v>
      </c>
      <c r="DA241" s="82">
        <f t="shared" si="77"/>
        <v>-0.1690482074817794</v>
      </c>
      <c r="DB241">
        <v>196.5</v>
      </c>
      <c r="DC241">
        <v>84695.980065495023</v>
      </c>
      <c r="DD241" t="s">
        <v>82</v>
      </c>
      <c r="DG241" s="82">
        <f t="shared" si="78"/>
        <v>0</v>
      </c>
      <c r="DM241" s="82">
        <f t="shared" si="79"/>
        <v>0</v>
      </c>
    </row>
    <row r="242" spans="1:117" x14ac:dyDescent="0.2">
      <c r="A242">
        <v>197.5</v>
      </c>
      <c r="B242">
        <v>105.92683450879436</v>
      </c>
      <c r="C242" s="82">
        <f t="shared" si="60"/>
        <v>-0.46602383507726586</v>
      </c>
      <c r="D242">
        <v>197.5</v>
      </c>
      <c r="E242">
        <v>181686.60300923054</v>
      </c>
      <c r="F242" t="s">
        <v>82</v>
      </c>
      <c r="G242">
        <v>197.5</v>
      </c>
      <c r="H242">
        <v>106.74155948586581</v>
      </c>
      <c r="I242" s="82">
        <f t="shared" si="61"/>
        <v>-0.44186201974802941</v>
      </c>
      <c r="J242">
        <v>197.5</v>
      </c>
      <c r="K242">
        <v>173215.77237624722</v>
      </c>
      <c r="L242" t="s">
        <v>82</v>
      </c>
      <c r="M242">
        <v>197.5</v>
      </c>
      <c r="N242">
        <v>107.49589308901372</v>
      </c>
      <c r="O242" s="82">
        <f t="shared" si="62"/>
        <v>-0.41788961916006429</v>
      </c>
      <c r="P242">
        <v>197.5</v>
      </c>
      <c r="Q242">
        <v>164822.55208301233</v>
      </c>
      <c r="R242" t="s">
        <v>82</v>
      </c>
      <c r="S242">
        <v>197.5</v>
      </c>
      <c r="T242">
        <v>108.18885329626548</v>
      </c>
      <c r="U242" s="82">
        <f t="shared" si="63"/>
        <v>-0.39442430073941637</v>
      </c>
      <c r="V242">
        <v>197.5</v>
      </c>
      <c r="W242">
        <v>156633.84022226598</v>
      </c>
      <c r="X242" t="s">
        <v>82</v>
      </c>
      <c r="Y242">
        <v>197.5</v>
      </c>
      <c r="Z242">
        <v>108.82072024233779</v>
      </c>
      <c r="AA242" s="82">
        <f t="shared" si="64"/>
        <v>-0.37172434950845457</v>
      </c>
      <c r="AB242">
        <v>197.5</v>
      </c>
      <c r="AC242">
        <v>148753.00662625706</v>
      </c>
      <c r="AD242" t="s">
        <v>82</v>
      </c>
      <c r="AE242">
        <v>197.5</v>
      </c>
      <c r="AF242">
        <v>109.39202246707407</v>
      </c>
      <c r="AG242" s="82">
        <f t="shared" si="65"/>
        <v>-0.34996536127808042</v>
      </c>
      <c r="AH242">
        <v>197.5</v>
      </c>
      <c r="AI242">
        <v>141251.65136103192</v>
      </c>
      <c r="AJ242" t="s">
        <v>82</v>
      </c>
      <c r="AK242">
        <v>197.5</v>
      </c>
      <c r="AL242">
        <v>109.90463515505638</v>
      </c>
      <c r="AM242" s="82">
        <f t="shared" si="66"/>
        <v>-0.3292386520171533</v>
      </c>
      <c r="AN242">
        <v>197.5</v>
      </c>
      <c r="AO242">
        <v>134169.74318142986</v>
      </c>
      <c r="AP242" t="s">
        <v>82</v>
      </c>
      <c r="AQ242">
        <v>197.5</v>
      </c>
      <c r="AR242">
        <v>110.36118736766136</v>
      </c>
      <c r="AS242" s="82">
        <f t="shared" si="67"/>
        <v>-0.30954308187183699</v>
      </c>
      <c r="AT242">
        <v>197.5</v>
      </c>
      <c r="AU242">
        <v>127513.70289221806</v>
      </c>
      <c r="AV242" t="s">
        <v>82</v>
      </c>
      <c r="AW242">
        <v>197.5</v>
      </c>
      <c r="AX242">
        <v>110.76354669200197</v>
      </c>
      <c r="AY242" s="82">
        <f t="shared" si="68"/>
        <v>-0.29091330618889799</v>
      </c>
      <c r="AZ242">
        <v>197.5</v>
      </c>
      <c r="BA242">
        <v>121300.45723232915</v>
      </c>
      <c r="BB242" t="s">
        <v>82</v>
      </c>
      <c r="BC242">
        <v>197.5</v>
      </c>
      <c r="BD242">
        <v>111.11442794248221</v>
      </c>
      <c r="BE242" s="82">
        <f t="shared" si="69"/>
        <v>-0.27331969625360841</v>
      </c>
      <c r="BF242">
        <v>197.5</v>
      </c>
      <c r="BG242">
        <v>115524.02645194474</v>
      </c>
      <c r="BH242" t="s">
        <v>82</v>
      </c>
      <c r="BI242">
        <v>197.5</v>
      </c>
      <c r="BJ242">
        <v>111.41548794421797</v>
      </c>
      <c r="BK242" s="82">
        <f t="shared" si="70"/>
        <v>-0.25668135783901391</v>
      </c>
      <c r="BL242">
        <v>197.5</v>
      </c>
      <c r="BM242">
        <v>110161.45989912696</v>
      </c>
      <c r="BN242" t="s">
        <v>82</v>
      </c>
      <c r="BO242">
        <v>197.5</v>
      </c>
      <c r="BP242">
        <v>111.66908462653994</v>
      </c>
      <c r="BQ242" s="82">
        <f t="shared" si="71"/>
        <v>-0.24095198206391899</v>
      </c>
      <c r="BR242">
        <v>197.5</v>
      </c>
      <c r="BS242">
        <v>105201.31587082346</v>
      </c>
      <c r="BT242" t="s">
        <v>82</v>
      </c>
      <c r="BU242">
        <v>197.5</v>
      </c>
      <c r="BV242">
        <v>111.87825440523007</v>
      </c>
      <c r="BW242" s="82">
        <f t="shared" si="72"/>
        <v>-0.22618109074592496</v>
      </c>
      <c r="BX242">
        <v>197.5</v>
      </c>
      <c r="BY242">
        <v>100661.2004614434</v>
      </c>
      <c r="BZ242" t="s">
        <v>82</v>
      </c>
      <c r="CA242">
        <v>197.5</v>
      </c>
      <c r="CB242">
        <v>112.05576913359234</v>
      </c>
      <c r="CC242" s="82">
        <f t="shared" si="73"/>
        <v>-0.21278226761363328</v>
      </c>
      <c r="CD242">
        <v>197.5</v>
      </c>
      <c r="CE242">
        <v>96660.692895574073</v>
      </c>
      <c r="CF242" t="s">
        <v>82</v>
      </c>
      <c r="CG242">
        <v>197.5</v>
      </c>
      <c r="CH242">
        <v>112.20501983335444</v>
      </c>
      <c r="CI242" s="82">
        <f t="shared" si="74"/>
        <v>-0.20056446953603313</v>
      </c>
      <c r="CJ242">
        <v>197.5</v>
      </c>
      <c r="CK242">
        <v>93130.594729440112</v>
      </c>
      <c r="CL242" t="s">
        <v>82</v>
      </c>
      <c r="CM242">
        <v>197.5</v>
      </c>
      <c r="CN242">
        <v>112.32906623125052</v>
      </c>
      <c r="CO242" s="82">
        <f t="shared" si="75"/>
        <v>-0.18937913633529035</v>
      </c>
      <c r="CP242">
        <v>197.5</v>
      </c>
      <c r="CQ242">
        <v>90016.745032023071</v>
      </c>
      <c r="CR242" t="s">
        <v>82</v>
      </c>
      <c r="CS242">
        <v>197.5</v>
      </c>
      <c r="CT242">
        <v>112.43077711202773</v>
      </c>
      <c r="CU242" s="82">
        <f t="shared" si="76"/>
        <v>-0.17910953929926166</v>
      </c>
      <c r="CV242">
        <v>197.5</v>
      </c>
      <c r="CW242">
        <v>87275.963343617885</v>
      </c>
      <c r="CX242" t="s">
        <v>82</v>
      </c>
      <c r="CY242">
        <v>197.5</v>
      </c>
      <c r="CZ242">
        <v>112.50656636473738</v>
      </c>
      <c r="DA242" s="82">
        <f t="shared" si="77"/>
        <v>-0.16946475876304135</v>
      </c>
      <c r="DB242">
        <v>197.5</v>
      </c>
      <c r="DC242">
        <v>84825.215547116401</v>
      </c>
      <c r="DD242" t="s">
        <v>82</v>
      </c>
      <c r="DG242" s="82">
        <f t="shared" si="78"/>
        <v>0</v>
      </c>
      <c r="DM242" s="82">
        <f t="shared" si="79"/>
        <v>0</v>
      </c>
    </row>
    <row r="243" spans="1:117" x14ac:dyDescent="0.2">
      <c r="A243">
        <v>198.5</v>
      </c>
      <c r="B243">
        <v>105.45972439925603</v>
      </c>
      <c r="C243" s="82">
        <f t="shared" si="60"/>
        <v>-0.46711010953832499</v>
      </c>
      <c r="D243">
        <v>198.5</v>
      </c>
      <c r="E243">
        <v>182044.95677145943</v>
      </c>
      <c r="F243" t="s">
        <v>82</v>
      </c>
      <c r="G243">
        <v>198.5</v>
      </c>
      <c r="H243">
        <v>106.29836387156772</v>
      </c>
      <c r="I243" s="82">
        <f t="shared" si="61"/>
        <v>-0.44319561429809085</v>
      </c>
      <c r="J243">
        <v>198.5</v>
      </c>
      <c r="K243">
        <v>173673.00923735736</v>
      </c>
      <c r="L243" t="s">
        <v>82</v>
      </c>
      <c r="M243">
        <v>198.5</v>
      </c>
      <c r="N243">
        <v>107.07654528664554</v>
      </c>
      <c r="O243" s="82">
        <f t="shared" si="62"/>
        <v>-0.41934780236817915</v>
      </c>
      <c r="P243">
        <v>198.5</v>
      </c>
      <c r="Q243">
        <v>165331.07266448697</v>
      </c>
      <c r="R243" t="s">
        <v>82</v>
      </c>
      <c r="S243">
        <v>198.5</v>
      </c>
      <c r="T243">
        <v>107.79293600541131</v>
      </c>
      <c r="U243" s="82">
        <f t="shared" si="63"/>
        <v>-0.39591729085417171</v>
      </c>
      <c r="V243">
        <v>198.5</v>
      </c>
      <c r="W243">
        <v>157158.71381340871</v>
      </c>
      <c r="X243" t="s">
        <v>82</v>
      </c>
      <c r="Y243">
        <v>198.5</v>
      </c>
      <c r="Z243">
        <v>108.44753016401883</v>
      </c>
      <c r="AA243" s="82">
        <f t="shared" si="64"/>
        <v>-0.3731900783189559</v>
      </c>
      <c r="AB243">
        <v>198.5</v>
      </c>
      <c r="AC243">
        <v>149269.98335706923</v>
      </c>
      <c r="AD243" t="s">
        <v>82</v>
      </c>
      <c r="AE243">
        <v>198.5</v>
      </c>
      <c r="AF243">
        <v>109.04065886552489</v>
      </c>
      <c r="AG243" s="82">
        <f t="shared" si="65"/>
        <v>-0.35136360154918123</v>
      </c>
      <c r="AH243">
        <v>198.5</v>
      </c>
      <c r="AI243">
        <v>141744.92214949869</v>
      </c>
      <c r="AJ243" t="s">
        <v>82</v>
      </c>
      <c r="AK243">
        <v>198.5</v>
      </c>
      <c r="AL243">
        <v>109.574089210683</v>
      </c>
      <c r="AM243" s="82">
        <f t="shared" si="66"/>
        <v>-0.3305459443733838</v>
      </c>
      <c r="AN243">
        <v>198.5</v>
      </c>
      <c r="AO243">
        <v>134629.9993747074</v>
      </c>
      <c r="AP243" t="s">
        <v>82</v>
      </c>
      <c r="AQ243">
        <v>198.5</v>
      </c>
      <c r="AR243">
        <v>110.05043964249538</v>
      </c>
      <c r="AS243" s="82">
        <f t="shared" si="67"/>
        <v>-0.31074772516598159</v>
      </c>
      <c r="AT243">
        <v>198.5</v>
      </c>
      <c r="AU243">
        <v>127936.21264016842</v>
      </c>
      <c r="AV243" t="s">
        <v>82</v>
      </c>
      <c r="AW243">
        <v>198.5</v>
      </c>
      <c r="AX243">
        <v>110.47153484785764</v>
      </c>
      <c r="AY243" s="82">
        <f t="shared" si="68"/>
        <v>-0.29201184414432646</v>
      </c>
      <c r="AZ243">
        <v>198.5</v>
      </c>
      <c r="BA243">
        <v>121683.69901815774</v>
      </c>
      <c r="BB243" t="s">
        <v>82</v>
      </c>
      <c r="BC243">
        <v>198.5</v>
      </c>
      <c r="BD243">
        <v>110.84011410229976</v>
      </c>
      <c r="BE243" s="82">
        <f t="shared" si="69"/>
        <v>-0.27431384018244387</v>
      </c>
      <c r="BF243">
        <v>198.5</v>
      </c>
      <c r="BG243">
        <v>115868.5021318458</v>
      </c>
      <c r="BH243" t="s">
        <v>82</v>
      </c>
      <c r="BI243">
        <v>198.5</v>
      </c>
      <c r="BJ243">
        <v>111.15791240092787</v>
      </c>
      <c r="BK243" s="82">
        <f t="shared" si="70"/>
        <v>-0.2575755432901019</v>
      </c>
      <c r="BL243">
        <v>198.5</v>
      </c>
      <c r="BM243">
        <v>110468.75183271704</v>
      </c>
      <c r="BN243" t="s">
        <v>82</v>
      </c>
      <c r="BO243">
        <v>198.5</v>
      </c>
      <c r="BP243">
        <v>111.42733231265836</v>
      </c>
      <c r="BQ243" s="82">
        <f t="shared" si="71"/>
        <v>-0.2417523138815767</v>
      </c>
      <c r="BR243">
        <v>198.5</v>
      </c>
      <c r="BS243">
        <v>105473.66796367579</v>
      </c>
      <c r="BT243" t="s">
        <v>82</v>
      </c>
      <c r="BU243">
        <v>198.5</v>
      </c>
      <c r="BV243">
        <v>111.65135933270494</v>
      </c>
      <c r="BW243" s="82">
        <f t="shared" si="72"/>
        <v>-0.22689507252512442</v>
      </c>
      <c r="BX243">
        <v>198.5</v>
      </c>
      <c r="BY243">
        <v>100901.39884464882</v>
      </c>
      <c r="BZ243" t="s">
        <v>82</v>
      </c>
      <c r="CA243">
        <v>198.5</v>
      </c>
      <c r="CB243">
        <v>111.84234852975467</v>
      </c>
      <c r="CC243" s="82">
        <f t="shared" si="73"/>
        <v>-0.21342060383766182</v>
      </c>
      <c r="CD243">
        <v>198.5</v>
      </c>
      <c r="CE243">
        <v>96872.712613065945</v>
      </c>
      <c r="CF243" t="s">
        <v>82</v>
      </c>
      <c r="CG243">
        <v>198.5</v>
      </c>
      <c r="CH243">
        <v>112.00388347308615</v>
      </c>
      <c r="CI243" s="82">
        <f t="shared" si="74"/>
        <v>-0.2011363602682934</v>
      </c>
      <c r="CJ243">
        <v>198.5</v>
      </c>
      <c r="CK243">
        <v>93317.859614108136</v>
      </c>
      <c r="CL243" t="s">
        <v>82</v>
      </c>
      <c r="CM243">
        <v>198.5</v>
      </c>
      <c r="CN243">
        <v>112.139173709093</v>
      </c>
      <c r="CO243" s="82">
        <f t="shared" si="75"/>
        <v>-0.18989252215752117</v>
      </c>
      <c r="CP243">
        <v>198.5</v>
      </c>
      <c r="CQ243">
        <v>90182.214232818791</v>
      </c>
      <c r="CR243" t="s">
        <v>82</v>
      </c>
      <c r="CS243">
        <v>198.5</v>
      </c>
      <c r="CT243">
        <v>112.25120579210945</v>
      </c>
      <c r="CU243" s="82">
        <f t="shared" si="76"/>
        <v>-0.17957131991828135</v>
      </c>
      <c r="CV243">
        <v>198.5</v>
      </c>
      <c r="CW243">
        <v>87422.210290974908</v>
      </c>
      <c r="CX243" t="s">
        <v>82</v>
      </c>
      <c r="CY243">
        <v>198.5</v>
      </c>
      <c r="CZ243">
        <v>112.33668649198432</v>
      </c>
      <c r="DA243" s="82">
        <f t="shared" si="77"/>
        <v>-0.16987987275305727</v>
      </c>
      <c r="DB243">
        <v>198.5</v>
      </c>
      <c r="DC243">
        <v>84954.092144708775</v>
      </c>
      <c r="DD243" t="s">
        <v>82</v>
      </c>
      <c r="DG243" s="82">
        <f t="shared" si="78"/>
        <v>0</v>
      </c>
      <c r="DM243" s="82">
        <f t="shared" si="79"/>
        <v>0</v>
      </c>
    </row>
    <row r="244" spans="1:117" x14ac:dyDescent="0.2">
      <c r="A244">
        <v>199.5</v>
      </c>
      <c r="B244">
        <v>104.99167636430982</v>
      </c>
      <c r="C244" s="82">
        <f t="shared" si="60"/>
        <v>-0.46804803494620728</v>
      </c>
      <c r="D244">
        <v>199.5</v>
      </c>
      <c r="E244">
        <v>182346.69580280464</v>
      </c>
      <c r="F244" t="s">
        <v>82</v>
      </c>
      <c r="G244">
        <v>199.5</v>
      </c>
      <c r="H244">
        <v>105.85394113492572</v>
      </c>
      <c r="I244" s="82">
        <f t="shared" si="61"/>
        <v>-0.44442273664199661</v>
      </c>
      <c r="J244">
        <v>199.5</v>
      </c>
      <c r="K244">
        <v>174089.7447197765</v>
      </c>
      <c r="L244" t="s">
        <v>82</v>
      </c>
      <c r="M244">
        <v>199.5</v>
      </c>
      <c r="N244">
        <v>106.65581467853592</v>
      </c>
      <c r="O244" s="82">
        <f t="shared" si="62"/>
        <v>-0.42073060810962204</v>
      </c>
      <c r="P244">
        <v>199.5</v>
      </c>
      <c r="Q244">
        <v>165811.05735541083</v>
      </c>
      <c r="R244" t="s">
        <v>82</v>
      </c>
      <c r="S244">
        <v>199.5</v>
      </c>
      <c r="T244">
        <v>107.3955786022524</v>
      </c>
      <c r="U244" s="82">
        <f t="shared" si="63"/>
        <v>-0.39735740315890666</v>
      </c>
      <c r="V244">
        <v>199.5</v>
      </c>
      <c r="W244">
        <v>157663.70571016474</v>
      </c>
      <c r="X244" t="s">
        <v>82</v>
      </c>
      <c r="Y244">
        <v>199.5</v>
      </c>
      <c r="Z244">
        <v>108.07291134675479</v>
      </c>
      <c r="AA244" s="82">
        <f t="shared" si="64"/>
        <v>-0.3746188172640359</v>
      </c>
      <c r="AB244">
        <v>199.5</v>
      </c>
      <c r="AC244">
        <v>149773.18237875422</v>
      </c>
      <c r="AD244" t="s">
        <v>82</v>
      </c>
      <c r="AE244">
        <v>199.5</v>
      </c>
      <c r="AF244">
        <v>108.68792304733819</v>
      </c>
      <c r="AG244" s="82">
        <f t="shared" si="65"/>
        <v>-0.35273581818670152</v>
      </c>
      <c r="AH244">
        <v>199.5</v>
      </c>
      <c r="AI244">
        <v>142228.61906008358</v>
      </c>
      <c r="AJ244" t="s">
        <v>82</v>
      </c>
      <c r="AK244">
        <v>199.5</v>
      </c>
      <c r="AL244">
        <v>109.24225453586413</v>
      </c>
      <c r="AM244" s="82">
        <f t="shared" si="66"/>
        <v>-0.33183467481886453</v>
      </c>
      <c r="AN244">
        <v>199.5</v>
      </c>
      <c r="AO244">
        <v>135083.53191992937</v>
      </c>
      <c r="AP244" t="s">
        <v>82</v>
      </c>
      <c r="AQ244">
        <v>199.5</v>
      </c>
      <c r="AR244">
        <v>109.7385007760864</v>
      </c>
      <c r="AS244" s="82">
        <f t="shared" si="67"/>
        <v>-0.31193886640897972</v>
      </c>
      <c r="AT244">
        <v>199.5</v>
      </c>
      <c r="AU244">
        <v>128353.92142460169</v>
      </c>
      <c r="AV244" t="s">
        <v>82</v>
      </c>
      <c r="AW244">
        <v>199.5</v>
      </c>
      <c r="AX244">
        <v>110.17843452863592</v>
      </c>
      <c r="AY244" s="82">
        <f t="shared" si="68"/>
        <v>-0.29310031922172186</v>
      </c>
      <c r="AZ244">
        <v>199.5</v>
      </c>
      <c r="BA244">
        <v>122063.43729186093</v>
      </c>
      <c r="BB244" t="s">
        <v>82</v>
      </c>
      <c r="BC244">
        <v>199.5</v>
      </c>
      <c r="BD244">
        <v>110.56481380082089</v>
      </c>
      <c r="BE244" s="82">
        <f t="shared" si="69"/>
        <v>-0.27530030147887885</v>
      </c>
      <c r="BF244">
        <v>199.5</v>
      </c>
      <c r="BG244">
        <v>116210.36420849818</v>
      </c>
      <c r="BH244" t="s">
        <v>82</v>
      </c>
      <c r="BI244">
        <v>199.5</v>
      </c>
      <c r="BJ244">
        <v>110.89944865924636</v>
      </c>
      <c r="BK244" s="82">
        <f t="shared" si="70"/>
        <v>-0.25846374168150987</v>
      </c>
      <c r="BL244">
        <v>199.5</v>
      </c>
      <c r="BM244">
        <v>110774.05751237908</v>
      </c>
      <c r="BN244" t="s">
        <v>82</v>
      </c>
      <c r="BO244">
        <v>199.5</v>
      </c>
      <c r="BP244">
        <v>111.18478440635062</v>
      </c>
      <c r="BQ244" s="82">
        <f t="shared" si="71"/>
        <v>-0.24254790630774892</v>
      </c>
      <c r="BR244">
        <v>199.5</v>
      </c>
      <c r="BS244">
        <v>105744.49031265102</v>
      </c>
      <c r="BT244" t="s">
        <v>82</v>
      </c>
      <c r="BU244">
        <v>199.5</v>
      </c>
      <c r="BV244">
        <v>111.42375407642139</v>
      </c>
      <c r="BW244" s="82">
        <f t="shared" si="72"/>
        <v>-0.2276052562835531</v>
      </c>
      <c r="BX244">
        <v>199.5</v>
      </c>
      <c r="BY244">
        <v>101140.40804034435</v>
      </c>
      <c r="BZ244" t="s">
        <v>82</v>
      </c>
      <c r="CA244">
        <v>199.5</v>
      </c>
      <c r="CB244">
        <v>111.62829267738904</v>
      </c>
      <c r="CC244" s="82">
        <f t="shared" si="73"/>
        <v>-0.2140558523656324</v>
      </c>
      <c r="CD244">
        <v>199.5</v>
      </c>
      <c r="CE244">
        <v>97083.797309620291</v>
      </c>
      <c r="CF244" t="s">
        <v>82</v>
      </c>
      <c r="CG244">
        <v>199.5</v>
      </c>
      <c r="CH244">
        <v>111.80217775951139</v>
      </c>
      <c r="CI244" s="82">
        <f t="shared" si="74"/>
        <v>-0.20170571357475353</v>
      </c>
      <c r="CJ244">
        <v>199.5</v>
      </c>
      <c r="CK244">
        <v>93504.384220171705</v>
      </c>
      <c r="CL244" t="s">
        <v>82</v>
      </c>
      <c r="CM244">
        <v>199.5</v>
      </c>
      <c r="CN244">
        <v>111.94876990456862</v>
      </c>
      <c r="CO244" s="82">
        <f t="shared" si="75"/>
        <v>-0.19040380452437944</v>
      </c>
      <c r="CP244">
        <v>199.5</v>
      </c>
      <c r="CQ244">
        <v>90347.095058350242</v>
      </c>
      <c r="CR244" t="s">
        <v>82</v>
      </c>
      <c r="CS244">
        <v>199.5</v>
      </c>
      <c r="CT244">
        <v>112.07117444850499</v>
      </c>
      <c r="CU244" s="82">
        <f t="shared" si="76"/>
        <v>-0.18003134360445472</v>
      </c>
      <c r="CV244">
        <v>199.5</v>
      </c>
      <c r="CW244">
        <v>87567.988711471422</v>
      </c>
      <c r="CX244" t="s">
        <v>82</v>
      </c>
      <c r="CY244">
        <v>199.5</v>
      </c>
      <c r="CZ244">
        <v>112.16639297861931</v>
      </c>
      <c r="DA244" s="82">
        <f t="shared" si="77"/>
        <v>-0.17029351336501009</v>
      </c>
      <c r="DB244">
        <v>199.5</v>
      </c>
      <c r="DC244">
        <v>85082.597002208291</v>
      </c>
      <c r="DD244" t="s">
        <v>82</v>
      </c>
      <c r="DG244" s="82">
        <f t="shared" si="78"/>
        <v>0</v>
      </c>
      <c r="DM244" s="82">
        <f t="shared" si="79"/>
        <v>0</v>
      </c>
    </row>
    <row r="245" spans="1:117" x14ac:dyDescent="0.2">
      <c r="A245">
        <v>200.5</v>
      </c>
      <c r="B245">
        <v>104.52284923208146</v>
      </c>
      <c r="C245" s="82">
        <f t="shared" si="60"/>
        <v>-0.46882713222836969</v>
      </c>
      <c r="D245">
        <v>200.5</v>
      </c>
      <c r="E245">
        <v>182587.77184494768</v>
      </c>
      <c r="F245" t="s">
        <v>82</v>
      </c>
      <c r="G245">
        <v>200.5</v>
      </c>
      <c r="H245">
        <v>105.40840520909353</v>
      </c>
      <c r="I245" s="82">
        <f t="shared" si="61"/>
        <v>-0.44553592583218915</v>
      </c>
      <c r="J245">
        <v>200.5</v>
      </c>
      <c r="K245">
        <v>174463.09726416611</v>
      </c>
      <c r="L245" t="s">
        <v>82</v>
      </c>
      <c r="M245">
        <v>200.5</v>
      </c>
      <c r="N245">
        <v>106.23378181771128</v>
      </c>
      <c r="O245" s="82">
        <f t="shared" si="62"/>
        <v>-0.42203286082464331</v>
      </c>
      <c r="P245">
        <v>200.5</v>
      </c>
      <c r="Q245">
        <v>166260.50869573257</v>
      </c>
      <c r="R245" t="s">
        <v>82</v>
      </c>
      <c r="S245">
        <v>200.5</v>
      </c>
      <c r="T245">
        <v>106.9968374669803</v>
      </c>
      <c r="U245" s="82">
        <f t="shared" si="63"/>
        <v>-0.39874113527210397</v>
      </c>
      <c r="V245">
        <v>200.5</v>
      </c>
      <c r="W245">
        <v>158147.4661272724</v>
      </c>
      <c r="X245" t="s">
        <v>82</v>
      </c>
      <c r="Y245">
        <v>200.5</v>
      </c>
      <c r="Z245">
        <v>107.69690309961638</v>
      </c>
      <c r="AA245" s="82">
        <f t="shared" si="64"/>
        <v>-0.37600824713841519</v>
      </c>
      <c r="AB245">
        <v>200.5</v>
      </c>
      <c r="AC245">
        <v>150261.71202131012</v>
      </c>
      <c r="AD245" t="s">
        <v>82</v>
      </c>
      <c r="AE245">
        <v>200.5</v>
      </c>
      <c r="AF245">
        <v>108.3338425493552</v>
      </c>
      <c r="AG245" s="82">
        <f t="shared" si="65"/>
        <v>-0.35408049798299146</v>
      </c>
      <c r="AH245">
        <v>200.5</v>
      </c>
      <c r="AI245">
        <v>142702.16246687848</v>
      </c>
      <c r="AJ245" t="s">
        <v>82</v>
      </c>
      <c r="AK245">
        <v>200.5</v>
      </c>
      <c r="AL245">
        <v>108.90915067429404</v>
      </c>
      <c r="AM245" s="82">
        <f t="shared" si="66"/>
        <v>-0.33310386157009475</v>
      </c>
      <c r="AN245">
        <v>200.5</v>
      </c>
      <c r="AO245">
        <v>135529.96674761813</v>
      </c>
      <c r="AP245" t="s">
        <v>82</v>
      </c>
      <c r="AQ245">
        <v>200.5</v>
      </c>
      <c r="AR245">
        <v>109.42538491076577</v>
      </c>
      <c r="AS245" s="82">
        <f t="shared" si="67"/>
        <v>-0.31311586532062563</v>
      </c>
      <c r="AT245">
        <v>200.5</v>
      </c>
      <c r="AU245">
        <v>128766.58698312561</v>
      </c>
      <c r="AV245" t="s">
        <v>82</v>
      </c>
      <c r="AW245">
        <v>200.5</v>
      </c>
      <c r="AX245">
        <v>109.8842562233321</v>
      </c>
      <c r="AY245" s="82">
        <f t="shared" si="68"/>
        <v>-0.2941783053038165</v>
      </c>
      <c r="AZ245">
        <v>200.5</v>
      </c>
      <c r="BA245">
        <v>122439.51218858104</v>
      </c>
      <c r="BB245" t="s">
        <v>82</v>
      </c>
      <c r="BC245">
        <v>200.5</v>
      </c>
      <c r="BD245">
        <v>110.28853501330315</v>
      </c>
      <c r="BE245" s="82">
        <f t="shared" si="69"/>
        <v>-0.27627878751773949</v>
      </c>
      <c r="BF245">
        <v>200.5</v>
      </c>
      <c r="BG245">
        <v>116549.50387100159</v>
      </c>
      <c r="BH245" t="s">
        <v>82</v>
      </c>
      <c r="BI245">
        <v>200.5</v>
      </c>
      <c r="BJ245">
        <v>110.64010291452</v>
      </c>
      <c r="BK245" s="82">
        <f t="shared" si="70"/>
        <v>-0.25934574472636029</v>
      </c>
      <c r="BL245">
        <v>200.5</v>
      </c>
      <c r="BM245">
        <v>111077.30013429737</v>
      </c>
      <c r="BN245" t="s">
        <v>82</v>
      </c>
      <c r="BO245">
        <v>200.5</v>
      </c>
      <c r="BP245">
        <v>110.94144580020934</v>
      </c>
      <c r="BQ245" s="82">
        <f t="shared" si="71"/>
        <v>-0.243338606141279</v>
      </c>
      <c r="BR245">
        <v>200.5</v>
      </c>
      <c r="BS245">
        <v>106013.72684930006</v>
      </c>
      <c r="BT245" t="s">
        <v>82</v>
      </c>
      <c r="BU245">
        <v>200.5</v>
      </c>
      <c r="BV245">
        <v>111.19544255011164</v>
      </c>
      <c r="BW245" s="82">
        <f t="shared" si="72"/>
        <v>-0.22831152630975282</v>
      </c>
      <c r="BX245">
        <v>200.5</v>
      </c>
      <c r="BY245">
        <v>101378.18595572394</v>
      </c>
      <c r="BZ245" t="s">
        <v>82</v>
      </c>
      <c r="CA245">
        <v>200.5</v>
      </c>
      <c r="CB245">
        <v>111.41360475387634</v>
      </c>
      <c r="CC245" s="82">
        <f t="shared" si="73"/>
        <v>-0.21468792351269883</v>
      </c>
      <c r="CD245">
        <v>200.5</v>
      </c>
      <c r="CE245">
        <v>97293.914500602623</v>
      </c>
      <c r="CF245" t="s">
        <v>82</v>
      </c>
      <c r="CG245">
        <v>200.5</v>
      </c>
      <c r="CH245">
        <v>111.59990530069706</v>
      </c>
      <c r="CI245" s="82">
        <f t="shared" si="74"/>
        <v>-0.20227245881433475</v>
      </c>
      <c r="CJ245">
        <v>200.5</v>
      </c>
      <c r="CK245">
        <v>93690.143106019677</v>
      </c>
      <c r="CL245" t="s">
        <v>82</v>
      </c>
      <c r="CM245">
        <v>200.5</v>
      </c>
      <c r="CN245">
        <v>111.75785697738038</v>
      </c>
      <c r="CO245" s="82">
        <f t="shared" si="75"/>
        <v>-0.19091292718823638</v>
      </c>
      <c r="CP245">
        <v>200.5</v>
      </c>
      <c r="CQ245">
        <v>90511.367310593429</v>
      </c>
      <c r="CR245" t="s">
        <v>82</v>
      </c>
      <c r="CS245">
        <v>200.5</v>
      </c>
      <c r="CT245">
        <v>111.89068488327338</v>
      </c>
      <c r="CU245" s="82">
        <f t="shared" si="76"/>
        <v>-0.18048956523161053</v>
      </c>
      <c r="CV245">
        <v>200.5</v>
      </c>
      <c r="CW245">
        <v>87713.28247590414</v>
      </c>
      <c r="CX245" t="s">
        <v>82</v>
      </c>
      <c r="CY245">
        <v>200.5</v>
      </c>
      <c r="CZ245">
        <v>111.99568733427735</v>
      </c>
      <c r="DA245" s="82">
        <f t="shared" si="77"/>
        <v>-0.17070564434196456</v>
      </c>
      <c r="DB245">
        <v>200.5</v>
      </c>
      <c r="DC245">
        <v>85210.71723325763</v>
      </c>
      <c r="DD245" t="s">
        <v>82</v>
      </c>
      <c r="DG245" s="82">
        <f t="shared" si="78"/>
        <v>0</v>
      </c>
      <c r="DM245" s="82">
        <f t="shared" si="79"/>
        <v>0</v>
      </c>
    </row>
    <row r="246" spans="1:117" x14ac:dyDescent="0.2">
      <c r="A246">
        <v>201.5</v>
      </c>
      <c r="B246">
        <v>104.05341312577499</v>
      </c>
      <c r="C246" s="82">
        <f t="shared" si="60"/>
        <v>-0.46943610630646049</v>
      </c>
      <c r="D246">
        <v>201.5</v>
      </c>
      <c r="E246">
        <v>182763.81878633634</v>
      </c>
      <c r="F246" t="s">
        <v>82</v>
      </c>
      <c r="G246">
        <v>201.5</v>
      </c>
      <c r="H246">
        <v>104.96187807029128</v>
      </c>
      <c r="I246" s="82">
        <f t="shared" si="61"/>
        <v>-0.44652713880225292</v>
      </c>
      <c r="J246">
        <v>201.5</v>
      </c>
      <c r="K246">
        <v>174789.95831411457</v>
      </c>
      <c r="L246" t="s">
        <v>82</v>
      </c>
      <c r="M246">
        <v>201.5</v>
      </c>
      <c r="N246">
        <v>105.81053283362995</v>
      </c>
      <c r="O246" s="82">
        <f t="shared" si="62"/>
        <v>-0.42324898408132583</v>
      </c>
      <c r="P246">
        <v>201.5</v>
      </c>
      <c r="Q246">
        <v>166677.27278507481</v>
      </c>
      <c r="R246" t="s">
        <v>82</v>
      </c>
      <c r="S246">
        <v>201.5</v>
      </c>
      <c r="T246">
        <v>106.59677274780312</v>
      </c>
      <c r="U246" s="82">
        <f t="shared" si="63"/>
        <v>-0.40006471917718045</v>
      </c>
      <c r="V246">
        <v>201.5</v>
      </c>
      <c r="W246">
        <v>158608.54147925403</v>
      </c>
      <c r="X246" t="s">
        <v>82</v>
      </c>
      <c r="Y246">
        <v>201.5</v>
      </c>
      <c r="Z246">
        <v>107.31954721961729</v>
      </c>
      <c r="AA246" s="82">
        <f t="shared" si="64"/>
        <v>-0.3773558799990866</v>
      </c>
      <c r="AB246">
        <v>201.5</v>
      </c>
      <c r="AC246">
        <v>150734.61464499924</v>
      </c>
      <c r="AD246" t="s">
        <v>82</v>
      </c>
      <c r="AE246">
        <v>201.5</v>
      </c>
      <c r="AF246">
        <v>107.97844652417919</v>
      </c>
      <c r="AG246" s="82">
        <f t="shared" si="65"/>
        <v>-0.35539602517600599</v>
      </c>
      <c r="AH246">
        <v>201.5</v>
      </c>
      <c r="AI246">
        <v>143164.93258676224</v>
      </c>
      <c r="AJ246" t="s">
        <v>82</v>
      </c>
      <c r="AK246">
        <v>201.5</v>
      </c>
      <c r="AL246">
        <v>108.57479821089808</v>
      </c>
      <c r="AM246" s="82">
        <f t="shared" si="66"/>
        <v>-0.33435246339595892</v>
      </c>
      <c r="AN246">
        <v>201.5</v>
      </c>
      <c r="AO246">
        <v>135968.9064668334</v>
      </c>
      <c r="AP246" t="s">
        <v>82</v>
      </c>
      <c r="AQ246">
        <v>201.5</v>
      </c>
      <c r="AR246">
        <v>109.1111068618888</v>
      </c>
      <c r="AS246" s="82">
        <f t="shared" si="67"/>
        <v>-0.31427804887697164</v>
      </c>
      <c r="AT246">
        <v>201.5</v>
      </c>
      <c r="AU246">
        <v>129173.95422490402</v>
      </c>
      <c r="AV246" t="s">
        <v>82</v>
      </c>
      <c r="AW246">
        <v>201.5</v>
      </c>
      <c r="AX246">
        <v>109.5890108641981</v>
      </c>
      <c r="AY246" s="82">
        <f t="shared" si="68"/>
        <v>-0.2952453591340003</v>
      </c>
      <c r="AZ246">
        <v>201.5</v>
      </c>
      <c r="BA246">
        <v>122811.75711236818</v>
      </c>
      <c r="BB246" t="s">
        <v>82</v>
      </c>
      <c r="BC246">
        <v>201.5</v>
      </c>
      <c r="BD246">
        <v>110.01128601619503</v>
      </c>
      <c r="BE246" s="82">
        <f t="shared" si="69"/>
        <v>-0.27724899710811712</v>
      </c>
      <c r="BF246">
        <v>201.5</v>
      </c>
      <c r="BG246">
        <v>116885.80896015689</v>
      </c>
      <c r="BH246" t="s">
        <v>82</v>
      </c>
      <c r="BI246">
        <v>201.5</v>
      </c>
      <c r="BJ246">
        <v>110.37988157454456</v>
      </c>
      <c r="BK246" s="82">
        <f t="shared" si="70"/>
        <v>-0.26022133997544472</v>
      </c>
      <c r="BL246">
        <v>201.5</v>
      </c>
      <c r="BM246">
        <v>111378.40130230454</v>
      </c>
      <c r="BN246" t="s">
        <v>82</v>
      </c>
      <c r="BO246">
        <v>201.5</v>
      </c>
      <c r="BP246">
        <v>110.69732154204344</v>
      </c>
      <c r="BQ246" s="82">
        <f t="shared" si="71"/>
        <v>-0.24412425816589689</v>
      </c>
      <c r="BR246">
        <v>201.5</v>
      </c>
      <c r="BS246">
        <v>106281.32072100478</v>
      </c>
      <c r="BT246" t="s">
        <v>82</v>
      </c>
      <c r="BU246">
        <v>201.5</v>
      </c>
      <c r="BV246">
        <v>110.96642878423968</v>
      </c>
      <c r="BW246" s="82">
        <f t="shared" si="72"/>
        <v>-0.22901376587195443</v>
      </c>
      <c r="BX246">
        <v>201.5</v>
      </c>
      <c r="BY246">
        <v>101614.69011266416</v>
      </c>
      <c r="BZ246" t="s">
        <v>82</v>
      </c>
      <c r="CA246">
        <v>201.5</v>
      </c>
      <c r="CB246">
        <v>111.19828802686197</v>
      </c>
      <c r="CC246" s="82">
        <f t="shared" si="73"/>
        <v>-0.21531672701436833</v>
      </c>
      <c r="CD246">
        <v>201.5</v>
      </c>
      <c r="CE246">
        <v>97503.031520144985</v>
      </c>
      <c r="CF246" t="s">
        <v>82</v>
      </c>
      <c r="CG246">
        <v>201.5</v>
      </c>
      <c r="CH246">
        <v>111.39706877575881</v>
      </c>
      <c r="CI246" s="82">
        <f t="shared" si="74"/>
        <v>-0.20283652493824889</v>
      </c>
      <c r="CJ246">
        <v>201.5</v>
      </c>
      <c r="CK246">
        <v>93875.110638640341</v>
      </c>
      <c r="CL246" t="s">
        <v>82</v>
      </c>
      <c r="CM246">
        <v>201.5</v>
      </c>
      <c r="CN246">
        <v>111.56643714376108</v>
      </c>
      <c r="CO246" s="82">
        <f t="shared" si="75"/>
        <v>-0.1914198336193067</v>
      </c>
      <c r="CP246">
        <v>201.5</v>
      </c>
      <c r="CQ246">
        <v>90675.010708341288</v>
      </c>
      <c r="CR246" t="s">
        <v>82</v>
      </c>
      <c r="CS246">
        <v>201.5</v>
      </c>
      <c r="CT246">
        <v>111.70973894380693</v>
      </c>
      <c r="CU246" s="82">
        <f t="shared" si="76"/>
        <v>-0.18094593946645432</v>
      </c>
      <c r="CV246">
        <v>201.5</v>
      </c>
      <c r="CW246">
        <v>87858.07538664696</v>
      </c>
      <c r="CX246" t="s">
        <v>82</v>
      </c>
      <c r="CY246">
        <v>201.5</v>
      </c>
      <c r="CZ246">
        <v>111.8245711050053</v>
      </c>
      <c r="DA246" s="82">
        <f t="shared" si="77"/>
        <v>-0.17111622927204451</v>
      </c>
      <c r="DB246">
        <v>201.5</v>
      </c>
      <c r="DC246">
        <v>85338.439872346222</v>
      </c>
      <c r="DD246" t="s">
        <v>82</v>
      </c>
      <c r="DG246" s="82">
        <f t="shared" si="78"/>
        <v>0</v>
      </c>
      <c r="DM246" s="82">
        <f t="shared" si="79"/>
        <v>0</v>
      </c>
    </row>
    <row r="247" spans="1:117" x14ac:dyDescent="0.2">
      <c r="A247">
        <v>202.5</v>
      </c>
      <c r="B247">
        <v>103.58355035544999</v>
      </c>
      <c r="C247" s="82">
        <f t="shared" si="60"/>
        <v>-0.46986277032500823</v>
      </c>
      <c r="D247">
        <v>202.5</v>
      </c>
      <c r="E247">
        <v>182870.12304145479</v>
      </c>
      <c r="F247" t="s">
        <v>82</v>
      </c>
      <c r="G247">
        <v>202.5</v>
      </c>
      <c r="H247">
        <v>104.5144903751451</v>
      </c>
      <c r="I247" s="82">
        <f t="shared" si="61"/>
        <v>-0.44738769514617616</v>
      </c>
      <c r="J247">
        <v>202.5</v>
      </c>
      <c r="K247">
        <v>175066.97077025904</v>
      </c>
      <c r="L247" t="s">
        <v>82</v>
      </c>
      <c r="M247">
        <v>202.5</v>
      </c>
      <c r="N247">
        <v>105.38615987196592</v>
      </c>
      <c r="O247" s="82">
        <f t="shared" si="62"/>
        <v>-0.42437296166403371</v>
      </c>
      <c r="P247">
        <v>202.5</v>
      </c>
      <c r="Q247">
        <v>167059.02398709286</v>
      </c>
      <c r="R247" t="s">
        <v>82</v>
      </c>
      <c r="S247">
        <v>202.5</v>
      </c>
      <c r="T247">
        <v>106.19544865293418</v>
      </c>
      <c r="U247" s="82">
        <f t="shared" si="63"/>
        <v>-0.40132409486894005</v>
      </c>
      <c r="V247">
        <v>202.5</v>
      </c>
      <c r="W247">
        <v>159045.36406019784</v>
      </c>
      <c r="X247" t="s">
        <v>82</v>
      </c>
      <c r="Y247">
        <v>202.5</v>
      </c>
      <c r="Z247">
        <v>106.94088817754498</v>
      </c>
      <c r="AA247" s="82">
        <f t="shared" si="64"/>
        <v>-0.37865904207231438</v>
      </c>
      <c r="AB247">
        <v>202.5</v>
      </c>
      <c r="AC247">
        <v>151190.85986758239</v>
      </c>
      <c r="AD247" t="s">
        <v>82</v>
      </c>
      <c r="AE247">
        <v>202.5</v>
      </c>
      <c r="AF247">
        <v>107.62176585330494</v>
      </c>
      <c r="AG247" s="82">
        <f t="shared" si="65"/>
        <v>-0.3566806708742547</v>
      </c>
      <c r="AH247">
        <v>202.5</v>
      </c>
      <c r="AI247">
        <v>143616.26532315134</v>
      </c>
      <c r="AJ247" t="s">
        <v>82</v>
      </c>
      <c r="AK247">
        <v>202.5</v>
      </c>
      <c r="AL247">
        <v>108.23921883751632</v>
      </c>
      <c r="AM247" s="82">
        <f t="shared" si="66"/>
        <v>-0.33557937338176203</v>
      </c>
      <c r="AN247">
        <v>202.5</v>
      </c>
      <c r="AO247">
        <v>136399.92797309358</v>
      </c>
      <c r="AP247" t="s">
        <v>82</v>
      </c>
      <c r="AQ247">
        <v>202.5</v>
      </c>
      <c r="AR247">
        <v>108.79568215399557</v>
      </c>
      <c r="AS247" s="82">
        <f t="shared" si="67"/>
        <v>-0.31542470789322863</v>
      </c>
      <c r="AT247">
        <v>202.5</v>
      </c>
      <c r="AU247">
        <v>129575.75388220532</v>
      </c>
      <c r="AV247" t="s">
        <v>82</v>
      </c>
      <c r="AW247">
        <v>202.5</v>
      </c>
      <c r="AX247">
        <v>109.29270984567366</v>
      </c>
      <c r="AY247" s="82">
        <f t="shared" si="68"/>
        <v>-0.29630101852444568</v>
      </c>
      <c r="AZ247">
        <v>202.5</v>
      </c>
      <c r="BA247">
        <v>123179.99803159606</v>
      </c>
      <c r="BB247" t="s">
        <v>82</v>
      </c>
      <c r="BC247">
        <v>202.5</v>
      </c>
      <c r="BD247">
        <v>109.73307539656025</v>
      </c>
      <c r="BE247" s="82">
        <f t="shared" si="69"/>
        <v>-0.27821061963477689</v>
      </c>
      <c r="BF247">
        <v>202.5</v>
      </c>
      <c r="BG247">
        <v>117219.16362681895</v>
      </c>
      <c r="BH247" t="s">
        <v>82</v>
      </c>
      <c r="BI247">
        <v>202.5</v>
      </c>
      <c r="BJ247">
        <v>110.11879126407847</v>
      </c>
      <c r="BK247" s="82">
        <f t="shared" si="70"/>
        <v>-0.26109031046608777</v>
      </c>
      <c r="BL247">
        <v>202.5</v>
      </c>
      <c r="BM247">
        <v>111677.28081772788</v>
      </c>
      <c r="BN247" t="s">
        <v>82</v>
      </c>
      <c r="BO247">
        <v>202.5</v>
      </c>
      <c r="BP247">
        <v>110.45241683700949</v>
      </c>
      <c r="BQ247" s="82">
        <f t="shared" si="71"/>
        <v>-0.2449047050339459</v>
      </c>
      <c r="BR247">
        <v>202.5</v>
      </c>
      <c r="BS247">
        <v>106547.21425617801</v>
      </c>
      <c r="BT247" t="s">
        <v>82</v>
      </c>
      <c r="BU247">
        <v>202.5</v>
      </c>
      <c r="BV247">
        <v>110.73671692706331</v>
      </c>
      <c r="BW247" s="82">
        <f t="shared" si="72"/>
        <v>-0.22971185717636899</v>
      </c>
      <c r="BX247">
        <v>202.5</v>
      </c>
      <c r="BY247">
        <v>101849.87761833788</v>
      </c>
      <c r="BZ247" t="s">
        <v>82</v>
      </c>
      <c r="CA247">
        <v>202.5</v>
      </c>
      <c r="CB247">
        <v>110.98234585485795</v>
      </c>
      <c r="CC247" s="82">
        <f t="shared" si="73"/>
        <v>-0.21594217200401999</v>
      </c>
      <c r="CD247">
        <v>202.5</v>
      </c>
      <c r="CE247">
        <v>97711.115456488478</v>
      </c>
      <c r="CF247" t="s">
        <v>82</v>
      </c>
      <c r="CG247">
        <v>202.5</v>
      </c>
      <c r="CH247">
        <v>111.19367093521909</v>
      </c>
      <c r="CI247" s="82">
        <f t="shared" si="74"/>
        <v>-0.2033978405397221</v>
      </c>
      <c r="CJ247">
        <v>202.5</v>
      </c>
      <c r="CK247">
        <v>94059.261095030335</v>
      </c>
      <c r="CL247" t="s">
        <v>82</v>
      </c>
      <c r="CM247">
        <v>202.5</v>
      </c>
      <c r="CN247">
        <v>111.37451267674298</v>
      </c>
      <c r="CO247" s="82">
        <f t="shared" si="75"/>
        <v>-0.19192446701809729</v>
      </c>
      <c r="CP247">
        <v>202.5</v>
      </c>
      <c r="CQ247">
        <v>90838.004840881084</v>
      </c>
      <c r="CR247" t="s">
        <v>82</v>
      </c>
      <c r="CS247">
        <v>202.5</v>
      </c>
      <c r="CT247">
        <v>111.52833852304865</v>
      </c>
      <c r="CU247" s="82">
        <f t="shared" si="76"/>
        <v>-0.18140042075827978</v>
      </c>
      <c r="CV247">
        <v>202.5</v>
      </c>
      <c r="CW247">
        <v>88002.351145456108</v>
      </c>
      <c r="CX247" t="s">
        <v>82</v>
      </c>
      <c r="CY247">
        <v>202.5</v>
      </c>
      <c r="CZ247">
        <v>111.65304587343343</v>
      </c>
      <c r="DA247" s="82">
        <f t="shared" si="77"/>
        <v>-0.17152523157187716</v>
      </c>
      <c r="DB247">
        <v>202.5</v>
      </c>
      <c r="DC247">
        <v>85465.751889902051</v>
      </c>
      <c r="DD247" t="s">
        <v>82</v>
      </c>
      <c r="DG247" s="82">
        <f t="shared" si="78"/>
        <v>0</v>
      </c>
      <c r="DM247" s="82">
        <f t="shared" si="79"/>
        <v>0</v>
      </c>
    </row>
    <row r="248" spans="1:117" x14ac:dyDescent="0.2">
      <c r="A248">
        <v>203.5</v>
      </c>
      <c r="B248">
        <v>103.11345639294225</v>
      </c>
      <c r="C248" s="82">
        <f t="shared" si="60"/>
        <v>-0.4700939625077325</v>
      </c>
      <c r="D248">
        <v>203.5</v>
      </c>
      <c r="E248">
        <v>182901.59119661988</v>
      </c>
      <c r="F248" t="s">
        <v>82</v>
      </c>
      <c r="G248">
        <v>203.5</v>
      </c>
      <c r="H248">
        <v>104.06638215870332</v>
      </c>
      <c r="I248" s="82">
        <f t="shared" si="61"/>
        <v>-0.44810821644178134</v>
      </c>
      <c r="J248">
        <v>203.5</v>
      </c>
      <c r="K248">
        <v>175290.50530231418</v>
      </c>
      <c r="L248" t="s">
        <v>82</v>
      </c>
      <c r="M248">
        <v>203.5</v>
      </c>
      <c r="N248">
        <v>104.96076157719372</v>
      </c>
      <c r="O248" s="82">
        <f t="shared" si="62"/>
        <v>-0.42539829477219371</v>
      </c>
      <c r="P248">
        <v>203.5</v>
      </c>
      <c r="Q248">
        <v>167403.24828525353</v>
      </c>
      <c r="R248" t="s">
        <v>82</v>
      </c>
      <c r="S248">
        <v>203.5</v>
      </c>
      <c r="T248">
        <v>105.79293377166557</v>
      </c>
      <c r="U248" s="82">
        <f t="shared" si="63"/>
        <v>-0.40251488126860124</v>
      </c>
      <c r="V248">
        <v>203.5</v>
      </c>
      <c r="W248">
        <v>159456.24068328663</v>
      </c>
      <c r="X248" t="s">
        <v>82</v>
      </c>
      <c r="Y248">
        <v>203.5</v>
      </c>
      <c r="Z248">
        <v>106.56097332273819</v>
      </c>
      <c r="AA248" s="82">
        <f t="shared" si="64"/>
        <v>-0.37991485480678477</v>
      </c>
      <c r="AB248">
        <v>203.5</v>
      </c>
      <c r="AC248">
        <v>151629.33719352135</v>
      </c>
      <c r="AD248" t="s">
        <v>82</v>
      </c>
      <c r="AE248">
        <v>203.5</v>
      </c>
      <c r="AF248">
        <v>107.26383327202323</v>
      </c>
      <c r="AG248" s="82">
        <f t="shared" si="65"/>
        <v>-0.3579325812817018</v>
      </c>
      <c r="AH248">
        <v>203.5</v>
      </c>
      <c r="AI248">
        <v>144055.44766775967</v>
      </c>
      <c r="AJ248" t="s">
        <v>82</v>
      </c>
      <c r="AK248">
        <v>203.5</v>
      </c>
      <c r="AL248">
        <v>107.90243542551636</v>
      </c>
      <c r="AM248" s="82">
        <f t="shared" si="66"/>
        <v>-0.33678341199995998</v>
      </c>
      <c r="AN248">
        <v>203.5</v>
      </c>
      <c r="AO248">
        <v>136822.57963484369</v>
      </c>
      <c r="AP248" t="s">
        <v>82</v>
      </c>
      <c r="AQ248">
        <v>203.5</v>
      </c>
      <c r="AR248">
        <v>108.47912706084341</v>
      </c>
      <c r="AS248" s="82">
        <f t="shared" si="67"/>
        <v>-0.31655509315216079</v>
      </c>
      <c r="AT248">
        <v>203.5</v>
      </c>
      <c r="AU248">
        <v>129971.70095367567</v>
      </c>
      <c r="AV248" t="s">
        <v>82</v>
      </c>
      <c r="AW248">
        <v>203.5</v>
      </c>
      <c r="AX248">
        <v>108.99536504528849</v>
      </c>
      <c r="AY248" s="82">
        <f t="shared" si="68"/>
        <v>-0.29734480038516153</v>
      </c>
      <c r="AZ248">
        <v>203.5</v>
      </c>
      <c r="BA248">
        <v>123544.05273784888</v>
      </c>
      <c r="BB248" t="s">
        <v>82</v>
      </c>
      <c r="BC248">
        <v>203.5</v>
      </c>
      <c r="BD248">
        <v>109.45391206245431</v>
      </c>
      <c r="BE248" s="82">
        <f t="shared" si="69"/>
        <v>-0.27916333410594518</v>
      </c>
      <c r="BF248">
        <v>203.5</v>
      </c>
      <c r="BG248">
        <v>117549.44793236403</v>
      </c>
      <c r="BH248" t="s">
        <v>82</v>
      </c>
      <c r="BI248">
        <v>203.5</v>
      </c>
      <c r="BJ248">
        <v>109.85683882976247</v>
      </c>
      <c r="BK248" s="82">
        <f t="shared" si="70"/>
        <v>-0.2619524343160009</v>
      </c>
      <c r="BL248">
        <v>203.5</v>
      </c>
      <c r="BM248">
        <v>111973.85659842793</v>
      </c>
      <c r="BN248" t="s">
        <v>82</v>
      </c>
      <c r="BO248">
        <v>203.5</v>
      </c>
      <c r="BP248">
        <v>110.20673704990844</v>
      </c>
      <c r="BQ248" s="82">
        <f t="shared" si="71"/>
        <v>-0.24567978710105365</v>
      </c>
      <c r="BR248">
        <v>203.5</v>
      </c>
      <c r="BS248">
        <v>106811.34889172419</v>
      </c>
      <c r="BT248" t="s">
        <v>82</v>
      </c>
      <c r="BU248">
        <v>203.5</v>
      </c>
      <c r="BV248">
        <v>110.50631124573998</v>
      </c>
      <c r="BW248" s="82">
        <f t="shared" si="72"/>
        <v>-0.23040568132333306</v>
      </c>
      <c r="BX248">
        <v>203.5</v>
      </c>
      <c r="BY248">
        <v>102083.705156057</v>
      </c>
      <c r="BZ248" t="s">
        <v>82</v>
      </c>
      <c r="CA248">
        <v>203.5</v>
      </c>
      <c r="CB248">
        <v>110.76578168784029</v>
      </c>
      <c r="CC248" s="82">
        <f t="shared" si="73"/>
        <v>-0.21656416701766545</v>
      </c>
      <c r="CD248">
        <v>203.5</v>
      </c>
      <c r="CE248">
        <v>97918.133174033705</v>
      </c>
      <c r="CF248" t="s">
        <v>82</v>
      </c>
      <c r="CG248">
        <v>203.5</v>
      </c>
      <c r="CH248">
        <v>110.98971460139728</v>
      </c>
      <c r="CI248" s="82">
        <f t="shared" si="74"/>
        <v>-0.20395633382180733</v>
      </c>
      <c r="CJ248">
        <v>203.5</v>
      </c>
      <c r="CK248">
        <v>94242.56857096772</v>
      </c>
      <c r="CL248" t="s">
        <v>82</v>
      </c>
      <c r="CM248">
        <v>203.5</v>
      </c>
      <c r="CN248">
        <v>111.18208590642338</v>
      </c>
      <c r="CO248" s="82">
        <f t="shared" si="75"/>
        <v>-0.19242677031959943</v>
      </c>
      <c r="CP248">
        <v>203.5</v>
      </c>
      <c r="CQ248">
        <v>91000.329242283668</v>
      </c>
      <c r="CR248" t="s">
        <v>82</v>
      </c>
      <c r="CS248">
        <v>203.5</v>
      </c>
      <c r="CT248">
        <v>111.34648555967946</v>
      </c>
      <c r="CU248" s="82">
        <f t="shared" si="76"/>
        <v>-0.181852963369181</v>
      </c>
      <c r="CV248">
        <v>203.5</v>
      </c>
      <c r="CW248">
        <v>88146.093397710152</v>
      </c>
      <c r="CX248" t="s">
        <v>82</v>
      </c>
      <c r="CY248">
        <v>203.5</v>
      </c>
      <c r="CZ248">
        <v>111.48111325891172</v>
      </c>
      <c r="DA248" s="82">
        <f t="shared" si="77"/>
        <v>-0.17193261452170816</v>
      </c>
      <c r="DB248">
        <v>203.5</v>
      </c>
      <c r="DC248">
        <v>85592.640215817461</v>
      </c>
      <c r="DD248" t="s">
        <v>82</v>
      </c>
      <c r="DG248" s="82">
        <f t="shared" si="78"/>
        <v>0</v>
      </c>
      <c r="DM248" s="82">
        <f t="shared" si="79"/>
        <v>0</v>
      </c>
    </row>
    <row r="249" spans="1:117" x14ac:dyDescent="0.2">
      <c r="A249">
        <v>204.5</v>
      </c>
      <c r="B249">
        <v>102.64334093793647</v>
      </c>
      <c r="C249" s="82">
        <f t="shared" si="60"/>
        <v>-0.47011545500578222</v>
      </c>
      <c r="D249">
        <v>204.5</v>
      </c>
      <c r="E249">
        <v>182852.71436874967</v>
      </c>
      <c r="F249" t="s">
        <v>82</v>
      </c>
      <c r="G249">
        <v>204.5</v>
      </c>
      <c r="H249">
        <v>103.617703599151</v>
      </c>
      <c r="I249" s="82">
        <f t="shared" si="61"/>
        <v>-0.44867855955232017</v>
      </c>
      <c r="J249">
        <v>204.5</v>
      </c>
      <c r="K249">
        <v>175456.63425329025</v>
      </c>
      <c r="L249" t="s">
        <v>82</v>
      </c>
      <c r="M249">
        <v>204.5</v>
      </c>
      <c r="N249">
        <v>104.53444362234549</v>
      </c>
      <c r="O249" s="82">
        <f t="shared" si="62"/>
        <v>-0.42631795484822987</v>
      </c>
      <c r="P249">
        <v>204.5</v>
      </c>
      <c r="Q249">
        <v>167707.22478165352</v>
      </c>
      <c r="R249" t="s">
        <v>82</v>
      </c>
      <c r="S249">
        <v>204.5</v>
      </c>
      <c r="T249">
        <v>105.38930142758578</v>
      </c>
      <c r="U249" s="82">
        <f t="shared" si="63"/>
        <v>-0.40363234407979576</v>
      </c>
      <c r="V249">
        <v>204.5</v>
      </c>
      <c r="W249">
        <v>159839.34003553833</v>
      </c>
      <c r="X249" t="s">
        <v>82</v>
      </c>
      <c r="Y249">
        <v>204.5</v>
      </c>
      <c r="Z249">
        <v>106.17985310882761</v>
      </c>
      <c r="AA249" s="82">
        <f t="shared" si="64"/>
        <v>-0.38112021391057738</v>
      </c>
      <c r="AB249">
        <v>204.5</v>
      </c>
      <c r="AC249">
        <v>152048.84774870635</v>
      </c>
      <c r="AD249" t="s">
        <v>82</v>
      </c>
      <c r="AE249">
        <v>204.5</v>
      </c>
      <c r="AF249">
        <v>106.90468350740569</v>
      </c>
      <c r="AG249" s="82">
        <f t="shared" si="65"/>
        <v>-0.35914976461754122</v>
      </c>
      <c r="AH249">
        <v>204.5</v>
      </c>
      <c r="AI249">
        <v>144481.71249488922</v>
      </c>
      <c r="AJ249" t="s">
        <v>82</v>
      </c>
      <c r="AK249">
        <v>204.5</v>
      </c>
      <c r="AL249">
        <v>107.56447210615558</v>
      </c>
      <c r="AM249" s="82">
        <f t="shared" si="66"/>
        <v>-0.33796331936078161</v>
      </c>
      <c r="AN249">
        <v>204.5</v>
      </c>
      <c r="AO249">
        <v>137236.37834653608</v>
      </c>
      <c r="AP249" t="s">
        <v>82</v>
      </c>
      <c r="AQ249">
        <v>204.5</v>
      </c>
      <c r="AR249">
        <v>108.1614586497361</v>
      </c>
      <c r="AS249" s="82">
        <f t="shared" si="67"/>
        <v>-0.31766841110730581</v>
      </c>
      <c r="AT249">
        <v>204.5</v>
      </c>
      <c r="AU249">
        <v>130361.49305665983</v>
      </c>
      <c r="AV249" t="s">
        <v>82</v>
      </c>
      <c r="AW249">
        <v>204.5</v>
      </c>
      <c r="AX249">
        <v>108.69698884683406</v>
      </c>
      <c r="AY249" s="82">
        <f t="shared" si="68"/>
        <v>-0.29837619845443442</v>
      </c>
      <c r="AZ249">
        <v>204.5</v>
      </c>
      <c r="BA249">
        <v>123903.72988844632</v>
      </c>
      <c r="BB249" t="s">
        <v>82</v>
      </c>
      <c r="BC249">
        <v>204.5</v>
      </c>
      <c r="BD249">
        <v>109.17380525436492</v>
      </c>
      <c r="BE249" s="82">
        <f t="shared" si="69"/>
        <v>-0.28010680808938559</v>
      </c>
      <c r="BF249">
        <v>204.5</v>
      </c>
      <c r="BG249">
        <v>117876.5374694733</v>
      </c>
      <c r="BH249" t="s">
        <v>82</v>
      </c>
      <c r="BI249">
        <v>204.5</v>
      </c>
      <c r="BJ249">
        <v>109.59403134552532</v>
      </c>
      <c r="BK249" s="82">
        <f t="shared" si="70"/>
        <v>-0.26280748423714329</v>
      </c>
      <c r="BL249">
        <v>204.5</v>
      </c>
      <c r="BM249">
        <v>112268.04441998832</v>
      </c>
      <c r="BN249" t="s">
        <v>82</v>
      </c>
      <c r="BO249">
        <v>204.5</v>
      </c>
      <c r="BP249">
        <v>109.96028770766097</v>
      </c>
      <c r="BQ249" s="82">
        <f t="shared" si="71"/>
        <v>-0.24644934224747317</v>
      </c>
      <c r="BR249">
        <v>204.5</v>
      </c>
      <c r="BS249">
        <v>107073.66509410903</v>
      </c>
      <c r="BT249" t="s">
        <v>82</v>
      </c>
      <c r="BU249">
        <v>204.5</v>
      </c>
      <c r="BV249">
        <v>110.27521612748751</v>
      </c>
      <c r="BW249" s="82">
        <f t="shared" si="72"/>
        <v>-0.23109511825246898</v>
      </c>
      <c r="BX249">
        <v>204.5</v>
      </c>
      <c r="BY249">
        <v>102316.12897428892</v>
      </c>
      <c r="BZ249" t="s">
        <v>82</v>
      </c>
      <c r="CA249">
        <v>204.5</v>
      </c>
      <c r="CB249">
        <v>110.54859906785252</v>
      </c>
      <c r="CC249" s="82">
        <f t="shared" si="73"/>
        <v>-0.21718261998776711</v>
      </c>
      <c r="CD249">
        <v>204.5</v>
      </c>
      <c r="CE249">
        <v>98124.051302204796</v>
      </c>
      <c r="CF249" t="s">
        <v>82</v>
      </c>
      <c r="CG249">
        <v>204.5</v>
      </c>
      <c r="CH249">
        <v>110.78520266877378</v>
      </c>
      <c r="CI249" s="82">
        <f t="shared" si="74"/>
        <v>-0.20451193262350387</v>
      </c>
      <c r="CJ249">
        <v>204.5</v>
      </c>
      <c r="CK249">
        <v>94425.007047459803</v>
      </c>
      <c r="CL249" t="s">
        <v>82</v>
      </c>
      <c r="CM249">
        <v>204.5</v>
      </c>
      <c r="CN249">
        <v>110.98915922021709</v>
      </c>
      <c r="CO249" s="82">
        <f t="shared" si="75"/>
        <v>-0.19292668620629172</v>
      </c>
      <c r="CP249">
        <v>204.5</v>
      </c>
      <c r="CQ249">
        <v>91161.963299244948</v>
      </c>
      <c r="CR249" t="s">
        <v>82</v>
      </c>
      <c r="CS249">
        <v>204.5</v>
      </c>
      <c r="CT249">
        <v>111.16418203831195</v>
      </c>
      <c r="CU249" s="82">
        <f t="shared" si="76"/>
        <v>-0.18230352136751549</v>
      </c>
      <c r="CV249">
        <v>204.5</v>
      </c>
      <c r="CW249">
        <v>88289.28573385776</v>
      </c>
      <c r="CX249" t="s">
        <v>82</v>
      </c>
      <c r="CY249">
        <v>204.5</v>
      </c>
      <c r="CZ249">
        <v>111.3087749176714</v>
      </c>
      <c r="DA249" s="82">
        <f t="shared" si="77"/>
        <v>-0.17233834124031944</v>
      </c>
      <c r="DB249">
        <v>204.5</v>
      </c>
      <c r="DC249">
        <v>85719.091725800477</v>
      </c>
      <c r="DD249" t="s">
        <v>82</v>
      </c>
      <c r="DG249" s="82">
        <f t="shared" si="78"/>
        <v>0</v>
      </c>
      <c r="DM249" s="82">
        <f t="shared" si="79"/>
        <v>0</v>
      </c>
    </row>
    <row r="250" spans="1:117" x14ac:dyDescent="0.2">
      <c r="A250">
        <v>205.5</v>
      </c>
      <c r="B250">
        <v>102.17342908406617</v>
      </c>
      <c r="C250" s="82">
        <f t="shared" si="60"/>
        <v>-0.46991185387030043</v>
      </c>
      <c r="D250">
        <v>205.5</v>
      </c>
      <c r="E250">
        <v>182717.52924593238</v>
      </c>
      <c r="F250" t="s">
        <v>82</v>
      </c>
      <c r="G250">
        <v>205.5</v>
      </c>
      <c r="H250">
        <v>103.16861585580445</v>
      </c>
      <c r="I250" s="82">
        <f t="shared" si="61"/>
        <v>-0.44908774334655277</v>
      </c>
      <c r="J250">
        <v>205.5</v>
      </c>
      <c r="K250">
        <v>175561.10308525417</v>
      </c>
      <c r="L250" t="s">
        <v>82</v>
      </c>
      <c r="M250">
        <v>205.5</v>
      </c>
      <c r="N250">
        <v>104.10731929072956</v>
      </c>
      <c r="O250" s="82">
        <f t="shared" si="62"/>
        <v>-0.42712433161592855</v>
      </c>
      <c r="P250">
        <v>205.5</v>
      </c>
      <c r="Q250">
        <v>167968.00537557757</v>
      </c>
      <c r="R250" t="s">
        <v>82</v>
      </c>
      <c r="S250">
        <v>205.5</v>
      </c>
      <c r="T250">
        <v>104.9846300672405</v>
      </c>
      <c r="U250" s="82">
        <f t="shared" si="63"/>
        <v>-0.40467136034527584</v>
      </c>
      <c r="V250">
        <v>205.5</v>
      </c>
      <c r="W250">
        <v>160192.67887922056</v>
      </c>
      <c r="X250" t="s">
        <v>82</v>
      </c>
      <c r="Y250">
        <v>205.5</v>
      </c>
      <c r="Z250">
        <v>105.79758134269419</v>
      </c>
      <c r="AA250" s="82">
        <f t="shared" si="64"/>
        <v>-0.38227176613342806</v>
      </c>
      <c r="AB250">
        <v>205.5</v>
      </c>
      <c r="AC250">
        <v>152448.09521847893</v>
      </c>
      <c r="AD250" t="s">
        <v>82</v>
      </c>
      <c r="AE250">
        <v>205.5</v>
      </c>
      <c r="AF250">
        <v>106.54435343078428</v>
      </c>
      <c r="AG250" s="82">
        <f t="shared" si="65"/>
        <v>-0.36033007662140903</v>
      </c>
      <c r="AH250">
        <v>205.5</v>
      </c>
      <c r="AI250">
        <v>144894.23295768013</v>
      </c>
      <c r="AJ250" t="s">
        <v>82</v>
      </c>
      <c r="AK250">
        <v>205.5</v>
      </c>
      <c r="AL250">
        <v>107.22535435956729</v>
      </c>
      <c r="AM250" s="82">
        <f t="shared" si="66"/>
        <v>-0.3391177465882862</v>
      </c>
      <c r="AN250">
        <v>205.5</v>
      </c>
      <c r="AO250">
        <v>137640.80603559015</v>
      </c>
      <c r="AP250" t="s">
        <v>82</v>
      </c>
      <c r="AQ250">
        <v>205.5</v>
      </c>
      <c r="AR250">
        <v>107.84269483069265</v>
      </c>
      <c r="AS250" s="82">
        <f t="shared" si="67"/>
        <v>-0.31876381904345408</v>
      </c>
      <c r="AT250">
        <v>205.5</v>
      </c>
      <c r="AU250">
        <v>130744.808466841</v>
      </c>
      <c r="AV250" t="s">
        <v>82</v>
      </c>
      <c r="AW250">
        <v>205.5</v>
      </c>
      <c r="AX250">
        <v>108.39759416604548</v>
      </c>
      <c r="AY250" s="82">
        <f t="shared" si="68"/>
        <v>-0.29939468078858056</v>
      </c>
      <c r="AZ250">
        <v>205.5</v>
      </c>
      <c r="BA250">
        <v>124258.82806751691</v>
      </c>
      <c r="BB250" t="s">
        <v>82</v>
      </c>
      <c r="BC250">
        <v>205.5</v>
      </c>
      <c r="BD250">
        <v>108.89276455790248</v>
      </c>
      <c r="BE250" s="82">
        <f t="shared" si="69"/>
        <v>-0.28104069646244056</v>
      </c>
      <c r="BF250">
        <v>205.5</v>
      </c>
      <c r="BG250">
        <v>118200.30283547349</v>
      </c>
      <c r="BH250" t="s">
        <v>82</v>
      </c>
      <c r="BI250">
        <v>205.5</v>
      </c>
      <c r="BJ250">
        <v>109.33037611851707</v>
      </c>
      <c r="BK250" s="82">
        <f t="shared" si="70"/>
        <v>-0.2636552270082575</v>
      </c>
      <c r="BL250">
        <v>205.5</v>
      </c>
      <c r="BM250">
        <v>112559.75772518376</v>
      </c>
      <c r="BN250" t="s">
        <v>82</v>
      </c>
      <c r="BO250">
        <v>205.5</v>
      </c>
      <c r="BP250">
        <v>109.71307450197716</v>
      </c>
      <c r="BQ250" s="82">
        <f t="shared" si="71"/>
        <v>-0.24721320568380634</v>
      </c>
      <c r="BR250">
        <v>205.5</v>
      </c>
      <c r="BS250">
        <v>107334.10229062571</v>
      </c>
      <c r="BT250" t="s">
        <v>82</v>
      </c>
      <c r="BU250">
        <v>205.5</v>
      </c>
      <c r="BV250">
        <v>110.04343608080426</v>
      </c>
      <c r="BW250" s="82">
        <f t="shared" si="72"/>
        <v>-0.23178004668325514</v>
      </c>
      <c r="BX250">
        <v>205.5</v>
      </c>
      <c r="BY250">
        <v>102547.1048283237</v>
      </c>
      <c r="BZ250" t="s">
        <v>82</v>
      </c>
      <c r="CA250">
        <v>205.5</v>
      </c>
      <c r="CB250">
        <v>110.33080162962834</v>
      </c>
      <c r="CC250" s="82">
        <f t="shared" si="73"/>
        <v>-0.21779743822418141</v>
      </c>
      <c r="CD250">
        <v>205.5</v>
      </c>
      <c r="CE250">
        <v>98328.836237592783</v>
      </c>
      <c r="CF250" t="s">
        <v>82</v>
      </c>
      <c r="CG250">
        <v>205.5</v>
      </c>
      <c r="CH250">
        <v>110.58013810435246</v>
      </c>
      <c r="CI250" s="82">
        <f t="shared" si="74"/>
        <v>-0.20506456442132048</v>
      </c>
      <c r="CJ250">
        <v>205.5</v>
      </c>
      <c r="CK250">
        <v>94606.550345501295</v>
      </c>
      <c r="CL250" t="s">
        <v>82</v>
      </c>
      <c r="CM250">
        <v>205.5</v>
      </c>
      <c r="CN250">
        <v>110.79573506310113</v>
      </c>
      <c r="CO250" s="82">
        <f t="shared" si="75"/>
        <v>-0.19342415711595606</v>
      </c>
      <c r="CP250">
        <v>205.5</v>
      </c>
      <c r="CQ250">
        <v>91322.886349878972</v>
      </c>
      <c r="CR250" t="s">
        <v>82</v>
      </c>
      <c r="CS250">
        <v>205.5</v>
      </c>
      <c r="CT250">
        <v>110.98142998967754</v>
      </c>
      <c r="CU250" s="82">
        <f t="shared" si="76"/>
        <v>-0.18275204863441274</v>
      </c>
      <c r="CV250">
        <v>205.5</v>
      </c>
      <c r="CW250">
        <v>88431.911627760914</v>
      </c>
      <c r="CX250" t="s">
        <v>82</v>
      </c>
      <c r="CY250">
        <v>205.5</v>
      </c>
      <c r="CZ250">
        <v>111.13603254295951</v>
      </c>
      <c r="DA250" s="82">
        <f t="shared" si="77"/>
        <v>-0.17274237471188769</v>
      </c>
      <c r="DB250">
        <v>205.5</v>
      </c>
      <c r="DC250">
        <v>85845.09321691822</v>
      </c>
      <c r="DD250" t="s">
        <v>82</v>
      </c>
      <c r="DG250" s="82">
        <f t="shared" si="78"/>
        <v>0</v>
      </c>
      <c r="DM250" s="82">
        <f t="shared" si="79"/>
        <v>0</v>
      </c>
    </row>
    <row r="251" spans="1:117" x14ac:dyDescent="0.2">
      <c r="A251">
        <v>206.5</v>
      </c>
      <c r="B251">
        <v>101.7039625946859</v>
      </c>
      <c r="C251" s="82">
        <f t="shared" si="60"/>
        <v>-0.46946648938026669</v>
      </c>
      <c r="D251">
        <v>206.5</v>
      </c>
      <c r="E251">
        <v>182489.57529541641</v>
      </c>
      <c r="F251" t="s">
        <v>82</v>
      </c>
      <c r="G251">
        <v>206.5</v>
      </c>
      <c r="H251">
        <v>102.71929198762813</v>
      </c>
      <c r="I251" s="82">
        <f t="shared" si="61"/>
        <v>-0.44932386817632164</v>
      </c>
      <c r="J251">
        <v>206.5</v>
      </c>
      <c r="K251">
        <v>175599.29888073972</v>
      </c>
      <c r="L251" t="s">
        <v>82</v>
      </c>
      <c r="M251">
        <v>206.5</v>
      </c>
      <c r="N251">
        <v>103.67951011481824</v>
      </c>
      <c r="O251" s="82">
        <f t="shared" si="62"/>
        <v>-0.42780917591132095</v>
      </c>
      <c r="P251">
        <v>206.5</v>
      </c>
      <c r="Q251">
        <v>168182.3924650168</v>
      </c>
      <c r="R251" t="s">
        <v>82</v>
      </c>
      <c r="S251">
        <v>206.5</v>
      </c>
      <c r="T251">
        <v>104.57900368796497</v>
      </c>
      <c r="U251" s="82">
        <f t="shared" si="63"/>
        <v>-0.40562637927553169</v>
      </c>
      <c r="V251">
        <v>206.5</v>
      </c>
      <c r="W251">
        <v>160514.10664573073</v>
      </c>
      <c r="X251" t="s">
        <v>82</v>
      </c>
      <c r="Y251">
        <v>206.5</v>
      </c>
      <c r="Z251">
        <v>105.41421545913248</v>
      </c>
      <c r="AA251" s="82">
        <f t="shared" si="64"/>
        <v>-0.38336588356170864</v>
      </c>
      <c r="AB251">
        <v>206.5</v>
      </c>
      <c r="AC251">
        <v>152825.67574466998</v>
      </c>
      <c r="AD251" t="s">
        <v>82</v>
      </c>
      <c r="AE251">
        <v>206.5</v>
      </c>
      <c r="AF251">
        <v>106.18288222638236</v>
      </c>
      <c r="AG251" s="82">
        <f t="shared" si="65"/>
        <v>-0.36147120440192282</v>
      </c>
      <c r="AH251">
        <v>206.5</v>
      </c>
      <c r="AI251">
        <v>145292.11607383762</v>
      </c>
      <c r="AJ251" t="s">
        <v>82</v>
      </c>
      <c r="AK251">
        <v>206.5</v>
      </c>
      <c r="AL251">
        <v>106.88510911334787</v>
      </c>
      <c r="AM251" s="82">
        <f t="shared" si="66"/>
        <v>-0.34024524621942476</v>
      </c>
      <c r="AN251">
        <v>206.5</v>
      </c>
      <c r="AO251">
        <v>138035.30596952033</v>
      </c>
      <c r="AP251" t="s">
        <v>82</v>
      </c>
      <c r="AQ251">
        <v>206.5</v>
      </c>
      <c r="AR251">
        <v>107.52285441100106</v>
      </c>
      <c r="AS251" s="82">
        <f t="shared" si="67"/>
        <v>-0.31984041969158739</v>
      </c>
      <c r="AT251">
        <v>206.5</v>
      </c>
      <c r="AU251">
        <v>131121.30404972853</v>
      </c>
      <c r="AV251" t="s">
        <v>82</v>
      </c>
      <c r="AW251">
        <v>206.5</v>
      </c>
      <c r="AX251">
        <v>108.09719447914239</v>
      </c>
      <c r="AY251" s="82">
        <f t="shared" si="68"/>
        <v>-0.30039968690309138</v>
      </c>
      <c r="AZ251">
        <v>206.5</v>
      </c>
      <c r="BA251">
        <v>124609.13462124375</v>
      </c>
      <c r="BB251" t="s">
        <v>82</v>
      </c>
      <c r="BC251">
        <v>206.5</v>
      </c>
      <c r="BD251">
        <v>108.61079991785041</v>
      </c>
      <c r="BE251" s="82">
        <f t="shared" si="69"/>
        <v>-0.28196464005206678</v>
      </c>
      <c r="BF251">
        <v>206.5</v>
      </c>
      <c r="BG251">
        <v>118520.60908861447</v>
      </c>
      <c r="BH251" t="s">
        <v>82</v>
      </c>
      <c r="BI251">
        <v>206.5</v>
      </c>
      <c r="BJ251">
        <v>109.06588069565322</v>
      </c>
      <c r="BK251" s="82">
        <f t="shared" si="70"/>
        <v>-0.26449542286384542</v>
      </c>
      <c r="BL251">
        <v>206.5</v>
      </c>
      <c r="BM251">
        <v>112848.9074050487</v>
      </c>
      <c r="BN251" t="s">
        <v>82</v>
      </c>
      <c r="BO251">
        <v>206.5</v>
      </c>
      <c r="BP251">
        <v>109.46510329228201</v>
      </c>
      <c r="BQ251" s="82">
        <f t="shared" si="71"/>
        <v>-0.24797120969515163</v>
      </c>
      <c r="BR251">
        <v>206.5</v>
      </c>
      <c r="BS251">
        <v>107592.59876743192</v>
      </c>
      <c r="BT251" t="s">
        <v>82</v>
      </c>
      <c r="BU251">
        <v>206.5</v>
      </c>
      <c r="BV251">
        <v>109.81097573677471</v>
      </c>
      <c r="BW251" s="82">
        <f t="shared" si="72"/>
        <v>-0.23246034402954763</v>
      </c>
      <c r="BX251">
        <v>206.5</v>
      </c>
      <c r="BY251">
        <v>102776.58798502038</v>
      </c>
      <c r="BZ251" t="s">
        <v>82</v>
      </c>
      <c r="CA251">
        <v>206.5</v>
      </c>
      <c r="CB251">
        <v>110.11239310122821</v>
      </c>
      <c r="CC251" s="82">
        <f t="shared" si="73"/>
        <v>-0.2184085284001327</v>
      </c>
      <c r="CD251">
        <v>206.5</v>
      </c>
      <c r="CE251">
        <v>98532.454144994714</v>
      </c>
      <c r="CF251" t="s">
        <v>82</v>
      </c>
      <c r="CG251">
        <v>206.5</v>
      </c>
      <c r="CH251">
        <v>110.3745239480219</v>
      </c>
      <c r="CI251" s="82">
        <f t="shared" si="74"/>
        <v>-0.20561415633055447</v>
      </c>
      <c r="CJ251">
        <v>206.5</v>
      </c>
      <c r="CK251">
        <v>94787.172178377747</v>
      </c>
      <c r="CL251" t="s">
        <v>82</v>
      </c>
      <c r="CM251">
        <v>206.5</v>
      </c>
      <c r="CN251">
        <v>110.60181593785951</v>
      </c>
      <c r="CO251" s="82">
        <f t="shared" si="75"/>
        <v>-0.1939191252416208</v>
      </c>
      <c r="CP251">
        <v>206.5</v>
      </c>
      <c r="CQ251">
        <v>91483.07763128847</v>
      </c>
      <c r="CR251" t="s">
        <v>82</v>
      </c>
      <c r="CS251">
        <v>206.5</v>
      </c>
      <c r="CT251">
        <v>110.79823149079712</v>
      </c>
      <c r="CU251" s="82">
        <f t="shared" si="76"/>
        <v>-0.18319849888041517</v>
      </c>
      <c r="CV251">
        <v>206.5</v>
      </c>
      <c r="CW251">
        <v>88573.954540217688</v>
      </c>
      <c r="CX251" t="s">
        <v>82</v>
      </c>
      <c r="CY251">
        <v>206.5</v>
      </c>
      <c r="CZ251">
        <v>110.96288786517319</v>
      </c>
      <c r="DA251" s="82">
        <f t="shared" si="77"/>
        <v>-0.17314467778632547</v>
      </c>
      <c r="DB251">
        <v>206.5</v>
      </c>
      <c r="DC251">
        <v>85970.631466977007</v>
      </c>
      <c r="DD251" t="s">
        <v>82</v>
      </c>
      <c r="DG251" s="82">
        <f t="shared" si="78"/>
        <v>0</v>
      </c>
      <c r="DM251" s="82">
        <f t="shared" si="79"/>
        <v>0</v>
      </c>
    </row>
    <row r="252" spans="1:117" x14ac:dyDescent="0.2">
      <c r="A252">
        <v>207.5</v>
      </c>
      <c r="B252">
        <v>101.23520129895304</v>
      </c>
      <c r="C252" s="82">
        <f t="shared" si="60"/>
        <v>-0.46876129573286107</v>
      </c>
      <c r="D252">
        <v>207.5</v>
      </c>
      <c r="E252">
        <v>182161.8478171842</v>
      </c>
      <c r="F252" t="s">
        <v>82</v>
      </c>
      <c r="G252">
        <v>207.5</v>
      </c>
      <c r="H252">
        <v>102.2699179602423</v>
      </c>
      <c r="I252" s="82">
        <f t="shared" si="61"/>
        <v>-0.44937402738582932</v>
      </c>
      <c r="J252">
        <v>207.5</v>
      </c>
      <c r="K252">
        <v>175566.21585643684</v>
      </c>
      <c r="L252" t="s">
        <v>82</v>
      </c>
      <c r="M252">
        <v>207.5</v>
      </c>
      <c r="N252">
        <v>103.25114657814815</v>
      </c>
      <c r="O252" s="82">
        <f t="shared" si="62"/>
        <v>-0.42836353667009064</v>
      </c>
      <c r="P252">
        <v>207.5</v>
      </c>
      <c r="Q252">
        <v>168346.91426359702</v>
      </c>
      <c r="R252" t="s">
        <v>82</v>
      </c>
      <c r="S252">
        <v>207.5</v>
      </c>
      <c r="T252">
        <v>104.17251230892363</v>
      </c>
      <c r="U252" s="82">
        <f t="shared" si="63"/>
        <v>-0.40649137904134136</v>
      </c>
      <c r="V252">
        <v>207.5</v>
      </c>
      <c r="W252">
        <v>160801.28858451126</v>
      </c>
      <c r="X252" t="s">
        <v>82</v>
      </c>
      <c r="Y252">
        <v>207.5</v>
      </c>
      <c r="Z252">
        <v>105.02981682394679</v>
      </c>
      <c r="AA252" s="82">
        <f t="shared" si="64"/>
        <v>-0.38439863518568984</v>
      </c>
      <c r="AB252">
        <v>207.5</v>
      </c>
      <c r="AC252">
        <v>153180.0667706817</v>
      </c>
      <c r="AD252" t="s">
        <v>82</v>
      </c>
      <c r="AE252">
        <v>207.5</v>
      </c>
      <c r="AF252">
        <v>105.82031157781029</v>
      </c>
      <c r="AG252" s="82">
        <f t="shared" si="65"/>
        <v>-0.36257064857207411</v>
      </c>
      <c r="AH252">
        <v>207.5</v>
      </c>
      <c r="AI252">
        <v>145674.3957595031</v>
      </c>
      <c r="AJ252" t="s">
        <v>82</v>
      </c>
      <c r="AK252">
        <v>207.5</v>
      </c>
      <c r="AL252">
        <v>106.54376485186994</v>
      </c>
      <c r="AM252" s="82">
        <f t="shared" si="66"/>
        <v>-0.34134426147792851</v>
      </c>
      <c r="AN252">
        <v>207.5</v>
      </c>
      <c r="AO252">
        <v>138419.27846912498</v>
      </c>
      <c r="AP252" t="s">
        <v>82</v>
      </c>
      <c r="AQ252">
        <v>207.5</v>
      </c>
      <c r="AR252">
        <v>107.20195715582739</v>
      </c>
      <c r="AS252" s="82">
        <f t="shared" si="67"/>
        <v>-0.3208972551736764</v>
      </c>
      <c r="AT252">
        <v>207.5</v>
      </c>
      <c r="AU252">
        <v>131490.61281833911</v>
      </c>
      <c r="AV252" t="s">
        <v>82</v>
      </c>
      <c r="AW252">
        <v>207.5</v>
      </c>
      <c r="AX252">
        <v>107.79580385453959</v>
      </c>
      <c r="AY252" s="82">
        <f t="shared" si="68"/>
        <v>-0.30139062460280286</v>
      </c>
      <c r="AZ252">
        <v>207.5</v>
      </c>
      <c r="BA252">
        <v>124954.42441102372</v>
      </c>
      <c r="BB252" t="s">
        <v>82</v>
      </c>
      <c r="BC252">
        <v>207.5</v>
      </c>
      <c r="BD252">
        <v>108.32792165379702</v>
      </c>
      <c r="BE252" s="82">
        <f t="shared" si="69"/>
        <v>-0.28287826405339445</v>
      </c>
      <c r="BF252">
        <v>207.5</v>
      </c>
      <c r="BG252">
        <v>118837.31514131941</v>
      </c>
      <c r="BH252" t="s">
        <v>82</v>
      </c>
      <c r="BI252">
        <v>207.5</v>
      </c>
      <c r="BJ252">
        <v>108.80055287086937</v>
      </c>
      <c r="BK252" s="82">
        <f t="shared" si="70"/>
        <v>-0.26532782478385286</v>
      </c>
      <c r="BL252">
        <v>207.5</v>
      </c>
      <c r="BM252">
        <v>113135.40149134512</v>
      </c>
      <c r="BN252" t="s">
        <v>82</v>
      </c>
      <c r="BO252">
        <v>207.5</v>
      </c>
      <c r="BP252">
        <v>109.21638010891118</v>
      </c>
      <c r="BQ252" s="82">
        <f t="shared" si="71"/>
        <v>-0.24872318337082788</v>
      </c>
      <c r="BR252">
        <v>207.5</v>
      </c>
      <c r="BS252">
        <v>107849.09153787198</v>
      </c>
      <c r="BT252" t="s">
        <v>82</v>
      </c>
      <c r="BU252">
        <v>207.5</v>
      </c>
      <c r="BV252">
        <v>109.57783985046359</v>
      </c>
      <c r="BW252" s="82">
        <f t="shared" si="72"/>
        <v>-0.2331358863111177</v>
      </c>
      <c r="BX252">
        <v>207.5</v>
      </c>
      <c r="BY252">
        <v>103004.53315992588</v>
      </c>
      <c r="BZ252" t="s">
        <v>82</v>
      </c>
      <c r="CA252">
        <v>207.5</v>
      </c>
      <c r="CB252">
        <v>109.8933773046939</v>
      </c>
      <c r="CC252" s="82">
        <f t="shared" si="73"/>
        <v>-0.21901579653430758</v>
      </c>
      <c r="CD252">
        <v>207.5</v>
      </c>
      <c r="CE252">
        <v>98734.870902545284</v>
      </c>
      <c r="CF252" t="s">
        <v>82</v>
      </c>
      <c r="CG252">
        <v>207.5</v>
      </c>
      <c r="CH252">
        <v>110.16836331291766</v>
      </c>
      <c r="CI252" s="82">
        <f t="shared" si="74"/>
        <v>-0.20616063510423999</v>
      </c>
      <c r="CJ252">
        <v>207.5</v>
      </c>
      <c r="CK252">
        <v>94966.846103498392</v>
      </c>
      <c r="CL252" t="s">
        <v>82</v>
      </c>
      <c r="CM252">
        <v>207.5</v>
      </c>
      <c r="CN252">
        <v>110.40740440531054</v>
      </c>
      <c r="CO252" s="82">
        <f t="shared" si="75"/>
        <v>-0.19441153254896903</v>
      </c>
      <c r="CP252">
        <v>207.5</v>
      </c>
      <c r="CQ252">
        <v>91642.516281092467</v>
      </c>
      <c r="CR252" t="s">
        <v>82</v>
      </c>
      <c r="CS252">
        <v>207.5</v>
      </c>
      <c r="CT252">
        <v>110.61458866515218</v>
      </c>
      <c r="CU252" s="82">
        <f t="shared" si="76"/>
        <v>-0.18364282564493806</v>
      </c>
      <c r="CV252">
        <v>207.5</v>
      </c>
      <c r="CW252">
        <v>88715.397843534432</v>
      </c>
      <c r="CX252" t="s">
        <v>82</v>
      </c>
      <c r="CY252">
        <v>207.5</v>
      </c>
      <c r="CZ252">
        <v>110.78934265199453</v>
      </c>
      <c r="DA252" s="82">
        <f t="shared" si="77"/>
        <v>-0.1735452131786559</v>
      </c>
      <c r="DB252">
        <v>207.5</v>
      </c>
      <c r="DC252">
        <v>86095.693200137117</v>
      </c>
      <c r="DD252" t="s">
        <v>82</v>
      </c>
      <c r="DG252" s="82">
        <f t="shared" si="78"/>
        <v>0</v>
      </c>
      <c r="DM252" s="82">
        <f t="shared" si="79"/>
        <v>0</v>
      </c>
    </row>
    <row r="253" spans="1:117" x14ac:dyDescent="0.2">
      <c r="A253">
        <v>208.5</v>
      </c>
      <c r="B253">
        <v>100.76742461984885</v>
      </c>
      <c r="C253" s="82">
        <f t="shared" si="60"/>
        <v>-0.46777667910419041</v>
      </c>
      <c r="D253">
        <v>208.5</v>
      </c>
      <c r="E253">
        <v>181726.74654662391</v>
      </c>
      <c r="F253" t="s">
        <v>82</v>
      </c>
      <c r="G253">
        <v>208.5</v>
      </c>
      <c r="H253">
        <v>101.820693750158</v>
      </c>
      <c r="I253" s="82">
        <f t="shared" si="61"/>
        <v>-0.44922421008429581</v>
      </c>
      <c r="J253">
        <v>208.5</v>
      </c>
      <c r="K253">
        <v>175456.41733468382</v>
      </c>
      <c r="L253" t="s">
        <v>82</v>
      </c>
      <c r="M253">
        <v>208.5</v>
      </c>
      <c r="N253">
        <v>102.82236888656048</v>
      </c>
      <c r="O253" s="82">
        <f t="shared" si="62"/>
        <v>-0.4287776915876691</v>
      </c>
      <c r="P253">
        <v>208.5</v>
      </c>
      <c r="Q253">
        <v>168457.79772675899</v>
      </c>
      <c r="R253" t="s">
        <v>82</v>
      </c>
      <c r="S253">
        <v>208.5</v>
      </c>
      <c r="T253">
        <v>103.76525248984113</v>
      </c>
      <c r="U253" s="82">
        <f t="shared" si="63"/>
        <v>-0.40725981908249764</v>
      </c>
      <c r="V253">
        <v>208.5</v>
      </c>
      <c r="W253">
        <v>161051.68703756316</v>
      </c>
      <c r="X253" t="s">
        <v>82</v>
      </c>
      <c r="Y253">
        <v>208.5</v>
      </c>
      <c r="Z253">
        <v>104.64445106852776</v>
      </c>
      <c r="AA253" s="82">
        <f t="shared" si="64"/>
        <v>-0.38536575541903062</v>
      </c>
      <c r="AB253">
        <v>208.5</v>
      </c>
      <c r="AC253">
        <v>153509.61475463884</v>
      </c>
      <c r="AD253" t="s">
        <v>82</v>
      </c>
      <c r="AE253">
        <v>208.5</v>
      </c>
      <c r="AF253">
        <v>105.45668587444088</v>
      </c>
      <c r="AG253" s="82">
        <f t="shared" si="65"/>
        <v>-0.36362570336940792</v>
      </c>
      <c r="AH253">
        <v>208.5</v>
      </c>
      <c r="AI253">
        <v>146040.02498817263</v>
      </c>
      <c r="AJ253" t="s">
        <v>82</v>
      </c>
      <c r="AK253">
        <v>208.5</v>
      </c>
      <c r="AL253">
        <v>106.20135173749711</v>
      </c>
      <c r="AM253" s="82">
        <f t="shared" si="66"/>
        <v>-0.34241311437283173</v>
      </c>
      <c r="AN253">
        <v>208.5</v>
      </c>
      <c r="AO253">
        <v>138792.07628343275</v>
      </c>
      <c r="AP253" t="s">
        <v>82</v>
      </c>
      <c r="AQ253">
        <v>208.5</v>
      </c>
      <c r="AR253">
        <v>106.88002385556166</v>
      </c>
      <c r="AS253" s="82">
        <f t="shared" si="67"/>
        <v>-0.32193330026572653</v>
      </c>
      <c r="AT253">
        <v>208.5</v>
      </c>
      <c r="AU253">
        <v>131852.34133687185</v>
      </c>
      <c r="AV253" t="s">
        <v>82</v>
      </c>
      <c r="AW253">
        <v>208.5</v>
      </c>
      <c r="AX253">
        <v>107.49343698816209</v>
      </c>
      <c r="AY253" s="82">
        <f t="shared" si="68"/>
        <v>-0.30236686637749699</v>
      </c>
      <c r="AZ253">
        <v>208.5</v>
      </c>
      <c r="BA253">
        <v>125294.45842589665</v>
      </c>
      <c r="BB253" t="s">
        <v>82</v>
      </c>
      <c r="BC253">
        <v>208.5</v>
      </c>
      <c r="BD253">
        <v>108.04414047751955</v>
      </c>
      <c r="BE253" s="82">
        <f t="shared" si="69"/>
        <v>-0.28378117627747201</v>
      </c>
      <c r="BF253">
        <v>208.5</v>
      </c>
      <c r="BG253">
        <v>119150.27305697871</v>
      </c>
      <c r="BH253" t="s">
        <v>82</v>
      </c>
      <c r="BI253">
        <v>208.5</v>
      </c>
      <c r="BJ253">
        <v>108.53440069316184</v>
      </c>
      <c r="BK253" s="82">
        <f t="shared" si="70"/>
        <v>-0.26615217770752508</v>
      </c>
      <c r="BL253">
        <v>208.5</v>
      </c>
      <c r="BM253">
        <v>113419.14481950576</v>
      </c>
      <c r="BN253" t="s">
        <v>82</v>
      </c>
      <c r="BO253">
        <v>208.5</v>
      </c>
      <c r="BP253">
        <v>108.96691115662524</v>
      </c>
      <c r="BQ253" s="82">
        <f t="shared" si="71"/>
        <v>-0.24946895228593746</v>
      </c>
      <c r="BR253">
        <v>208.5</v>
      </c>
      <c r="BS253">
        <v>108103.5162634614</v>
      </c>
      <c r="BT253" t="s">
        <v>82</v>
      </c>
      <c r="BU253">
        <v>208.5</v>
      </c>
      <c r="BV253">
        <v>109.3440333024204</v>
      </c>
      <c r="BW253" s="82">
        <f t="shared" si="72"/>
        <v>-0.23380654804319079</v>
      </c>
      <c r="BX253">
        <v>208.5</v>
      </c>
      <c r="BY253">
        <v>103230.89446875968</v>
      </c>
      <c r="BZ253" t="s">
        <v>82</v>
      </c>
      <c r="CA253">
        <v>208.5</v>
      </c>
      <c r="CB253">
        <v>109.67375815673765</v>
      </c>
      <c r="CC253" s="82">
        <f t="shared" si="73"/>
        <v>-0.21961914795625148</v>
      </c>
      <c r="CD253">
        <v>208.5</v>
      </c>
      <c r="CE253">
        <v>98936.052163942586</v>
      </c>
      <c r="CF253" t="s">
        <v>82</v>
      </c>
      <c r="CG253">
        <v>208.5</v>
      </c>
      <c r="CH253">
        <v>109.96165938577869</v>
      </c>
      <c r="CI253" s="82">
        <f t="shared" si="74"/>
        <v>-0.20670392713897456</v>
      </c>
      <c r="CJ253">
        <v>208.5</v>
      </c>
      <c r="CK253">
        <v>95145.545539329993</v>
      </c>
      <c r="CL253" t="s">
        <v>82</v>
      </c>
      <c r="CM253">
        <v>208.5</v>
      </c>
      <c r="CN253">
        <v>110.21250308453523</v>
      </c>
      <c r="CO253" s="82">
        <f t="shared" si="75"/>
        <v>-0.19490132077531541</v>
      </c>
      <c r="CP253">
        <v>208.5</v>
      </c>
      <c r="CQ253">
        <v>91801.181354027547</v>
      </c>
      <c r="CR253" t="s">
        <v>82</v>
      </c>
      <c r="CS253">
        <v>208.5</v>
      </c>
      <c r="CT253">
        <v>110.4305036828472</v>
      </c>
      <c r="CU253" s="82">
        <f t="shared" si="76"/>
        <v>-0.18408498230498083</v>
      </c>
      <c r="CV253">
        <v>208.5</v>
      </c>
      <c r="CW253">
        <v>88856.224844057302</v>
      </c>
      <c r="CX253" t="s">
        <v>82</v>
      </c>
      <c r="CY253">
        <v>208.5</v>
      </c>
      <c r="CZ253">
        <v>110.61539870851122</v>
      </c>
      <c r="DA253" s="82">
        <f t="shared" si="77"/>
        <v>-0.17394394348330877</v>
      </c>
      <c r="DB253">
        <v>208.5</v>
      </c>
      <c r="DC253">
        <v>86220.265071349742</v>
      </c>
      <c r="DD253" t="s">
        <v>82</v>
      </c>
      <c r="DG253" s="82">
        <f t="shared" si="78"/>
        <v>0</v>
      </c>
      <c r="DM253" s="82">
        <f t="shared" si="79"/>
        <v>0</v>
      </c>
    </row>
    <row r="254" spans="1:117" x14ac:dyDescent="0.2">
      <c r="A254">
        <v>209.5</v>
      </c>
      <c r="B254">
        <v>100.30093324691438</v>
      </c>
      <c r="C254" s="82">
        <f t="shared" si="60"/>
        <v>-0.46649137293447041</v>
      </c>
      <c r="D254">
        <v>209.5</v>
      </c>
      <c r="E254">
        <v>181176.01917686017</v>
      </c>
      <c r="F254" t="s">
        <v>82</v>
      </c>
      <c r="G254">
        <v>209.5</v>
      </c>
      <c r="H254">
        <v>101.37183455582547</v>
      </c>
      <c r="I254" s="82">
        <f t="shared" si="61"/>
        <v>-0.44885919433252752</v>
      </c>
      <c r="J254">
        <v>209.5</v>
      </c>
      <c r="K254">
        <v>175263.99409552361</v>
      </c>
      <c r="L254" t="s">
        <v>82</v>
      </c>
      <c r="M254">
        <v>209.5</v>
      </c>
      <c r="N254">
        <v>102.39332781579928</v>
      </c>
      <c r="O254" s="82">
        <f t="shared" si="62"/>
        <v>-0.42904107076120113</v>
      </c>
      <c r="P254">
        <v>209.5</v>
      </c>
      <c r="Q254">
        <v>168510.93867909533</v>
      </c>
      <c r="R254" t="s">
        <v>82</v>
      </c>
      <c r="S254">
        <v>209.5</v>
      </c>
      <c r="T254">
        <v>103.35732790238228</v>
      </c>
      <c r="U254" s="82">
        <f t="shared" si="63"/>
        <v>-0.40792458745885085</v>
      </c>
      <c r="V254">
        <v>209.5</v>
      </c>
      <c r="W254">
        <v>161262.54089742241</v>
      </c>
      <c r="X254" t="s">
        <v>82</v>
      </c>
      <c r="Y254">
        <v>209.5</v>
      </c>
      <c r="Z254">
        <v>104.25818845926754</v>
      </c>
      <c r="AA254" s="82">
        <f t="shared" si="64"/>
        <v>-0.38626260926021416</v>
      </c>
      <c r="AB254">
        <v>209.5</v>
      </c>
      <c r="AC254">
        <v>153812.52144415016</v>
      </c>
      <c r="AD254" t="s">
        <v>82</v>
      </c>
      <c r="AE254">
        <v>209.5</v>
      </c>
      <c r="AF254">
        <v>105.0920524398381</v>
      </c>
      <c r="AG254" s="82">
        <f t="shared" si="65"/>
        <v>-0.36463343460277997</v>
      </c>
      <c r="AH254">
        <v>209.5</v>
      </c>
      <c r="AI254">
        <v>146387.86716126106</v>
      </c>
      <c r="AJ254" t="s">
        <v>82</v>
      </c>
      <c r="AK254">
        <v>209.5</v>
      </c>
      <c r="AL254">
        <v>105.85790174509688</v>
      </c>
      <c r="AM254" s="82">
        <f t="shared" si="66"/>
        <v>-0.34344999240022389</v>
      </c>
      <c r="AN254">
        <v>209.5</v>
      </c>
      <c r="AO254">
        <v>139152.99932434317</v>
      </c>
      <c r="AP254" t="s">
        <v>82</v>
      </c>
      <c r="AQ254">
        <v>209.5</v>
      </c>
      <c r="AR254">
        <v>106.55707640071377</v>
      </c>
      <c r="AS254" s="82">
        <f t="shared" si="67"/>
        <v>-0.32294745484789189</v>
      </c>
      <c r="AT254">
        <v>209.5</v>
      </c>
      <c r="AU254">
        <v>132206.06668180993</v>
      </c>
      <c r="AV254" t="s">
        <v>82</v>
      </c>
      <c r="AW254">
        <v>209.5</v>
      </c>
      <c r="AX254">
        <v>107.19010924277181</v>
      </c>
      <c r="AY254" s="82">
        <f t="shared" si="68"/>
        <v>-0.30332774539027696</v>
      </c>
      <c r="AZ254">
        <v>209.5</v>
      </c>
      <c r="BA254">
        <v>125628.98213317074</v>
      </c>
      <c r="BB254" t="s">
        <v>82</v>
      </c>
      <c r="BC254">
        <v>209.5</v>
      </c>
      <c r="BD254">
        <v>107.75946751236424</v>
      </c>
      <c r="BE254" s="82">
        <f t="shared" si="69"/>
        <v>-0.28467296515530904</v>
      </c>
      <c r="BF254">
        <v>209.5</v>
      </c>
      <c r="BG254">
        <v>119459.32726185951</v>
      </c>
      <c r="BH254" t="s">
        <v>82</v>
      </c>
      <c r="BI254">
        <v>209.5</v>
      </c>
      <c r="BJ254">
        <v>108.26743247553625</v>
      </c>
      <c r="BK254" s="82">
        <f t="shared" si="70"/>
        <v>-0.26696821762558898</v>
      </c>
      <c r="BL254">
        <v>209.5</v>
      </c>
      <c r="BM254">
        <v>113700.03873206234</v>
      </c>
      <c r="BN254" t="s">
        <v>82</v>
      </c>
      <c r="BO254">
        <v>209.5</v>
      </c>
      <c r="BP254">
        <v>108.71670281848934</v>
      </c>
      <c r="BQ254" s="82">
        <f t="shared" si="71"/>
        <v>-0.25020833813590571</v>
      </c>
      <c r="BR254">
        <v>209.5</v>
      </c>
      <c r="BS254">
        <v>108355.8070430948</v>
      </c>
      <c r="BT254" t="s">
        <v>82</v>
      </c>
      <c r="BU254">
        <v>209.5</v>
      </c>
      <c r="BV254">
        <v>109.10956110030527</v>
      </c>
      <c r="BW254" s="82">
        <f t="shared" si="72"/>
        <v>-0.23447220211512843</v>
      </c>
      <c r="BX254">
        <v>209.5</v>
      </c>
      <c r="BY254">
        <v>103455.62540987242</v>
      </c>
      <c r="BZ254" t="s">
        <v>82</v>
      </c>
      <c r="CA254">
        <v>209.5</v>
      </c>
      <c r="CB254">
        <v>109.45353966945788</v>
      </c>
      <c r="CC254" s="82">
        <f t="shared" si="73"/>
        <v>-0.2202184872797659</v>
      </c>
      <c r="CD254">
        <v>209.5</v>
      </c>
      <c r="CE254">
        <v>99135.963276137656</v>
      </c>
      <c r="CF254" t="s">
        <v>82</v>
      </c>
      <c r="CG254">
        <v>209.5</v>
      </c>
      <c r="CH254">
        <v>109.75441542731382</v>
      </c>
      <c r="CI254" s="82">
        <f t="shared" si="74"/>
        <v>-0.20724395846487198</v>
      </c>
      <c r="CJ254">
        <v>209.5</v>
      </c>
      <c r="CK254">
        <v>95323.24378783266</v>
      </c>
      <c r="CL254" t="s">
        <v>82</v>
      </c>
      <c r="CM254">
        <v>209.5</v>
      </c>
      <c r="CN254">
        <v>110.01711465309322</v>
      </c>
      <c r="CO254" s="82">
        <f t="shared" si="75"/>
        <v>-0.19538843144201223</v>
      </c>
      <c r="CP254">
        <v>209.5</v>
      </c>
      <c r="CQ254">
        <v>91959.051837175764</v>
      </c>
      <c r="CR254" t="s">
        <v>82</v>
      </c>
      <c r="CS254">
        <v>209.5</v>
      </c>
      <c r="CT254">
        <v>110.24597876076591</v>
      </c>
      <c r="CU254" s="82">
        <f t="shared" si="76"/>
        <v>-0.18452492208129456</v>
      </c>
      <c r="CV254">
        <v>209.5</v>
      </c>
      <c r="CW254">
        <v>88996.41880399466</v>
      </c>
      <c r="CX254" t="s">
        <v>82</v>
      </c>
      <c r="CY254">
        <v>209.5</v>
      </c>
      <c r="CZ254">
        <v>110.44105787733551</v>
      </c>
      <c r="DA254" s="82">
        <f t="shared" si="77"/>
        <v>-0.1743408311757122</v>
      </c>
      <c r="DB254">
        <v>209.5</v>
      </c>
      <c r="DC254">
        <v>86344.333717675254</v>
      </c>
      <c r="DD254" t="s">
        <v>82</v>
      </c>
      <c r="DG254" s="82">
        <f t="shared" si="78"/>
        <v>0</v>
      </c>
      <c r="DM254" s="82">
        <f t="shared" si="79"/>
        <v>0</v>
      </c>
    </row>
    <row r="255" spans="1:117" x14ac:dyDescent="0.2">
      <c r="A255">
        <v>210.5</v>
      </c>
      <c r="B255">
        <v>99.836050967706072</v>
      </c>
      <c r="C255" s="82">
        <f t="shared" si="60"/>
        <v>-0.46488227920831093</v>
      </c>
      <c r="D255">
        <v>210.5</v>
      </c>
      <c r="E255">
        <v>180500.69950966132</v>
      </c>
      <c r="F255" t="s">
        <v>82</v>
      </c>
      <c r="G255">
        <v>210.5</v>
      </c>
      <c r="H255">
        <v>100.9235721260732</v>
      </c>
      <c r="I255" s="82">
        <f t="shared" si="61"/>
        <v>-0.44826242975227615</v>
      </c>
      <c r="J255">
        <v>210.5</v>
      </c>
      <c r="K255">
        <v>174982.51855360623</v>
      </c>
      <c r="L255" t="s">
        <v>82</v>
      </c>
      <c r="M255">
        <v>210.5</v>
      </c>
      <c r="N255">
        <v>101.96418564318607</v>
      </c>
      <c r="O255" s="82">
        <f t="shared" si="62"/>
        <v>-0.42914217261321141</v>
      </c>
      <c r="P255">
        <v>210.5</v>
      </c>
      <c r="Q255">
        <v>168501.86900201024</v>
      </c>
      <c r="R255" t="s">
        <v>82</v>
      </c>
      <c r="S255">
        <v>210.5</v>
      </c>
      <c r="T255">
        <v>102.9488499596151</v>
      </c>
      <c r="U255" s="82">
        <f t="shared" si="63"/>
        <v>-0.40847794276717764</v>
      </c>
      <c r="V255">
        <v>210.5</v>
      </c>
      <c r="W255">
        <v>161430.84284063426</v>
      </c>
      <c r="X255" t="s">
        <v>82</v>
      </c>
      <c r="Y255">
        <v>210.5</v>
      </c>
      <c r="Z255">
        <v>103.87110430549983</v>
      </c>
      <c r="AA255" s="82">
        <f t="shared" si="64"/>
        <v>-0.38708415376771654</v>
      </c>
      <c r="AB255">
        <v>210.5</v>
      </c>
      <c r="AC255">
        <v>154086.82883563259</v>
      </c>
      <c r="AD255" t="s">
        <v>82</v>
      </c>
      <c r="AE255">
        <v>210.5</v>
      </c>
      <c r="AF255">
        <v>104.72646178462081</v>
      </c>
      <c r="AG255" s="82">
        <f t="shared" si="65"/>
        <v>-0.3655906552172894</v>
      </c>
      <c r="AH255">
        <v>210.5</v>
      </c>
      <c r="AI255">
        <v>146716.6865058956</v>
      </c>
      <c r="AJ255" t="s">
        <v>82</v>
      </c>
      <c r="AK255">
        <v>210.5</v>
      </c>
      <c r="AL255">
        <v>105.5134488113239</v>
      </c>
      <c r="AM255" s="82">
        <f t="shared" si="66"/>
        <v>-0.34445293377298469</v>
      </c>
      <c r="AN255">
        <v>210.5</v>
      </c>
      <c r="AO255">
        <v>139501.28887340307</v>
      </c>
      <c r="AP255" t="s">
        <v>82</v>
      </c>
      <c r="AQ255">
        <v>210.5</v>
      </c>
      <c r="AR255">
        <v>106.23313786524835</v>
      </c>
      <c r="AS255" s="82">
        <f t="shared" si="67"/>
        <v>-0.32393853546541607</v>
      </c>
      <c r="AT255">
        <v>210.5</v>
      </c>
      <c r="AU255">
        <v>132551.33317399738</v>
      </c>
      <c r="AV255" t="s">
        <v>82</v>
      </c>
      <c r="AW255">
        <v>210.5</v>
      </c>
      <c r="AX255">
        <v>106.88583669181601</v>
      </c>
      <c r="AY255" s="82">
        <f t="shared" si="68"/>
        <v>-0.30427255095580108</v>
      </c>
      <c r="AZ255">
        <v>210.5</v>
      </c>
      <c r="BA255">
        <v>125957.72373958802</v>
      </c>
      <c r="BB255" t="s">
        <v>82</v>
      </c>
      <c r="BC255">
        <v>210.5</v>
      </c>
      <c r="BD255">
        <v>107.47391431488732</v>
      </c>
      <c r="BE255" s="82">
        <f t="shared" si="69"/>
        <v>-0.28555319747691499</v>
      </c>
      <c r="BF255">
        <v>210.5</v>
      </c>
      <c r="BG255">
        <v>119764.31364227759</v>
      </c>
      <c r="BH255" t="s">
        <v>82</v>
      </c>
      <c r="BI255">
        <v>210.5</v>
      </c>
      <c r="BJ255">
        <v>107.99965680498205</v>
      </c>
      <c r="BK255" s="82">
        <f t="shared" si="70"/>
        <v>-0.26777567055420093</v>
      </c>
      <c r="BL255">
        <v>210.5</v>
      </c>
      <c r="BM255">
        <v>113977.98062588848</v>
      </c>
      <c r="BN255" t="s">
        <v>82</v>
      </c>
      <c r="BO255">
        <v>210.5</v>
      </c>
      <c r="BP255">
        <v>108.46576166017942</v>
      </c>
      <c r="BQ255" s="82">
        <f t="shared" si="71"/>
        <v>-0.2509411583099137</v>
      </c>
      <c r="BR255">
        <v>210.5</v>
      </c>
      <c r="BS255">
        <v>108605.89630486726</v>
      </c>
      <c r="BT255" t="s">
        <v>82</v>
      </c>
      <c r="BU255">
        <v>210.5</v>
      </c>
      <c r="BV255">
        <v>108.87442838068098</v>
      </c>
      <c r="BW255" s="82">
        <f t="shared" si="72"/>
        <v>-0.23513271962428917</v>
      </c>
      <c r="BX255">
        <v>210.5</v>
      </c>
      <c r="BY255">
        <v>103678.67876698445</v>
      </c>
      <c r="BZ255" t="s">
        <v>82</v>
      </c>
      <c r="CA255">
        <v>210.5</v>
      </c>
      <c r="CB255">
        <v>109.23272595111322</v>
      </c>
      <c r="CC255" s="82">
        <f t="shared" si="73"/>
        <v>-0.22081371834465813</v>
      </c>
      <c r="CD255">
        <v>210.5</v>
      </c>
      <c r="CE255">
        <v>99334.569283496094</v>
      </c>
      <c r="CF255" t="s">
        <v>82</v>
      </c>
      <c r="CG255">
        <v>210.5</v>
      </c>
      <c r="CH255">
        <v>109.54663477256932</v>
      </c>
      <c r="CI255" s="82">
        <f t="shared" si="74"/>
        <v>-0.20778065474449647</v>
      </c>
      <c r="CJ255">
        <v>210.5</v>
      </c>
      <c r="CK255">
        <v>95499.913969868983</v>
      </c>
      <c r="CL255" t="s">
        <v>82</v>
      </c>
      <c r="CM255">
        <v>210.5</v>
      </c>
      <c r="CN255">
        <v>109.82124184724034</v>
      </c>
      <c r="CO255" s="82">
        <f t="shared" si="75"/>
        <v>-0.19587280585287203</v>
      </c>
      <c r="CP255">
        <v>210.5</v>
      </c>
      <c r="CQ255">
        <v>92116.106631827948</v>
      </c>
      <c r="CR255" t="s">
        <v>82</v>
      </c>
      <c r="CS255">
        <v>210.5</v>
      </c>
      <c r="CT255">
        <v>110.06101616271548</v>
      </c>
      <c r="CU255" s="82">
        <f t="shared" si="76"/>
        <v>-0.1849625980504328</v>
      </c>
      <c r="CV255">
        <v>210.5</v>
      </c>
      <c r="CW255">
        <v>89135.962929480273</v>
      </c>
      <c r="CX255" t="s">
        <v>82</v>
      </c>
      <c r="CY255">
        <v>210.5</v>
      </c>
      <c r="CZ255">
        <v>110.26632203871655</v>
      </c>
      <c r="DA255" s="82">
        <f t="shared" si="77"/>
        <v>-0.17473583861895747</v>
      </c>
      <c r="DB255">
        <v>210.5</v>
      </c>
      <c r="DC255">
        <v>86467.885718847479</v>
      </c>
      <c r="DD255" t="s">
        <v>82</v>
      </c>
      <c r="DG255" s="82">
        <f t="shared" si="78"/>
        <v>0</v>
      </c>
      <c r="DM255" s="82">
        <f t="shared" si="79"/>
        <v>0</v>
      </c>
    </row>
    <row r="256" spans="1:117" x14ac:dyDescent="0.2">
      <c r="A256">
        <v>211.5</v>
      </c>
      <c r="B256">
        <v>99.373126673327008</v>
      </c>
      <c r="C256" s="82">
        <f t="shared" si="60"/>
        <v>-0.46292429437906435</v>
      </c>
      <c r="D256">
        <v>211.5</v>
      </c>
      <c r="E256">
        <v>179691.03957809872</v>
      </c>
      <c r="F256" t="s">
        <v>82</v>
      </c>
      <c r="G256">
        <v>211.5</v>
      </c>
      <c r="H256">
        <v>100.47615621750428</v>
      </c>
      <c r="I256" s="82">
        <f t="shared" si="61"/>
        <v>-0.44741590856891378</v>
      </c>
      <c r="J256">
        <v>211.5</v>
      </c>
      <c r="K256">
        <v>174604.9943764738</v>
      </c>
      <c r="L256" t="s">
        <v>82</v>
      </c>
      <c r="M256">
        <v>211.5</v>
      </c>
      <c r="N256">
        <v>101.5351171718517</v>
      </c>
      <c r="O256" s="82">
        <f t="shared" si="62"/>
        <v>-0.42906847133437509</v>
      </c>
      <c r="P256">
        <v>211.5</v>
      </c>
      <c r="Q256">
        <v>168425.72041906195</v>
      </c>
      <c r="R256" t="s">
        <v>82</v>
      </c>
      <c r="S256">
        <v>211.5</v>
      </c>
      <c r="T256">
        <v>102.53993850958621</v>
      </c>
      <c r="U256" s="82">
        <f t="shared" si="63"/>
        <v>-0.40891145002889573</v>
      </c>
      <c r="V256">
        <v>211.5</v>
      </c>
      <c r="W256">
        <v>161553.31422501386</v>
      </c>
      <c r="X256" t="s">
        <v>82</v>
      </c>
      <c r="Y256">
        <v>211.5</v>
      </c>
      <c r="Z256">
        <v>103.48327941008661</v>
      </c>
      <c r="AA256" s="82">
        <f t="shared" si="64"/>
        <v>-0.38782489541321752</v>
      </c>
      <c r="AB256">
        <v>211.5</v>
      </c>
      <c r="AC256">
        <v>154330.40243729329</v>
      </c>
      <c r="AD256" t="s">
        <v>82</v>
      </c>
      <c r="AE256">
        <v>211.5</v>
      </c>
      <c r="AF256">
        <v>104.35996788650456</v>
      </c>
      <c r="AG256" s="82">
        <f t="shared" si="65"/>
        <v>-0.36649389811624644</v>
      </c>
      <c r="AH256">
        <v>211.5</v>
      </c>
      <c r="AI256">
        <v>147025.13742036742</v>
      </c>
      <c r="AJ256" t="s">
        <v>82</v>
      </c>
      <c r="AK256">
        <v>211.5</v>
      </c>
      <c r="AL256">
        <v>105.16802900036247</v>
      </c>
      <c r="AM256" s="82">
        <f t="shared" si="66"/>
        <v>-0.34541981096143104</v>
      </c>
      <c r="AN256">
        <v>211.5</v>
      </c>
      <c r="AO256">
        <v>139836.12110627641</v>
      </c>
      <c r="AP256" t="s">
        <v>82</v>
      </c>
      <c r="AQ256">
        <v>211.5</v>
      </c>
      <c r="AR256">
        <v>105.90823259933086</v>
      </c>
      <c r="AS256" s="82">
        <f t="shared" si="67"/>
        <v>-0.32490526591749358</v>
      </c>
      <c r="AT256">
        <v>211.5</v>
      </c>
      <c r="AU256">
        <v>132887.64864796237</v>
      </c>
      <c r="AV256" t="s">
        <v>82</v>
      </c>
      <c r="AW256">
        <v>211.5</v>
      </c>
      <c r="AX256">
        <v>106.58063616833959</v>
      </c>
      <c r="AY256" s="82">
        <f t="shared" si="68"/>
        <v>-0.30520052347641524</v>
      </c>
      <c r="AZ256">
        <v>211.5</v>
      </c>
      <c r="BA256">
        <v>126280.39220898646</v>
      </c>
      <c r="BB256" t="s">
        <v>82</v>
      </c>
      <c r="BC256">
        <v>211.5</v>
      </c>
      <c r="BD256">
        <v>107.18749289900947</v>
      </c>
      <c r="BE256" s="82">
        <f t="shared" si="69"/>
        <v>-0.28642141587785375</v>
      </c>
      <c r="BF256">
        <v>211.5</v>
      </c>
      <c r="BG256">
        <v>120065.05856121231</v>
      </c>
      <c r="BH256" t="s">
        <v>82</v>
      </c>
      <c r="BI256">
        <v>211.5</v>
      </c>
      <c r="BJ256">
        <v>107.73108255361544</v>
      </c>
      <c r="BK256" s="82">
        <f t="shared" si="70"/>
        <v>-0.26857425136661561</v>
      </c>
      <c r="BL256">
        <v>211.5</v>
      </c>
      <c r="BM256">
        <v>114252.86348049142</v>
      </c>
      <c r="BN256" t="s">
        <v>82</v>
      </c>
      <c r="BO256">
        <v>211.5</v>
      </c>
      <c r="BP256">
        <v>108.21409443476699</v>
      </c>
      <c r="BQ256" s="82">
        <f t="shared" si="71"/>
        <v>-0.25166722541243303</v>
      </c>
      <c r="BR256">
        <v>211.5</v>
      </c>
      <c r="BS256">
        <v>108853.71456671764</v>
      </c>
      <c r="BT256" t="s">
        <v>82</v>
      </c>
      <c r="BU256">
        <v>211.5</v>
      </c>
      <c r="BV256">
        <v>108.63864041096119</v>
      </c>
      <c r="BW256" s="82">
        <f t="shared" si="72"/>
        <v>-0.23578796971979443</v>
      </c>
      <c r="BX256">
        <v>211.5</v>
      </c>
      <c r="BY256">
        <v>103900.00655284862</v>
      </c>
      <c r="BZ256" t="s">
        <v>82</v>
      </c>
      <c r="CA256">
        <v>211.5</v>
      </c>
      <c r="CB256">
        <v>109.01132120692657</v>
      </c>
      <c r="CC256" s="82">
        <f t="shared" si="73"/>
        <v>-0.2214047441866569</v>
      </c>
      <c r="CD256">
        <v>211.5</v>
      </c>
      <c r="CE256">
        <v>99531.834936536965</v>
      </c>
      <c r="CF256" t="s">
        <v>82</v>
      </c>
      <c r="CG256">
        <v>211.5</v>
      </c>
      <c r="CH256">
        <v>109.33832083130225</v>
      </c>
      <c r="CI256" s="82">
        <f t="shared" si="74"/>
        <v>-0.20831394126706471</v>
      </c>
      <c r="CJ256">
        <v>211.5</v>
      </c>
      <c r="CK256">
        <v>95675.529103046487</v>
      </c>
      <c r="CL256" t="s">
        <v>82</v>
      </c>
      <c r="CM256">
        <v>211.5</v>
      </c>
      <c r="CN256">
        <v>109.62488746213901</v>
      </c>
      <c r="CO256" s="82">
        <f t="shared" si="75"/>
        <v>-0.19635438510132985</v>
      </c>
      <c r="CP256">
        <v>211.5</v>
      </c>
      <c r="CQ256">
        <v>92272.32453946484</v>
      </c>
      <c r="CR256" t="s">
        <v>82</v>
      </c>
      <c r="CS256">
        <v>211.5</v>
      </c>
      <c r="CT256">
        <v>109.87561819956848</v>
      </c>
      <c r="CU256" s="82">
        <f t="shared" si="76"/>
        <v>-0.18539796314699686</v>
      </c>
      <c r="CV256">
        <v>211.5</v>
      </c>
      <c r="CW256">
        <v>89274.840356623376</v>
      </c>
      <c r="CX256" t="s">
        <v>82</v>
      </c>
      <c r="CY256">
        <v>211.5</v>
      </c>
      <c r="CZ256">
        <v>110.09119311064811</v>
      </c>
      <c r="DA256" s="82">
        <f t="shared" si="77"/>
        <v>-0.17512892806844604</v>
      </c>
      <c r="DB256">
        <v>211.5</v>
      </c>
      <c r="DC256">
        <v>86590.90762446374</v>
      </c>
      <c r="DD256" t="s">
        <v>82</v>
      </c>
      <c r="DG256" s="82">
        <f t="shared" si="78"/>
        <v>0</v>
      </c>
      <c r="DM256" s="82">
        <f t="shared" si="79"/>
        <v>0</v>
      </c>
    </row>
    <row r="257" spans="1:117" x14ac:dyDescent="0.2">
      <c r="A257">
        <v>212.5</v>
      </c>
      <c r="B257">
        <v>98.912536554883602</v>
      </c>
      <c r="C257" s="82">
        <f t="shared" si="60"/>
        <v>-0.46059011844340603</v>
      </c>
      <c r="D257">
        <v>212.5</v>
      </c>
      <c r="E257">
        <v>178736.43529415352</v>
      </c>
      <c r="F257" t="s">
        <v>82</v>
      </c>
      <c r="G257">
        <v>212.5</v>
      </c>
      <c r="H257">
        <v>100.02985619359514</v>
      </c>
      <c r="I257" s="82">
        <f t="shared" si="61"/>
        <v>-0.44630002390914569</v>
      </c>
      <c r="J257">
        <v>212.5</v>
      </c>
      <c r="K257">
        <v>174123.80125082328</v>
      </c>
      <c r="L257" t="s">
        <v>82</v>
      </c>
      <c r="M257">
        <v>212.5</v>
      </c>
      <c r="N257">
        <v>101.10631085688459</v>
      </c>
      <c r="O257" s="82">
        <f t="shared" si="62"/>
        <v>-0.42880631496710464</v>
      </c>
      <c r="P257">
        <v>212.5</v>
      </c>
      <c r="Q257">
        <v>168277.18467859461</v>
      </c>
      <c r="R257" t="s">
        <v>82</v>
      </c>
      <c r="S257">
        <v>212.5</v>
      </c>
      <c r="T257">
        <v>102.13072259962036</v>
      </c>
      <c r="U257" s="82">
        <f t="shared" si="63"/>
        <v>-0.40921590996585167</v>
      </c>
      <c r="V257">
        <v>212.5</v>
      </c>
      <c r="W257">
        <v>161626.37744842833</v>
      </c>
      <c r="X257" t="s">
        <v>82</v>
      </c>
      <c r="Y257">
        <v>212.5</v>
      </c>
      <c r="Z257">
        <v>103.09480056717159</v>
      </c>
      <c r="AA257" s="82">
        <f t="shared" si="64"/>
        <v>-0.38847884291502055</v>
      </c>
      <c r="AB257">
        <v>212.5</v>
      </c>
      <c r="AC257">
        <v>154540.91278377714</v>
      </c>
      <c r="AD257" t="s">
        <v>82</v>
      </c>
      <c r="AE257">
        <v>212.5</v>
      </c>
      <c r="AF257">
        <v>103.99262850043644</v>
      </c>
      <c r="AG257" s="82">
        <f t="shared" si="65"/>
        <v>-0.36733938606812444</v>
      </c>
      <c r="AH257">
        <v>212.5</v>
      </c>
      <c r="AI257">
        <v>147311.75263613509</v>
      </c>
      <c r="AJ257" t="s">
        <v>82</v>
      </c>
      <c r="AK257">
        <v>212.5</v>
      </c>
      <c r="AL257">
        <v>104.82168068797964</v>
      </c>
      <c r="AM257" s="82">
        <f t="shared" si="66"/>
        <v>-0.3463483123828297</v>
      </c>
      <c r="AN257">
        <v>212.5</v>
      </c>
      <c r="AO257">
        <v>140156.59990535208</v>
      </c>
      <c r="AP257" t="s">
        <v>82</v>
      </c>
      <c r="AQ257">
        <v>212.5</v>
      </c>
      <c r="AR257">
        <v>105.58238633259998</v>
      </c>
      <c r="AS257" s="82">
        <f t="shared" si="67"/>
        <v>-0.32584626673087769</v>
      </c>
      <c r="AT257">
        <v>212.5</v>
      </c>
      <c r="AU257">
        <v>133214.48030989902</v>
      </c>
      <c r="AV257" t="s">
        <v>82</v>
      </c>
      <c r="AW257">
        <v>212.5</v>
      </c>
      <c r="AX257">
        <v>106.27452531958301</v>
      </c>
      <c r="AY257" s="82">
        <f t="shared" si="68"/>
        <v>-0.30611084875658889</v>
      </c>
      <c r="AZ257">
        <v>212.5</v>
      </c>
      <c r="BA257">
        <v>126596.67495319791</v>
      </c>
      <c r="BB257" t="s">
        <v>82</v>
      </c>
      <c r="BC257">
        <v>212.5</v>
      </c>
      <c r="BD257">
        <v>106.90021576304756</v>
      </c>
      <c r="BE257" s="82">
        <f t="shared" si="69"/>
        <v>-0.28727713596191506</v>
      </c>
      <c r="BF257">
        <v>212.5</v>
      </c>
      <c r="BG257">
        <v>120361.37769381516</v>
      </c>
      <c r="BH257" t="s">
        <v>82</v>
      </c>
      <c r="BI257">
        <v>212.5</v>
      </c>
      <c r="BJ257">
        <v>107.46171889114159</v>
      </c>
      <c r="BK257" s="82">
        <f t="shared" si="70"/>
        <v>-0.26936366247385024</v>
      </c>
      <c r="BL257">
        <v>212.5</v>
      </c>
      <c r="BM257">
        <v>114524.57536260253</v>
      </c>
      <c r="BN257" t="s">
        <v>82</v>
      </c>
      <c r="BO257">
        <v>212.5</v>
      </c>
      <c r="BP257">
        <v>107.9617080880502</v>
      </c>
      <c r="BQ257" s="82">
        <f t="shared" si="71"/>
        <v>-0.25238634671678994</v>
      </c>
      <c r="BR257">
        <v>212.5</v>
      </c>
      <c r="BS257">
        <v>109099.19026390492</v>
      </c>
      <c r="BT257" t="s">
        <v>82</v>
      </c>
      <c r="BU257">
        <v>212.5</v>
      </c>
      <c r="BV257">
        <v>108.40220259157235</v>
      </c>
      <c r="BW257" s="82">
        <f t="shared" si="72"/>
        <v>-0.2364378193888399</v>
      </c>
      <c r="BX257">
        <v>212.5</v>
      </c>
      <c r="BY257">
        <v>104119.55992207951</v>
      </c>
      <c r="BZ257" t="s">
        <v>82</v>
      </c>
      <c r="CA257">
        <v>212.5</v>
      </c>
      <c r="CB257">
        <v>108.78932973997303</v>
      </c>
      <c r="CC257" s="82">
        <f t="shared" si="73"/>
        <v>-0.22199146695353988</v>
      </c>
      <c r="CD257">
        <v>212.5</v>
      </c>
      <c r="CE257">
        <v>99727.724622557056</v>
      </c>
      <c r="CF257" t="s">
        <v>82</v>
      </c>
      <c r="CG257">
        <v>212.5</v>
      </c>
      <c r="CH257">
        <v>109.12947708837729</v>
      </c>
      <c r="CI257" s="82">
        <f t="shared" si="74"/>
        <v>-0.20884374292496943</v>
      </c>
      <c r="CJ257">
        <v>212.5</v>
      </c>
      <c r="CK257">
        <v>95850.062026252432</v>
      </c>
      <c r="CL257" t="s">
        <v>82</v>
      </c>
      <c r="CM257">
        <v>212.5</v>
      </c>
      <c r="CN257">
        <v>109.42805435205699</v>
      </c>
      <c r="CO257" s="82">
        <f t="shared" si="75"/>
        <v>-0.19683311008202509</v>
      </c>
      <c r="CP257">
        <v>212.5</v>
      </c>
      <c r="CQ257">
        <v>92427.684314457525</v>
      </c>
      <c r="CR257" t="s">
        <v>82</v>
      </c>
      <c r="CS257">
        <v>212.5</v>
      </c>
      <c r="CT257">
        <v>109.68978722940152</v>
      </c>
      <c r="CU257" s="82">
        <f t="shared" si="76"/>
        <v>-0.18583097016696115</v>
      </c>
      <c r="CV257">
        <v>212.5</v>
      </c>
      <c r="CW257">
        <v>89413.034195584463</v>
      </c>
      <c r="CX257" t="s">
        <v>82</v>
      </c>
      <c r="CY257">
        <v>212.5</v>
      </c>
      <c r="CZ257">
        <v>109.91567304896392</v>
      </c>
      <c r="DA257" s="82">
        <f t="shared" si="77"/>
        <v>-0.17552006168418188</v>
      </c>
      <c r="DB257">
        <v>212.5</v>
      </c>
      <c r="DC257">
        <v>86713.385938398642</v>
      </c>
      <c r="DD257" t="s">
        <v>82</v>
      </c>
      <c r="DG257" s="82">
        <f t="shared" si="78"/>
        <v>0</v>
      </c>
      <c r="DM257" s="82">
        <f t="shared" si="79"/>
        <v>0</v>
      </c>
    </row>
    <row r="258" spans="1:117" x14ac:dyDescent="0.2">
      <c r="A258">
        <v>213.5</v>
      </c>
      <c r="B258">
        <v>98.454686509371683</v>
      </c>
      <c r="C258" s="82">
        <f t="shared" si="60"/>
        <v>-0.45785004551191832</v>
      </c>
      <c r="D258">
        <v>213.5</v>
      </c>
      <c r="E258">
        <v>177625.34474344214</v>
      </c>
      <c r="F258" t="s">
        <v>82</v>
      </c>
      <c r="G258">
        <v>213.5</v>
      </c>
      <c r="H258">
        <v>99.584962779501225</v>
      </c>
      <c r="I258" s="82">
        <f t="shared" si="61"/>
        <v>-0.44489341409391159</v>
      </c>
      <c r="J258">
        <v>213.5</v>
      </c>
      <c r="K258">
        <v>173530.63406289672</v>
      </c>
      <c r="L258" t="s">
        <v>82</v>
      </c>
      <c r="M258">
        <v>213.5</v>
      </c>
      <c r="N258">
        <v>100.67797004365427</v>
      </c>
      <c r="O258" s="82">
        <f t="shared" si="62"/>
        <v>-0.4283408132303208</v>
      </c>
      <c r="P258">
        <v>213.5</v>
      </c>
      <c r="Q258">
        <v>168050.46973113809</v>
      </c>
      <c r="R258" t="s">
        <v>82</v>
      </c>
      <c r="S258">
        <v>213.5</v>
      </c>
      <c r="T258">
        <v>101.72134131868658</v>
      </c>
      <c r="U258" s="82">
        <f t="shared" si="63"/>
        <v>-0.40938128093377202</v>
      </c>
      <c r="V258">
        <v>213.5</v>
      </c>
      <c r="W258">
        <v>161646.12540430657</v>
      </c>
      <c r="X258" t="s">
        <v>82</v>
      </c>
      <c r="Y258">
        <v>213.5</v>
      </c>
      <c r="Z258">
        <v>102.70576111211342</v>
      </c>
      <c r="AA258" s="82">
        <f t="shared" si="64"/>
        <v>-0.3890394550581675</v>
      </c>
      <c r="AB258">
        <v>213.5</v>
      </c>
      <c r="AC258">
        <v>154715.81502134347</v>
      </c>
      <c r="AD258" t="s">
        <v>82</v>
      </c>
      <c r="AE258">
        <v>213.5</v>
      </c>
      <c r="AF258">
        <v>103.62450550213767</v>
      </c>
      <c r="AG258" s="82">
        <f t="shared" si="65"/>
        <v>-0.36812299829877304</v>
      </c>
      <c r="AH258">
        <v>213.5</v>
      </c>
      <c r="AI258">
        <v>147574.9301411887</v>
      </c>
      <c r="AJ258" t="s">
        <v>82</v>
      </c>
      <c r="AK258">
        <v>213.5</v>
      </c>
      <c r="AL258">
        <v>104.4744447659651</v>
      </c>
      <c r="AM258" s="82">
        <f t="shared" si="66"/>
        <v>-0.34723592201453357</v>
      </c>
      <c r="AN258">
        <v>213.5</v>
      </c>
      <c r="AO258">
        <v>140461.7488392441</v>
      </c>
      <c r="AP258" t="s">
        <v>82</v>
      </c>
      <c r="AQ258">
        <v>213.5</v>
      </c>
      <c r="AR258">
        <v>105.2556262891855</v>
      </c>
      <c r="AS258" s="82">
        <f t="shared" si="67"/>
        <v>-0.32676004341448106</v>
      </c>
      <c r="AT258">
        <v>213.5</v>
      </c>
      <c r="AU258">
        <v>133531.25008512445</v>
      </c>
      <c r="AV258" t="s">
        <v>82</v>
      </c>
      <c r="AW258">
        <v>213.5</v>
      </c>
      <c r="AX258">
        <v>105.96752266794101</v>
      </c>
      <c r="AY258" s="82">
        <f t="shared" si="68"/>
        <v>-0.30700265164199436</v>
      </c>
      <c r="AZ258">
        <v>213.5</v>
      </c>
      <c r="BA258">
        <v>126906.23538175969</v>
      </c>
      <c r="BB258" t="s">
        <v>82</v>
      </c>
      <c r="BC258">
        <v>213.5</v>
      </c>
      <c r="BD258">
        <v>106.6120959199415</v>
      </c>
      <c r="BE258" s="82">
        <f t="shared" si="69"/>
        <v>-0.28811984310605965</v>
      </c>
      <c r="BF258">
        <v>213.5</v>
      </c>
      <c r="BG258">
        <v>120653.07482427961</v>
      </c>
      <c r="BH258" t="s">
        <v>82</v>
      </c>
      <c r="BI258">
        <v>213.5</v>
      </c>
      <c r="BJ258">
        <v>107.19157529880869</v>
      </c>
      <c r="BK258" s="82">
        <f t="shared" si="70"/>
        <v>-0.27014359233290008</v>
      </c>
      <c r="BL258">
        <v>213.5</v>
      </c>
      <c r="BM258">
        <v>114792.99884041342</v>
      </c>
      <c r="BN258" t="s">
        <v>82</v>
      </c>
      <c r="BO258">
        <v>213.5</v>
      </c>
      <c r="BP258">
        <v>107.70860976453238</v>
      </c>
      <c r="BQ258" s="82">
        <f t="shared" si="71"/>
        <v>-0.25309832351781836</v>
      </c>
      <c r="BR258">
        <v>213.5</v>
      </c>
      <c r="BS258">
        <v>109342.24943202084</v>
      </c>
      <c r="BT258" t="s">
        <v>82</v>
      </c>
      <c r="BU258">
        <v>213.5</v>
      </c>
      <c r="BV258">
        <v>108.16512045834703</v>
      </c>
      <c r="BW258" s="82">
        <f t="shared" si="72"/>
        <v>-0.23708213322531435</v>
      </c>
      <c r="BX258">
        <v>213.5</v>
      </c>
      <c r="BY258">
        <v>104337.28911106505</v>
      </c>
      <c r="BZ258" t="s">
        <v>82</v>
      </c>
      <c r="CA258">
        <v>213.5</v>
      </c>
      <c r="CB258">
        <v>108.56675595213051</v>
      </c>
      <c r="CC258" s="82">
        <f t="shared" si="73"/>
        <v>-0.22257378784252069</v>
      </c>
      <c r="CD258">
        <v>213.5</v>
      </c>
      <c r="CE258">
        <v>99922.2023534857</v>
      </c>
      <c r="CF258" t="s">
        <v>82</v>
      </c>
      <c r="CG258">
        <v>213.5</v>
      </c>
      <c r="CH258">
        <v>108.92010710416599</v>
      </c>
      <c r="CI258" s="82">
        <f t="shared" si="74"/>
        <v>-0.2093699842112926</v>
      </c>
      <c r="CJ258">
        <v>213.5</v>
      </c>
      <c r="CK258">
        <v>96023.485426603816</v>
      </c>
      <c r="CL258" t="s">
        <v>82</v>
      </c>
      <c r="CM258">
        <v>213.5</v>
      </c>
      <c r="CN258">
        <v>109.23074543058428</v>
      </c>
      <c r="CO258" s="82">
        <f t="shared" si="75"/>
        <v>-0.19730892147271106</v>
      </c>
      <c r="CP258">
        <v>213.5</v>
      </c>
      <c r="CQ258">
        <v>92582.164597911324</v>
      </c>
      <c r="CR258" t="s">
        <v>82</v>
      </c>
      <c r="CS258">
        <v>213.5</v>
      </c>
      <c r="CT258">
        <v>109.50352565761956</v>
      </c>
      <c r="CU258" s="82">
        <f t="shared" si="76"/>
        <v>-0.18626157178195513</v>
      </c>
      <c r="CV258">
        <v>213.5</v>
      </c>
      <c r="CW258">
        <v>89550.527484558756</v>
      </c>
      <c r="CX258" t="s">
        <v>82</v>
      </c>
      <c r="CY258">
        <v>213.5</v>
      </c>
      <c r="CZ258">
        <v>109.73976384744103</v>
      </c>
      <c r="DA258" s="82">
        <f t="shared" si="77"/>
        <v>-0.17590920152289868</v>
      </c>
      <c r="DB258">
        <v>213.5</v>
      </c>
      <c r="DC258">
        <v>86835.307138076983</v>
      </c>
      <c r="DD258" t="s">
        <v>82</v>
      </c>
      <c r="DG258" s="82">
        <f t="shared" si="78"/>
        <v>0</v>
      </c>
      <c r="DM258" s="82">
        <f t="shared" si="79"/>
        <v>0</v>
      </c>
    </row>
    <row r="259" spans="1:117" x14ac:dyDescent="0.2">
      <c r="A259">
        <v>214.5</v>
      </c>
      <c r="B259">
        <v>98.000014775246541</v>
      </c>
      <c r="C259" s="82">
        <f t="shared" si="60"/>
        <v>-0.45467173412514228</v>
      </c>
      <c r="D259">
        <v>214.5</v>
      </c>
      <c r="E259">
        <v>176345.19882087185</v>
      </c>
      <c r="F259" t="s">
        <v>82</v>
      </c>
      <c r="G259">
        <v>214.5</v>
      </c>
      <c r="H259">
        <v>99.14178998791715</v>
      </c>
      <c r="I259" s="82">
        <f t="shared" si="61"/>
        <v>-0.4431727915840753</v>
      </c>
      <c r="J259">
        <v>214.5</v>
      </c>
      <c r="K259">
        <v>172816.43620438071</v>
      </c>
      <c r="L259" t="s">
        <v>82</v>
      </c>
      <c r="M259">
        <v>214.5</v>
      </c>
      <c r="N259">
        <v>100.25031432967666</v>
      </c>
      <c r="O259" s="82">
        <f t="shared" si="62"/>
        <v>-0.42765571397761448</v>
      </c>
      <c r="P259">
        <v>214.5</v>
      </c>
      <c r="Q259">
        <v>167739.25147651223</v>
      </c>
      <c r="R259" t="s">
        <v>82</v>
      </c>
      <c r="S259">
        <v>214.5</v>
      </c>
      <c r="T259">
        <v>101.31194472587578</v>
      </c>
      <c r="U259" s="82">
        <f t="shared" si="63"/>
        <v>-0.40939659281080765</v>
      </c>
      <c r="V259">
        <v>214.5</v>
      </c>
      <c r="W259">
        <v>161608.28776246929</v>
      </c>
      <c r="X259" t="s">
        <v>82</v>
      </c>
      <c r="Y259">
        <v>214.5</v>
      </c>
      <c r="Z259">
        <v>102.31626152913294</v>
      </c>
      <c r="AA259" s="82">
        <f t="shared" si="64"/>
        <v>-0.38949958298047704</v>
      </c>
      <c r="AB259">
        <v>214.5</v>
      </c>
      <c r="AC259">
        <v>154852.32625043968</v>
      </c>
      <c r="AD259" t="s">
        <v>82</v>
      </c>
      <c r="AE259">
        <v>214.5</v>
      </c>
      <c r="AF259">
        <v>103.25566526870735</v>
      </c>
      <c r="AG259" s="82">
        <f t="shared" si="65"/>
        <v>-0.36884023343031913</v>
      </c>
      <c r="AH259">
        <v>214.5</v>
      </c>
      <c r="AI259">
        <v>147812.91863199891</v>
      </c>
      <c r="AJ259" t="s">
        <v>82</v>
      </c>
      <c r="AK259">
        <v>214.5</v>
      </c>
      <c r="AL259">
        <v>104.12636486923391</v>
      </c>
      <c r="AM259" s="82">
        <f t="shared" si="66"/>
        <v>-0.34807989673119266</v>
      </c>
      <c r="AN259">
        <v>214.5</v>
      </c>
      <c r="AO259">
        <v>140750.50226359392</v>
      </c>
      <c r="AP259" t="s">
        <v>82</v>
      </c>
      <c r="AQ259">
        <v>214.5</v>
      </c>
      <c r="AR259">
        <v>104.92798131585364</v>
      </c>
      <c r="AS259" s="82">
        <f t="shared" si="67"/>
        <v>-0.32764497333185716</v>
      </c>
      <c r="AT259">
        <v>214.5</v>
      </c>
      <c r="AU259">
        <v>133837.32951231539</v>
      </c>
      <c r="AV259" t="s">
        <v>82</v>
      </c>
      <c r="AW259">
        <v>214.5</v>
      </c>
      <c r="AX259">
        <v>105.65964767907494</v>
      </c>
      <c r="AY259" s="82">
        <f t="shared" si="68"/>
        <v>-0.30787498886607523</v>
      </c>
      <c r="AZ259">
        <v>214.5</v>
      </c>
      <c r="BA259">
        <v>127208.71004291061</v>
      </c>
      <c r="BB259" t="s">
        <v>82</v>
      </c>
      <c r="BC259">
        <v>214.5</v>
      </c>
      <c r="BD259">
        <v>106.32314693113074</v>
      </c>
      <c r="BE259" s="82">
        <f t="shared" si="69"/>
        <v>-0.28894898881075903</v>
      </c>
      <c r="BF259">
        <v>214.5</v>
      </c>
      <c r="BG259">
        <v>120939.94031989045</v>
      </c>
      <c r="BH259" t="s">
        <v>82</v>
      </c>
      <c r="BI259">
        <v>214.5</v>
      </c>
      <c r="BJ259">
        <v>106.92066158507264</v>
      </c>
      <c r="BK259" s="82">
        <f t="shared" si="70"/>
        <v>-0.27091371373605</v>
      </c>
      <c r="BL259">
        <v>214.5</v>
      </c>
      <c r="BM259">
        <v>115058.01023906399</v>
      </c>
      <c r="BN259" t="s">
        <v>82</v>
      </c>
      <c r="BO259">
        <v>214.5</v>
      </c>
      <c r="BP259">
        <v>107.45480681409117</v>
      </c>
      <c r="BQ259" s="82">
        <f t="shared" si="71"/>
        <v>-0.25380295044121226</v>
      </c>
      <c r="BR259">
        <v>214.5</v>
      </c>
      <c r="BS259">
        <v>109582.81548489111</v>
      </c>
      <c r="BT259" t="s">
        <v>82</v>
      </c>
      <c r="BU259">
        <v>214.5</v>
      </c>
      <c r="BV259">
        <v>107.92739968519012</v>
      </c>
      <c r="BW259" s="82">
        <f t="shared" si="72"/>
        <v>-0.23772077315690865</v>
      </c>
      <c r="BX259">
        <v>214.5</v>
      </c>
      <c r="BY259">
        <v>104553.14326265857</v>
      </c>
      <c r="BZ259" t="s">
        <v>82</v>
      </c>
      <c r="CA259">
        <v>214.5</v>
      </c>
      <c r="CB259">
        <v>108.34360434512067</v>
      </c>
      <c r="CC259" s="82">
        <f t="shared" si="73"/>
        <v>-0.22315160700983938</v>
      </c>
      <c r="CD259">
        <v>214.5</v>
      </c>
      <c r="CE259">
        <v>100115.23173045146</v>
      </c>
      <c r="CF259" t="s">
        <v>82</v>
      </c>
      <c r="CG259">
        <v>214.5</v>
      </c>
      <c r="CH259">
        <v>108.71021451497501</v>
      </c>
      <c r="CI259" s="82">
        <f t="shared" si="74"/>
        <v>-0.20989258919098575</v>
      </c>
      <c r="CJ259">
        <v>214.5</v>
      </c>
      <c r="CK259">
        <v>96195.771825251824</v>
      </c>
      <c r="CL259" t="s">
        <v>82</v>
      </c>
      <c r="CM259">
        <v>214.5</v>
      </c>
      <c r="CN259">
        <v>109.0329636708247</v>
      </c>
      <c r="CO259" s="82">
        <f t="shared" si="75"/>
        <v>-0.19778175975957879</v>
      </c>
      <c r="CP259">
        <v>214.5</v>
      </c>
      <c r="CQ259">
        <v>92735.743987270063</v>
      </c>
      <c r="CR259" t="s">
        <v>82</v>
      </c>
      <c r="CS259">
        <v>214.5</v>
      </c>
      <c r="CT259">
        <v>109.31683593707577</v>
      </c>
      <c r="CU259" s="82">
        <f t="shared" si="76"/>
        <v>-0.18668972054379651</v>
      </c>
      <c r="CV259">
        <v>214.5</v>
      </c>
      <c r="CW259">
        <v>89687.303239160276</v>
      </c>
      <c r="CX259" t="s">
        <v>82</v>
      </c>
      <c r="CY259">
        <v>214.5</v>
      </c>
      <c r="CZ259">
        <v>109.56346753787734</v>
      </c>
      <c r="DA259" s="82">
        <f t="shared" si="77"/>
        <v>-0.17629630956368203</v>
      </c>
      <c r="DB259">
        <v>214.5</v>
      </c>
      <c r="DC259">
        <v>86956.657649082466</v>
      </c>
      <c r="DD259" t="s">
        <v>82</v>
      </c>
      <c r="DG259" s="82">
        <f t="shared" si="78"/>
        <v>0</v>
      </c>
      <c r="DM259" s="82">
        <f t="shared" si="79"/>
        <v>0</v>
      </c>
    </row>
    <row r="260" spans="1:117" x14ac:dyDescent="0.2">
      <c r="A260">
        <v>215.5</v>
      </c>
      <c r="B260">
        <v>97.548994819946586</v>
      </c>
      <c r="C260" s="82">
        <f t="shared" si="60"/>
        <v>-0.4510199552999552</v>
      </c>
      <c r="D260">
        <v>215.5</v>
      </c>
      <c r="E260">
        <v>174882.30303191295</v>
      </c>
      <c r="F260" t="s">
        <v>82</v>
      </c>
      <c r="G260">
        <v>215.5</v>
      </c>
      <c r="H260">
        <v>98.700677232947598</v>
      </c>
      <c r="I260" s="82">
        <f t="shared" si="61"/>
        <v>-0.44111275496955216</v>
      </c>
      <c r="J260">
        <v>215.5</v>
      </c>
      <c r="K260">
        <v>171971.32620769989</v>
      </c>
      <c r="L260" t="s">
        <v>82</v>
      </c>
      <c r="M260">
        <v>215.5</v>
      </c>
      <c r="N260">
        <v>99.823581062458217</v>
      </c>
      <c r="O260" s="82">
        <f t="shared" si="62"/>
        <v>-0.42673326721843807</v>
      </c>
      <c r="P260">
        <v>215.5</v>
      </c>
      <c r="Q260">
        <v>167336.62058503501</v>
      </c>
      <c r="R260" t="s">
        <v>82</v>
      </c>
      <c r="S260">
        <v>215.5</v>
      </c>
      <c r="T260">
        <v>100.90269487391538</v>
      </c>
      <c r="U260" s="82">
        <f t="shared" si="63"/>
        <v>-0.40924985196039643</v>
      </c>
      <c r="V260">
        <v>215.5</v>
      </c>
      <c r="W260">
        <v>161508.19382017775</v>
      </c>
      <c r="X260" t="s">
        <v>82</v>
      </c>
      <c r="Y260">
        <v>215.5</v>
      </c>
      <c r="Z260">
        <v>101.92641012281067</v>
      </c>
      <c r="AA260" s="82">
        <f t="shared" si="64"/>
        <v>-0.3898514063222791</v>
      </c>
      <c r="AB260">
        <v>215.5</v>
      </c>
      <c r="AC260">
        <v>154947.40055378262</v>
      </c>
      <c r="AD260" t="s">
        <v>82</v>
      </c>
      <c r="AE260">
        <v>215.5</v>
      </c>
      <c r="AF260">
        <v>102.88617910032363</v>
      </c>
      <c r="AG260" s="82">
        <f t="shared" si="65"/>
        <v>-0.36948616838371606</v>
      </c>
      <c r="AH260">
        <v>215.5</v>
      </c>
      <c r="AI260">
        <v>148023.80135341003</v>
      </c>
      <c r="AJ260" t="s">
        <v>82</v>
      </c>
      <c r="AK260">
        <v>215.5</v>
      </c>
      <c r="AL260">
        <v>103.77748762816753</v>
      </c>
      <c r="AM260" s="82">
        <f t="shared" si="66"/>
        <v>-0.34887724106637563</v>
      </c>
      <c r="AN260">
        <v>215.5</v>
      </c>
      <c r="AO260">
        <v>141021.69535964594</v>
      </c>
      <c r="AP260" t="s">
        <v>82</v>
      </c>
      <c r="AQ260">
        <v>215.5</v>
      </c>
      <c r="AR260">
        <v>104.59948202477977</v>
      </c>
      <c r="AS260" s="82">
        <f t="shared" si="67"/>
        <v>-0.32849929107386799</v>
      </c>
      <c r="AT260">
        <v>215.5</v>
      </c>
      <c r="AU260">
        <v>134132.03392386489</v>
      </c>
      <c r="AV260" t="s">
        <v>82</v>
      </c>
      <c r="AW260">
        <v>215.5</v>
      </c>
      <c r="AX260">
        <v>105.35092083800811</v>
      </c>
      <c r="AY260" s="82">
        <f t="shared" si="68"/>
        <v>-0.30872684106682868</v>
      </c>
      <c r="AZ260">
        <v>215.5</v>
      </c>
      <c r="BA260">
        <v>127503.70550849814</v>
      </c>
      <c r="BB260" t="s">
        <v>82</v>
      </c>
      <c r="BC260">
        <v>215.5</v>
      </c>
      <c r="BD260">
        <v>106.03338294448147</v>
      </c>
      <c r="BE260" s="82">
        <f t="shared" si="69"/>
        <v>-0.28976398664926251</v>
      </c>
      <c r="BF260">
        <v>215.5</v>
      </c>
      <c r="BG260">
        <v>121221.74959558032</v>
      </c>
      <c r="BH260" t="s">
        <v>82</v>
      </c>
      <c r="BI260">
        <v>215.5</v>
      </c>
      <c r="BJ260">
        <v>106.64898790316224</v>
      </c>
      <c r="BK260" s="82">
        <f t="shared" si="70"/>
        <v>-0.27167368191039998</v>
      </c>
      <c r="BL260">
        <v>215.5</v>
      </c>
      <c r="BM260">
        <v>115319.47899611999</v>
      </c>
      <c r="BN260" t="s">
        <v>82</v>
      </c>
      <c r="BO260">
        <v>215.5</v>
      </c>
      <c r="BP260">
        <v>107.20030679949757</v>
      </c>
      <c r="BQ260" s="82">
        <f t="shared" si="71"/>
        <v>-0.25450001459360294</v>
      </c>
      <c r="BR260">
        <v>215.5</v>
      </c>
      <c r="BS260">
        <v>109820.80887529277</v>
      </c>
      <c r="BT260" t="s">
        <v>82</v>
      </c>
      <c r="BU260">
        <v>215.5</v>
      </c>
      <c r="BV260">
        <v>107.68904608705884</v>
      </c>
      <c r="BW260" s="82">
        <f t="shared" si="72"/>
        <v>-0.23835359813128321</v>
      </c>
      <c r="BX260">
        <v>215.5</v>
      </c>
      <c r="BY260">
        <v>104767.07035582761</v>
      </c>
      <c r="BZ260" t="s">
        <v>82</v>
      </c>
      <c r="CA260">
        <v>215.5</v>
      </c>
      <c r="CB260">
        <v>108.11987952166491</v>
      </c>
      <c r="CC260" s="82">
        <f t="shared" si="73"/>
        <v>-0.22372482345575406</v>
      </c>
      <c r="CD260">
        <v>215.5</v>
      </c>
      <c r="CE260">
        <v>100306.77590563339</v>
      </c>
      <c r="CF260" t="s">
        <v>82</v>
      </c>
      <c r="CG260">
        <v>215.5</v>
      </c>
      <c r="CH260">
        <v>108.49980303350767</v>
      </c>
      <c r="CI260" s="82">
        <f t="shared" si="74"/>
        <v>-0.21041148146733235</v>
      </c>
      <c r="CJ260">
        <v>215.5</v>
      </c>
      <c r="CK260">
        <v>96366.893567840059</v>
      </c>
      <c r="CL260" t="s">
        <v>82</v>
      </c>
      <c r="CM260">
        <v>215.5</v>
      </c>
      <c r="CN260">
        <v>108.83471210561088</v>
      </c>
      <c r="CO260" s="82">
        <f t="shared" si="75"/>
        <v>-0.19825156521382326</v>
      </c>
      <c r="CP260">
        <v>215.5</v>
      </c>
      <c r="CQ260">
        <v>92888.4009769978</v>
      </c>
      <c r="CR260" t="s">
        <v>82</v>
      </c>
      <c r="CS260">
        <v>215.5</v>
      </c>
      <c r="CT260">
        <v>109.12972056820109</v>
      </c>
      <c r="CU260" s="82">
        <f t="shared" si="76"/>
        <v>-0.18711536887467162</v>
      </c>
      <c r="CV260">
        <v>215.5</v>
      </c>
      <c r="CW260">
        <v>89823.344392938117</v>
      </c>
      <c r="CX260" t="s">
        <v>82</v>
      </c>
      <c r="CY260">
        <v>215.5</v>
      </c>
      <c r="CZ260">
        <v>109.38678619018411</v>
      </c>
      <c r="DA260" s="82">
        <f t="shared" si="77"/>
        <v>-0.17668134769323274</v>
      </c>
      <c r="DB260">
        <v>215.5</v>
      </c>
      <c r="DC260">
        <v>87077.423898839159</v>
      </c>
      <c r="DD260" t="s">
        <v>82</v>
      </c>
      <c r="DG260" s="82">
        <f t="shared" si="78"/>
        <v>0</v>
      </c>
      <c r="DM260" s="82">
        <f t="shared" si="79"/>
        <v>0</v>
      </c>
    </row>
    <row r="261" spans="1:117" x14ac:dyDescent="0.2">
      <c r="A261">
        <v>216.5</v>
      </c>
      <c r="B261">
        <v>97.102138503788083</v>
      </c>
      <c r="C261" s="82">
        <f t="shared" si="60"/>
        <v>-0.44685631615850241</v>
      </c>
      <c r="D261">
        <v>216.5</v>
      </c>
      <c r="E261">
        <v>173221.72997401789</v>
      </c>
      <c r="F261" t="s">
        <v>82</v>
      </c>
      <c r="G261">
        <v>216.5</v>
      </c>
      <c r="H261">
        <v>98.261991650516535</v>
      </c>
      <c r="I261" s="82">
        <f t="shared" si="61"/>
        <v>-0.43868558243106293</v>
      </c>
      <c r="J261">
        <v>216.5</v>
      </c>
      <c r="K261">
        <v>170984.51716521068</v>
      </c>
      <c r="L261" t="s">
        <v>82</v>
      </c>
      <c r="M261">
        <v>216.5</v>
      </c>
      <c r="N261">
        <v>99.398026987067695</v>
      </c>
      <c r="O261" s="82">
        <f t="shared" si="62"/>
        <v>-0.42555407539052226</v>
      </c>
      <c r="P261">
        <v>216.5</v>
      </c>
      <c r="Q261">
        <v>166835.02409112235</v>
      </c>
      <c r="R261" t="s">
        <v>82</v>
      </c>
      <c r="S261">
        <v>216.5</v>
      </c>
      <c r="T261">
        <v>100.49376693753055</v>
      </c>
      <c r="U261" s="82">
        <f t="shared" si="63"/>
        <v>-0.40892793638482772</v>
      </c>
      <c r="V261">
        <v>216.5</v>
      </c>
      <c r="W261">
        <v>161340.73144817763</v>
      </c>
      <c r="X261" t="s">
        <v>82</v>
      </c>
      <c r="Y261">
        <v>216.5</v>
      </c>
      <c r="Z261">
        <v>101.53632376019239</v>
      </c>
      <c r="AA261" s="82">
        <f t="shared" si="64"/>
        <v>-0.39008636261827689</v>
      </c>
      <c r="AB261">
        <v>216.5</v>
      </c>
      <c r="AC261">
        <v>154997.70129369761</v>
      </c>
      <c r="AD261" t="s">
        <v>82</v>
      </c>
      <c r="AE261">
        <v>216.5</v>
      </c>
      <c r="AF261">
        <v>102.51612368752612</v>
      </c>
      <c r="AG261" s="82">
        <f t="shared" si="65"/>
        <v>-0.37005541279751242</v>
      </c>
      <c r="AH261">
        <v>216.5</v>
      </c>
      <c r="AI261">
        <v>148205.47827519983</v>
      </c>
      <c r="AJ261" t="s">
        <v>82</v>
      </c>
      <c r="AK261">
        <v>216.5</v>
      </c>
      <c r="AL261">
        <v>103.42786294900438</v>
      </c>
      <c r="AM261" s="82">
        <f t="shared" si="66"/>
        <v>-0.34962467916315632</v>
      </c>
      <c r="AN261">
        <v>216.5</v>
      </c>
      <c r="AO261">
        <v>141274.05320385439</v>
      </c>
      <c r="AP261" t="s">
        <v>82</v>
      </c>
      <c r="AQ261">
        <v>216.5</v>
      </c>
      <c r="AR261">
        <v>104.27016095268088</v>
      </c>
      <c r="AS261" s="82">
        <f t="shared" si="67"/>
        <v>-0.32932107209889239</v>
      </c>
      <c r="AT261">
        <v>216.5</v>
      </c>
      <c r="AU261">
        <v>134414.61604906531</v>
      </c>
      <c r="AV261" t="s">
        <v>82</v>
      </c>
      <c r="AW261">
        <v>216.5</v>
      </c>
      <c r="AX261">
        <v>105.04136373420172</v>
      </c>
      <c r="AY261" s="82">
        <f t="shared" si="68"/>
        <v>-0.30955710380638379</v>
      </c>
      <c r="AZ261">
        <v>216.5</v>
      </c>
      <c r="BA261">
        <v>127790.79480879693</v>
      </c>
      <c r="BB261" t="s">
        <v>82</v>
      </c>
      <c r="BC261">
        <v>216.5</v>
      </c>
      <c r="BD261">
        <v>105.74281873681977</v>
      </c>
      <c r="BE261" s="82">
        <f t="shared" si="69"/>
        <v>-0.29056420766170277</v>
      </c>
      <c r="BF261">
        <v>216.5</v>
      </c>
      <c r="BG261">
        <v>121498.26125931901</v>
      </c>
      <c r="BH261" t="s">
        <v>82</v>
      </c>
      <c r="BI261">
        <v>216.5</v>
      </c>
      <c r="BJ261">
        <v>106.37656477082425</v>
      </c>
      <c r="BK261" s="82">
        <f t="shared" si="70"/>
        <v>-0.27242313233799109</v>
      </c>
      <c r="BL261">
        <v>216.5</v>
      </c>
      <c r="BM261">
        <v>115577.26668334646</v>
      </c>
      <c r="BN261" t="s">
        <v>82</v>
      </c>
      <c r="BO261">
        <v>216.5</v>
      </c>
      <c r="BP261">
        <v>106.94511750484473</v>
      </c>
      <c r="BQ261" s="82">
        <f t="shared" si="71"/>
        <v>-0.25518929465283691</v>
      </c>
      <c r="BR261">
        <v>216.5</v>
      </c>
      <c r="BS261">
        <v>110056.14667980574</v>
      </c>
      <c r="BT261" t="s">
        <v>82</v>
      </c>
      <c r="BU261">
        <v>216.5</v>
      </c>
      <c r="BV261">
        <v>107.45006562329337</v>
      </c>
      <c r="BW261" s="82">
        <f t="shared" si="72"/>
        <v>-0.238980463765472</v>
      </c>
      <c r="BX261">
        <v>216.5</v>
      </c>
      <c r="BY261">
        <v>104979.01704653706</v>
      </c>
      <c r="BZ261" t="s">
        <v>82</v>
      </c>
      <c r="CA261">
        <v>216.5</v>
      </c>
      <c r="CB261">
        <v>107.89558618674357</v>
      </c>
      <c r="CC261" s="82">
        <f t="shared" si="73"/>
        <v>-0.22429333492134162</v>
      </c>
      <c r="CD261">
        <v>216.5</v>
      </c>
      <c r="CE261">
        <v>100496.7975168601</v>
      </c>
      <c r="CF261" t="s">
        <v>82</v>
      </c>
      <c r="CG261">
        <v>216.5</v>
      </c>
      <c r="CH261">
        <v>108.28887644933845</v>
      </c>
      <c r="CI261" s="82">
        <f t="shared" si="74"/>
        <v>-0.21092658416922916</v>
      </c>
      <c r="CJ261">
        <v>216.5</v>
      </c>
      <c r="CK261">
        <v>96536.822792623469</v>
      </c>
      <c r="CL261" t="s">
        <v>82</v>
      </c>
      <c r="CM261">
        <v>216.5</v>
      </c>
      <c r="CN261">
        <v>108.63599382770617</v>
      </c>
      <c r="CO261" s="82">
        <f t="shared" si="75"/>
        <v>-0.1987182779047032</v>
      </c>
      <c r="CP261">
        <v>216.5</v>
      </c>
      <c r="CQ261">
        <v>93040.113979232032</v>
      </c>
      <c r="CR261" t="s">
        <v>82</v>
      </c>
      <c r="CS261">
        <v>216.5</v>
      </c>
      <c r="CT261">
        <v>108.94218209910099</v>
      </c>
      <c r="CU261" s="82">
        <f t="shared" si="76"/>
        <v>-0.18753846910010452</v>
      </c>
      <c r="CV261">
        <v>216.5</v>
      </c>
      <c r="CW261">
        <v>89958.633888751458</v>
      </c>
      <c r="CX261" t="s">
        <v>82</v>
      </c>
      <c r="CY261">
        <v>216.5</v>
      </c>
      <c r="CZ261">
        <v>109.20972191245878</v>
      </c>
      <c r="DA261" s="82">
        <f t="shared" si="77"/>
        <v>-0.17706427772533573</v>
      </c>
      <c r="DB261">
        <v>216.5</v>
      </c>
      <c r="DC261">
        <v>87197.592245394801</v>
      </c>
      <c r="DD261" t="s">
        <v>82</v>
      </c>
      <c r="DG261" s="82">
        <f t="shared" si="78"/>
        <v>0</v>
      </c>
      <c r="DM261" s="82">
        <f t="shared" si="79"/>
        <v>0</v>
      </c>
    </row>
    <row r="262" spans="1:117" x14ac:dyDescent="0.2">
      <c r="A262">
        <v>217.5</v>
      </c>
      <c r="B262">
        <v>96.659999547015119</v>
      </c>
      <c r="C262" s="82">
        <f t="shared" ref="C262:C325" si="80">B262-B261</f>
        <v>-0.44213895677296478</v>
      </c>
      <c r="D262">
        <v>217.5</v>
      </c>
      <c r="E262">
        <v>171347.20132248421</v>
      </c>
      <c r="F262" t="s">
        <v>82</v>
      </c>
      <c r="G262">
        <v>217.5</v>
      </c>
      <c r="H262">
        <v>97.826130645771798</v>
      </c>
      <c r="I262" s="82">
        <f t="shared" ref="I262:I325" si="81">H262-H261</f>
        <v>-0.4358610047447371</v>
      </c>
      <c r="J262">
        <v>217.5</v>
      </c>
      <c r="K262">
        <v>169844.22827656215</v>
      </c>
      <c r="L262" t="s">
        <v>82</v>
      </c>
      <c r="M262">
        <v>217.5</v>
      </c>
      <c r="N262">
        <v>98.973930058563042</v>
      </c>
      <c r="O262" s="82">
        <f t="shared" ref="O262:O325" si="82">N262-N261</f>
        <v>-0.42409692850465319</v>
      </c>
      <c r="P262">
        <v>217.5</v>
      </c>
      <c r="Q262">
        <v>166226.20091133376</v>
      </c>
      <c r="R262" t="s">
        <v>82</v>
      </c>
      <c r="S262">
        <v>217.5</v>
      </c>
      <c r="T262">
        <v>100.08535045749731</v>
      </c>
      <c r="U262" s="82">
        <f t="shared" ref="U262:U325" si="83">T262-T261</f>
        <v>-0.40841648003323883</v>
      </c>
      <c r="V262">
        <v>217.5</v>
      </c>
      <c r="W262">
        <v>161100.30190415832</v>
      </c>
      <c r="X262" t="s">
        <v>82</v>
      </c>
      <c r="Y262">
        <v>217.5</v>
      </c>
      <c r="Z262">
        <v>101.14612869099318</v>
      </c>
      <c r="AA262" s="82">
        <f t="shared" ref="AA262:AA325" si="84">Z262-Z261</f>
        <v>-0.39019506919920843</v>
      </c>
      <c r="AB262">
        <v>217.5</v>
      </c>
      <c r="AC262">
        <v>154999.57059165146</v>
      </c>
      <c r="AD262" t="s">
        <v>82</v>
      </c>
      <c r="AE262">
        <v>217.5</v>
      </c>
      <c r="AF262">
        <v>102.14558162904588</v>
      </c>
      <c r="AG262" s="82">
        <f t="shared" ref="AG262:AG325" si="85">AF262-AF261</f>
        <v>-0.37054205848023969</v>
      </c>
      <c r="AH262">
        <v>217.5</v>
      </c>
      <c r="AI262">
        <v>148355.64622206992</v>
      </c>
      <c r="AJ262" t="s">
        <v>82</v>
      </c>
      <c r="AK262">
        <v>217.5</v>
      </c>
      <c r="AL262">
        <v>103.07754432545502</v>
      </c>
      <c r="AM262" s="82">
        <f t="shared" ref="AM262:AM325" si="86">AL262-AL261</f>
        <v>-0.35031862354935583</v>
      </c>
      <c r="AN262">
        <v>217.5</v>
      </c>
      <c r="AO262">
        <v>141506.17840997758</v>
      </c>
      <c r="AP262" t="s">
        <v>82</v>
      </c>
      <c r="AQ262">
        <v>217.5</v>
      </c>
      <c r="AR262">
        <v>103.94005273817898</v>
      </c>
      <c r="AS262" s="82">
        <f t="shared" ref="AS262:AS325" si="87">AR262-AR261</f>
        <v>-0.33010821450190519</v>
      </c>
      <c r="AT262">
        <v>217.5</v>
      </c>
      <c r="AU262">
        <v>134684.25878992319</v>
      </c>
      <c r="AV262" t="s">
        <v>82</v>
      </c>
      <c r="AW262">
        <v>217.5</v>
      </c>
      <c r="AX262">
        <v>104.73099915665657</v>
      </c>
      <c r="AY262" s="82">
        <f t="shared" ref="AY262:AY325" si="88">AX262-AX261</f>
        <v>-0.31036457754515823</v>
      </c>
      <c r="AZ262">
        <v>217.5</v>
      </c>
      <c r="BA262">
        <v>128069.51347585866</v>
      </c>
      <c r="BB262" t="s">
        <v>82</v>
      </c>
      <c r="BC262">
        <v>217.5</v>
      </c>
      <c r="BD262">
        <v>105.45146976161308</v>
      </c>
      <c r="BE262" s="82">
        <f t="shared" ref="BE262:BE325" si="89">BD262-BD261</f>
        <v>-0.29134897520668801</v>
      </c>
      <c r="BF262">
        <v>217.5</v>
      </c>
      <c r="BG262">
        <v>121769.21509363186</v>
      </c>
      <c r="BH262" t="s">
        <v>82</v>
      </c>
      <c r="BI262">
        <v>217.5</v>
      </c>
      <c r="BJ262">
        <v>106.10340309252382</v>
      </c>
      <c r="BK262" s="82">
        <f t="shared" ref="BK262:BK325" si="90">BJ262-BJ261</f>
        <v>-0.27316167830042559</v>
      </c>
      <c r="BL262">
        <v>217.5</v>
      </c>
      <c r="BM262">
        <v>115831.2261258339</v>
      </c>
      <c r="BN262" t="s">
        <v>82</v>
      </c>
      <c r="BO262">
        <v>217.5</v>
      </c>
      <c r="BP262">
        <v>106.68924694505209</v>
      </c>
      <c r="BQ262" s="82">
        <f t="shared" ref="BQ262:BQ325" si="91">BP262-BP261</f>
        <v>-0.25587055979264051</v>
      </c>
      <c r="BR262">
        <v>217.5</v>
      </c>
      <c r="BS262">
        <v>110288.74221150058</v>
      </c>
      <c r="BT262" t="s">
        <v>82</v>
      </c>
      <c r="BU262">
        <v>217.5</v>
      </c>
      <c r="BV262">
        <v>107.21046440137735</v>
      </c>
      <c r="BW262" s="82">
        <f t="shared" ref="BW262:BW325" si="92">BV262-BV261</f>
        <v>-0.2396012219160184</v>
      </c>
      <c r="BX262">
        <v>217.5</v>
      </c>
      <c r="BY262">
        <v>105188.92849244601</v>
      </c>
      <c r="BZ262" t="s">
        <v>82</v>
      </c>
      <c r="CA262">
        <v>217.5</v>
      </c>
      <c r="CB262">
        <v>107.67072914902307</v>
      </c>
      <c r="CC262" s="82">
        <f t="shared" ref="CC262:CC325" si="93">CB262-CB261</f>
        <v>-0.22485703772049703</v>
      </c>
      <c r="CD262">
        <v>217.5</v>
      </c>
      <c r="CE262">
        <v>100685.25863695635</v>
      </c>
      <c r="CF262" t="s">
        <v>82</v>
      </c>
      <c r="CG262">
        <v>217.5</v>
      </c>
      <c r="CH262">
        <v>108.07743862945752</v>
      </c>
      <c r="CI262" s="82">
        <f t="shared" ref="CI262:CI325" si="94">CH262-CH261</f>
        <v>-0.21143781988092769</v>
      </c>
      <c r="CJ262">
        <v>217.5</v>
      </c>
      <c r="CK262">
        <v>96705.531452195326</v>
      </c>
      <c r="CL262" t="s">
        <v>82</v>
      </c>
      <c r="CM262">
        <v>217.5</v>
      </c>
      <c r="CN262">
        <v>108.43681199002359</v>
      </c>
      <c r="CO262" s="82">
        <f t="shared" ref="CO262:CO325" si="95">CN262-CN261</f>
        <v>-0.19918183768258757</v>
      </c>
      <c r="CP262">
        <v>217.5</v>
      </c>
      <c r="CQ262">
        <v>93190.861332340748</v>
      </c>
      <c r="CR262" t="s">
        <v>82</v>
      </c>
      <c r="CS262">
        <v>217.5</v>
      </c>
      <c r="CT262">
        <v>108.7542231256745</v>
      </c>
      <c r="CU262" s="82">
        <f t="shared" ref="CU262:CU325" si="96">CT262-CT261</f>
        <v>-0.18795897342648971</v>
      </c>
      <c r="CV262">
        <v>217.5</v>
      </c>
      <c r="CW262">
        <v>90093.154575599954</v>
      </c>
      <c r="CX262" t="s">
        <v>82</v>
      </c>
      <c r="CY262">
        <v>217.5</v>
      </c>
      <c r="CZ262">
        <v>109.03227685105166</v>
      </c>
      <c r="DA262" s="82">
        <f t="shared" ref="DA262:DA325" si="97">CZ262-CZ261</f>
        <v>-0.1774450614071128</v>
      </c>
      <c r="DB262">
        <v>217.5</v>
      </c>
      <c r="DC262">
        <v>87317.149049771164</v>
      </c>
      <c r="DD262" t="s">
        <v>82</v>
      </c>
      <c r="DG262" s="82">
        <f t="shared" ref="DG262:DG325" si="98">DF262-DF261</f>
        <v>0</v>
      </c>
      <c r="DM262" s="82">
        <f t="shared" ref="DM262:DM325" si="99">DL262-DL261</f>
        <v>0</v>
      </c>
    </row>
    <row r="263" spans="1:117" x14ac:dyDescent="0.2">
      <c r="A263">
        <v>218.5</v>
      </c>
      <c r="B263">
        <v>96.223177329401139</v>
      </c>
      <c r="C263" s="82">
        <f t="shared" si="80"/>
        <v>-0.43682221761397955</v>
      </c>
      <c r="D263">
        <v>218.5</v>
      </c>
      <c r="E263">
        <v>169240.95857666575</v>
      </c>
      <c r="F263" t="s">
        <v>82</v>
      </c>
      <c r="G263">
        <v>218.5</v>
      </c>
      <c r="H263">
        <v>97.393524689931681</v>
      </c>
      <c r="I263" s="82">
        <f t="shared" si="81"/>
        <v>-0.43260595584011696</v>
      </c>
      <c r="J263">
        <v>218.5</v>
      </c>
      <c r="K263">
        <v>168537.58756871973</v>
      </c>
      <c r="L263" t="s">
        <v>82</v>
      </c>
      <c r="M263">
        <v>218.5</v>
      </c>
      <c r="N263">
        <v>98.551591435905834</v>
      </c>
      <c r="O263" s="82">
        <f t="shared" si="82"/>
        <v>-0.42233862265720745</v>
      </c>
      <c r="P263">
        <v>218.5</v>
      </c>
      <c r="Q263">
        <v>165501.11105339529</v>
      </c>
      <c r="R263" t="s">
        <v>82</v>
      </c>
      <c r="S263">
        <v>218.5</v>
      </c>
      <c r="T263">
        <v>99.677650712354591</v>
      </c>
      <c r="U263" s="82">
        <f t="shared" si="83"/>
        <v>-0.40769974514272178</v>
      </c>
      <c r="V263">
        <v>218.5</v>
      </c>
      <c r="W263">
        <v>160780.76982334169</v>
      </c>
      <c r="X263" t="s">
        <v>82</v>
      </c>
      <c r="Y263">
        <v>218.5</v>
      </c>
      <c r="Z263">
        <v>100.7559614542013</v>
      </c>
      <c r="AA263" s="82">
        <f t="shared" si="84"/>
        <v>-0.39016723679188203</v>
      </c>
      <c r="AB263">
        <v>218.5</v>
      </c>
      <c r="AC263">
        <v>154948.99537285022</v>
      </c>
      <c r="AD263" t="s">
        <v>82</v>
      </c>
      <c r="AE263">
        <v>218.5</v>
      </c>
      <c r="AF263">
        <v>101.77464200569959</v>
      </c>
      <c r="AG263" s="82">
        <f t="shared" si="85"/>
        <v>-0.37093962334628827</v>
      </c>
      <c r="AH263">
        <v>218.5</v>
      </c>
      <c r="AI263">
        <v>148471.77687037669</v>
      </c>
      <c r="AJ263" t="s">
        <v>82</v>
      </c>
      <c r="AK263">
        <v>218.5</v>
      </c>
      <c r="AL263">
        <v>102.7265891850252</v>
      </c>
      <c r="AM263" s="82">
        <f t="shared" si="86"/>
        <v>-0.3509551404298179</v>
      </c>
      <c r="AN263">
        <v>218.5</v>
      </c>
      <c r="AO263">
        <v>141716.5375147344</v>
      </c>
      <c r="AP263" t="s">
        <v>82</v>
      </c>
      <c r="AQ263">
        <v>218.5</v>
      </c>
      <c r="AR263">
        <v>103.60919431951513</v>
      </c>
      <c r="AS263" s="82">
        <f t="shared" si="87"/>
        <v>-0.33085841866385124</v>
      </c>
      <c r="AT263">
        <v>218.5</v>
      </c>
      <c r="AU263">
        <v>134940.06727829826</v>
      </c>
      <c r="AV263" t="s">
        <v>82</v>
      </c>
      <c r="AW263">
        <v>218.5</v>
      </c>
      <c r="AX263">
        <v>104.41985120026681</v>
      </c>
      <c r="AY263" s="82">
        <f t="shared" si="88"/>
        <v>-0.31114795638976034</v>
      </c>
      <c r="AZ263">
        <v>218.5</v>
      </c>
      <c r="BA263">
        <v>128339.35511104093</v>
      </c>
      <c r="BB263" t="s">
        <v>82</v>
      </c>
      <c r="BC263">
        <v>218.5</v>
      </c>
      <c r="BD263">
        <v>105.15935220246551</v>
      </c>
      <c r="BE263" s="82">
        <f t="shared" si="89"/>
        <v>-0.2921175591475702</v>
      </c>
      <c r="BF263">
        <v>218.5</v>
      </c>
      <c r="BG263">
        <v>122034.32975051059</v>
      </c>
      <c r="BH263" t="s">
        <v>82</v>
      </c>
      <c r="BI263">
        <v>218.5</v>
      </c>
      <c r="BJ263">
        <v>105.82951418440288</v>
      </c>
      <c r="BK263" s="82">
        <f t="shared" si="90"/>
        <v>-0.27388890812093791</v>
      </c>
      <c r="BL263">
        <v>218.5</v>
      </c>
      <c r="BM263">
        <v>116081.20025055336</v>
      </c>
      <c r="BN263" t="s">
        <v>82</v>
      </c>
      <c r="BO263">
        <v>218.5</v>
      </c>
      <c r="BP263">
        <v>106.43270337657297</v>
      </c>
      <c r="BQ263" s="82">
        <f t="shared" si="91"/>
        <v>-0.25654356847911686</v>
      </c>
      <c r="BR263">
        <v>218.5</v>
      </c>
      <c r="BS263">
        <v>110518.50456508977</v>
      </c>
      <c r="BT263" t="s">
        <v>82</v>
      </c>
      <c r="BU263">
        <v>218.5</v>
      </c>
      <c r="BV263">
        <v>106.97024868116007</v>
      </c>
      <c r="BW263" s="82">
        <f t="shared" si="92"/>
        <v>-0.24021572021727877</v>
      </c>
      <c r="BX263">
        <v>218.5</v>
      </c>
      <c r="BY263">
        <v>105396.74817992728</v>
      </c>
      <c r="BZ263" t="s">
        <v>82</v>
      </c>
      <c r="CA263">
        <v>218.5</v>
      </c>
      <c r="CB263">
        <v>107.44531332242676</v>
      </c>
      <c r="CC263" s="82">
        <f t="shared" si="93"/>
        <v>-0.22541582659631842</v>
      </c>
      <c r="CD263">
        <v>218.5</v>
      </c>
      <c r="CE263">
        <v>100872.12072996596</v>
      </c>
      <c r="CF263" t="s">
        <v>82</v>
      </c>
      <c r="CG263">
        <v>218.5</v>
      </c>
      <c r="CH263">
        <v>107.86549351883414</v>
      </c>
      <c r="CI263" s="82">
        <f t="shared" si="94"/>
        <v>-0.2119451106233754</v>
      </c>
      <c r="CJ263">
        <v>218.5</v>
      </c>
      <c r="CK263">
        <v>96872.991236873175</v>
      </c>
      <c r="CL263" t="s">
        <v>82</v>
      </c>
      <c r="CM263">
        <v>218.5</v>
      </c>
      <c r="CN263">
        <v>108.23716980584555</v>
      </c>
      <c r="CO263" s="82">
        <f t="shared" si="95"/>
        <v>-0.19964218417803181</v>
      </c>
      <c r="CP263">
        <v>218.5</v>
      </c>
      <c r="CQ263">
        <v>93340.621285580724</v>
      </c>
      <c r="CR263" t="s">
        <v>82</v>
      </c>
      <c r="CS263">
        <v>218.5</v>
      </c>
      <c r="CT263">
        <v>108.56584629171941</v>
      </c>
      <c r="CU263" s="82">
        <f t="shared" si="96"/>
        <v>-0.18837683395508975</v>
      </c>
      <c r="CV263">
        <v>218.5</v>
      </c>
      <c r="CW263">
        <v>90226.889290161838</v>
      </c>
      <c r="CX263" t="s">
        <v>82</v>
      </c>
      <c r="CY263">
        <v>218.5</v>
      </c>
      <c r="CZ263">
        <v>108.85445319064411</v>
      </c>
      <c r="DA263" s="82">
        <f t="shared" si="97"/>
        <v>-0.17782366040755448</v>
      </c>
      <c r="DB263">
        <v>218.5</v>
      </c>
      <c r="DC263">
        <v>87436.080627964038</v>
      </c>
      <c r="DD263" t="s">
        <v>82</v>
      </c>
      <c r="DG263" s="82">
        <f t="shared" si="98"/>
        <v>0</v>
      </c>
      <c r="DM263" s="82">
        <f t="shared" si="99"/>
        <v>0</v>
      </c>
    </row>
    <row r="264" spans="1:117" x14ac:dyDescent="0.2">
      <c r="A264">
        <v>219.5</v>
      </c>
      <c r="B264">
        <v>95.792321054664896</v>
      </c>
      <c r="C264" s="82">
        <f t="shared" si="80"/>
        <v>-0.43085627473624299</v>
      </c>
      <c r="D264">
        <v>219.5</v>
      </c>
      <c r="E264">
        <v>166883.6212695649</v>
      </c>
      <c r="F264" t="s">
        <v>82</v>
      </c>
      <c r="G264">
        <v>219.5</v>
      </c>
      <c r="H264">
        <v>96.964640391248949</v>
      </c>
      <c r="I264" s="82">
        <f t="shared" si="81"/>
        <v>-0.42888429868273192</v>
      </c>
      <c r="J264">
        <v>219.5</v>
      </c>
      <c r="K264">
        <v>167050.52507204635</v>
      </c>
      <c r="L264" t="s">
        <v>82</v>
      </c>
      <c r="M264">
        <v>219.5</v>
      </c>
      <c r="N264">
        <v>98.131337675742444</v>
      </c>
      <c r="O264" s="82">
        <f t="shared" si="82"/>
        <v>-0.42025376016339067</v>
      </c>
      <c r="P264">
        <v>219.5</v>
      </c>
      <c r="Q264">
        <v>164649.85752976293</v>
      </c>
      <c r="R264" t="s">
        <v>82</v>
      </c>
      <c r="S264">
        <v>219.5</v>
      </c>
      <c r="T264">
        <v>99.270890230964113</v>
      </c>
      <c r="U264" s="82">
        <f t="shared" si="83"/>
        <v>-0.40676048139047793</v>
      </c>
      <c r="V264">
        <v>219.5</v>
      </c>
      <c r="W264">
        <v>160375.40819188656</v>
      </c>
      <c r="X264" t="s">
        <v>82</v>
      </c>
      <c r="Y264">
        <v>219.5</v>
      </c>
      <c r="Z264">
        <v>100.36596988020133</v>
      </c>
      <c r="AA264" s="82">
        <f t="shared" si="84"/>
        <v>-0.3899915739999642</v>
      </c>
      <c r="AB264">
        <v>219.5</v>
      </c>
      <c r="AC264">
        <v>154841.57008764328</v>
      </c>
      <c r="AD264" t="s">
        <v>82</v>
      </c>
      <c r="AE264">
        <v>219.5</v>
      </c>
      <c r="AF264">
        <v>101.40340101644541</v>
      </c>
      <c r="AG264" s="82">
        <f t="shared" si="85"/>
        <v>-0.3712409892541757</v>
      </c>
      <c r="AH264">
        <v>219.5</v>
      </c>
      <c r="AI264">
        <v>148551.09240925955</v>
      </c>
      <c r="AJ264" t="s">
        <v>82</v>
      </c>
      <c r="AK264">
        <v>219.5</v>
      </c>
      <c r="AL264">
        <v>102.37505927394109</v>
      </c>
      <c r="AM264" s="82">
        <f t="shared" si="86"/>
        <v>-0.35152991108411413</v>
      </c>
      <c r="AN264">
        <v>219.5</v>
      </c>
      <c r="AO264">
        <v>141903.44586332983</v>
      </c>
      <c r="AP264" t="s">
        <v>82</v>
      </c>
      <c r="AQ264">
        <v>219.5</v>
      </c>
      <c r="AR264">
        <v>103.27762515497595</v>
      </c>
      <c r="AS264" s="82">
        <f t="shared" si="87"/>
        <v>-0.33156916453917518</v>
      </c>
      <c r="AT264">
        <v>219.5</v>
      </c>
      <c r="AU264">
        <v>135181.05987421211</v>
      </c>
      <c r="AV264" t="s">
        <v>82</v>
      </c>
      <c r="AW264">
        <v>219.5</v>
      </c>
      <c r="AX264">
        <v>104.10794538475331</v>
      </c>
      <c r="AY264" s="82">
        <f t="shared" si="88"/>
        <v>-0.31190581551349794</v>
      </c>
      <c r="AZ264">
        <v>219.5</v>
      </c>
      <c r="BA264">
        <v>128599.76644505182</v>
      </c>
      <c r="BB264" t="s">
        <v>82</v>
      </c>
      <c r="BC264">
        <v>219.5</v>
      </c>
      <c r="BD264">
        <v>104.86648303312325</v>
      </c>
      <c r="BE264" s="82">
        <f t="shared" si="89"/>
        <v>-0.29286916934226781</v>
      </c>
      <c r="BF264">
        <v>219.5</v>
      </c>
      <c r="BG264">
        <v>122293.30017635977</v>
      </c>
      <c r="BH264" t="s">
        <v>82</v>
      </c>
      <c r="BI264">
        <v>219.5</v>
      </c>
      <c r="BJ264">
        <v>105.55490980239111</v>
      </c>
      <c r="BK264" s="82">
        <f t="shared" si="90"/>
        <v>-0.2746043820117734</v>
      </c>
      <c r="BL264">
        <v>219.5</v>
      </c>
      <c r="BM264">
        <v>116327.02084929822</v>
      </c>
      <c r="BN264" t="s">
        <v>82</v>
      </c>
      <c r="BO264">
        <v>219.5</v>
      </c>
      <c r="BP264">
        <v>106.17549530946712</v>
      </c>
      <c r="BQ264" s="82">
        <f t="shared" si="91"/>
        <v>-0.25720806710585009</v>
      </c>
      <c r="BR264">
        <v>219.5</v>
      </c>
      <c r="BS264">
        <v>110745.33801982962</v>
      </c>
      <c r="BT264" t="s">
        <v>82</v>
      </c>
      <c r="BU264">
        <v>219.5</v>
      </c>
      <c r="BV264">
        <v>106.729424879625</v>
      </c>
      <c r="BW264" s="82">
        <f t="shared" si="92"/>
        <v>-0.24082380153507188</v>
      </c>
      <c r="BX264">
        <v>219.5</v>
      </c>
      <c r="BY264">
        <v>105602.41769801213</v>
      </c>
      <c r="BZ264" t="s">
        <v>82</v>
      </c>
      <c r="CA264">
        <v>219.5</v>
      </c>
      <c r="CB264">
        <v>107.21934372792285</v>
      </c>
      <c r="CC264" s="82">
        <f t="shared" si="93"/>
        <v>-0.22596959450390841</v>
      </c>
      <c r="CD264">
        <v>219.5</v>
      </c>
      <c r="CE264">
        <v>101057.34452989443</v>
      </c>
      <c r="CF264" t="s">
        <v>82</v>
      </c>
      <c r="CG264">
        <v>219.5</v>
      </c>
      <c r="CH264">
        <v>107.65304514106697</v>
      </c>
      <c r="CI264" s="82">
        <f t="shared" si="94"/>
        <v>-0.21244837776717418</v>
      </c>
      <c r="CJ264">
        <v>219.5</v>
      </c>
      <c r="CK264">
        <v>97039.173608328565</v>
      </c>
      <c r="CL264" t="s">
        <v>82</v>
      </c>
      <c r="CM264">
        <v>219.5</v>
      </c>
      <c r="CN264">
        <v>108.03707054906575</v>
      </c>
      <c r="CO264" s="82">
        <f t="shared" si="95"/>
        <v>-0.20009925677980789</v>
      </c>
      <c r="CP264">
        <v>219.5</v>
      </c>
      <c r="CQ264">
        <v>93489.371974409529</v>
      </c>
      <c r="CR264" t="s">
        <v>82</v>
      </c>
      <c r="CS264">
        <v>219.5</v>
      </c>
      <c r="CT264">
        <v>108.37705428902726</v>
      </c>
      <c r="CU264" s="82">
        <f t="shared" si="96"/>
        <v>-0.18879200269215346</v>
      </c>
      <c r="CV264">
        <v>219.5</v>
      </c>
      <c r="CW264">
        <v>90359.820815621162</v>
      </c>
      <c r="CX264" t="s">
        <v>82</v>
      </c>
      <c r="CY264">
        <v>219.5</v>
      </c>
      <c r="CZ264">
        <v>108.67625315429321</v>
      </c>
      <c r="DA264" s="82">
        <f t="shared" si="97"/>
        <v>-0.17820003635090131</v>
      </c>
      <c r="DB264">
        <v>219.5</v>
      </c>
      <c r="DC264">
        <v>87554.373296653779</v>
      </c>
      <c r="DD264" t="s">
        <v>82</v>
      </c>
      <c r="DG264" s="82">
        <f t="shared" si="98"/>
        <v>0</v>
      </c>
      <c r="DM264" s="82">
        <f t="shared" si="99"/>
        <v>0</v>
      </c>
    </row>
    <row r="265" spans="1:117" x14ac:dyDescent="0.2">
      <c r="A265">
        <v>220.5</v>
      </c>
      <c r="B265">
        <v>95.368134315104214</v>
      </c>
      <c r="C265" s="82">
        <f t="shared" si="80"/>
        <v>-0.42418673956068176</v>
      </c>
      <c r="D265">
        <v>220.5</v>
      </c>
      <c r="E265">
        <v>164254.03167990156</v>
      </c>
      <c r="F265" t="s">
        <v>82</v>
      </c>
      <c r="G265">
        <v>220.5</v>
      </c>
      <c r="H265">
        <v>96.539983867249518</v>
      </c>
      <c r="I265" s="82">
        <f t="shared" si="81"/>
        <v>-0.4246565239994311</v>
      </c>
      <c r="J265">
        <v>220.5</v>
      </c>
      <c r="K265">
        <v>165367.65548458294</v>
      </c>
      <c r="L265" t="s">
        <v>82</v>
      </c>
      <c r="M265">
        <v>220.5</v>
      </c>
      <c r="N265">
        <v>97.713523146232632</v>
      </c>
      <c r="O265" s="82">
        <f t="shared" si="82"/>
        <v>-0.4178145295098119</v>
      </c>
      <c r="P265">
        <v>220.5</v>
      </c>
      <c r="Q265">
        <v>163661.60046237725</v>
      </c>
      <c r="R265" t="s">
        <v>82</v>
      </c>
      <c r="S265">
        <v>220.5</v>
      </c>
      <c r="T265">
        <v>98.865310460492523</v>
      </c>
      <c r="U265" s="82">
        <f t="shared" si="83"/>
        <v>-0.40557977047159</v>
      </c>
      <c r="V265">
        <v>220.5</v>
      </c>
      <c r="W265">
        <v>159876.8375602173</v>
      </c>
      <c r="X265" t="s">
        <v>82</v>
      </c>
      <c r="Y265">
        <v>220.5</v>
      </c>
      <c r="Z265">
        <v>99.976314198590686</v>
      </c>
      <c r="AA265" s="82">
        <f t="shared" si="84"/>
        <v>-0.38965568161064823</v>
      </c>
      <c r="AB265">
        <v>220.5</v>
      </c>
      <c r="AC265">
        <v>154672.45519701246</v>
      </c>
      <c r="AD265" t="s">
        <v>82</v>
      </c>
      <c r="AE265">
        <v>220.5</v>
      </c>
      <c r="AF265">
        <v>101.03196268336977</v>
      </c>
      <c r="AG265" s="82">
        <f t="shared" si="85"/>
        <v>-0.37143833307564478</v>
      </c>
      <c r="AH265">
        <v>220.5</v>
      </c>
      <c r="AI265">
        <v>148590.53848199453</v>
      </c>
      <c r="AJ265" t="s">
        <v>82</v>
      </c>
      <c r="AK265">
        <v>220.5</v>
      </c>
      <c r="AL265">
        <v>102.02302108502879</v>
      </c>
      <c r="AM265" s="82">
        <f t="shared" si="86"/>
        <v>-0.35203818891230299</v>
      </c>
      <c r="AN265">
        <v>220.5</v>
      </c>
      <c r="AO265">
        <v>142065.050665483</v>
      </c>
      <c r="AP265" t="s">
        <v>82</v>
      </c>
      <c r="AQ265">
        <v>220.5</v>
      </c>
      <c r="AR265">
        <v>102.94538746864961</v>
      </c>
      <c r="AS265" s="82">
        <f t="shared" si="87"/>
        <v>-0.33223768632633721</v>
      </c>
      <c r="AT265">
        <v>220.5</v>
      </c>
      <c r="AU265">
        <v>135406.15822526632</v>
      </c>
      <c r="AV265" t="s">
        <v>82</v>
      </c>
      <c r="AW265">
        <v>220.5</v>
      </c>
      <c r="AX265">
        <v>103.79530878769468</v>
      </c>
      <c r="AY265" s="82">
        <f t="shared" si="88"/>
        <v>-0.31263659705862779</v>
      </c>
      <c r="AZ265">
        <v>220.5</v>
      </c>
      <c r="BA265">
        <v>128850.14174859638</v>
      </c>
      <c r="BB265" t="s">
        <v>82</v>
      </c>
      <c r="BC265">
        <v>220.5</v>
      </c>
      <c r="BD265">
        <v>104.57288008482551</v>
      </c>
      <c r="BE265" s="82">
        <f t="shared" si="89"/>
        <v>-0.29360294829773181</v>
      </c>
      <c r="BF265">
        <v>220.5</v>
      </c>
      <c r="BG265">
        <v>122545.79472054927</v>
      </c>
      <c r="BH265" t="s">
        <v>82</v>
      </c>
      <c r="BI265">
        <v>220.5</v>
      </c>
      <c r="BJ265">
        <v>105.27960217382764</v>
      </c>
      <c r="BK265" s="82">
        <f t="shared" si="90"/>
        <v>-0.27530762856346769</v>
      </c>
      <c r="BL265">
        <v>220.5</v>
      </c>
      <c r="BM265">
        <v>116568.50723578327</v>
      </c>
      <c r="BN265" t="s">
        <v>82</v>
      </c>
      <c r="BO265">
        <v>220.5</v>
      </c>
      <c r="BP265">
        <v>105.91763152104659</v>
      </c>
      <c r="BQ265" s="82">
        <f t="shared" si="91"/>
        <v>-0.25786378842053637</v>
      </c>
      <c r="BR265">
        <v>220.5</v>
      </c>
      <c r="BS265">
        <v>110969.1414499751</v>
      </c>
      <c r="BT265" t="s">
        <v>82</v>
      </c>
      <c r="BU265">
        <v>220.5</v>
      </c>
      <c r="BV265">
        <v>106.48799957628857</v>
      </c>
      <c r="BW265" s="82">
        <f t="shared" si="92"/>
        <v>-0.24142530333642753</v>
      </c>
      <c r="BX265">
        <v>220.5</v>
      </c>
      <c r="BY265">
        <v>105805.87647020149</v>
      </c>
      <c r="BZ265" t="s">
        <v>82</v>
      </c>
      <c r="CA265">
        <v>220.5</v>
      </c>
      <c r="CB265">
        <v>106.99282549552186</v>
      </c>
      <c r="CC265" s="82">
        <f t="shared" si="93"/>
        <v>-0.22651823240099134</v>
      </c>
      <c r="CD265">
        <v>220.5</v>
      </c>
      <c r="CE265">
        <v>101240.88995886594</v>
      </c>
      <c r="CF265" t="s">
        <v>82</v>
      </c>
      <c r="CG265">
        <v>220.5</v>
      </c>
      <c r="CH265">
        <v>107.44009759908209</v>
      </c>
      <c r="CI265" s="82">
        <f t="shared" si="94"/>
        <v>-0.21294754198487453</v>
      </c>
      <c r="CJ265">
        <v>220.5</v>
      </c>
      <c r="CK265">
        <v>97204.04973672035</v>
      </c>
      <c r="CL265" t="s">
        <v>82</v>
      </c>
      <c r="CM265">
        <v>220.5</v>
      </c>
      <c r="CN265">
        <v>107.83651755442824</v>
      </c>
      <c r="CO265" s="82">
        <f t="shared" si="95"/>
        <v>-0.20055299463750487</v>
      </c>
      <c r="CP265">
        <v>220.5</v>
      </c>
      <c r="CQ265">
        <v>93637.091470542189</v>
      </c>
      <c r="CR265" t="s">
        <v>82</v>
      </c>
      <c r="CS265">
        <v>220.5</v>
      </c>
      <c r="CT265">
        <v>108.18784985749261</v>
      </c>
      <c r="CU265" s="82">
        <f t="shared" si="96"/>
        <v>-0.18920443153464817</v>
      </c>
      <c r="CV265">
        <v>220.5</v>
      </c>
      <c r="CW265">
        <v>90491.931916889778</v>
      </c>
      <c r="CX265" t="s">
        <v>82</v>
      </c>
      <c r="CY265">
        <v>220.5</v>
      </c>
      <c r="CZ265">
        <v>108.49767900350373</v>
      </c>
      <c r="DA265" s="82">
        <f t="shared" si="97"/>
        <v>-0.1785741507894727</v>
      </c>
      <c r="DB265">
        <v>220.5</v>
      </c>
      <c r="DC265">
        <v>87672.013309187052</v>
      </c>
      <c r="DD265" t="s">
        <v>82</v>
      </c>
      <c r="DG265" s="82">
        <f t="shared" si="98"/>
        <v>0</v>
      </c>
      <c r="DM265" s="82">
        <f t="shared" si="99"/>
        <v>0</v>
      </c>
    </row>
    <row r="266" spans="1:117" x14ac:dyDescent="0.2">
      <c r="A266">
        <v>221.5</v>
      </c>
      <c r="B266">
        <v>94.951380095255359</v>
      </c>
      <c r="C266" s="82">
        <f t="shared" si="80"/>
        <v>-0.41675421984885475</v>
      </c>
      <c r="D266">
        <v>221.5</v>
      </c>
      <c r="E266">
        <v>161329.0845974033</v>
      </c>
      <c r="F266" t="s">
        <v>82</v>
      </c>
      <c r="G266">
        <v>221.5</v>
      </c>
      <c r="H266">
        <v>96.120104448074002</v>
      </c>
      <c r="I266" s="82">
        <f t="shared" si="81"/>
        <v>-0.41987941917551552</v>
      </c>
      <c r="J266">
        <v>221.5</v>
      </c>
      <c r="K266">
        <v>163472.14928154426</v>
      </c>
      <c r="L266" t="s">
        <v>82</v>
      </c>
      <c r="M266">
        <v>221.5</v>
      </c>
      <c r="N266">
        <v>97.298532683191183</v>
      </c>
      <c r="O266" s="82">
        <f t="shared" si="82"/>
        <v>-0.41499046304144827</v>
      </c>
      <c r="P266">
        <v>221.5</v>
      </c>
      <c r="Q266">
        <v>162524.46251827048</v>
      </c>
      <c r="R266" t="s">
        <v>82</v>
      </c>
      <c r="S266">
        <v>221.5</v>
      </c>
      <c r="T266">
        <v>98.461173605913615</v>
      </c>
      <c r="U266" s="82">
        <f t="shared" si="83"/>
        <v>-0.40413685457890836</v>
      </c>
      <c r="V266">
        <v>221.5</v>
      </c>
      <c r="W266">
        <v>159276.95894520901</v>
      </c>
      <c r="X266" t="s">
        <v>82</v>
      </c>
      <c r="Y266">
        <v>221.5</v>
      </c>
      <c r="Z266">
        <v>99.587168262846632</v>
      </c>
      <c r="AA266" s="82">
        <f t="shared" si="84"/>
        <v>-0.38914593574405387</v>
      </c>
      <c r="AB266">
        <v>221.5</v>
      </c>
      <c r="AC266">
        <v>154436.33149317343</v>
      </c>
      <c r="AD266" t="s">
        <v>82</v>
      </c>
      <c r="AE266">
        <v>221.5</v>
      </c>
      <c r="AF266">
        <v>100.66043963311533</v>
      </c>
      <c r="AG266" s="82">
        <f t="shared" si="85"/>
        <v>-0.37152305025443866</v>
      </c>
      <c r="AH266">
        <v>221.5</v>
      </c>
      <c r="AI266">
        <v>148586.75416669471</v>
      </c>
      <c r="AJ266" t="s">
        <v>82</v>
      </c>
      <c r="AK266">
        <v>221.5</v>
      </c>
      <c r="AL266">
        <v>101.67054633331115</v>
      </c>
      <c r="AM266" s="82">
        <f t="shared" si="86"/>
        <v>-0.35247475171763654</v>
      </c>
      <c r="AN266">
        <v>221.5</v>
      </c>
      <c r="AO266">
        <v>142199.31228680516</v>
      </c>
      <c r="AP266" t="s">
        <v>82</v>
      </c>
      <c r="AQ266">
        <v>221.5</v>
      </c>
      <c r="AR266">
        <v>102.61252652443189</v>
      </c>
      <c r="AS266" s="82">
        <f t="shared" si="87"/>
        <v>-0.33286094421772816</v>
      </c>
      <c r="AT266">
        <v>221.5</v>
      </c>
      <c r="AU266">
        <v>135614.17617505571</v>
      </c>
      <c r="AV266" t="s">
        <v>82</v>
      </c>
      <c r="AW266">
        <v>221.5</v>
      </c>
      <c r="AX266">
        <v>103.4819701933401</v>
      </c>
      <c r="AY266" s="82">
        <f t="shared" si="88"/>
        <v>-0.31333859435457612</v>
      </c>
      <c r="AZ266">
        <v>221.5</v>
      </c>
      <c r="BA266">
        <v>129089.81663463396</v>
      </c>
      <c r="BB266" t="s">
        <v>82</v>
      </c>
      <c r="BC266">
        <v>221.5</v>
      </c>
      <c r="BD266">
        <v>104.27856212188067</v>
      </c>
      <c r="BE266" s="82">
        <f t="shared" si="89"/>
        <v>-0.29431796294484514</v>
      </c>
      <c r="BF266">
        <v>221.5</v>
      </c>
      <c r="BG266">
        <v>122791.45186670747</v>
      </c>
      <c r="BH266" t="s">
        <v>82</v>
      </c>
      <c r="BI266">
        <v>221.5</v>
      </c>
      <c r="BJ266">
        <v>105.00360403309406</v>
      </c>
      <c r="BK266" s="82">
        <f t="shared" si="90"/>
        <v>-0.2759981407335772</v>
      </c>
      <c r="BL266">
        <v>221.5</v>
      </c>
      <c r="BM266">
        <v>116805.46456243838</v>
      </c>
      <c r="BN266" t="s">
        <v>82</v>
      </c>
      <c r="BO266">
        <v>221.5</v>
      </c>
      <c r="BP266">
        <v>105.65912107127323</v>
      </c>
      <c r="BQ266" s="82">
        <f t="shared" si="91"/>
        <v>-0.25851044977335391</v>
      </c>
      <c r="BR266">
        <v>221.5</v>
      </c>
      <c r="BS266">
        <v>111189.80760077527</v>
      </c>
      <c r="BT266" t="s">
        <v>82</v>
      </c>
      <c r="BU266">
        <v>221.5</v>
      </c>
      <c r="BV266">
        <v>106.245979519294</v>
      </c>
      <c r="BW266" s="82">
        <f t="shared" si="92"/>
        <v>-0.24202005699457629</v>
      </c>
      <c r="BX266">
        <v>221.5</v>
      </c>
      <c r="BY266">
        <v>106007.06151804909</v>
      </c>
      <c r="BZ266" t="s">
        <v>82</v>
      </c>
      <c r="CA266">
        <v>221.5</v>
      </c>
      <c r="CB266">
        <v>106.7657638665396</v>
      </c>
      <c r="CC266" s="82">
        <f t="shared" si="93"/>
        <v>-0.22706162898225557</v>
      </c>
      <c r="CD266">
        <v>221.5</v>
      </c>
      <c r="CE266">
        <v>101422.71608480626</v>
      </c>
      <c r="CF266" t="s">
        <v>82</v>
      </c>
      <c r="CG266">
        <v>221.5</v>
      </c>
      <c r="CH266">
        <v>107.22665507593352</v>
      </c>
      <c r="CI266" s="82">
        <f t="shared" si="94"/>
        <v>-0.21344252314857215</v>
      </c>
      <c r="CJ266">
        <v>221.5</v>
      </c>
      <c r="CK266">
        <v>97367.590469564617</v>
      </c>
      <c r="CL266" t="s">
        <v>82</v>
      </c>
      <c r="CM266">
        <v>221.5</v>
      </c>
      <c r="CN266">
        <v>107.63551421781115</v>
      </c>
      <c r="CO266" s="82">
        <f t="shared" si="95"/>
        <v>-0.20100333661709158</v>
      </c>
      <c r="CP266">
        <v>221.5</v>
      </c>
      <c r="CQ266">
        <v>93783.757701524039</v>
      </c>
      <c r="CR266" t="s">
        <v>82</v>
      </c>
      <c r="CS266">
        <v>221.5</v>
      </c>
      <c r="CT266">
        <v>107.9982357852151</v>
      </c>
      <c r="CU266" s="82">
        <f t="shared" si="96"/>
        <v>-0.18961407227750726</v>
      </c>
      <c r="CV266">
        <v>221.5</v>
      </c>
      <c r="CW266">
        <v>90623.20527920677</v>
      </c>
      <c r="CX266" t="s">
        <v>82</v>
      </c>
      <c r="CY266">
        <v>221.5</v>
      </c>
      <c r="CZ266">
        <v>108.31873303826659</v>
      </c>
      <c r="DA266" s="82">
        <f t="shared" si="97"/>
        <v>-0.17894596523714767</v>
      </c>
      <c r="DB266">
        <v>221.5</v>
      </c>
      <c r="DC266">
        <v>87788.98695427645</v>
      </c>
      <c r="DD266" t="s">
        <v>82</v>
      </c>
      <c r="DG266" s="82">
        <f t="shared" si="98"/>
        <v>0</v>
      </c>
      <c r="DM266" s="82">
        <f t="shared" si="99"/>
        <v>0</v>
      </c>
    </row>
    <row r="267" spans="1:117" x14ac:dyDescent="0.2">
      <c r="A267">
        <v>222.5</v>
      </c>
      <c r="B267">
        <v>94.542886257221411</v>
      </c>
      <c r="C267" s="82">
        <f t="shared" si="80"/>
        <v>-0.40849383803394801</v>
      </c>
      <c r="D267">
        <v>222.5</v>
      </c>
      <c r="E267">
        <v>158083.54097191259</v>
      </c>
      <c r="F267" t="s">
        <v>82</v>
      </c>
      <c r="G267">
        <v>222.5</v>
      </c>
      <c r="H267">
        <v>95.705598743740367</v>
      </c>
      <c r="I267" s="82">
        <f t="shared" si="81"/>
        <v>-0.41450570433363509</v>
      </c>
      <c r="J267">
        <v>222.5</v>
      </c>
      <c r="K267">
        <v>161345.59112796307</v>
      </c>
      <c r="L267" t="s">
        <v>82</v>
      </c>
      <c r="M267">
        <v>222.5</v>
      </c>
      <c r="N267">
        <v>96.88678451308985</v>
      </c>
      <c r="O267" s="82">
        <f t="shared" si="82"/>
        <v>-0.41174817010133324</v>
      </c>
      <c r="P267">
        <v>222.5</v>
      </c>
      <c r="Q267">
        <v>161225.42479535082</v>
      </c>
      <c r="R267" t="s">
        <v>82</v>
      </c>
      <c r="S267">
        <v>222.5</v>
      </c>
      <c r="T267">
        <v>98.058764658743641</v>
      </c>
      <c r="U267" s="82">
        <f t="shared" si="83"/>
        <v>-0.40240894716997389</v>
      </c>
      <c r="V267">
        <v>222.5</v>
      </c>
      <c r="W267">
        <v>158566.87989849609</v>
      </c>
      <c r="X267" t="s">
        <v>82</v>
      </c>
      <c r="Y267">
        <v>222.5</v>
      </c>
      <c r="Z267">
        <v>99.198720904284045</v>
      </c>
      <c r="AA267" s="82">
        <f t="shared" si="84"/>
        <v>-0.38844735856258694</v>
      </c>
      <c r="AB267">
        <v>222.5</v>
      </c>
      <c r="AC267">
        <v>154127.34942721695</v>
      </c>
      <c r="AD267" t="s">
        <v>82</v>
      </c>
      <c r="AE267">
        <v>222.5</v>
      </c>
      <c r="AF267">
        <v>100.28895396306694</v>
      </c>
      <c r="AG267" s="82">
        <f t="shared" si="85"/>
        <v>-0.3714856700483864</v>
      </c>
      <c r="AH267">
        <v>222.5</v>
      </c>
      <c r="AI267">
        <v>148536.03881684633</v>
      </c>
      <c r="AJ267" t="s">
        <v>82</v>
      </c>
      <c r="AK267">
        <v>222.5</v>
      </c>
      <c r="AL267">
        <v>101.31771248471271</v>
      </c>
      <c r="AM267" s="82">
        <f t="shared" si="86"/>
        <v>-0.35283384859843636</v>
      </c>
      <c r="AN267">
        <v>222.5</v>
      </c>
      <c r="AO267">
        <v>142303.98337970127</v>
      </c>
      <c r="AP267" t="s">
        <v>82</v>
      </c>
      <c r="AQ267">
        <v>222.5</v>
      </c>
      <c r="AR267">
        <v>102.27909093155922</v>
      </c>
      <c r="AS267" s="82">
        <f t="shared" si="87"/>
        <v>-0.33343559287266089</v>
      </c>
      <c r="AT267">
        <v>222.5</v>
      </c>
      <c r="AU267">
        <v>135803.80730789618</v>
      </c>
      <c r="AV267" t="s">
        <v>82</v>
      </c>
      <c r="AW267">
        <v>222.5</v>
      </c>
      <c r="AX267">
        <v>103.16796025905522</v>
      </c>
      <c r="AY267" s="82">
        <f t="shared" si="88"/>
        <v>-0.31400993428488277</v>
      </c>
      <c r="AZ267">
        <v>222.5</v>
      </c>
      <c r="BA267">
        <v>129318.06110700984</v>
      </c>
      <c r="BB267" t="s">
        <v>82</v>
      </c>
      <c r="BC267">
        <v>222.5</v>
      </c>
      <c r="BD267">
        <v>103.98354892650858</v>
      </c>
      <c r="BE267" s="82">
        <f t="shared" si="89"/>
        <v>-0.2950131953720927</v>
      </c>
      <c r="BF267">
        <v>222.5</v>
      </c>
      <c r="BG267">
        <v>123029.87661782798</v>
      </c>
      <c r="BH267" t="s">
        <v>82</v>
      </c>
      <c r="BI267">
        <v>222.5</v>
      </c>
      <c r="BJ267">
        <v>104.72692866173419</v>
      </c>
      <c r="BK267" s="82">
        <f t="shared" si="90"/>
        <v>-0.27667537135987175</v>
      </c>
      <c r="BL267">
        <v>222.5</v>
      </c>
      <c r="BM267">
        <v>117037.68214812908</v>
      </c>
      <c r="BN267" t="s">
        <v>82</v>
      </c>
      <c r="BO267">
        <v>222.5</v>
      </c>
      <c r="BP267">
        <v>105.39997332017356</v>
      </c>
      <c r="BQ267" s="82">
        <f t="shared" si="91"/>
        <v>-0.25914775109967536</v>
      </c>
      <c r="BR267">
        <v>222.5</v>
      </c>
      <c r="BS267">
        <v>111407.22234069122</v>
      </c>
      <c r="BT267" t="s">
        <v>82</v>
      </c>
      <c r="BU267">
        <v>222.5</v>
      </c>
      <c r="BV267">
        <v>106.00337163233968</v>
      </c>
      <c r="BW267" s="82">
        <f t="shared" si="92"/>
        <v>-0.24260788695431756</v>
      </c>
      <c r="BX267">
        <v>222.5</v>
      </c>
      <c r="BY267">
        <v>106205.90708379529</v>
      </c>
      <c r="BZ267" t="s">
        <v>82</v>
      </c>
      <c r="CA267">
        <v>222.5</v>
      </c>
      <c r="CB267">
        <v>106.53816419617128</v>
      </c>
      <c r="CC267" s="82">
        <f t="shared" si="93"/>
        <v>-0.22759967036832052</v>
      </c>
      <c r="CD267">
        <v>222.5</v>
      </c>
      <c r="CE267">
        <v>101602.78088549392</v>
      </c>
      <c r="CF267" t="s">
        <v>82</v>
      </c>
      <c r="CG267">
        <v>222.5</v>
      </c>
      <c r="CH267">
        <v>107.01272183569036</v>
      </c>
      <c r="CI267" s="82">
        <f t="shared" si="94"/>
        <v>-0.21393324024316485</v>
      </c>
      <c r="CJ267">
        <v>222.5</v>
      </c>
      <c r="CK267">
        <v>97529.766298193339</v>
      </c>
      <c r="CL267" t="s">
        <v>82</v>
      </c>
      <c r="CM267">
        <v>222.5</v>
      </c>
      <c r="CN267">
        <v>107.43406399651408</v>
      </c>
      <c r="CO267" s="82">
        <f t="shared" si="95"/>
        <v>-0.20145022129706547</v>
      </c>
      <c r="CP267">
        <v>222.5</v>
      </c>
      <c r="CQ267">
        <v>93929.348491277764</v>
      </c>
      <c r="CR267" t="s">
        <v>82</v>
      </c>
      <c r="CS267">
        <v>222.5</v>
      </c>
      <c r="CT267">
        <v>107.80821490859644</v>
      </c>
      <c r="CU267" s="82">
        <f t="shared" si="96"/>
        <v>-0.19002087661866085</v>
      </c>
      <c r="CV267">
        <v>222.5</v>
      </c>
      <c r="CW267">
        <v>90753.623583583787</v>
      </c>
      <c r="CX267" t="s">
        <v>82</v>
      </c>
      <c r="CY267">
        <v>222.5</v>
      </c>
      <c r="CZ267">
        <v>108.13941759711255</v>
      </c>
      <c r="DA267" s="82">
        <f t="shared" si="97"/>
        <v>-0.17931544115403142</v>
      </c>
      <c r="DB267">
        <v>222.5</v>
      </c>
      <c r="DC267">
        <v>87905.280445363591</v>
      </c>
      <c r="DD267" t="s">
        <v>82</v>
      </c>
      <c r="DG267" s="82">
        <f t="shared" si="98"/>
        <v>0</v>
      </c>
      <c r="DM267" s="82">
        <f t="shared" si="99"/>
        <v>0</v>
      </c>
    </row>
    <row r="268" spans="1:117" x14ac:dyDescent="0.2">
      <c r="A268">
        <v>223.5</v>
      </c>
      <c r="B268">
        <v>94.143551554366908</v>
      </c>
      <c r="C268" s="82">
        <f t="shared" si="80"/>
        <v>-0.39933470285450312</v>
      </c>
      <c r="D268">
        <v>223.5</v>
      </c>
      <c r="E268">
        <v>154489.82392406315</v>
      </c>
      <c r="F268" t="s">
        <v>82</v>
      </c>
      <c r="G268">
        <v>223.5</v>
      </c>
      <c r="H268">
        <v>95.297115111405063</v>
      </c>
      <c r="I268" s="82">
        <f t="shared" si="81"/>
        <v>-0.40848363233530449</v>
      </c>
      <c r="J268">
        <v>223.5</v>
      </c>
      <c r="K268">
        <v>158967.82440885581</v>
      </c>
      <c r="L268" t="s">
        <v>82</v>
      </c>
      <c r="M268">
        <v>223.5</v>
      </c>
      <c r="N268">
        <v>96.478733469908619</v>
      </c>
      <c r="O268" s="82">
        <f t="shared" si="82"/>
        <v>-0.40805104318123142</v>
      </c>
      <c r="P268">
        <v>223.5</v>
      </c>
      <c r="Q268">
        <v>159750.21221835099</v>
      </c>
      <c r="R268" t="s">
        <v>82</v>
      </c>
      <c r="S268">
        <v>223.5</v>
      </c>
      <c r="T268">
        <v>97.658393634650267</v>
      </c>
      <c r="U268" s="82">
        <f t="shared" si="83"/>
        <v>-0.40037102409337422</v>
      </c>
      <c r="V268">
        <v>223.5</v>
      </c>
      <c r="W268">
        <v>157736.83285128142</v>
      </c>
      <c r="X268" t="s">
        <v>82</v>
      </c>
      <c r="Y268">
        <v>223.5</v>
      </c>
      <c r="Z268">
        <v>98.811177428974787</v>
      </c>
      <c r="AA268" s="82">
        <f t="shared" si="84"/>
        <v>-0.3875434753092577</v>
      </c>
      <c r="AB268">
        <v>223.5</v>
      </c>
      <c r="AC268">
        <v>153739.0731773632</v>
      </c>
      <c r="AD268" t="s">
        <v>82</v>
      </c>
      <c r="AE268">
        <v>223.5</v>
      </c>
      <c r="AF268">
        <v>99.91763820151283</v>
      </c>
      <c r="AG268" s="82">
        <f t="shared" si="85"/>
        <v>-0.37131576155411494</v>
      </c>
      <c r="AH268">
        <v>223.5</v>
      </c>
      <c r="AI268">
        <v>148434.31510927802</v>
      </c>
      <c r="AJ268" t="s">
        <v>82</v>
      </c>
      <c r="AK268">
        <v>223.5</v>
      </c>
      <c r="AL268">
        <v>100.96460334378976</v>
      </c>
      <c r="AM268" s="82">
        <f t="shared" si="86"/>
        <v>-0.3531091409229532</v>
      </c>
      <c r="AN268">
        <v>223.5</v>
      </c>
      <c r="AO268">
        <v>142376.58569920226</v>
      </c>
      <c r="AP268" t="s">
        <v>82</v>
      </c>
      <c r="AQ268">
        <v>223.5</v>
      </c>
      <c r="AR268">
        <v>101.94513298528969</v>
      </c>
      <c r="AS268" s="82">
        <f t="shared" si="87"/>
        <v>-0.33395794626953546</v>
      </c>
      <c r="AT268">
        <v>223.5</v>
      </c>
      <c r="AU268">
        <v>135973.61115726284</v>
      </c>
      <c r="AV268" t="s">
        <v>82</v>
      </c>
      <c r="AW268">
        <v>223.5</v>
      </c>
      <c r="AX268">
        <v>102.85331170156033</v>
      </c>
      <c r="AY268" s="82">
        <f t="shared" si="88"/>
        <v>-0.31464855749489118</v>
      </c>
      <c r="AZ268">
        <v>223.5</v>
      </c>
      <c r="BA268">
        <v>129534.07171724788</v>
      </c>
      <c r="BB268" t="s">
        <v>82</v>
      </c>
      <c r="BC268">
        <v>223.5</v>
      </c>
      <c r="BD268">
        <v>103.68786139407757</v>
      </c>
      <c r="BE268" s="82">
        <f t="shared" si="89"/>
        <v>-0.29568753243100332</v>
      </c>
      <c r="BF268">
        <v>223.5</v>
      </c>
      <c r="BG268">
        <v>123260.63632124825</v>
      </c>
      <c r="BH268" t="s">
        <v>82</v>
      </c>
      <c r="BI268">
        <v>223.5</v>
      </c>
      <c r="BJ268">
        <v>104.44958993366188</v>
      </c>
      <c r="BK268" s="82">
        <f t="shared" si="90"/>
        <v>-0.27733872807230853</v>
      </c>
      <c r="BL268">
        <v>223.5</v>
      </c>
      <c r="BM268">
        <v>117264.93140312516</v>
      </c>
      <c r="BN268" t="s">
        <v>82</v>
      </c>
      <c r="BO268">
        <v>223.5</v>
      </c>
      <c r="BP268">
        <v>105.14019794752133</v>
      </c>
      <c r="BQ268" s="82">
        <f t="shared" si="91"/>
        <v>-0.2597753726522285</v>
      </c>
      <c r="BR268">
        <v>223.5</v>
      </c>
      <c r="BS268">
        <v>111621.26370481231</v>
      </c>
      <c r="BT268" t="s">
        <v>82</v>
      </c>
      <c r="BU268">
        <v>223.5</v>
      </c>
      <c r="BV268">
        <v>105.76018302251278</v>
      </c>
      <c r="BW268" s="82">
        <f t="shared" si="92"/>
        <v>-0.24318860982690182</v>
      </c>
      <c r="BX268">
        <v>223.5</v>
      </c>
      <c r="BY268">
        <v>106402.34431907856</v>
      </c>
      <c r="BZ268" t="s">
        <v>82</v>
      </c>
      <c r="CA268">
        <v>223.5</v>
      </c>
      <c r="CB268">
        <v>106.3100319563941</v>
      </c>
      <c r="CC268" s="82">
        <f t="shared" si="93"/>
        <v>-0.22813223977718167</v>
      </c>
      <c r="CD268">
        <v>223.5</v>
      </c>
      <c r="CE268">
        <v>101781.04123491858</v>
      </c>
      <c r="CF268" t="s">
        <v>82</v>
      </c>
      <c r="CG268">
        <v>223.5</v>
      </c>
      <c r="CH268">
        <v>106.7983022244433</v>
      </c>
      <c r="CI268" s="82">
        <f t="shared" si="94"/>
        <v>-0.21441961124705244</v>
      </c>
      <c r="CJ268">
        <v>223.5</v>
      </c>
      <c r="CK268">
        <v>97690.547311577</v>
      </c>
      <c r="CL268" t="s">
        <v>82</v>
      </c>
      <c r="CM268">
        <v>223.5</v>
      </c>
      <c r="CN268">
        <v>107.23217040959541</v>
      </c>
      <c r="CO268" s="82">
        <f t="shared" si="95"/>
        <v>-0.20189358691867199</v>
      </c>
      <c r="CP268">
        <v>223.5</v>
      </c>
      <c r="CQ268">
        <v>94073.841516796092</v>
      </c>
      <c r="CR268" t="s">
        <v>82</v>
      </c>
      <c r="CS268">
        <v>223.5</v>
      </c>
      <c r="CT268">
        <v>107.61779011245595</v>
      </c>
      <c r="CU268" s="82">
        <f t="shared" si="96"/>
        <v>-0.19042479614049057</v>
      </c>
      <c r="CV268">
        <v>223.5</v>
      </c>
      <c r="CW268">
        <v>90883.169439231686</v>
      </c>
      <c r="CX268" t="s">
        <v>82</v>
      </c>
      <c r="CY268">
        <v>223.5</v>
      </c>
      <c r="CZ268">
        <v>107.95973505715432</v>
      </c>
      <c r="DA268" s="82">
        <f t="shared" si="97"/>
        <v>-0.17968253995823602</v>
      </c>
      <c r="DB268">
        <v>223.5</v>
      </c>
      <c r="DC268">
        <v>88020.880015812101</v>
      </c>
      <c r="DD268" t="s">
        <v>82</v>
      </c>
      <c r="DG268" s="82">
        <f t="shared" si="98"/>
        <v>0</v>
      </c>
      <c r="DM268" s="82">
        <f t="shared" si="99"/>
        <v>0</v>
      </c>
    </row>
    <row r="269" spans="1:117" x14ac:dyDescent="0.2">
      <c r="A269">
        <v>224.5</v>
      </c>
      <c r="B269">
        <v>93.754352224656571</v>
      </c>
      <c r="C269" s="82">
        <f t="shared" si="80"/>
        <v>-0.38919932971033688</v>
      </c>
      <c r="D269">
        <v>224.5</v>
      </c>
      <c r="E269">
        <v>150517.79569107658</v>
      </c>
      <c r="F269" t="s">
        <v>82</v>
      </c>
      <c r="G269">
        <v>224.5</v>
      </c>
      <c r="H269">
        <v>94.895358562300771</v>
      </c>
      <c r="I269" s="82">
        <f t="shared" si="81"/>
        <v>-0.40175654910429159</v>
      </c>
      <c r="J269">
        <v>224.5</v>
      </c>
      <c r="K269">
        <v>156316.7805418752</v>
      </c>
      <c r="L269" t="s">
        <v>82</v>
      </c>
      <c r="M269">
        <v>224.5</v>
      </c>
      <c r="N269">
        <v>96.074874535639282</v>
      </c>
      <c r="O269" s="82">
        <f t="shared" si="82"/>
        <v>-0.40385893426933706</v>
      </c>
      <c r="P269">
        <v>224.5</v>
      </c>
      <c r="Q269">
        <v>158083.16736284638</v>
      </c>
      <c r="R269" t="s">
        <v>82</v>
      </c>
      <c r="S269">
        <v>224.5</v>
      </c>
      <c r="T269">
        <v>97.260398041546154</v>
      </c>
      <c r="U269" s="82">
        <f t="shared" si="83"/>
        <v>-0.39799559310411325</v>
      </c>
      <c r="V269">
        <v>224.5</v>
      </c>
      <c r="W269">
        <v>156776.08501318068</v>
      </c>
      <c r="X269" t="s">
        <v>82</v>
      </c>
      <c r="Y269">
        <v>224.5</v>
      </c>
      <c r="Z269">
        <v>98.424761272818273</v>
      </c>
      <c r="AA269" s="82">
        <f t="shared" si="84"/>
        <v>-0.38641615615651403</v>
      </c>
      <c r="AB269">
        <v>224.5</v>
      </c>
      <c r="AC269">
        <v>153264.41867401742</v>
      </c>
      <c r="AD269" t="s">
        <v>82</v>
      </c>
      <c r="AE269">
        <v>224.5</v>
      </c>
      <c r="AF269">
        <v>99.546636372035877</v>
      </c>
      <c r="AG269" s="82">
        <f t="shared" si="85"/>
        <v>-0.37100182947695259</v>
      </c>
      <c r="AH269">
        <v>224.5</v>
      </c>
      <c r="AI269">
        <v>148277.08826360802</v>
      </c>
      <c r="AJ269" t="s">
        <v>82</v>
      </c>
      <c r="AK269">
        <v>224.5</v>
      </c>
      <c r="AL269">
        <v>100.61130970708898</v>
      </c>
      <c r="AM269" s="82">
        <f t="shared" si="86"/>
        <v>-0.35329363670078351</v>
      </c>
      <c r="AN269">
        <v>224.5</v>
      </c>
      <c r="AO269">
        <v>142414.38433207563</v>
      </c>
      <c r="AP269" t="s">
        <v>82</v>
      </c>
      <c r="AQ269">
        <v>224.5</v>
      </c>
      <c r="AR269">
        <v>101.6107090467934</v>
      </c>
      <c r="AS269" s="82">
        <f t="shared" si="87"/>
        <v>-0.33442393849628615</v>
      </c>
      <c r="AT269">
        <v>224.5</v>
      </c>
      <c r="AU269">
        <v>136121.99777073905</v>
      </c>
      <c r="AV269" t="s">
        <v>82</v>
      </c>
      <c r="AW269">
        <v>224.5</v>
      </c>
      <c r="AX269">
        <v>102.53805950524192</v>
      </c>
      <c r="AY269" s="82">
        <f t="shared" si="88"/>
        <v>-0.31525219631841139</v>
      </c>
      <c r="AZ269">
        <v>224.5</v>
      </c>
      <c r="BA269">
        <v>129736.96295888787</v>
      </c>
      <c r="BB269" t="s">
        <v>82</v>
      </c>
      <c r="BC269">
        <v>224.5</v>
      </c>
      <c r="BD269">
        <v>103.39152164001206</v>
      </c>
      <c r="BE269" s="82">
        <f t="shared" si="89"/>
        <v>-0.29633975406551372</v>
      </c>
      <c r="BF269">
        <v>224.5</v>
      </c>
      <c r="BG269">
        <v>123483.25613183534</v>
      </c>
      <c r="BH269" t="s">
        <v>82</v>
      </c>
      <c r="BI269">
        <v>224.5</v>
      </c>
      <c r="BJ269">
        <v>104.17160236609948</v>
      </c>
      <c r="BK269" s="82">
        <f t="shared" si="90"/>
        <v>-0.2779875675624055</v>
      </c>
      <c r="BL269">
        <v>224.5</v>
      </c>
      <c r="BM269">
        <v>117486.96355185841</v>
      </c>
      <c r="BN269" t="s">
        <v>82</v>
      </c>
      <c r="BO269">
        <v>224.5</v>
      </c>
      <c r="BP269">
        <v>104.87980497509888</v>
      </c>
      <c r="BQ269" s="82">
        <f t="shared" si="91"/>
        <v>-0.26039297242245141</v>
      </c>
      <c r="BR269">
        <v>224.5</v>
      </c>
      <c r="BS269">
        <v>111831.80089876534</v>
      </c>
      <c r="BT269" t="s">
        <v>82</v>
      </c>
      <c r="BU269">
        <v>224.5</v>
      </c>
      <c r="BV269">
        <v>105.51642098920331</v>
      </c>
      <c r="BW269" s="82">
        <f t="shared" si="92"/>
        <v>-0.24376203330946566</v>
      </c>
      <c r="BX269">
        <v>224.5</v>
      </c>
      <c r="BY269">
        <v>106596.30079464908</v>
      </c>
      <c r="BZ269" t="s">
        <v>82</v>
      </c>
      <c r="CA269">
        <v>224.5</v>
      </c>
      <c r="CB269">
        <v>106.08137273928875</v>
      </c>
      <c r="CC269" s="82">
        <f t="shared" si="93"/>
        <v>-0.22865921710534565</v>
      </c>
      <c r="CD269">
        <v>224.5</v>
      </c>
      <c r="CE269">
        <v>101957.45263469471</v>
      </c>
      <c r="CF269" t="s">
        <v>82</v>
      </c>
      <c r="CG269">
        <v>224.5</v>
      </c>
      <c r="CH269">
        <v>106.58340067144856</v>
      </c>
      <c r="CI269" s="82">
        <f t="shared" si="94"/>
        <v>-0.21490155299474623</v>
      </c>
      <c r="CJ269">
        <v>224.5</v>
      </c>
      <c r="CK269">
        <v>97849.90314285786</v>
      </c>
      <c r="CL269" t="s">
        <v>82</v>
      </c>
      <c r="CM269">
        <v>224.5</v>
      </c>
      <c r="CN269">
        <v>107.02983703822238</v>
      </c>
      <c r="CO269" s="82">
        <f t="shared" si="95"/>
        <v>-0.20233337137302954</v>
      </c>
      <c r="CP269">
        <v>224.5</v>
      </c>
      <c r="CQ269">
        <v>94217.214343413041</v>
      </c>
      <c r="CR269" t="s">
        <v>82</v>
      </c>
      <c r="CS269">
        <v>224.5</v>
      </c>
      <c r="CT269">
        <v>107.42696433014007</v>
      </c>
      <c r="CU269" s="82">
        <f t="shared" si="96"/>
        <v>-0.19082578231588343</v>
      </c>
      <c r="CV269">
        <v>224.5</v>
      </c>
      <c r="CW269">
        <v>91011.825427353266</v>
      </c>
      <c r="CX269" t="s">
        <v>82</v>
      </c>
      <c r="CY269">
        <v>224.5</v>
      </c>
      <c r="CZ269">
        <v>107.77968783412426</v>
      </c>
      <c r="DA269" s="82">
        <f t="shared" si="97"/>
        <v>-0.18004722303005849</v>
      </c>
      <c r="DB269">
        <v>224.5</v>
      </c>
      <c r="DC269">
        <v>88135.771869959906</v>
      </c>
      <c r="DD269" t="s">
        <v>82</v>
      </c>
      <c r="DG269" s="82">
        <f t="shared" si="98"/>
        <v>0</v>
      </c>
      <c r="DM269" s="82">
        <f t="shared" si="99"/>
        <v>0</v>
      </c>
    </row>
    <row r="270" spans="1:117" x14ac:dyDescent="0.2">
      <c r="A270">
        <v>225.5</v>
      </c>
      <c r="B270">
        <v>93.376349219805945</v>
      </c>
      <c r="C270" s="82">
        <f t="shared" si="80"/>
        <v>-0.37800300485062621</v>
      </c>
      <c r="D270">
        <v>225.5</v>
      </c>
      <c r="E270">
        <v>146134.51401215393</v>
      </c>
      <c r="F270" t="s">
        <v>82</v>
      </c>
      <c r="G270">
        <v>225.5</v>
      </c>
      <c r="H270">
        <v>94.501096151955451</v>
      </c>
      <c r="I270" s="82">
        <f t="shared" si="81"/>
        <v>-0.39426241034531984</v>
      </c>
      <c r="J270">
        <v>225.5</v>
      </c>
      <c r="K270">
        <v>153368.29167061413</v>
      </c>
      <c r="L270" t="s">
        <v>82</v>
      </c>
      <c r="M270">
        <v>225.5</v>
      </c>
      <c r="N270">
        <v>95.675746737238583</v>
      </c>
      <c r="O270" s="82">
        <f t="shared" si="82"/>
        <v>-0.39912779840069845</v>
      </c>
      <c r="P270">
        <v>225.5</v>
      </c>
      <c r="Q270">
        <v>156207.11160800557</v>
      </c>
      <c r="R270" t="s">
        <v>82</v>
      </c>
      <c r="S270">
        <v>225.5</v>
      </c>
      <c r="T270">
        <v>96.865145602054355</v>
      </c>
      <c r="U270" s="82">
        <f t="shared" si="83"/>
        <v>-0.39525243949179867</v>
      </c>
      <c r="V270">
        <v>225.5</v>
      </c>
      <c r="W270">
        <v>155672.83905292608</v>
      </c>
      <c r="X270" t="s">
        <v>82</v>
      </c>
      <c r="Y270">
        <v>225.5</v>
      </c>
      <c r="Z270">
        <v>98.039715831550438</v>
      </c>
      <c r="AA270" s="82">
        <f t="shared" si="84"/>
        <v>-0.38504544126783458</v>
      </c>
      <c r="AB270">
        <v>225.5</v>
      </c>
      <c r="AC270">
        <v>152695.58515521267</v>
      </c>
      <c r="AD270" t="s">
        <v>82</v>
      </c>
      <c r="AE270">
        <v>225.5</v>
      </c>
      <c r="AF270">
        <v>99.176105173438941</v>
      </c>
      <c r="AG270" s="82">
        <f t="shared" si="85"/>
        <v>-0.37053119859693595</v>
      </c>
      <c r="AH270">
        <v>225.5</v>
      </c>
      <c r="AI270">
        <v>148059.4006867283</v>
      </c>
      <c r="AJ270" t="s">
        <v>82</v>
      </c>
      <c r="AK270">
        <v>225.5</v>
      </c>
      <c r="AL270">
        <v>100.25793008949921</v>
      </c>
      <c r="AM270" s="82">
        <f t="shared" si="86"/>
        <v>-0.35337961758976633</v>
      </c>
      <c r="AN270">
        <v>225.5</v>
      </c>
      <c r="AO270">
        <v>142414.35903059185</v>
      </c>
      <c r="AP270" t="s">
        <v>82</v>
      </c>
      <c r="AQ270">
        <v>225.5</v>
      </c>
      <c r="AR270">
        <v>101.27587996675427</v>
      </c>
      <c r="AS270" s="82">
        <f t="shared" si="87"/>
        <v>-0.33482908003912826</v>
      </c>
      <c r="AT270">
        <v>225.5</v>
      </c>
      <c r="AU270">
        <v>136247.21050164051</v>
      </c>
      <c r="AV270" t="s">
        <v>82</v>
      </c>
      <c r="AW270">
        <v>225.5</v>
      </c>
      <c r="AX270">
        <v>102.22224115522926</v>
      </c>
      <c r="AY270" s="82">
        <f t="shared" si="88"/>
        <v>-0.31581835001266256</v>
      </c>
      <c r="AZ270">
        <v>225.5</v>
      </c>
      <c r="BA270">
        <v>129925.75738380705</v>
      </c>
      <c r="BB270" t="s">
        <v>82</v>
      </c>
      <c r="BC270">
        <v>225.5</v>
      </c>
      <c r="BD270">
        <v>103.09455311983237</v>
      </c>
      <c r="BE270" s="82">
        <f t="shared" si="89"/>
        <v>-0.29696852017968922</v>
      </c>
      <c r="BF270">
        <v>225.5</v>
      </c>
      <c r="BG270">
        <v>123697.21377347439</v>
      </c>
      <c r="BH270" t="s">
        <v>82</v>
      </c>
      <c r="BI270">
        <v>225.5</v>
      </c>
      <c r="BJ270">
        <v>103.89298117696434</v>
      </c>
      <c r="BK270" s="82">
        <f t="shared" si="90"/>
        <v>-0.27862118913513712</v>
      </c>
      <c r="BL270">
        <v>225.5</v>
      </c>
      <c r="BM270">
        <v>117703.50715193078</v>
      </c>
      <c r="BN270" t="s">
        <v>82</v>
      </c>
      <c r="BO270">
        <v>225.5</v>
      </c>
      <c r="BP270">
        <v>104.61880479188625</v>
      </c>
      <c r="BQ270" s="82">
        <f t="shared" si="91"/>
        <v>-0.26100018321263008</v>
      </c>
      <c r="BR270">
        <v>225.5</v>
      </c>
      <c r="BS270">
        <v>112038.69312331601</v>
      </c>
      <c r="BT270" t="s">
        <v>82</v>
      </c>
      <c r="BU270">
        <v>225.5</v>
      </c>
      <c r="BV270">
        <v>105.27209303420166</v>
      </c>
      <c r="BW270" s="82">
        <f t="shared" si="92"/>
        <v>-0.24432795500165128</v>
      </c>
      <c r="BX270">
        <v>225.5</v>
      </c>
      <c r="BY270">
        <v>106787.70008926788</v>
      </c>
      <c r="BZ270" t="s">
        <v>82</v>
      </c>
      <c r="CA270">
        <v>225.5</v>
      </c>
      <c r="CB270">
        <v>105.85219226081168</v>
      </c>
      <c r="CC270" s="82">
        <f t="shared" si="93"/>
        <v>-0.22918047847707612</v>
      </c>
      <c r="CD270">
        <v>225.5</v>
      </c>
      <c r="CE270">
        <v>102131.96909996151</v>
      </c>
      <c r="CF270" t="s">
        <v>82</v>
      </c>
      <c r="CG270">
        <v>225.5</v>
      </c>
      <c r="CH270">
        <v>106.36802169043256</v>
      </c>
      <c r="CI270" s="82">
        <f t="shared" si="94"/>
        <v>-0.21537898101600206</v>
      </c>
      <c r="CJ270">
        <v>225.5</v>
      </c>
      <c r="CK270">
        <v>98007.802885140714</v>
      </c>
      <c r="CL270" t="s">
        <v>82</v>
      </c>
      <c r="CM270">
        <v>225.5</v>
      </c>
      <c r="CN270">
        <v>106.82706752610036</v>
      </c>
      <c r="CO270" s="82">
        <f t="shared" si="95"/>
        <v>-0.20276951212201766</v>
      </c>
      <c r="CP270">
        <v>225.5</v>
      </c>
      <c r="CQ270">
        <v>94359.444316899113</v>
      </c>
      <c r="CR270" t="s">
        <v>82</v>
      </c>
      <c r="CS270">
        <v>225.5</v>
      </c>
      <c r="CT270">
        <v>107.23574054363871</v>
      </c>
      <c r="CU270" s="82">
        <f t="shared" si="96"/>
        <v>-0.19122378650135374</v>
      </c>
      <c r="CV270">
        <v>225.5</v>
      </c>
      <c r="CW270">
        <v>91139.574068996619</v>
      </c>
      <c r="CX270" t="s">
        <v>82</v>
      </c>
      <c r="CY270">
        <v>225.5</v>
      </c>
      <c r="CZ270">
        <v>107.59927838241694</v>
      </c>
      <c r="DA270" s="82">
        <f t="shared" si="97"/>
        <v>-0.18040945170731959</v>
      </c>
      <c r="DB270">
        <v>225.5</v>
      </c>
      <c r="DC270">
        <v>88249.942190323185</v>
      </c>
      <c r="DD270" t="s">
        <v>82</v>
      </c>
      <c r="DG270" s="82">
        <f t="shared" si="98"/>
        <v>0</v>
      </c>
      <c r="DM270" s="82">
        <f t="shared" si="99"/>
        <v>0</v>
      </c>
    </row>
    <row r="271" spans="1:117" x14ac:dyDescent="0.2">
      <c r="A271">
        <v>226.5</v>
      </c>
      <c r="B271">
        <v>93.010696131849244</v>
      </c>
      <c r="C271" s="82">
        <f t="shared" si="80"/>
        <v>-0.36565308795670148</v>
      </c>
      <c r="D271">
        <v>226.5</v>
      </c>
      <c r="E271">
        <v>141303.96660668016</v>
      </c>
      <c r="F271" t="s">
        <v>82</v>
      </c>
      <c r="G271">
        <v>226.5</v>
      </c>
      <c r="H271">
        <v>94.115162901643316</v>
      </c>
      <c r="I271" s="82">
        <f t="shared" si="81"/>
        <v>-0.3859332503121351</v>
      </c>
      <c r="J271">
        <v>226.5</v>
      </c>
      <c r="K271">
        <v>150095.88512855288</v>
      </c>
      <c r="L271" t="s">
        <v>82</v>
      </c>
      <c r="M271">
        <v>226.5</v>
      </c>
      <c r="N271">
        <v>95.281937436182247</v>
      </c>
      <c r="O271" s="82">
        <f t="shared" si="82"/>
        <v>-0.39380930105633638</v>
      </c>
      <c r="P271">
        <v>226.5</v>
      </c>
      <c r="Q271">
        <v>154103.19228722769</v>
      </c>
      <c r="R271" t="s">
        <v>82</v>
      </c>
      <c r="S271">
        <v>226.5</v>
      </c>
      <c r="T271">
        <v>96.473037256755163</v>
      </c>
      <c r="U271" s="82">
        <f t="shared" si="83"/>
        <v>-0.39210834529919225</v>
      </c>
      <c r="V271">
        <v>226.5</v>
      </c>
      <c r="W271">
        <v>154414.12339209541</v>
      </c>
      <c r="X271" t="s">
        <v>82</v>
      </c>
      <c r="Y271">
        <v>226.5</v>
      </c>
      <c r="Z271">
        <v>97.656306484243089</v>
      </c>
      <c r="AA271" s="82">
        <f t="shared" si="84"/>
        <v>-0.38340934730734944</v>
      </c>
      <c r="AB271">
        <v>226.5</v>
      </c>
      <c r="AC271">
        <v>152023.97946320352</v>
      </c>
      <c r="AD271" t="s">
        <v>82</v>
      </c>
      <c r="AE271">
        <v>226.5</v>
      </c>
      <c r="AF271">
        <v>98.806215287839876</v>
      </c>
      <c r="AG271" s="82">
        <f t="shared" si="85"/>
        <v>-0.36988988559906488</v>
      </c>
      <c r="AH271">
        <v>226.5</v>
      </c>
      <c r="AI271">
        <v>147775.78171684963</v>
      </c>
      <c r="AJ271" t="s">
        <v>82</v>
      </c>
      <c r="AK271">
        <v>226.5</v>
      </c>
      <c r="AL271">
        <v>99.904571531734476</v>
      </c>
      <c r="AM271" s="82">
        <f t="shared" si="86"/>
        <v>-0.35335855776473579</v>
      </c>
      <c r="AN271">
        <v>226.5</v>
      </c>
      <c r="AO271">
        <v>142373.17231097774</v>
      </c>
      <c r="AP271" t="s">
        <v>82</v>
      </c>
      <c r="AQ271">
        <v>226.5</v>
      </c>
      <c r="AR271">
        <v>100.94071155774611</v>
      </c>
      <c r="AS271" s="82">
        <f t="shared" si="87"/>
        <v>-0.33516840900816192</v>
      </c>
      <c r="AT271">
        <v>226.5</v>
      </c>
      <c r="AU271">
        <v>136347.30685158935</v>
      </c>
      <c r="AV271" t="s">
        <v>82</v>
      </c>
      <c r="AW271">
        <v>226.5</v>
      </c>
      <c r="AX271">
        <v>101.90589689813605</v>
      </c>
      <c r="AY271" s="82">
        <f t="shared" si="88"/>
        <v>-0.31634425709320624</v>
      </c>
      <c r="AZ271">
        <v>226.5</v>
      </c>
      <c r="BA271">
        <v>130099.3748241531</v>
      </c>
      <c r="BB271" t="s">
        <v>82</v>
      </c>
      <c r="BC271">
        <v>226.5</v>
      </c>
      <c r="BD271">
        <v>102.79698076388928</v>
      </c>
      <c r="BE271" s="82">
        <f t="shared" si="89"/>
        <v>-0.29757235594308895</v>
      </c>
      <c r="BF271">
        <v>226.5</v>
      </c>
      <c r="BG271">
        <v>123901.93376558191</v>
      </c>
      <c r="BH271" t="s">
        <v>82</v>
      </c>
      <c r="BI271">
        <v>226.5</v>
      </c>
      <c r="BJ271">
        <v>103.61374234955244</v>
      </c>
      <c r="BK271" s="82">
        <f t="shared" si="90"/>
        <v>-0.27923882741190198</v>
      </c>
      <c r="BL271">
        <v>226.5</v>
      </c>
      <c r="BM271">
        <v>117914.26510761367</v>
      </c>
      <c r="BN271" t="s">
        <v>82</v>
      </c>
      <c r="BO271">
        <v>226.5</v>
      </c>
      <c r="BP271">
        <v>104.35720818254148</v>
      </c>
      <c r="BQ271" s="82">
        <f t="shared" si="91"/>
        <v>-0.26159660934476392</v>
      </c>
      <c r="BR271">
        <v>226.5</v>
      </c>
      <c r="BS271">
        <v>112241.78830782183</v>
      </c>
      <c r="BT271" t="s">
        <v>82</v>
      </c>
      <c r="BU271">
        <v>226.5</v>
      </c>
      <c r="BV271">
        <v>105.0272068731946</v>
      </c>
      <c r="BW271" s="82">
        <f t="shared" si="92"/>
        <v>-0.2448861610070594</v>
      </c>
      <c r="BX271">
        <v>226.5</v>
      </c>
      <c r="BY271">
        <v>106976.46118097178</v>
      </c>
      <c r="BZ271" t="s">
        <v>82</v>
      </c>
      <c r="CA271">
        <v>226.5</v>
      </c>
      <c r="CB271">
        <v>105.62249636509064</v>
      </c>
      <c r="CC271" s="82">
        <f t="shared" si="93"/>
        <v>-0.22969589572103644</v>
      </c>
      <c r="CD271">
        <v>226.5</v>
      </c>
      <c r="CE271">
        <v>102304.5429308672</v>
      </c>
      <c r="CF271" t="s">
        <v>82</v>
      </c>
      <c r="CG271">
        <v>226.5</v>
      </c>
      <c r="CH271">
        <v>106.15216988106258</v>
      </c>
      <c r="CI271" s="82">
        <f t="shared" si="94"/>
        <v>-0.21585180936997972</v>
      </c>
      <c r="CJ271">
        <v>226.5</v>
      </c>
      <c r="CK271">
        <v>98164.215056844143</v>
      </c>
      <c r="CL271" t="s">
        <v>82</v>
      </c>
      <c r="CM271">
        <v>226.5</v>
      </c>
      <c r="CN271">
        <v>106.62386557992613</v>
      </c>
      <c r="CO271" s="82">
        <f t="shared" si="95"/>
        <v>-0.20320194617423226</v>
      </c>
      <c r="CP271">
        <v>226.5</v>
      </c>
      <c r="CQ271">
        <v>94500.508631455406</v>
      </c>
      <c r="CR271" t="s">
        <v>82</v>
      </c>
      <c r="CS271">
        <v>226.5</v>
      </c>
      <c r="CT271">
        <v>107.0441217837319</v>
      </c>
      <c r="CU271" s="82">
        <f t="shared" si="96"/>
        <v>-0.19161875990681665</v>
      </c>
      <c r="CV271">
        <v>226.5</v>
      </c>
      <c r="CW271">
        <v>91266.397829720037</v>
      </c>
      <c r="CX271" t="s">
        <v>82</v>
      </c>
      <c r="CY271">
        <v>226.5</v>
      </c>
      <c r="CZ271">
        <v>107.41850919511671</v>
      </c>
      <c r="DA271" s="82">
        <f t="shared" si="97"/>
        <v>-0.1807691873002284</v>
      </c>
      <c r="DB271">
        <v>226.5</v>
      </c>
      <c r="DC271">
        <v>88363.377159548865</v>
      </c>
      <c r="DD271" t="s">
        <v>82</v>
      </c>
      <c r="DG271" s="82">
        <f t="shared" si="98"/>
        <v>0</v>
      </c>
      <c r="DM271" s="82">
        <f t="shared" si="99"/>
        <v>0</v>
      </c>
    </row>
    <row r="272" spans="1:117" x14ac:dyDescent="0.2">
      <c r="A272">
        <v>227.5</v>
      </c>
      <c r="B272">
        <v>92.658647884551513</v>
      </c>
      <c r="C272" s="82">
        <f t="shared" si="80"/>
        <v>-0.35204824729773065</v>
      </c>
      <c r="D272">
        <v>227.5</v>
      </c>
      <c r="E272">
        <v>135986.78260744674</v>
      </c>
      <c r="F272" t="s">
        <v>82</v>
      </c>
      <c r="G272">
        <v>227.5</v>
      </c>
      <c r="H272">
        <v>93.738468303795884</v>
      </c>
      <c r="I272" s="82">
        <f t="shared" si="81"/>
        <v>-0.37669459784743253</v>
      </c>
      <c r="J272">
        <v>227.5</v>
      </c>
      <c r="K272">
        <v>146470.5582232</v>
      </c>
      <c r="L272" t="s">
        <v>82</v>
      </c>
      <c r="M272">
        <v>227.5</v>
      </c>
      <c r="N272">
        <v>94.894087050473644</v>
      </c>
      <c r="O272" s="82">
        <f t="shared" si="82"/>
        <v>-0.38785038570860308</v>
      </c>
      <c r="P272">
        <v>227.5</v>
      </c>
      <c r="Q272">
        <v>151750.71452986563</v>
      </c>
      <c r="R272" t="s">
        <v>82</v>
      </c>
      <c r="S272">
        <v>227.5</v>
      </c>
      <c r="T272">
        <v>96.084510477308427</v>
      </c>
      <c r="U272" s="82">
        <f t="shared" si="83"/>
        <v>-0.3885267794467353</v>
      </c>
      <c r="V272">
        <v>227.5</v>
      </c>
      <c r="W272">
        <v>152985.67126271146</v>
      </c>
      <c r="X272" t="s">
        <v>82</v>
      </c>
      <c r="Y272">
        <v>227.5</v>
      </c>
      <c r="Z272">
        <v>97.274822830869368</v>
      </c>
      <c r="AA272" s="82">
        <f t="shared" si="84"/>
        <v>-0.3814836533737207</v>
      </c>
      <c r="AB272">
        <v>227.5</v>
      </c>
      <c r="AC272">
        <v>151240.13220810294</v>
      </c>
      <c r="AD272" t="s">
        <v>82</v>
      </c>
      <c r="AE272">
        <v>227.5</v>
      </c>
      <c r="AF272">
        <v>98.437152830835814</v>
      </c>
      <c r="AG272" s="82">
        <f t="shared" si="85"/>
        <v>-0.36906245700406259</v>
      </c>
      <c r="AH272">
        <v>227.5</v>
      </c>
      <c r="AI272">
        <v>147420.19195138777</v>
      </c>
      <c r="AJ272" t="s">
        <v>82</v>
      </c>
      <c r="AK272">
        <v>227.5</v>
      </c>
      <c r="AL272">
        <v>99.55135049804835</v>
      </c>
      <c r="AM272" s="82">
        <f t="shared" si="86"/>
        <v>-0.35322103368612545</v>
      </c>
      <c r="AN272">
        <v>227.5</v>
      </c>
      <c r="AO272">
        <v>142287.13408781795</v>
      </c>
      <c r="AP272" t="s">
        <v>82</v>
      </c>
      <c r="AQ272">
        <v>227.5</v>
      </c>
      <c r="AR272">
        <v>100.6052751209608</v>
      </c>
      <c r="AS272" s="82">
        <f t="shared" si="87"/>
        <v>-0.3354364367853151</v>
      </c>
      <c r="AT272">
        <v>227.5</v>
      </c>
      <c r="AU272">
        <v>136420.13704934358</v>
      </c>
      <c r="AV272" t="s">
        <v>82</v>
      </c>
      <c r="AW272">
        <v>227.5</v>
      </c>
      <c r="AX272">
        <v>101.58907003376731</v>
      </c>
      <c r="AY272" s="82">
        <f t="shared" si="88"/>
        <v>-0.31682686436873553</v>
      </c>
      <c r="AZ272">
        <v>227.5</v>
      </c>
      <c r="BA272">
        <v>130256.62008962642</v>
      </c>
      <c r="BB272" t="s">
        <v>82</v>
      </c>
      <c r="BC272">
        <v>227.5</v>
      </c>
      <c r="BD272">
        <v>102.4988311286682</v>
      </c>
      <c r="BE272" s="82">
        <f t="shared" si="89"/>
        <v>-0.29814963522107973</v>
      </c>
      <c r="BF272">
        <v>227.5</v>
      </c>
      <c r="BG272">
        <v>124096.78088424531</v>
      </c>
      <c r="BH272" t="s">
        <v>82</v>
      </c>
      <c r="BI272">
        <v>227.5</v>
      </c>
      <c r="BJ272">
        <v>103.33390270542014</v>
      </c>
      <c r="BK272" s="82">
        <f t="shared" si="90"/>
        <v>-0.27983964413229501</v>
      </c>
      <c r="BL272">
        <v>227.5</v>
      </c>
      <c r="BM272">
        <v>118118.91151583774</v>
      </c>
      <c r="BN272" t="s">
        <v>82</v>
      </c>
      <c r="BO272">
        <v>227.5</v>
      </c>
      <c r="BP272">
        <v>104.09502635965046</v>
      </c>
      <c r="BQ272" s="82">
        <f t="shared" si="91"/>
        <v>-0.26218182289102288</v>
      </c>
      <c r="BR272">
        <v>227.5</v>
      </c>
      <c r="BS272">
        <v>112440.92153999761</v>
      </c>
      <c r="BT272" t="s">
        <v>82</v>
      </c>
      <c r="BU272">
        <v>227.5</v>
      </c>
      <c r="BV272">
        <v>104.78177044879877</v>
      </c>
      <c r="BW272" s="82">
        <f t="shared" si="92"/>
        <v>-0.2454364243958338</v>
      </c>
      <c r="BX272">
        <v>227.5</v>
      </c>
      <c r="BY272">
        <v>107162.49788420423</v>
      </c>
      <c r="BZ272" t="s">
        <v>82</v>
      </c>
      <c r="CA272">
        <v>227.5</v>
      </c>
      <c r="CB272">
        <v>105.39229102933874</v>
      </c>
      <c r="CC272" s="82">
        <f t="shared" si="93"/>
        <v>-0.23020533575190427</v>
      </c>
      <c r="CD272">
        <v>227.5</v>
      </c>
      <c r="CE272">
        <v>102475.12445481964</v>
      </c>
      <c r="CF272" t="s">
        <v>82</v>
      </c>
      <c r="CG272">
        <v>227.5</v>
      </c>
      <c r="CH272">
        <v>105.9358499306615</v>
      </c>
      <c r="CI272" s="82">
        <f t="shared" si="94"/>
        <v>-0.21631995040107199</v>
      </c>
      <c r="CJ272">
        <v>227.5</v>
      </c>
      <c r="CK272">
        <v>98319.107483688233</v>
      </c>
      <c r="CL272" t="s">
        <v>82</v>
      </c>
      <c r="CM272">
        <v>227.5</v>
      </c>
      <c r="CN272">
        <v>106.42023496992549</v>
      </c>
      <c r="CO272" s="82">
        <f t="shared" si="95"/>
        <v>-0.2036306100006442</v>
      </c>
      <c r="CP272">
        <v>227.5</v>
      </c>
      <c r="CQ272">
        <v>94640.384251815616</v>
      </c>
      <c r="CR272" t="s">
        <v>82</v>
      </c>
      <c r="CS272">
        <v>227.5</v>
      </c>
      <c r="CT272">
        <v>106.85211113011896</v>
      </c>
      <c r="CU272" s="82">
        <f t="shared" si="96"/>
        <v>-0.19201065361293956</v>
      </c>
      <c r="CV272">
        <v>227.5</v>
      </c>
      <c r="CW272">
        <v>91392.279116308142</v>
      </c>
      <c r="CX272" t="s">
        <v>82</v>
      </c>
      <c r="CY272">
        <v>227.5</v>
      </c>
      <c r="CZ272">
        <v>107.23738280404365</v>
      </c>
      <c r="DA272" s="82">
        <f t="shared" si="97"/>
        <v>-0.1811263910730645</v>
      </c>
      <c r="DB272">
        <v>227.5</v>
      </c>
      <c r="DC272">
        <v>88476.062915109695</v>
      </c>
      <c r="DD272" t="s">
        <v>82</v>
      </c>
      <c r="DG272" s="82">
        <f t="shared" si="98"/>
        <v>0</v>
      </c>
      <c r="DM272" s="82">
        <f t="shared" si="99"/>
        <v>0</v>
      </c>
    </row>
    <row r="273" spans="1:117" x14ac:dyDescent="0.2">
      <c r="A273">
        <v>228.5</v>
      </c>
      <c r="B273">
        <v>92.321570263532351</v>
      </c>
      <c r="C273" s="82">
        <f t="shared" si="80"/>
        <v>-0.33707762101916217</v>
      </c>
      <c r="D273">
        <v>228.5</v>
      </c>
      <c r="E273">
        <v>130139.92050271346</v>
      </c>
      <c r="F273" t="s">
        <v>82</v>
      </c>
      <c r="G273">
        <v>228.5</v>
      </c>
      <c r="H273">
        <v>93.372003469265266</v>
      </c>
      <c r="I273" s="82">
        <f t="shared" si="81"/>
        <v>-0.36646483453061762</v>
      </c>
      <c r="J273">
        <v>228.5</v>
      </c>
      <c r="K273">
        <v>142460.53153026701</v>
      </c>
      <c r="L273" t="s">
        <v>82</v>
      </c>
      <c r="M273">
        <v>228.5</v>
      </c>
      <c r="N273">
        <v>94.512894252989071</v>
      </c>
      <c r="O273" s="82">
        <f t="shared" si="82"/>
        <v>-0.38119279748457302</v>
      </c>
      <c r="P273">
        <v>228.5</v>
      </c>
      <c r="Q273">
        <v>149126.95625731046</v>
      </c>
      <c r="R273" t="s">
        <v>82</v>
      </c>
      <c r="S273">
        <v>228.5</v>
      </c>
      <c r="T273">
        <v>95.700042921657612</v>
      </c>
      <c r="U273" s="82">
        <f t="shared" si="83"/>
        <v>-0.38446755565081503</v>
      </c>
      <c r="V273">
        <v>228.5</v>
      </c>
      <c r="W273">
        <v>151371.78721748022</v>
      </c>
      <c r="X273" t="s">
        <v>82</v>
      </c>
      <c r="Y273">
        <v>228.5</v>
      </c>
      <c r="Z273">
        <v>96.895581166664513</v>
      </c>
      <c r="AA273" s="82">
        <f t="shared" si="84"/>
        <v>-0.37924166420485506</v>
      </c>
      <c r="AB273">
        <v>228.5</v>
      </c>
      <c r="AC273">
        <v>150333.60517989012</v>
      </c>
      <c r="AD273" t="s">
        <v>82</v>
      </c>
      <c r="AE273">
        <v>228.5</v>
      </c>
      <c r="AF273">
        <v>98.069120959256608</v>
      </c>
      <c r="AG273" s="82">
        <f t="shared" si="85"/>
        <v>-0.36803187157920547</v>
      </c>
      <c r="AH273">
        <v>228.5</v>
      </c>
      <c r="AI273">
        <v>146985.96145362867</v>
      </c>
      <c r="AJ273" t="s">
        <v>82</v>
      </c>
      <c r="AK273">
        <v>228.5</v>
      </c>
      <c r="AL273">
        <v>99.198393874251934</v>
      </c>
      <c r="AM273" s="82">
        <f t="shared" si="86"/>
        <v>-0.35295662379641612</v>
      </c>
      <c r="AN273">
        <v>228.5</v>
      </c>
      <c r="AO273">
        <v>142152.16222842599</v>
      </c>
      <c r="AP273" t="s">
        <v>82</v>
      </c>
      <c r="AQ273">
        <v>228.5</v>
      </c>
      <c r="AR273">
        <v>100.26964803358396</v>
      </c>
      <c r="AS273" s="82">
        <f t="shared" si="87"/>
        <v>-0.33562708737683522</v>
      </c>
      <c r="AT273">
        <v>228.5</v>
      </c>
      <c r="AU273">
        <v>136463.32023213786</v>
      </c>
      <c r="AV273" t="s">
        <v>82</v>
      </c>
      <c r="AW273">
        <v>228.5</v>
      </c>
      <c r="AX273">
        <v>101.27180724146471</v>
      </c>
      <c r="AY273" s="82">
        <f t="shared" si="88"/>
        <v>-0.31726279230259991</v>
      </c>
      <c r="AZ273">
        <v>228.5</v>
      </c>
      <c r="BA273">
        <v>130396.16938300773</v>
      </c>
      <c r="BB273" t="s">
        <v>82</v>
      </c>
      <c r="BC273">
        <v>228.5</v>
      </c>
      <c r="BD273">
        <v>102.20013256661039</v>
      </c>
      <c r="BE273" s="82">
        <f t="shared" si="89"/>
        <v>-0.2986985620578082</v>
      </c>
      <c r="BF273">
        <v>228.5</v>
      </c>
      <c r="BG273">
        <v>124281.05283576857</v>
      </c>
      <c r="BH273" t="s">
        <v>82</v>
      </c>
      <c r="BI273">
        <v>228.5</v>
      </c>
      <c r="BJ273">
        <v>103.0534799865214</v>
      </c>
      <c r="BK273" s="82">
        <f t="shared" si="90"/>
        <v>-0.28042271889874826</v>
      </c>
      <c r="BL273">
        <v>228.5</v>
      </c>
      <c r="BM273">
        <v>118317.08795460752</v>
      </c>
      <c r="BN273" t="s">
        <v>82</v>
      </c>
      <c r="BO273">
        <v>228.5</v>
      </c>
      <c r="BP273">
        <v>103.83227100019145</v>
      </c>
      <c r="BQ273" s="82">
        <f t="shared" si="91"/>
        <v>-0.26275535945900685</v>
      </c>
      <c r="BR273">
        <v>228.5</v>
      </c>
      <c r="BS273">
        <v>112635.9135002072</v>
      </c>
      <c r="BT273" t="s">
        <v>82</v>
      </c>
      <c r="BU273">
        <v>228.5</v>
      </c>
      <c r="BV273">
        <v>104.53579194540379</v>
      </c>
      <c r="BW273" s="82">
        <f t="shared" si="92"/>
        <v>-0.24597850339497995</v>
      </c>
      <c r="BX273">
        <v>228.5</v>
      </c>
      <c r="BY273">
        <v>107345.71809644239</v>
      </c>
      <c r="BZ273" t="s">
        <v>82</v>
      </c>
      <c r="CA273">
        <v>228.5</v>
      </c>
      <c r="CB273">
        <v>105.16158236944514</v>
      </c>
      <c r="CC273" s="82">
        <f t="shared" si="93"/>
        <v>-0.2307086598935939</v>
      </c>
      <c r="CD273">
        <v>228.5</v>
      </c>
      <c r="CE273">
        <v>102643.6617757444</v>
      </c>
      <c r="CF273" t="s">
        <v>82</v>
      </c>
      <c r="CG273">
        <v>228.5</v>
      </c>
      <c r="CH273">
        <v>105.71906661613912</v>
      </c>
      <c r="CI273" s="82">
        <f t="shared" si="94"/>
        <v>-0.21678331452238808</v>
      </c>
      <c r="CJ273">
        <v>228.5</v>
      </c>
      <c r="CK273">
        <v>98472.447192238658</v>
      </c>
      <c r="CL273" t="s">
        <v>82</v>
      </c>
      <c r="CM273">
        <v>228.5</v>
      </c>
      <c r="CN273">
        <v>106.21617953045947</v>
      </c>
      <c r="CO273" s="82">
        <f t="shared" si="95"/>
        <v>-0.20405543946601767</v>
      </c>
      <c r="CP273">
        <v>228.5</v>
      </c>
      <c r="CQ273">
        <v>94779.047893604686</v>
      </c>
      <c r="CR273" t="s">
        <v>82</v>
      </c>
      <c r="CS273">
        <v>228.5</v>
      </c>
      <c r="CT273">
        <v>106.65971171159606</v>
      </c>
      <c r="CU273" s="82">
        <f t="shared" si="96"/>
        <v>-0.19239941852289633</v>
      </c>
      <c r="CV273">
        <v>228.5</v>
      </c>
      <c r="CW273">
        <v>91517.200269667446</v>
      </c>
      <c r="CX273" t="s">
        <v>82</v>
      </c>
      <c r="CY273">
        <v>228.5</v>
      </c>
      <c r="CZ273">
        <v>107.05590177978279</v>
      </c>
      <c r="DA273" s="82">
        <f t="shared" si="97"/>
        <v>-0.18148102426086155</v>
      </c>
      <c r="DB273">
        <v>228.5</v>
      </c>
      <c r="DC273">
        <v>88587.985617078724</v>
      </c>
      <c r="DD273" t="s">
        <v>82</v>
      </c>
      <c r="DG273" s="82">
        <f t="shared" si="98"/>
        <v>0</v>
      </c>
      <c r="DM273" s="82">
        <f t="shared" si="99"/>
        <v>0</v>
      </c>
    </row>
    <row r="274" spans="1:117" x14ac:dyDescent="0.2">
      <c r="A274">
        <v>229.5</v>
      </c>
      <c r="B274">
        <v>92.000950365862948</v>
      </c>
      <c r="C274" s="82">
        <f t="shared" si="80"/>
        <v>-0.32061989766940258</v>
      </c>
      <c r="D274">
        <v>229.5</v>
      </c>
      <c r="E274">
        <v>123716.33322437646</v>
      </c>
      <c r="F274" t="s">
        <v>82</v>
      </c>
      <c r="G274">
        <v>229.5</v>
      </c>
      <c r="H274">
        <v>93.016848980110339</v>
      </c>
      <c r="I274" s="82">
        <f t="shared" si="81"/>
        <v>-0.35515448915492698</v>
      </c>
      <c r="J274">
        <v>229.5</v>
      </c>
      <c r="K274">
        <v>138030.97930286193</v>
      </c>
      <c r="L274" t="s">
        <v>82</v>
      </c>
      <c r="M274">
        <v>229.5</v>
      </c>
      <c r="N274">
        <v>94.139121694564821</v>
      </c>
      <c r="O274" s="82">
        <f t="shared" si="82"/>
        <v>-0.37377255842424972</v>
      </c>
      <c r="P274">
        <v>229.5</v>
      </c>
      <c r="Q274">
        <v>146206.96471246454</v>
      </c>
      <c r="R274" t="s">
        <v>82</v>
      </c>
      <c r="S274">
        <v>229.5</v>
      </c>
      <c r="T274">
        <v>95.320156466830767</v>
      </c>
      <c r="U274" s="82">
        <f t="shared" si="83"/>
        <v>-0.37988645482684547</v>
      </c>
      <c r="V274">
        <v>229.5</v>
      </c>
      <c r="W274">
        <v>149555.19987142898</v>
      </c>
      <c r="X274" t="s">
        <v>82</v>
      </c>
      <c r="Y274">
        <v>229.5</v>
      </c>
      <c r="Z274">
        <v>96.518927218480471</v>
      </c>
      <c r="AA274" s="82">
        <f t="shared" si="84"/>
        <v>-0.37665394818404252</v>
      </c>
      <c r="AB274">
        <v>229.5</v>
      </c>
      <c r="AC274">
        <v>149292.88886287631</v>
      </c>
      <c r="AD274" t="s">
        <v>82</v>
      </c>
      <c r="AE274">
        <v>229.5</v>
      </c>
      <c r="AF274">
        <v>97.702341653659659</v>
      </c>
      <c r="AG274" s="82">
        <f t="shared" si="85"/>
        <v>-0.36677930559694971</v>
      </c>
      <c r="AH274">
        <v>229.5</v>
      </c>
      <c r="AI274">
        <v>146465.72129794161</v>
      </c>
      <c r="AJ274" t="s">
        <v>82</v>
      </c>
      <c r="AK274">
        <v>229.5</v>
      </c>
      <c r="AL274">
        <v>98.845840077284265</v>
      </c>
      <c r="AM274" s="82">
        <f t="shared" si="86"/>
        <v>-0.35255379696766909</v>
      </c>
      <c r="AN274">
        <v>229.5</v>
      </c>
      <c r="AO274">
        <v>141963.73877795585</v>
      </c>
      <c r="AP274" t="s">
        <v>82</v>
      </c>
      <c r="AQ274">
        <v>229.5</v>
      </c>
      <c r="AR274">
        <v>99.933914403772647</v>
      </c>
      <c r="AS274" s="82">
        <f t="shared" si="87"/>
        <v>-0.33573362981131538</v>
      </c>
      <c r="AT274">
        <v>229.5</v>
      </c>
      <c r="AU274">
        <v>136474.2178325087</v>
      </c>
      <c r="AV274" t="s">
        <v>82</v>
      </c>
      <c r="AW274">
        <v>229.5</v>
      </c>
      <c r="AX274">
        <v>100.95415894519878</v>
      </c>
      <c r="AY274" s="82">
        <f t="shared" si="88"/>
        <v>-0.31764829626592928</v>
      </c>
      <c r="AZ274">
        <v>229.5</v>
      </c>
      <c r="BA274">
        <v>130516.55501924326</v>
      </c>
      <c r="BB274" t="s">
        <v>82</v>
      </c>
      <c r="BC274">
        <v>229.5</v>
      </c>
      <c r="BD274">
        <v>101.90091541680812</v>
      </c>
      <c r="BE274" s="82">
        <f t="shared" si="89"/>
        <v>-0.29921714980227421</v>
      </c>
      <c r="BF274">
        <v>229.5</v>
      </c>
      <c r="BG274">
        <v>124453.97201104347</v>
      </c>
      <c r="BH274" t="s">
        <v>82</v>
      </c>
      <c r="BI274">
        <v>229.5</v>
      </c>
      <c r="BJ274">
        <v>102.77249294777033</v>
      </c>
      <c r="BK274" s="82">
        <f t="shared" si="90"/>
        <v>-0.28098703875106423</v>
      </c>
      <c r="BL274">
        <v>229.5</v>
      </c>
      <c r="BM274">
        <v>118508.39937553485</v>
      </c>
      <c r="BN274" t="s">
        <v>82</v>
      </c>
      <c r="BO274">
        <v>229.5</v>
      </c>
      <c r="BP274">
        <v>103.56895428682255</v>
      </c>
      <c r="BQ274" s="82">
        <f t="shared" si="91"/>
        <v>-0.26331671336890849</v>
      </c>
      <c r="BR274">
        <v>229.5</v>
      </c>
      <c r="BS274">
        <v>112826.5684257234</v>
      </c>
      <c r="BT274" t="s">
        <v>82</v>
      </c>
      <c r="BU274">
        <v>229.5</v>
      </c>
      <c r="BV274">
        <v>104.28927980601439</v>
      </c>
      <c r="BW274" s="82">
        <f t="shared" si="92"/>
        <v>-0.2465121393893952</v>
      </c>
      <c r="BX274">
        <v>229.5</v>
      </c>
      <c r="BY274">
        <v>107526.02299878658</v>
      </c>
      <c r="BZ274" t="s">
        <v>82</v>
      </c>
      <c r="CA274">
        <v>229.5</v>
      </c>
      <c r="CB274">
        <v>104.93037664637856</v>
      </c>
      <c r="CC274" s="82">
        <f t="shared" si="93"/>
        <v>-0.23120572306658005</v>
      </c>
      <c r="CD274">
        <v>229.5</v>
      </c>
      <c r="CE274">
        <v>102810.10041963478</v>
      </c>
      <c r="CF274" t="s">
        <v>82</v>
      </c>
      <c r="CG274">
        <v>229.5</v>
      </c>
      <c r="CH274">
        <v>105.50182480622638</v>
      </c>
      <c r="CI274" s="82">
        <f t="shared" si="94"/>
        <v>-0.21724180991273556</v>
      </c>
      <c r="CJ274">
        <v>229.5</v>
      </c>
      <c r="CK274">
        <v>98624.200348784972</v>
      </c>
      <c r="CL274" t="s">
        <v>82</v>
      </c>
      <c r="CM274">
        <v>229.5</v>
      </c>
      <c r="CN274">
        <v>106.01170316072576</v>
      </c>
      <c r="CO274" s="82">
        <f t="shared" si="95"/>
        <v>-0.20447636973371175</v>
      </c>
      <c r="CP274">
        <v>229.5</v>
      </c>
      <c r="CQ274">
        <v>94916.475988748309</v>
      </c>
      <c r="CR274" t="s">
        <v>82</v>
      </c>
      <c r="CS274">
        <v>229.5</v>
      </c>
      <c r="CT274">
        <v>106.46692670624589</v>
      </c>
      <c r="CU274" s="82">
        <f t="shared" si="96"/>
        <v>-0.19278500535017429</v>
      </c>
      <c r="CV274">
        <v>229.5</v>
      </c>
      <c r="CW274">
        <v>91641.143535492432</v>
      </c>
      <c r="CX274" t="s">
        <v>82</v>
      </c>
      <c r="CY274">
        <v>229.5</v>
      </c>
      <c r="CZ274">
        <v>106.87406873171736</v>
      </c>
      <c r="DA274" s="82">
        <f t="shared" si="97"/>
        <v>-0.18183304806542822</v>
      </c>
      <c r="DB274">
        <v>229.5</v>
      </c>
      <c r="DC274">
        <v>88699.131381145242</v>
      </c>
      <c r="DD274" t="s">
        <v>82</v>
      </c>
      <c r="DG274" s="82">
        <f t="shared" si="98"/>
        <v>0</v>
      </c>
      <c r="DM274" s="82">
        <f t="shared" si="99"/>
        <v>0</v>
      </c>
    </row>
    <row r="275" spans="1:117" x14ac:dyDescent="0.2">
      <c r="A275">
        <v>230.5</v>
      </c>
      <c r="B275">
        <v>91.698408057425993</v>
      </c>
      <c r="C275" s="82">
        <f t="shared" si="80"/>
        <v>-0.30254230843695495</v>
      </c>
      <c r="D275">
        <v>230.5</v>
      </c>
      <c r="E275">
        <v>116664.61400379016</v>
      </c>
      <c r="F275" t="s">
        <v>82</v>
      </c>
      <c r="G275">
        <v>230.5</v>
      </c>
      <c r="H275">
        <v>92.674183517785806</v>
      </c>
      <c r="I275" s="82">
        <f t="shared" si="81"/>
        <v>-0.34266546232453265</v>
      </c>
      <c r="J275">
        <v>230.5</v>
      </c>
      <c r="K275">
        <v>133143.73535729141</v>
      </c>
      <c r="L275" t="s">
        <v>82</v>
      </c>
      <c r="M275">
        <v>230.5</v>
      </c>
      <c r="N275">
        <v>93.773602305096304</v>
      </c>
      <c r="O275" s="82">
        <f t="shared" si="82"/>
        <v>-0.36551938946851692</v>
      </c>
      <c r="P275">
        <v>230.5</v>
      </c>
      <c r="Q275">
        <v>142963.332933953</v>
      </c>
      <c r="R275" t="s">
        <v>82</v>
      </c>
      <c r="S275">
        <v>230.5</v>
      </c>
      <c r="T275">
        <v>94.945421658600665</v>
      </c>
      <c r="U275" s="82">
        <f t="shared" si="83"/>
        <v>-0.37473480823010163</v>
      </c>
      <c r="V275">
        <v>230.5</v>
      </c>
      <c r="W275">
        <v>147516.89955542775</v>
      </c>
      <c r="X275" t="s">
        <v>82</v>
      </c>
      <c r="Y275">
        <v>230.5</v>
      </c>
      <c r="Z275">
        <v>96.145239170965013</v>
      </c>
      <c r="AA275" s="82">
        <f t="shared" si="84"/>
        <v>-0.37368804751545781</v>
      </c>
      <c r="AB275">
        <v>230.5</v>
      </c>
      <c r="AC275">
        <v>148105.289088144</v>
      </c>
      <c r="AD275" t="s">
        <v>82</v>
      </c>
      <c r="AE275">
        <v>230.5</v>
      </c>
      <c r="AF275">
        <v>97.337057694620967</v>
      </c>
      <c r="AG275" s="82">
        <f t="shared" si="85"/>
        <v>-0.36528395903869182</v>
      </c>
      <c r="AH275">
        <v>230.5</v>
      </c>
      <c r="AI275">
        <v>145851.32753257704</v>
      </c>
      <c r="AJ275" t="s">
        <v>82</v>
      </c>
      <c r="AK275">
        <v>230.5</v>
      </c>
      <c r="AL275">
        <v>98.493840288787652</v>
      </c>
      <c r="AM275" s="82">
        <f t="shared" si="86"/>
        <v>-0.35199978849661306</v>
      </c>
      <c r="AN275">
        <v>230.5</v>
      </c>
      <c r="AO275">
        <v>141716.86126735155</v>
      </c>
      <c r="AP275" t="s">
        <v>82</v>
      </c>
      <c r="AQ275">
        <v>230.5</v>
      </c>
      <c r="AR275">
        <v>99.598165801013536</v>
      </c>
      <c r="AS275" s="82">
        <f t="shared" si="87"/>
        <v>-0.33574860275911078</v>
      </c>
      <c r="AT275">
        <v>230.5</v>
      </c>
      <c r="AU275">
        <v>136449.90395658417</v>
      </c>
      <c r="AV275" t="s">
        <v>82</v>
      </c>
      <c r="AW275">
        <v>230.5</v>
      </c>
      <c r="AX275">
        <v>100.63617972201055</v>
      </c>
      <c r="AY275" s="82">
        <f t="shared" si="88"/>
        <v>-0.31797922318823169</v>
      </c>
      <c r="AZ275">
        <v>230.5</v>
      </c>
      <c r="BA275">
        <v>130616.14830935688</v>
      </c>
      <c r="BB275" t="s">
        <v>82</v>
      </c>
      <c r="BC275">
        <v>230.5</v>
      </c>
      <c r="BD275">
        <v>101.60121221904538</v>
      </c>
      <c r="BE275" s="82">
        <f t="shared" si="89"/>
        <v>-0.29970319776273868</v>
      </c>
      <c r="BF275">
        <v>230.5</v>
      </c>
      <c r="BG275">
        <v>124614.67630906384</v>
      </c>
      <c r="BH275" t="s">
        <v>82</v>
      </c>
      <c r="BI275">
        <v>230.5</v>
      </c>
      <c r="BJ275">
        <v>102.49096146134698</v>
      </c>
      <c r="BK275" s="82">
        <f t="shared" si="90"/>
        <v>-0.28153148642334713</v>
      </c>
      <c r="BL275">
        <v>230.5</v>
      </c>
      <c r="BM275">
        <v>118692.40945789569</v>
      </c>
      <c r="BN275" t="s">
        <v>82</v>
      </c>
      <c r="BO275">
        <v>230.5</v>
      </c>
      <c r="BP275">
        <v>103.30508895458055</v>
      </c>
      <c r="BQ275" s="82">
        <f t="shared" si="91"/>
        <v>-0.26386533224199127</v>
      </c>
      <c r="BR275">
        <v>230.5</v>
      </c>
      <c r="BS275">
        <v>113012.6720923778</v>
      </c>
      <c r="BT275" t="s">
        <v>82</v>
      </c>
      <c r="BU275">
        <v>230.5</v>
      </c>
      <c r="BV275">
        <v>104.04224275142097</v>
      </c>
      <c r="BW275" s="82">
        <f t="shared" si="92"/>
        <v>-0.24703705459342018</v>
      </c>
      <c r="BX275">
        <v>230.5</v>
      </c>
      <c r="BY275">
        <v>107703.30618216375</v>
      </c>
      <c r="BZ275" t="s">
        <v>82</v>
      </c>
      <c r="CA275">
        <v>230.5</v>
      </c>
      <c r="CB275">
        <v>104.69868027348234</v>
      </c>
      <c r="CC275" s="82">
        <f t="shared" si="93"/>
        <v>-0.23169637289622358</v>
      </c>
      <c r="CD275">
        <v>230.5</v>
      </c>
      <c r="CE275">
        <v>102974.38302188169</v>
      </c>
      <c r="CF275" t="s">
        <v>82</v>
      </c>
      <c r="CG275">
        <v>230.5</v>
      </c>
      <c r="CH275">
        <v>105.28412946403752</v>
      </c>
      <c r="CI275" s="82">
        <f t="shared" si="94"/>
        <v>-0.21769534218886122</v>
      </c>
      <c r="CJ275">
        <v>230.5</v>
      </c>
      <c r="CK275">
        <v>98774.332065717084</v>
      </c>
      <c r="CL275" t="s">
        <v>82</v>
      </c>
      <c r="CM275">
        <v>230.5</v>
      </c>
      <c r="CN275">
        <v>105.80680982556302</v>
      </c>
      <c r="CO275" s="82">
        <f t="shared" si="95"/>
        <v>-0.20489333516273689</v>
      </c>
      <c r="CP275">
        <v>230.5</v>
      </c>
      <c r="CQ275">
        <v>95052.644640976563</v>
      </c>
      <c r="CR275" t="s">
        <v>82</v>
      </c>
      <c r="CS275">
        <v>230.5</v>
      </c>
      <c r="CT275">
        <v>106.27375934163931</v>
      </c>
      <c r="CU275" s="82">
        <f t="shared" si="96"/>
        <v>-0.19316736460658035</v>
      </c>
      <c r="CV275">
        <v>230.5</v>
      </c>
      <c r="CW275">
        <v>91764.091093426163</v>
      </c>
      <c r="CX275" t="s">
        <v>82</v>
      </c>
      <c r="CY275">
        <v>230.5</v>
      </c>
      <c r="CZ275">
        <v>106.69188630808516</v>
      </c>
      <c r="DA275" s="82">
        <f t="shared" si="97"/>
        <v>-0.18218242363219872</v>
      </c>
      <c r="DB275">
        <v>230.5</v>
      </c>
      <c r="DC275">
        <v>88809.486293885726</v>
      </c>
      <c r="DD275" t="s">
        <v>82</v>
      </c>
      <c r="DG275" s="82">
        <f t="shared" si="98"/>
        <v>0</v>
      </c>
      <c r="DM275" s="82">
        <f t="shared" si="99"/>
        <v>0</v>
      </c>
    </row>
    <row r="276" spans="1:117" x14ac:dyDescent="0.2">
      <c r="A276">
        <v>231.5</v>
      </c>
      <c r="B276">
        <v>91.41570853438904</v>
      </c>
      <c r="C276" s="82">
        <f t="shared" si="80"/>
        <v>-0.28269952303695334</v>
      </c>
      <c r="D276">
        <v>231.5</v>
      </c>
      <c r="E276">
        <v>108928.63170836479</v>
      </c>
      <c r="F276" t="s">
        <v>82</v>
      </c>
      <c r="G276">
        <v>231.5</v>
      </c>
      <c r="H276">
        <v>92.345293343477167</v>
      </c>
      <c r="I276" s="82">
        <f t="shared" si="81"/>
        <v>-0.32889017430863987</v>
      </c>
      <c r="J276">
        <v>231.5</v>
      </c>
      <c r="K276">
        <v>127756.97360981125</v>
      </c>
      <c r="L276" t="s">
        <v>82</v>
      </c>
      <c r="M276">
        <v>231.5</v>
      </c>
      <c r="N276">
        <v>93.417246231392511</v>
      </c>
      <c r="O276" s="82">
        <f t="shared" si="82"/>
        <v>-0.35635607370379319</v>
      </c>
      <c r="P276">
        <v>231.5</v>
      </c>
      <c r="Q276">
        <v>139365.95416428967</v>
      </c>
      <c r="R276" t="s">
        <v>82</v>
      </c>
      <c r="S276">
        <v>231.5</v>
      </c>
      <c r="T276">
        <v>94.576462621341676</v>
      </c>
      <c r="U276" s="82">
        <f t="shared" si="83"/>
        <v>-0.36895903725898904</v>
      </c>
      <c r="V276">
        <v>231.5</v>
      </c>
      <c r="W276">
        <v>145235.959117413</v>
      </c>
      <c r="X276" t="s">
        <v>82</v>
      </c>
      <c r="Y276">
        <v>231.5</v>
      </c>
      <c r="Z276">
        <v>95.774931013471942</v>
      </c>
      <c r="AA276" s="82">
        <f t="shared" si="84"/>
        <v>-0.37030815749307067</v>
      </c>
      <c r="AB276">
        <v>231.5</v>
      </c>
      <c r="AC276">
        <v>146756.80173049055</v>
      </c>
      <c r="AD276" t="s">
        <v>82</v>
      </c>
      <c r="AE276">
        <v>231.5</v>
      </c>
      <c r="AF276">
        <v>96.973534853960516</v>
      </c>
      <c r="AG276" s="82">
        <f t="shared" si="85"/>
        <v>-0.36352284066045115</v>
      </c>
      <c r="AH276">
        <v>231.5</v>
      </c>
      <c r="AI276">
        <v>145133.77708625648</v>
      </c>
      <c r="AJ276" t="s">
        <v>82</v>
      </c>
      <c r="AK276">
        <v>231.5</v>
      </c>
      <c r="AL276">
        <v>98.142559826594947</v>
      </c>
      <c r="AM276" s="82">
        <f t="shared" si="86"/>
        <v>-0.35128046219270459</v>
      </c>
      <c r="AN276">
        <v>231.5</v>
      </c>
      <c r="AO276">
        <v>141405.9885761044</v>
      </c>
      <c r="AP276" t="s">
        <v>82</v>
      </c>
      <c r="AQ276">
        <v>231.5</v>
      </c>
      <c r="AR276">
        <v>99.262502070569951</v>
      </c>
      <c r="AS276" s="82">
        <f t="shared" si="87"/>
        <v>-0.335663730443585</v>
      </c>
      <c r="AT276">
        <v>231.5</v>
      </c>
      <c r="AU276">
        <v>136387.13227970916</v>
      </c>
      <c r="AV276" t="s">
        <v>82</v>
      </c>
      <c r="AW276">
        <v>231.5</v>
      </c>
      <c r="AX276">
        <v>100.31792875891719</v>
      </c>
      <c r="AY276" s="82">
        <f t="shared" si="88"/>
        <v>-0.31825096309336232</v>
      </c>
      <c r="AZ276">
        <v>231.5</v>
      </c>
      <c r="BA276">
        <v>130693.1405222133</v>
      </c>
      <c r="BB276" t="s">
        <v>82</v>
      </c>
      <c r="BC276">
        <v>231.5</v>
      </c>
      <c r="BD276">
        <v>101.30105795410515</v>
      </c>
      <c r="BE276" s="82">
        <f t="shared" si="89"/>
        <v>-0.30015426494023245</v>
      </c>
      <c r="BF276">
        <v>231.5</v>
      </c>
      <c r="BG276">
        <v>124762.20873540084</v>
      </c>
      <c r="BH276" t="s">
        <v>82</v>
      </c>
      <c r="BI276">
        <v>231.5</v>
      </c>
      <c r="BJ276">
        <v>102.20890663423482</v>
      </c>
      <c r="BK276" s="82">
        <f t="shared" si="90"/>
        <v>-0.28205482711216234</v>
      </c>
      <c r="BL276">
        <v>231.5</v>
      </c>
      <c r="BM276">
        <v>118868.63538440198</v>
      </c>
      <c r="BN276" t="s">
        <v>82</v>
      </c>
      <c r="BO276">
        <v>231.5</v>
      </c>
      <c r="BP276">
        <v>103.04068834373562</v>
      </c>
      <c r="BQ276" s="82">
        <f t="shared" si="91"/>
        <v>-0.26440061084493038</v>
      </c>
      <c r="BR276">
        <v>231.5</v>
      </c>
      <c r="BS276">
        <v>113193.9892678968</v>
      </c>
      <c r="BT276" t="s">
        <v>82</v>
      </c>
      <c r="BU276">
        <v>231.5</v>
      </c>
      <c r="BV276">
        <v>103.79468980196361</v>
      </c>
      <c r="BW276" s="82">
        <f t="shared" si="92"/>
        <v>-0.24755294945735784</v>
      </c>
      <c r="BX276">
        <v>231.5</v>
      </c>
      <c r="BY276">
        <v>107877.45254919559</v>
      </c>
      <c r="BZ276" t="s">
        <v>82</v>
      </c>
      <c r="CA276">
        <v>231.5</v>
      </c>
      <c r="CB276">
        <v>104.46649982482316</v>
      </c>
      <c r="CC276" s="82">
        <f t="shared" si="93"/>
        <v>-0.23218044865917875</v>
      </c>
      <c r="CD276">
        <v>231.5</v>
      </c>
      <c r="CE276">
        <v>103136.44886475203</v>
      </c>
      <c r="CF276" t="s">
        <v>82</v>
      </c>
      <c r="CG276">
        <v>231.5</v>
      </c>
      <c r="CH276">
        <v>105.06598565000134</v>
      </c>
      <c r="CI276" s="82">
        <f t="shared" si="94"/>
        <v>-0.21814381403618199</v>
      </c>
      <c r="CJ276">
        <v>231.5</v>
      </c>
      <c r="CK276">
        <v>98922.806272721995</v>
      </c>
      <c r="CL276" t="s">
        <v>82</v>
      </c>
      <c r="CM276">
        <v>231.5</v>
      </c>
      <c r="CN276">
        <v>105.60150355638284</v>
      </c>
      <c r="CO276" s="82">
        <f t="shared" si="95"/>
        <v>-0.20530626918018413</v>
      </c>
      <c r="CP276">
        <v>231.5</v>
      </c>
      <c r="CQ276">
        <v>95187.529586416102</v>
      </c>
      <c r="CR276" t="s">
        <v>82</v>
      </c>
      <c r="CS276">
        <v>231.5</v>
      </c>
      <c r="CT276">
        <v>106.08021289510789</v>
      </c>
      <c r="CU276" s="82">
        <f t="shared" si="96"/>
        <v>-0.19354644653141406</v>
      </c>
      <c r="CV276">
        <v>231.5</v>
      </c>
      <c r="CW276">
        <v>91886.024996927852</v>
      </c>
      <c r="CX276" t="s">
        <v>82</v>
      </c>
      <c r="CY276">
        <v>231.5</v>
      </c>
      <c r="CZ276">
        <v>106.50935719600328</v>
      </c>
      <c r="DA276" s="82">
        <f t="shared" si="97"/>
        <v>-0.18252911208188038</v>
      </c>
      <c r="DB276">
        <v>231.5</v>
      </c>
      <c r="DC276">
        <v>88919.036467743339</v>
      </c>
      <c r="DD276" t="s">
        <v>82</v>
      </c>
      <c r="DG276" s="82">
        <f t="shared" si="98"/>
        <v>0</v>
      </c>
      <c r="DM276" s="82">
        <f t="shared" si="99"/>
        <v>0</v>
      </c>
    </row>
    <row r="277" spans="1:117" x14ac:dyDescent="0.2">
      <c r="A277">
        <v>232.5</v>
      </c>
      <c r="B277">
        <v>91.154776093801914</v>
      </c>
      <c r="C277" s="82">
        <f t="shared" si="80"/>
        <v>-0.26093244058712628</v>
      </c>
      <c r="D277">
        <v>232.5</v>
      </c>
      <c r="E277">
        <v>100447.17687814494</v>
      </c>
      <c r="F277" t="s">
        <v>82</v>
      </c>
      <c r="G277">
        <v>232.5</v>
      </c>
      <c r="H277">
        <v>92.031582714747572</v>
      </c>
      <c r="I277" s="82">
        <f t="shared" si="81"/>
        <v>-0.31371062872959499</v>
      </c>
      <c r="J277">
        <v>232.5</v>
      </c>
      <c r="K277">
        <v>121824.86329247808</v>
      </c>
      <c r="L277" t="s">
        <v>82</v>
      </c>
      <c r="M277">
        <v>232.5</v>
      </c>
      <c r="N277">
        <v>93.071048476465592</v>
      </c>
      <c r="O277" s="82">
        <f t="shared" si="82"/>
        <v>-0.34619775492691929</v>
      </c>
      <c r="P277">
        <v>232.5</v>
      </c>
      <c r="Q277">
        <v>135381.75262941257</v>
      </c>
      <c r="R277" t="s">
        <v>82</v>
      </c>
      <c r="S277">
        <v>232.5</v>
      </c>
      <c r="T277">
        <v>94.213962475978093</v>
      </c>
      <c r="U277" s="82">
        <f t="shared" si="83"/>
        <v>-0.36250014536358321</v>
      </c>
      <c r="V277">
        <v>232.5</v>
      </c>
      <c r="W277">
        <v>142689.33652062766</v>
      </c>
      <c r="X277" t="s">
        <v>82</v>
      </c>
      <c r="Y277">
        <v>232.5</v>
      </c>
      <c r="Z277">
        <v>95.408456241800934</v>
      </c>
      <c r="AA277" s="82">
        <f t="shared" si="84"/>
        <v>-0.36647477167100817</v>
      </c>
      <c r="AB277">
        <v>232.5</v>
      </c>
      <c r="AC277">
        <v>145231.97405431728</v>
      </c>
      <c r="AD277" t="s">
        <v>82</v>
      </c>
      <c r="AE277">
        <v>232.5</v>
      </c>
      <c r="AF277">
        <v>96.612064324339059</v>
      </c>
      <c r="AG277" s="82">
        <f t="shared" si="85"/>
        <v>-0.36147052962145665</v>
      </c>
      <c r="AH277">
        <v>232.5</v>
      </c>
      <c r="AI277">
        <v>144303.11428915957</v>
      </c>
      <c r="AJ277" t="s">
        <v>82</v>
      </c>
      <c r="AK277">
        <v>232.5</v>
      </c>
      <c r="AL277">
        <v>97.792179669554727</v>
      </c>
      <c r="AM277" s="82">
        <f t="shared" si="86"/>
        <v>-0.3503801570402203</v>
      </c>
      <c r="AN277">
        <v>232.5</v>
      </c>
      <c r="AO277">
        <v>141024.98071487044</v>
      </c>
      <c r="AP277" t="s">
        <v>82</v>
      </c>
      <c r="AQ277">
        <v>232.5</v>
      </c>
      <c r="AR277">
        <v>98.927032241643033</v>
      </c>
      <c r="AS277" s="82">
        <f t="shared" si="87"/>
        <v>-0.33546982892691801</v>
      </c>
      <c r="AT277">
        <v>232.5</v>
      </c>
      <c r="AU277">
        <v>136282.29919898816</v>
      </c>
      <c r="AV277" t="s">
        <v>82</v>
      </c>
      <c r="AW277">
        <v>232.5</v>
      </c>
      <c r="AX277">
        <v>99.999470364060045</v>
      </c>
      <c r="AY277" s="82">
        <f t="shared" si="88"/>
        <v>-0.31845839485714578</v>
      </c>
      <c r="AZ277">
        <v>232.5</v>
      </c>
      <c r="BA277">
        <v>130745.5214907979</v>
      </c>
      <c r="BB277" t="s">
        <v>82</v>
      </c>
      <c r="BC277">
        <v>232.5</v>
      </c>
      <c r="BD277">
        <v>101.00049031352356</v>
      </c>
      <c r="BE277" s="82">
        <f t="shared" si="89"/>
        <v>-0.30056764058159047</v>
      </c>
      <c r="BF277">
        <v>232.5</v>
      </c>
      <c r="BG277">
        <v>124895.50577294198</v>
      </c>
      <c r="BH277" t="s">
        <v>82</v>
      </c>
      <c r="BI277">
        <v>232.5</v>
      </c>
      <c r="BJ277">
        <v>101.92635094066452</v>
      </c>
      <c r="BK277" s="82">
        <f t="shared" si="90"/>
        <v>-0.28255569357030197</v>
      </c>
      <c r="BL277">
        <v>232.5</v>
      </c>
      <c r="BM277">
        <v>119036.54191541125</v>
      </c>
      <c r="BN277" t="s">
        <v>82</v>
      </c>
      <c r="BO277">
        <v>232.5</v>
      </c>
      <c r="BP277">
        <v>102.77576645959067</v>
      </c>
      <c r="BQ277" s="82">
        <f t="shared" si="91"/>
        <v>-0.26492188414495388</v>
      </c>
      <c r="BR277">
        <v>232.5</v>
      </c>
      <c r="BS277">
        <v>113370.26103017924</v>
      </c>
      <c r="BT277" t="s">
        <v>82</v>
      </c>
      <c r="BU277">
        <v>232.5</v>
      </c>
      <c r="BV277">
        <v>103.54663030230013</v>
      </c>
      <c r="BW277" s="82">
        <f t="shared" si="92"/>
        <v>-0.24805949966348351</v>
      </c>
      <c r="BX277">
        <v>232.5</v>
      </c>
      <c r="BY277">
        <v>108048.33715569509</v>
      </c>
      <c r="BZ277" t="s">
        <v>82</v>
      </c>
      <c r="CA277">
        <v>232.5</v>
      </c>
      <c r="CB277">
        <v>104.23384204471486</v>
      </c>
      <c r="CC277" s="82">
        <f t="shared" si="93"/>
        <v>-0.23265778010829763</v>
      </c>
      <c r="CD277">
        <v>232.5</v>
      </c>
      <c r="CE277">
        <v>103296.2334571073</v>
      </c>
      <c r="CF277" t="s">
        <v>82</v>
      </c>
      <c r="CG277">
        <v>232.5</v>
      </c>
      <c r="CH277">
        <v>104.84739852524609</v>
      </c>
      <c r="CI277" s="82">
        <f t="shared" si="94"/>
        <v>-0.21858712475524555</v>
      </c>
      <c r="CJ277">
        <v>232.5</v>
      </c>
      <c r="CK277">
        <v>99069.585555552316</v>
      </c>
      <c r="CL277" t="s">
        <v>82</v>
      </c>
      <c r="CM277">
        <v>232.5</v>
      </c>
      <c r="CN277">
        <v>105.39578845224533</v>
      </c>
      <c r="CO277" s="82">
        <f t="shared" si="95"/>
        <v>-0.20571510413751071</v>
      </c>
      <c r="CP277">
        <v>232.5</v>
      </c>
      <c r="CQ277">
        <v>95321.106094760486</v>
      </c>
      <c r="CR277" t="s">
        <v>82</v>
      </c>
      <c r="CS277">
        <v>232.5</v>
      </c>
      <c r="CT277">
        <v>105.88629069401486</v>
      </c>
      <c r="CU277" s="82">
        <f t="shared" si="96"/>
        <v>-0.19392220109303082</v>
      </c>
      <c r="CV277">
        <v>232.5</v>
      </c>
      <c r="CW277">
        <v>92006.92719122408</v>
      </c>
      <c r="CX277" t="s">
        <v>82</v>
      </c>
      <c r="CY277">
        <v>232.5</v>
      </c>
      <c r="CZ277">
        <v>106.32648412154059</v>
      </c>
      <c r="DA277" s="82">
        <f t="shared" si="97"/>
        <v>-0.18287307446269097</v>
      </c>
      <c r="DB277">
        <v>232.5</v>
      </c>
      <c r="DC277">
        <v>89027.767929679423</v>
      </c>
      <c r="DD277" t="s">
        <v>82</v>
      </c>
      <c r="DG277" s="82">
        <f t="shared" si="98"/>
        <v>0</v>
      </c>
      <c r="DM277" s="82">
        <f t="shared" si="99"/>
        <v>0</v>
      </c>
    </row>
    <row r="278" spans="1:117" x14ac:dyDescent="0.2">
      <c r="A278">
        <v>233.5</v>
      </c>
      <c r="B278">
        <v>90.917709227566377</v>
      </c>
      <c r="C278" s="82">
        <f t="shared" si="80"/>
        <v>-0.23706686623553708</v>
      </c>
      <c r="D278">
        <v>233.5</v>
      </c>
      <c r="E278">
        <v>91153.668293279872</v>
      </c>
      <c r="F278" t="s">
        <v>82</v>
      </c>
      <c r="G278">
        <v>233.5</v>
      </c>
      <c r="H278">
        <v>91.734585330818845</v>
      </c>
      <c r="I278" s="82">
        <f t="shared" si="81"/>
        <v>-0.29699738392872632</v>
      </c>
      <c r="J278">
        <v>233.5</v>
      </c>
      <c r="K278">
        <v>115297.20088018059</v>
      </c>
      <c r="L278" t="s">
        <v>82</v>
      </c>
      <c r="M278">
        <v>233.5</v>
      </c>
      <c r="N278">
        <v>92.736097311460654</v>
      </c>
      <c r="O278" s="82">
        <f t="shared" si="82"/>
        <v>-0.33495116500493793</v>
      </c>
      <c r="P278">
        <v>233.5</v>
      </c>
      <c r="Q278">
        <v>130974.38871837743</v>
      </c>
      <c r="R278" t="s">
        <v>82</v>
      </c>
      <c r="S278">
        <v>233.5</v>
      </c>
      <c r="T278">
        <v>93.858669318893206</v>
      </c>
      <c r="U278" s="82">
        <f t="shared" si="83"/>
        <v>-0.35529315708488696</v>
      </c>
      <c r="V278">
        <v>233.5</v>
      </c>
      <c r="W278">
        <v>139851.65718664593</v>
      </c>
      <c r="X278" t="s">
        <v>82</v>
      </c>
      <c r="Y278">
        <v>233.5</v>
      </c>
      <c r="Z278">
        <v>95.046311952620599</v>
      </c>
      <c r="AA278" s="82">
        <f t="shared" si="84"/>
        <v>-0.36214428918033548</v>
      </c>
      <c r="AB278">
        <v>233.5</v>
      </c>
      <c r="AC278">
        <v>143513.75143203253</v>
      </c>
      <c r="AD278" t="s">
        <v>82</v>
      </c>
      <c r="AE278">
        <v>233.5</v>
      </c>
      <c r="AF278">
        <v>96.252965413271014</v>
      </c>
      <c r="AG278" s="82">
        <f t="shared" si="85"/>
        <v>-0.35909891106804537</v>
      </c>
      <c r="AH278">
        <v>233.5</v>
      </c>
      <c r="AI278">
        <v>143348.3273533255</v>
      </c>
      <c r="AJ278" t="s">
        <v>82</v>
      </c>
      <c r="AK278">
        <v>233.5</v>
      </c>
      <c r="AL278">
        <v>97.442898152864572</v>
      </c>
      <c r="AM278" s="82">
        <f t="shared" si="86"/>
        <v>-0.34928151669015506</v>
      </c>
      <c r="AN278">
        <v>233.5</v>
      </c>
      <c r="AO278">
        <v>140567.03193740814</v>
      </c>
      <c r="AP278" t="s">
        <v>82</v>
      </c>
      <c r="AQ278">
        <v>233.5</v>
      </c>
      <c r="AR278">
        <v>98.591875540081972</v>
      </c>
      <c r="AS278" s="82">
        <f t="shared" si="87"/>
        <v>-0.33515670156106125</v>
      </c>
      <c r="AT278">
        <v>233.5</v>
      </c>
      <c r="AU278">
        <v>136131.40277496111</v>
      </c>
      <c r="AV278" t="s">
        <v>82</v>
      </c>
      <c r="AW278">
        <v>233.5</v>
      </c>
      <c r="AX278">
        <v>99.680874538496695</v>
      </c>
      <c r="AY278" s="82">
        <f t="shared" si="88"/>
        <v>-0.31859582556334942</v>
      </c>
      <c r="AZ278">
        <v>233.5</v>
      </c>
      <c r="BA278">
        <v>130771.05570224285</v>
      </c>
      <c r="BB278" t="s">
        <v>82</v>
      </c>
      <c r="BC278">
        <v>233.5</v>
      </c>
      <c r="BD278">
        <v>100.69955000239369</v>
      </c>
      <c r="BE278" s="82">
        <f t="shared" si="89"/>
        <v>-0.30094031112986386</v>
      </c>
      <c r="BF278">
        <v>233.5</v>
      </c>
      <c r="BG278">
        <v>125013.3843955716</v>
      </c>
      <c r="BH278" t="s">
        <v>82</v>
      </c>
      <c r="BI278">
        <v>233.5</v>
      </c>
      <c r="BJ278">
        <v>101.64331837134621</v>
      </c>
      <c r="BK278" s="82">
        <f t="shared" si="90"/>
        <v>-0.28303256931830845</v>
      </c>
      <c r="BL278">
        <v>233.5</v>
      </c>
      <c r="BM278">
        <v>119195.53480179366</v>
      </c>
      <c r="BN278" t="s">
        <v>82</v>
      </c>
      <c r="BO278">
        <v>233.5</v>
      </c>
      <c r="BP278">
        <v>102.51033804013491</v>
      </c>
      <c r="BQ278" s="82">
        <f t="shared" si="91"/>
        <v>-0.26542841945575901</v>
      </c>
      <c r="BR278">
        <v>233.5</v>
      </c>
      <c r="BS278">
        <v>113541.20161444055</v>
      </c>
      <c r="BT278" t="s">
        <v>82</v>
      </c>
      <c r="BU278">
        <v>233.5</v>
      </c>
      <c r="BV278">
        <v>103.29807394953096</v>
      </c>
      <c r="BW278" s="82">
        <f t="shared" si="92"/>
        <v>-0.24855635276917099</v>
      </c>
      <c r="BX278">
        <v>233.5</v>
      </c>
      <c r="BY278">
        <v>108215.8238838581</v>
      </c>
      <c r="BZ278" t="s">
        <v>82</v>
      </c>
      <c r="CA278">
        <v>233.5</v>
      </c>
      <c r="CB278">
        <v>104.00071385861405</v>
      </c>
      <c r="CC278" s="82">
        <f t="shared" si="93"/>
        <v>-0.23312818610081365</v>
      </c>
      <c r="CD278">
        <v>233.5</v>
      </c>
      <c r="CE278">
        <v>103453.66791071143</v>
      </c>
      <c r="CF278" t="s">
        <v>82</v>
      </c>
      <c r="CG278">
        <v>233.5</v>
      </c>
      <c r="CH278">
        <v>104.62837335547728</v>
      </c>
      <c r="CI278" s="82">
        <f t="shared" si="94"/>
        <v>-0.21902516976881259</v>
      </c>
      <c r="CJ278">
        <v>233.5</v>
      </c>
      <c r="CK278">
        <v>99214.630936335176</v>
      </c>
      <c r="CL278" t="s">
        <v>82</v>
      </c>
      <c r="CM278">
        <v>233.5</v>
      </c>
      <c r="CN278">
        <v>105.18966868111163</v>
      </c>
      <c r="CO278" s="82">
        <f t="shared" si="95"/>
        <v>-0.20611977113370017</v>
      </c>
      <c r="CP278">
        <v>233.5</v>
      </c>
      <c r="CQ278">
        <v>95453.348969940445</v>
      </c>
      <c r="CR278" t="s">
        <v>82</v>
      </c>
      <c r="CS278">
        <v>233.5</v>
      </c>
      <c r="CT278">
        <v>105.6919961161113</v>
      </c>
      <c r="CU278" s="82">
        <f t="shared" si="96"/>
        <v>-0.19429457790356253</v>
      </c>
      <c r="CV278">
        <v>233.5</v>
      </c>
      <c r="CW278">
        <v>92126.779478817523</v>
      </c>
      <c r="CX278" t="s">
        <v>82</v>
      </c>
      <c r="CY278">
        <v>233.5</v>
      </c>
      <c r="CZ278">
        <v>106.14326984976663</v>
      </c>
      <c r="DA278" s="82">
        <f t="shared" si="97"/>
        <v>-0.18321427177396288</v>
      </c>
      <c r="DB278">
        <v>233.5</v>
      </c>
      <c r="DC278">
        <v>89135.666726941345</v>
      </c>
      <c r="DD278" t="s">
        <v>82</v>
      </c>
      <c r="DG278" s="82">
        <f t="shared" si="98"/>
        <v>0</v>
      </c>
      <c r="DM278" s="82">
        <f t="shared" si="99"/>
        <v>0</v>
      </c>
    </row>
    <row r="279" spans="1:117" x14ac:dyDescent="0.2">
      <c r="A279">
        <v>234.5</v>
      </c>
      <c r="B279">
        <v>90.706797163795443</v>
      </c>
      <c r="C279" s="82">
        <f t="shared" si="80"/>
        <v>-0.21091206377093386</v>
      </c>
      <c r="D279">
        <v>234.5</v>
      </c>
      <c r="E279">
        <v>81003.684204945632</v>
      </c>
      <c r="F279" t="s">
        <v>82</v>
      </c>
      <c r="G279">
        <v>234.5</v>
      </c>
      <c r="H279">
        <v>91.455976907530456</v>
      </c>
      <c r="I279" s="82">
        <f t="shared" si="81"/>
        <v>-0.27860842328838942</v>
      </c>
      <c r="J279">
        <v>234.5</v>
      </c>
      <c r="K279">
        <v>108119.02519154214</v>
      </c>
      <c r="L279" t="s">
        <v>82</v>
      </c>
      <c r="M279">
        <v>234.5</v>
      </c>
      <c r="N279">
        <v>92.413583538671332</v>
      </c>
      <c r="O279" s="82">
        <f t="shared" si="82"/>
        <v>-0.32251377278932125</v>
      </c>
      <c r="P279">
        <v>234.5</v>
      </c>
      <c r="Q279">
        <v>126103.93728797243</v>
      </c>
      <c r="R279" t="s">
        <v>82</v>
      </c>
      <c r="S279">
        <v>234.5</v>
      </c>
      <c r="T279">
        <v>93.511402820214713</v>
      </c>
      <c r="U279" s="82">
        <f t="shared" si="83"/>
        <v>-0.34726649867849346</v>
      </c>
      <c r="V279">
        <v>234.5</v>
      </c>
      <c r="W279">
        <v>136694.97432872609</v>
      </c>
      <c r="X279" t="s">
        <v>82</v>
      </c>
      <c r="Y279">
        <v>234.5</v>
      </c>
      <c r="Z279">
        <v>94.689043372421679</v>
      </c>
      <c r="AA279" s="82">
        <f t="shared" si="84"/>
        <v>-0.35726858019891949</v>
      </c>
      <c r="AB279">
        <v>234.5</v>
      </c>
      <c r="AC279">
        <v>141583.30788238224</v>
      </c>
      <c r="AD279" t="s">
        <v>82</v>
      </c>
      <c r="AE279">
        <v>234.5</v>
      </c>
      <c r="AF279">
        <v>95.896588530419763</v>
      </c>
      <c r="AG279" s="82">
        <f t="shared" si="85"/>
        <v>-0.3563768828512508</v>
      </c>
      <c r="AH279">
        <v>234.5</v>
      </c>
      <c r="AI279">
        <v>142257.23357570547</v>
      </c>
      <c r="AJ279" t="s">
        <v>82</v>
      </c>
      <c r="AK279">
        <v>234.5</v>
      </c>
      <c r="AL279">
        <v>97.094932853031111</v>
      </c>
      <c r="AM279" s="82">
        <f t="shared" si="86"/>
        <v>-0.34796529983346147</v>
      </c>
      <c r="AN279">
        <v>234.5</v>
      </c>
      <c r="AO279">
        <v>140024.59629248752</v>
      </c>
      <c r="AP279" t="s">
        <v>82</v>
      </c>
      <c r="AQ279">
        <v>234.5</v>
      </c>
      <c r="AR279">
        <v>98.257162517655729</v>
      </c>
      <c r="AS279" s="82">
        <f t="shared" si="87"/>
        <v>-0.3347130224262429</v>
      </c>
      <c r="AT279">
        <v>234.5</v>
      </c>
      <c r="AU279">
        <v>135929.99679889687</v>
      </c>
      <c r="AV279" t="s">
        <v>82</v>
      </c>
      <c r="AW279">
        <v>234.5</v>
      </c>
      <c r="AX279">
        <v>99.362217615836016</v>
      </c>
      <c r="AY279" s="82">
        <f t="shared" si="88"/>
        <v>-0.31865692266067924</v>
      </c>
      <c r="AZ279">
        <v>234.5</v>
      </c>
      <c r="BA279">
        <v>130767.2556245306</v>
      </c>
      <c r="BB279" t="s">
        <v>82</v>
      </c>
      <c r="BC279">
        <v>234.5</v>
      </c>
      <c r="BD279">
        <v>100.39828107926229</v>
      </c>
      <c r="BE279" s="82">
        <f t="shared" si="89"/>
        <v>-0.30126892313140274</v>
      </c>
      <c r="BF279">
        <v>234.5</v>
      </c>
      <c r="BG279">
        <v>125114.52735680457</v>
      </c>
      <c r="BH279" t="s">
        <v>82</v>
      </c>
      <c r="BI279">
        <v>234.5</v>
      </c>
      <c r="BJ279">
        <v>101.35983460161073</v>
      </c>
      <c r="BK279" s="82">
        <f t="shared" si="90"/>
        <v>-0.28348376973548284</v>
      </c>
      <c r="BL279">
        <v>234.5</v>
      </c>
      <c r="BM279">
        <v>119344.95325652734</v>
      </c>
      <c r="BN279" t="s">
        <v>82</v>
      </c>
      <c r="BO279">
        <v>234.5</v>
      </c>
      <c r="BP279">
        <v>102.24441863259769</v>
      </c>
      <c r="BQ279" s="82">
        <f t="shared" si="91"/>
        <v>-0.26591940753722554</v>
      </c>
      <c r="BR279">
        <v>234.5</v>
      </c>
      <c r="BS279">
        <v>113706.49492781384</v>
      </c>
      <c r="BT279" t="s">
        <v>82</v>
      </c>
      <c r="BU279">
        <v>234.5</v>
      </c>
      <c r="BV279">
        <v>103.04903082518469</v>
      </c>
      <c r="BW279" s="82">
        <f t="shared" si="92"/>
        <v>-0.24904312434627229</v>
      </c>
      <c r="BX279">
        <v>234.5</v>
      </c>
      <c r="BY279">
        <v>108379.76390351584</v>
      </c>
      <c r="BZ279" t="s">
        <v>82</v>
      </c>
      <c r="CA279">
        <v>234.5</v>
      </c>
      <c r="CB279">
        <v>103.7671223855495</v>
      </c>
      <c r="CC279" s="82">
        <f t="shared" si="93"/>
        <v>-0.23359147306454986</v>
      </c>
      <c r="CD279">
        <v>234.5</v>
      </c>
      <c r="CE279">
        <v>103608.67842870668</v>
      </c>
      <c r="CF279" t="s">
        <v>82</v>
      </c>
      <c r="CG279">
        <v>234.5</v>
      </c>
      <c r="CH279">
        <v>104.40891551543395</v>
      </c>
      <c r="CI279" s="82">
        <f t="shared" si="94"/>
        <v>-0.21945784004333291</v>
      </c>
      <c r="CJ279">
        <v>234.5</v>
      </c>
      <c r="CK279">
        <v>99357.901659324314</v>
      </c>
      <c r="CL279" t="s">
        <v>82</v>
      </c>
      <c r="CM279">
        <v>234.5</v>
      </c>
      <c r="CN279">
        <v>104.98314848127512</v>
      </c>
      <c r="CO279" s="82">
        <f t="shared" si="95"/>
        <v>-0.20652019983650405</v>
      </c>
      <c r="CP279">
        <v>234.5</v>
      </c>
      <c r="CQ279">
        <v>95584.232404533934</v>
      </c>
      <c r="CR279" t="s">
        <v>82</v>
      </c>
      <c r="CS279">
        <v>234.5</v>
      </c>
      <c r="CT279">
        <v>105.49733258992829</v>
      </c>
      <c r="CU279" s="82">
        <f t="shared" si="96"/>
        <v>-0.19466352618300675</v>
      </c>
      <c r="CV279">
        <v>234.5</v>
      </c>
      <c r="CW279">
        <v>92245.563469534551</v>
      </c>
      <c r="CX279" t="s">
        <v>82</v>
      </c>
      <c r="CY279">
        <v>234.5</v>
      </c>
      <c r="CZ279">
        <v>105.95971718483705</v>
      </c>
      <c r="DA279" s="82">
        <f t="shared" si="97"/>
        <v>-0.18355266492957867</v>
      </c>
      <c r="DB279">
        <v>234.5</v>
      </c>
      <c r="DC279">
        <v>89242.718844275107</v>
      </c>
      <c r="DD279" t="s">
        <v>82</v>
      </c>
      <c r="DG279" s="82">
        <f t="shared" si="98"/>
        <v>0</v>
      </c>
      <c r="DM279" s="82">
        <f t="shared" si="99"/>
        <v>0</v>
      </c>
    </row>
    <row r="280" spans="1:117" x14ac:dyDescent="0.2">
      <c r="A280">
        <v>235.5</v>
      </c>
      <c r="B280">
        <v>90.524382181856467</v>
      </c>
      <c r="C280" s="82">
        <f t="shared" si="80"/>
        <v>-0.18241498193897598</v>
      </c>
      <c r="D280">
        <v>235.5</v>
      </c>
      <c r="E280">
        <v>70360.610761798569</v>
      </c>
      <c r="F280" t="s">
        <v>82</v>
      </c>
      <c r="G280">
        <v>235.5</v>
      </c>
      <c r="H280">
        <v>91.197588992589687</v>
      </c>
      <c r="I280" s="82">
        <f t="shared" si="81"/>
        <v>-0.25838791494076929</v>
      </c>
      <c r="J280">
        <v>235.5</v>
      </c>
      <c r="K280">
        <v>100230.23170108702</v>
      </c>
      <c r="L280" t="s">
        <v>82</v>
      </c>
      <c r="M280">
        <v>235.5</v>
      </c>
      <c r="N280">
        <v>92.104810691870512</v>
      </c>
      <c r="O280" s="82">
        <f t="shared" si="82"/>
        <v>-0.30877284680082084</v>
      </c>
      <c r="P280">
        <v>235.5</v>
      </c>
      <c r="Q280">
        <v>120726.53816702192</v>
      </c>
      <c r="R280" t="s">
        <v>82</v>
      </c>
      <c r="S280">
        <v>235.5</v>
      </c>
      <c r="T280">
        <v>93.173061505984521</v>
      </c>
      <c r="U280" s="82">
        <f t="shared" si="83"/>
        <v>-0.33834131423019187</v>
      </c>
      <c r="V280">
        <v>235.5</v>
      </c>
      <c r="W280">
        <v>133188.50520451457</v>
      </c>
      <c r="X280" t="s">
        <v>82</v>
      </c>
      <c r="Y280">
        <v>235.5</v>
      </c>
      <c r="Z280">
        <v>94.337248867359648</v>
      </c>
      <c r="AA280" s="82">
        <f t="shared" si="84"/>
        <v>-0.35179450506203125</v>
      </c>
      <c r="AB280">
        <v>235.5</v>
      </c>
      <c r="AC280">
        <v>139419.85864500637</v>
      </c>
      <c r="AD280" t="s">
        <v>82</v>
      </c>
      <c r="AE280">
        <v>235.5</v>
      </c>
      <c r="AF280">
        <v>95.543318500215122</v>
      </c>
      <c r="AG280" s="82">
        <f t="shared" si="85"/>
        <v>-0.35327003020464076</v>
      </c>
      <c r="AH280">
        <v>235.5</v>
      </c>
      <c r="AI280">
        <v>141016.35196966078</v>
      </c>
      <c r="AJ280" t="s">
        <v>82</v>
      </c>
      <c r="AK280">
        <v>235.5</v>
      </c>
      <c r="AL280">
        <v>96.748522683684413</v>
      </c>
      <c r="AM280" s="82">
        <f t="shared" si="86"/>
        <v>-0.34641016934669722</v>
      </c>
      <c r="AN280">
        <v>235.5</v>
      </c>
      <c r="AO280">
        <v>139389.30491992002</v>
      </c>
      <c r="AP280" t="s">
        <v>82</v>
      </c>
      <c r="AQ280">
        <v>235.5</v>
      </c>
      <c r="AR280">
        <v>97.923036311301175</v>
      </c>
      <c r="AS280" s="82">
        <f t="shared" si="87"/>
        <v>-0.33412620635455426</v>
      </c>
      <c r="AT280">
        <v>235.5</v>
      </c>
      <c r="AU280">
        <v>135673.13978672604</v>
      </c>
      <c r="AV280" t="s">
        <v>82</v>
      </c>
      <c r="AW280">
        <v>235.5</v>
      </c>
      <c r="AX280">
        <v>99.043582977749864</v>
      </c>
      <c r="AY280" s="82">
        <f t="shared" si="88"/>
        <v>-0.31863463808615222</v>
      </c>
      <c r="AZ280">
        <v>235.5</v>
      </c>
      <c r="BA280">
        <v>130731.35174500824</v>
      </c>
      <c r="BB280" t="s">
        <v>82</v>
      </c>
      <c r="BC280">
        <v>235.5</v>
      </c>
      <c r="BD280">
        <v>100.09673133765826</v>
      </c>
      <c r="BE280" s="82">
        <f t="shared" si="89"/>
        <v>-0.30154974160403469</v>
      </c>
      <c r="BF280">
        <v>235.5</v>
      </c>
      <c r="BG280">
        <v>125197.46679625665</v>
      </c>
      <c r="BH280" t="s">
        <v>82</v>
      </c>
      <c r="BI280">
        <v>235.5</v>
      </c>
      <c r="BJ280">
        <v>101.07592718084193</v>
      </c>
      <c r="BK280" s="82">
        <f t="shared" si="90"/>
        <v>-0.2839074207687986</v>
      </c>
      <c r="BL280">
        <v>235.5</v>
      </c>
      <c r="BM280">
        <v>119484.06158240985</v>
      </c>
      <c r="BN280" t="s">
        <v>82</v>
      </c>
      <c r="BO280">
        <v>235.5</v>
      </c>
      <c r="BP280">
        <v>101.97802468003701</v>
      </c>
      <c r="BQ280" s="82">
        <f t="shared" si="91"/>
        <v>-0.26639395256067644</v>
      </c>
      <c r="BR280">
        <v>235.5</v>
      </c>
      <c r="BS280">
        <v>113865.79051740753</v>
      </c>
      <c r="BT280" t="s">
        <v>82</v>
      </c>
      <c r="BU280">
        <v>235.5</v>
      </c>
      <c r="BV280">
        <v>102.7995114315578</v>
      </c>
      <c r="BW280" s="82">
        <f t="shared" si="92"/>
        <v>-0.24951939362688336</v>
      </c>
      <c r="BX280">
        <v>235.5</v>
      </c>
      <c r="BY280">
        <v>108539.99391720438</v>
      </c>
      <c r="BZ280" t="s">
        <v>82</v>
      </c>
      <c r="CA280">
        <v>235.5</v>
      </c>
      <c r="CB280">
        <v>103.53307495233179</v>
      </c>
      <c r="CC280" s="82">
        <f t="shared" si="93"/>
        <v>-0.23404743321771093</v>
      </c>
      <c r="CD280">
        <v>235.5</v>
      </c>
      <c r="CE280">
        <v>103761.18553030887</v>
      </c>
      <c r="CF280" t="s">
        <v>82</v>
      </c>
      <c r="CG280">
        <v>235.5</v>
      </c>
      <c r="CH280">
        <v>104.18903049401921</v>
      </c>
      <c r="CI280" s="82">
        <f t="shared" si="94"/>
        <v>-0.21988502141473987</v>
      </c>
      <c r="CJ280">
        <v>235.5</v>
      </c>
      <c r="CK280">
        <v>99499.354890431045</v>
      </c>
      <c r="CL280" t="s">
        <v>82</v>
      </c>
      <c r="CM280">
        <v>235.5</v>
      </c>
      <c r="CN280">
        <v>104.77623216304946</v>
      </c>
      <c r="CO280" s="82">
        <f t="shared" si="95"/>
        <v>-0.20691631822566592</v>
      </c>
      <c r="CP280">
        <v>235.5</v>
      </c>
      <c r="CQ280">
        <v>95713.729912052208</v>
      </c>
      <c r="CR280" t="s">
        <v>82</v>
      </c>
      <c r="CS280">
        <v>235.5</v>
      </c>
      <c r="CT280">
        <v>105.30230359524793</v>
      </c>
      <c r="CU280" s="82">
        <f t="shared" si="96"/>
        <v>-0.1950289946803565</v>
      </c>
      <c r="CV280">
        <v>235.5</v>
      </c>
      <c r="CW280">
        <v>92363.26062768526</v>
      </c>
      <c r="CX280" t="s">
        <v>82</v>
      </c>
      <c r="CY280">
        <v>235.5</v>
      </c>
      <c r="CZ280">
        <v>105.7758289700776</v>
      </c>
      <c r="DA280" s="82">
        <f t="shared" si="97"/>
        <v>-0.18388821475944894</v>
      </c>
      <c r="DB280">
        <v>235.5</v>
      </c>
      <c r="DC280">
        <v>89348.910236593743</v>
      </c>
      <c r="DD280" t="s">
        <v>82</v>
      </c>
      <c r="DG280" s="82">
        <f t="shared" si="98"/>
        <v>0</v>
      </c>
      <c r="DM280" s="82">
        <f t="shared" si="99"/>
        <v>0</v>
      </c>
    </row>
    <row r="281" spans="1:117" x14ac:dyDescent="0.2">
      <c r="A281">
        <v>236.5</v>
      </c>
      <c r="B281">
        <v>90.370751202448929</v>
      </c>
      <c r="C281" s="82">
        <f t="shared" si="80"/>
        <v>-0.15363097940753789</v>
      </c>
      <c r="D281">
        <v>236.5</v>
      </c>
      <c r="E281">
        <v>59892.651426908655</v>
      </c>
      <c r="F281" t="s">
        <v>82</v>
      </c>
      <c r="G281">
        <v>236.5</v>
      </c>
      <c r="H281">
        <v>90.961424141897751</v>
      </c>
      <c r="I281" s="82">
        <f t="shared" si="81"/>
        <v>-0.23616485069193516</v>
      </c>
      <c r="J281">
        <v>236.5</v>
      </c>
      <c r="K281">
        <v>91565.223670539781</v>
      </c>
      <c r="L281" t="s">
        <v>82</v>
      </c>
      <c r="M281">
        <v>236.5</v>
      </c>
      <c r="N281">
        <v>91.811206268889819</v>
      </c>
      <c r="O281" s="82">
        <f t="shared" si="82"/>
        <v>-0.29360442298069245</v>
      </c>
      <c r="P281">
        <v>236.5</v>
      </c>
      <c r="Q281">
        <v>114794.01950630647</v>
      </c>
      <c r="R281" t="s">
        <v>82</v>
      </c>
      <c r="S281">
        <v>236.5</v>
      </c>
      <c r="T281">
        <v>92.844630795391836</v>
      </c>
      <c r="U281" s="82">
        <f t="shared" si="83"/>
        <v>-0.32843071059268425</v>
      </c>
      <c r="V281">
        <v>236.5</v>
      </c>
      <c r="W281">
        <v>129298.34129749356</v>
      </c>
      <c r="X281" t="s">
        <v>82</v>
      </c>
      <c r="Y281">
        <v>236.5</v>
      </c>
      <c r="Z281">
        <v>93.991585485320883</v>
      </c>
      <c r="AA281" s="82">
        <f t="shared" si="84"/>
        <v>-0.34566338203876512</v>
      </c>
      <c r="AB281">
        <v>236.5</v>
      </c>
      <c r="AC281">
        <v>137000.45315580093</v>
      </c>
      <c r="AD281" t="s">
        <v>82</v>
      </c>
      <c r="AE281">
        <v>236.5</v>
      </c>
      <c r="AF281">
        <v>95.193578235395876</v>
      </c>
      <c r="AG281" s="82">
        <f t="shared" si="85"/>
        <v>-0.34974026481924625</v>
      </c>
      <c r="AH281">
        <v>236.5</v>
      </c>
      <c r="AI281">
        <v>139610.76212508601</v>
      </c>
      <c r="AJ281" t="s">
        <v>82</v>
      </c>
      <c r="AK281">
        <v>236.5</v>
      </c>
      <c r="AL281">
        <v>96.403930225922878</v>
      </c>
      <c r="AM281" s="82">
        <f t="shared" si="86"/>
        <v>-0.3445924577615358</v>
      </c>
      <c r="AN281">
        <v>236.5</v>
      </c>
      <c r="AO281">
        <v>138651.87400439728</v>
      </c>
      <c r="AP281" t="s">
        <v>82</v>
      </c>
      <c r="AQ281">
        <v>236.5</v>
      </c>
      <c r="AR281">
        <v>97.589654047333397</v>
      </c>
      <c r="AS281" s="82">
        <f t="shared" si="87"/>
        <v>-0.3333822639677777</v>
      </c>
      <c r="AT281">
        <v>236.5</v>
      </c>
      <c r="AU281">
        <v>135355.33794332549</v>
      </c>
      <c r="AV281" t="s">
        <v>82</v>
      </c>
      <c r="AW281">
        <v>236.5</v>
      </c>
      <c r="AX281">
        <v>98.725061854350116</v>
      </c>
      <c r="AY281" s="82">
        <f t="shared" si="88"/>
        <v>-0.31852112339974781</v>
      </c>
      <c r="AZ281">
        <v>236.5</v>
      </c>
      <c r="BA281">
        <v>130660.25921899905</v>
      </c>
      <c r="BB281" t="s">
        <v>82</v>
      </c>
      <c r="BC281">
        <v>236.5</v>
      </c>
      <c r="BD281">
        <v>99.794952734311778</v>
      </c>
      <c r="BE281" s="82">
        <f t="shared" si="89"/>
        <v>-0.30177860334647733</v>
      </c>
      <c r="BF281">
        <v>236.5</v>
      </c>
      <c r="BG281">
        <v>125260.5658397907</v>
      </c>
      <c r="BH281" t="s">
        <v>82</v>
      </c>
      <c r="BI281">
        <v>236.5</v>
      </c>
      <c r="BJ281">
        <v>100.7916257458928</v>
      </c>
      <c r="BK281" s="82">
        <f t="shared" si="90"/>
        <v>-0.28430143494912841</v>
      </c>
      <c r="BL281">
        <v>236.5</v>
      </c>
      <c r="BM281">
        <v>119612.03963869775</v>
      </c>
      <c r="BN281" t="s">
        <v>82</v>
      </c>
      <c r="BO281">
        <v>236.5</v>
      </c>
      <c r="BP281">
        <v>101.71117361929348</v>
      </c>
      <c r="BQ281" s="82">
        <f t="shared" si="91"/>
        <v>-0.26685106074353371</v>
      </c>
      <c r="BR281">
        <v>236.5</v>
      </c>
      <c r="BS281">
        <v>114018.69912368516</v>
      </c>
      <c r="BT281" t="s">
        <v>82</v>
      </c>
      <c r="BU281">
        <v>236.5</v>
      </c>
      <c r="BV281">
        <v>102.54952673301088</v>
      </c>
      <c r="BW281" s="82">
        <f t="shared" si="92"/>
        <v>-0.24998469854692473</v>
      </c>
      <c r="BX281">
        <v>236.5</v>
      </c>
      <c r="BY281">
        <v>108696.33423845857</v>
      </c>
      <c r="BZ281" t="s">
        <v>82</v>
      </c>
      <c r="CA281">
        <v>236.5</v>
      </c>
      <c r="CB281">
        <v>103.29857910978363</v>
      </c>
      <c r="CC281" s="82">
        <f t="shared" si="93"/>
        <v>-0.23449584254815647</v>
      </c>
      <c r="CD281">
        <v>236.5</v>
      </c>
      <c r="CE281">
        <v>103911.10323099721</v>
      </c>
      <c r="CF281" t="s">
        <v>82</v>
      </c>
      <c r="CG281">
        <v>236.5</v>
      </c>
      <c r="CH281">
        <v>103.96872390018792</v>
      </c>
      <c r="CI281" s="82">
        <f t="shared" si="94"/>
        <v>-0.22030659383128182</v>
      </c>
      <c r="CJ281">
        <v>236.5</v>
      </c>
      <c r="CK281">
        <v>99638.945462677802</v>
      </c>
      <c r="CL281" t="s">
        <v>82</v>
      </c>
      <c r="CM281">
        <v>236.5</v>
      </c>
      <c r="CN281">
        <v>104.56892411069585</v>
      </c>
      <c r="CO281" s="82">
        <f t="shared" si="95"/>
        <v>-0.20730805235361061</v>
      </c>
      <c r="CP281">
        <v>236.5</v>
      </c>
      <c r="CQ281">
        <v>95841.81424106675</v>
      </c>
      <c r="CR281" t="s">
        <v>82</v>
      </c>
      <c r="CS281">
        <v>236.5</v>
      </c>
      <c r="CT281">
        <v>105.10691266365205</v>
      </c>
      <c r="CU281" s="82">
        <f t="shared" si="96"/>
        <v>-0.19539093159588106</v>
      </c>
      <c r="CV281">
        <v>236.5</v>
      </c>
      <c r="CW281">
        <v>92479.852157995207</v>
      </c>
      <c r="CX281" t="s">
        <v>82</v>
      </c>
      <c r="CY281">
        <v>236.5</v>
      </c>
      <c r="CZ281">
        <v>105.59160808809592</v>
      </c>
      <c r="DA281" s="82">
        <f t="shared" si="97"/>
        <v>-0.1842208819816733</v>
      </c>
      <c r="DB281">
        <v>236.5</v>
      </c>
      <c r="DC281">
        <v>89454.226809321495</v>
      </c>
      <c r="DD281" t="s">
        <v>82</v>
      </c>
      <c r="DG281" s="82">
        <f t="shared" si="98"/>
        <v>0</v>
      </c>
      <c r="DM281" s="82">
        <f t="shared" si="99"/>
        <v>0</v>
      </c>
    </row>
    <row r="282" spans="1:117" x14ac:dyDescent="0.2">
      <c r="A282">
        <v>237.5</v>
      </c>
      <c r="B282">
        <v>90.244736496546494</v>
      </c>
      <c r="C282" s="82">
        <f t="shared" si="80"/>
        <v>-0.1260147059024348</v>
      </c>
      <c r="D282">
        <v>237.5</v>
      </c>
      <c r="E282">
        <v>50054.637512150803</v>
      </c>
      <c r="F282" t="s">
        <v>82</v>
      </c>
      <c r="G282">
        <v>237.5</v>
      </c>
      <c r="H282">
        <v>90.749672588649446</v>
      </c>
      <c r="I282" s="82">
        <f t="shared" si="81"/>
        <v>-0.21175155324830541</v>
      </c>
      <c r="J282">
        <v>237.5</v>
      </c>
      <c r="K282">
        <v>82052.692184214364</v>
      </c>
      <c r="L282" t="s">
        <v>82</v>
      </c>
      <c r="M282">
        <v>237.5</v>
      </c>
      <c r="N282">
        <v>91.534334100681534</v>
      </c>
      <c r="O282" s="82">
        <f t="shared" si="82"/>
        <v>-0.27687216820828553</v>
      </c>
      <c r="P282">
        <v>237.5</v>
      </c>
      <c r="Q282">
        <v>108253.4977641937</v>
      </c>
      <c r="R282" t="s">
        <v>82</v>
      </c>
      <c r="S282">
        <v>237.5</v>
      </c>
      <c r="T282">
        <v>92.527191871732228</v>
      </c>
      <c r="U282" s="82">
        <f t="shared" si="83"/>
        <v>-0.31743892365960846</v>
      </c>
      <c r="V282">
        <v>237.5</v>
      </c>
      <c r="W282">
        <v>124987.13049716293</v>
      </c>
      <c r="X282" t="s">
        <v>82</v>
      </c>
      <c r="Y282">
        <v>237.5</v>
      </c>
      <c r="Z282">
        <v>93.652775087023002</v>
      </c>
      <c r="AA282" s="82">
        <f t="shared" si="84"/>
        <v>-0.33881039829788051</v>
      </c>
      <c r="AB282">
        <v>237.5</v>
      </c>
      <c r="AC282">
        <v>134299.74628317417</v>
      </c>
      <c r="AD282" t="s">
        <v>82</v>
      </c>
      <c r="AE282">
        <v>237.5</v>
      </c>
      <c r="AF282">
        <v>94.847832810927002</v>
      </c>
      <c r="AG282" s="82">
        <f t="shared" si="85"/>
        <v>-0.34574542446887335</v>
      </c>
      <c r="AH282">
        <v>237.5</v>
      </c>
      <c r="AI282">
        <v>138023.94769425548</v>
      </c>
      <c r="AJ282" t="s">
        <v>82</v>
      </c>
      <c r="AK282">
        <v>237.5</v>
      </c>
      <c r="AL282">
        <v>96.061444319457337</v>
      </c>
      <c r="AM282" s="82">
        <f t="shared" si="86"/>
        <v>-0.34248590646554078</v>
      </c>
      <c r="AN282">
        <v>237.5</v>
      </c>
      <c r="AO282">
        <v>137802.0025112108</v>
      </c>
      <c r="AP282" t="s">
        <v>82</v>
      </c>
      <c r="AQ282">
        <v>237.5</v>
      </c>
      <c r="AR282">
        <v>97.257188407309371</v>
      </c>
      <c r="AS282" s="82">
        <f t="shared" si="87"/>
        <v>-0.33246564002402579</v>
      </c>
      <c r="AT282">
        <v>237.5</v>
      </c>
      <c r="AU282">
        <v>134970.48159188946</v>
      </c>
      <c r="AV282" t="s">
        <v>82</v>
      </c>
      <c r="AW282">
        <v>237.5</v>
      </c>
      <c r="AX282">
        <v>98.406754219500158</v>
      </c>
      <c r="AY282" s="82">
        <f t="shared" si="88"/>
        <v>-0.31830763484995828</v>
      </c>
      <c r="AZ282">
        <v>237.5</v>
      </c>
      <c r="BA282">
        <v>130550.54043759289</v>
      </c>
      <c r="BB282" t="s">
        <v>82</v>
      </c>
      <c r="BC282">
        <v>237.5</v>
      </c>
      <c r="BD282">
        <v>99.493001869802924</v>
      </c>
      <c r="BE282" s="82">
        <f t="shared" si="89"/>
        <v>-0.30195086450885356</v>
      </c>
      <c r="BF282">
        <v>237.5</v>
      </c>
      <c r="BG282">
        <v>125301.99786121231</v>
      </c>
      <c r="BH282" t="s">
        <v>82</v>
      </c>
      <c r="BI282">
        <v>237.5</v>
      </c>
      <c r="BJ282">
        <v>100.50696226150453</v>
      </c>
      <c r="BK282" s="82">
        <f t="shared" si="90"/>
        <v>-0.28466348438827538</v>
      </c>
      <c r="BL282">
        <v>237.5</v>
      </c>
      <c r="BM282">
        <v>119727.97224408001</v>
      </c>
      <c r="BN282" t="s">
        <v>82</v>
      </c>
      <c r="BO282">
        <v>237.5</v>
      </c>
      <c r="BP282">
        <v>101.44388399179128</v>
      </c>
      <c r="BQ282" s="82">
        <f t="shared" si="91"/>
        <v>-0.26728962750219409</v>
      </c>
      <c r="BR282">
        <v>237.5</v>
      </c>
      <c r="BS282">
        <v>114164.78754539748</v>
      </c>
      <c r="BT282" t="s">
        <v>82</v>
      </c>
      <c r="BU282">
        <v>237.5</v>
      </c>
      <c r="BV282">
        <v>102.29908820289016</v>
      </c>
      <c r="BW282" s="82">
        <f t="shared" si="92"/>
        <v>-0.25043853012071793</v>
      </c>
      <c r="BX282">
        <v>237.5</v>
      </c>
      <c r="BY282">
        <v>108848.58651668631</v>
      </c>
      <c r="BZ282" t="s">
        <v>82</v>
      </c>
      <c r="CA282">
        <v>237.5</v>
      </c>
      <c r="CB282">
        <v>103.06364265125967</v>
      </c>
      <c r="CC282" s="82">
        <f t="shared" si="93"/>
        <v>-0.23493645852396128</v>
      </c>
      <c r="CD282">
        <v>237.5</v>
      </c>
      <c r="CE282">
        <v>104058.33821625072</v>
      </c>
      <c r="CF282" t="s">
        <v>82</v>
      </c>
      <c r="CG282">
        <v>237.5</v>
      </c>
      <c r="CH282">
        <v>103.74800146970833</v>
      </c>
      <c r="CI282" s="82">
        <f t="shared" si="94"/>
        <v>-0.22072243047959716</v>
      </c>
      <c r="CJ282">
        <v>237.5</v>
      </c>
      <c r="CK282">
        <v>99776.625488860169</v>
      </c>
      <c r="CL282" t="s">
        <v>82</v>
      </c>
      <c r="CM282">
        <v>237.5</v>
      </c>
      <c r="CN282">
        <v>104.36122878466614</v>
      </c>
      <c r="CO282" s="82">
        <f t="shared" si="95"/>
        <v>-0.20769532602970742</v>
      </c>
      <c r="CP282">
        <v>237.5</v>
      </c>
      <c r="CQ282">
        <v>95968.457221298566</v>
      </c>
      <c r="CR282" t="s">
        <v>82</v>
      </c>
      <c r="CS282">
        <v>237.5</v>
      </c>
      <c r="CT282">
        <v>104.91116337917529</v>
      </c>
      <c r="CU282" s="82">
        <f t="shared" si="96"/>
        <v>-0.19574928447676143</v>
      </c>
      <c r="CV282">
        <v>237.5</v>
      </c>
      <c r="CW282">
        <v>92595.318992632034</v>
      </c>
      <c r="CX282" t="s">
        <v>82</v>
      </c>
      <c r="CY282">
        <v>237.5</v>
      </c>
      <c r="CZ282">
        <v>105.40705746092185</v>
      </c>
      <c r="DA282" s="82">
        <f t="shared" si="97"/>
        <v>-0.184550627174076</v>
      </c>
      <c r="DB282">
        <v>237.5</v>
      </c>
      <c r="DC282">
        <v>89558.654395361445</v>
      </c>
      <c r="DD282" t="s">
        <v>82</v>
      </c>
      <c r="DG282" s="82">
        <f t="shared" si="98"/>
        <v>0</v>
      </c>
      <c r="DM282" s="82">
        <f t="shared" si="99"/>
        <v>0</v>
      </c>
    </row>
    <row r="283" spans="1:117" x14ac:dyDescent="0.2">
      <c r="A283">
        <v>238.5</v>
      </c>
      <c r="B283">
        <v>90.144199934380438</v>
      </c>
      <c r="C283" s="82">
        <f t="shared" si="80"/>
        <v>-0.10053656216605589</v>
      </c>
      <c r="D283">
        <v>238.5</v>
      </c>
      <c r="E283">
        <v>41140.566004448301</v>
      </c>
      <c r="F283" t="s">
        <v>82</v>
      </c>
      <c r="G283">
        <v>238.5</v>
      </c>
      <c r="H283">
        <v>90.564730548515328</v>
      </c>
      <c r="I283" s="82">
        <f t="shared" si="81"/>
        <v>-0.18494204013411775</v>
      </c>
      <c r="J283">
        <v>238.5</v>
      </c>
      <c r="K283">
        <v>71922.760220861921</v>
      </c>
      <c r="L283" t="s">
        <v>82</v>
      </c>
      <c r="M283">
        <v>238.5</v>
      </c>
      <c r="N283">
        <v>91.275907971364191</v>
      </c>
      <c r="O283" s="82">
        <f t="shared" si="82"/>
        <v>-0.25842612931734266</v>
      </c>
      <c r="P283">
        <v>238.5</v>
      </c>
      <c r="Q283">
        <v>101046.96430320901</v>
      </c>
      <c r="R283" t="s">
        <v>82</v>
      </c>
      <c r="S283">
        <v>238.5</v>
      </c>
      <c r="T283">
        <v>92.22193147379447</v>
      </c>
      <c r="U283" s="82">
        <f t="shared" si="83"/>
        <v>-0.30526039793775794</v>
      </c>
      <c r="V283">
        <v>238.5</v>
      </c>
      <c r="W283">
        <v>120213.72973691071</v>
      </c>
      <c r="X283" t="s">
        <v>82</v>
      </c>
      <c r="Y283">
        <v>238.5</v>
      </c>
      <c r="Z283">
        <v>93.321611129094464</v>
      </c>
      <c r="AA283" s="82">
        <f t="shared" si="84"/>
        <v>-0.33116395792853837</v>
      </c>
      <c r="AB283">
        <v>238.5</v>
      </c>
      <c r="AC283">
        <v>131289.74572531588</v>
      </c>
      <c r="AD283" t="s">
        <v>82</v>
      </c>
      <c r="AE283">
        <v>238.5</v>
      </c>
      <c r="AF283">
        <v>94.506593982135726</v>
      </c>
      <c r="AG283" s="82">
        <f t="shared" si="85"/>
        <v>-0.34123882879127621</v>
      </c>
      <c r="AH283">
        <v>238.5</v>
      </c>
      <c r="AI283">
        <v>136237.6228743814</v>
      </c>
      <c r="AJ283" t="s">
        <v>82</v>
      </c>
      <c r="AK283">
        <v>238.5</v>
      </c>
      <c r="AL283">
        <v>95.721382943858984</v>
      </c>
      <c r="AM283" s="82">
        <f t="shared" si="86"/>
        <v>-0.34006137559835281</v>
      </c>
      <c r="AN283">
        <v>238.5</v>
      </c>
      <c r="AO283">
        <v>136828.25845710051</v>
      </c>
      <c r="AP283" t="s">
        <v>82</v>
      </c>
      <c r="AQ283">
        <v>238.5</v>
      </c>
      <c r="AR283">
        <v>96.92582937416627</v>
      </c>
      <c r="AS283" s="82">
        <f t="shared" si="87"/>
        <v>-0.33135903314310156</v>
      </c>
      <c r="AT283">
        <v>238.5</v>
      </c>
      <c r="AU283">
        <v>134511.77437872736</v>
      </c>
      <c r="AV283" t="s">
        <v>82</v>
      </c>
      <c r="AW283">
        <v>238.5</v>
      </c>
      <c r="AX283">
        <v>98.088769792297086</v>
      </c>
      <c r="AY283" s="82">
        <f t="shared" si="88"/>
        <v>-0.31798442720307207</v>
      </c>
      <c r="AZ283">
        <v>238.5</v>
      </c>
      <c r="BA283">
        <v>130398.36322505282</v>
      </c>
      <c r="BB283" t="s">
        <v>82</v>
      </c>
      <c r="BC283">
        <v>238.5</v>
      </c>
      <c r="BD283">
        <v>99.190940527997924</v>
      </c>
      <c r="BE283" s="82">
        <f t="shared" si="89"/>
        <v>-0.30206134180500044</v>
      </c>
      <c r="BF283">
        <v>238.5</v>
      </c>
      <c r="BG283">
        <v>125319.7233313945</v>
      </c>
      <c r="BH283" t="s">
        <v>82</v>
      </c>
      <c r="BI283">
        <v>238.5</v>
      </c>
      <c r="BJ283">
        <v>100.22197129112899</v>
      </c>
      <c r="BK283" s="82">
        <f t="shared" si="90"/>
        <v>-0.28499097037553156</v>
      </c>
      <c r="BL283">
        <v>238.5</v>
      </c>
      <c r="BM283">
        <v>119830.83704405751</v>
      </c>
      <c r="BN283" t="s">
        <v>82</v>
      </c>
      <c r="BO283">
        <v>238.5</v>
      </c>
      <c r="BP283">
        <v>101.17617556884726</v>
      </c>
      <c r="BQ283" s="82">
        <f t="shared" si="91"/>
        <v>-0.26770842294402541</v>
      </c>
      <c r="BR283">
        <v>238.5</v>
      </c>
      <c r="BS283">
        <v>114303.57294130947</v>
      </c>
      <c r="BT283" t="s">
        <v>82</v>
      </c>
      <c r="BU283">
        <v>238.5</v>
      </c>
      <c r="BV283">
        <v>102.04820787683597</v>
      </c>
      <c r="BW283" s="82">
        <f t="shared" si="92"/>
        <v>-0.25088032605418675</v>
      </c>
      <c r="BX283">
        <v>238.5</v>
      </c>
      <c r="BY283">
        <v>108996.53121596496</v>
      </c>
      <c r="BZ283" t="s">
        <v>82</v>
      </c>
      <c r="CA283">
        <v>238.5</v>
      </c>
      <c r="CB283">
        <v>102.82827363380872</v>
      </c>
      <c r="CC283" s="82">
        <f t="shared" si="93"/>
        <v>-0.23536901745094951</v>
      </c>
      <c r="CD283">
        <v>238.5</v>
      </c>
      <c r="CE283">
        <v>104202.78869557702</v>
      </c>
      <c r="CF283" t="s">
        <v>82</v>
      </c>
      <c r="CG283">
        <v>238.5</v>
      </c>
      <c r="CH283">
        <v>103.52686907293892</v>
      </c>
      <c r="CI283" s="82">
        <f t="shared" si="94"/>
        <v>-0.22113239676940566</v>
      </c>
      <c r="CJ283">
        <v>238.5</v>
      </c>
      <c r="CK283">
        <v>99912.343954153155</v>
      </c>
      <c r="CL283" t="s">
        <v>82</v>
      </c>
      <c r="CM283">
        <v>238.5</v>
      </c>
      <c r="CN283">
        <v>104.15315072421352</v>
      </c>
      <c r="CO283" s="82">
        <f t="shared" si="95"/>
        <v>-0.20807806045262112</v>
      </c>
      <c r="CP283">
        <v>238.5</v>
      </c>
      <c r="CQ283">
        <v>96093.629639859573</v>
      </c>
      <c r="CR283" t="s">
        <v>82</v>
      </c>
      <c r="CS283">
        <v>238.5</v>
      </c>
      <c r="CT283">
        <v>104.71505937905253</v>
      </c>
      <c r="CU283" s="82">
        <f t="shared" si="96"/>
        <v>-0.19610400012275875</v>
      </c>
      <c r="CV283">
        <v>238.5</v>
      </c>
      <c r="CW283">
        <v>92709.64178617204</v>
      </c>
      <c r="CX283" t="s">
        <v>82</v>
      </c>
      <c r="CY283">
        <v>238.5</v>
      </c>
      <c r="CZ283">
        <v>105.22218005016353</v>
      </c>
      <c r="DA283" s="82">
        <f t="shared" si="97"/>
        <v>-0.18487741075831821</v>
      </c>
      <c r="DB283">
        <v>238.5</v>
      </c>
      <c r="DC283">
        <v>89662.178788923833</v>
      </c>
      <c r="DD283" t="s">
        <v>82</v>
      </c>
      <c r="DG283" s="82">
        <f t="shared" si="98"/>
        <v>0</v>
      </c>
      <c r="DM283" s="82">
        <f t="shared" si="99"/>
        <v>0</v>
      </c>
    </row>
    <row r="284" spans="1:117" x14ac:dyDescent="0.2">
      <c r="A284">
        <v>239.5</v>
      </c>
      <c r="B284">
        <v>90.066420708975016</v>
      </c>
      <c r="C284" s="82">
        <f t="shared" si="80"/>
        <v>-7.7779225405421926E-2</v>
      </c>
      <c r="D284">
        <v>239.5</v>
      </c>
      <c r="E284">
        <v>33318.022560735517</v>
      </c>
      <c r="F284" t="s">
        <v>82</v>
      </c>
      <c r="G284">
        <v>239.5</v>
      </c>
      <c r="H284">
        <v>90.407487646785398</v>
      </c>
      <c r="I284" s="82">
        <f t="shared" si="81"/>
        <v>-0.15724290172992994</v>
      </c>
      <c r="J284">
        <v>239.5</v>
      </c>
      <c r="K284">
        <v>61765.852097869734</v>
      </c>
      <c r="L284" t="s">
        <v>82</v>
      </c>
      <c r="M284">
        <v>239.5</v>
      </c>
      <c r="N284">
        <v>91.037806614843461</v>
      </c>
      <c r="O284" s="82">
        <f t="shared" si="82"/>
        <v>-0.23810135652072972</v>
      </c>
      <c r="P284">
        <v>239.5</v>
      </c>
      <c r="Q284">
        <v>93110.883483937228</v>
      </c>
      <c r="R284" t="s">
        <v>82</v>
      </c>
      <c r="S284">
        <v>239.5</v>
      </c>
      <c r="T284">
        <v>91.930152703424952</v>
      </c>
      <c r="U284" s="82">
        <f t="shared" si="83"/>
        <v>-0.29177877036951827</v>
      </c>
      <c r="V284">
        <v>239.5</v>
      </c>
      <c r="W284">
        <v>114932.82732873906</v>
      </c>
      <c r="X284" t="s">
        <v>82</v>
      </c>
      <c r="Y284">
        <v>239.5</v>
      </c>
      <c r="Z284">
        <v>92.998966168757903</v>
      </c>
      <c r="AA284" s="82">
        <f t="shared" si="84"/>
        <v>-0.32264496033656087</v>
      </c>
      <c r="AB284">
        <v>239.5</v>
      </c>
      <c r="AC284">
        <v>127939.53353714854</v>
      </c>
      <c r="AD284" t="s">
        <v>82</v>
      </c>
      <c r="AE284">
        <v>239.5</v>
      </c>
      <c r="AF284">
        <v>94.170425195729607</v>
      </c>
      <c r="AG284" s="82">
        <f t="shared" si="85"/>
        <v>-0.33616878640611958</v>
      </c>
      <c r="AH284">
        <v>239.5</v>
      </c>
      <c r="AI284">
        <v>134231.54011058304</v>
      </c>
      <c r="AJ284" t="s">
        <v>82</v>
      </c>
      <c r="AK284">
        <v>239.5</v>
      </c>
      <c r="AL284">
        <v>95.384096422471558</v>
      </c>
      <c r="AM284" s="82">
        <f t="shared" si="86"/>
        <v>-0.33728652138742632</v>
      </c>
      <c r="AN284">
        <v>239.5</v>
      </c>
      <c r="AO284">
        <v>135717.95243593818</v>
      </c>
      <c r="AP284" t="s">
        <v>82</v>
      </c>
      <c r="AQ284">
        <v>239.5</v>
      </c>
      <c r="AR284">
        <v>96.595786179434583</v>
      </c>
      <c r="AS284" s="82">
        <f t="shared" si="87"/>
        <v>-0.33004319473168664</v>
      </c>
      <c r="AT284">
        <v>239.5</v>
      </c>
      <c r="AU284">
        <v>133971.65420815098</v>
      </c>
      <c r="AV284" t="s">
        <v>82</v>
      </c>
      <c r="AW284">
        <v>239.5</v>
      </c>
      <c r="AX284">
        <v>97.771229157311012</v>
      </c>
      <c r="AY284" s="82">
        <f t="shared" si="88"/>
        <v>-0.31754063498607366</v>
      </c>
      <c r="AZ284">
        <v>239.5</v>
      </c>
      <c r="BA284">
        <v>130199.45405541066</v>
      </c>
      <c r="BB284" t="s">
        <v>82</v>
      </c>
      <c r="BC284">
        <v>239.5</v>
      </c>
      <c r="BD284">
        <v>98.888836281502165</v>
      </c>
      <c r="BE284" s="82">
        <f t="shared" si="89"/>
        <v>-0.30210424649575884</v>
      </c>
      <c r="BF284">
        <v>239.5</v>
      </c>
      <c r="BG284">
        <v>125311.46372606704</v>
      </c>
      <c r="BH284" t="s">
        <v>82</v>
      </c>
      <c r="BI284">
        <v>239.5</v>
      </c>
      <c r="BJ284">
        <v>99.936690301997388</v>
      </c>
      <c r="BK284" s="82">
        <f t="shared" si="90"/>
        <v>-0.28528098913160704</v>
      </c>
      <c r="BL284">
        <v>239.5</v>
      </c>
      <c r="BM284">
        <v>119919.49110021438</v>
      </c>
      <c r="BN284" t="s">
        <v>82</v>
      </c>
      <c r="BO284">
        <v>239.5</v>
      </c>
      <c r="BP284">
        <v>100.90806949339189</v>
      </c>
      <c r="BQ284" s="82">
        <f t="shared" si="91"/>
        <v>-0.26810607545536413</v>
      </c>
      <c r="BR284">
        <v>239.5</v>
      </c>
      <c r="BS284">
        <v>114434.51628402554</v>
      </c>
      <c r="BT284" t="s">
        <v>82</v>
      </c>
      <c r="BU284">
        <v>239.5</v>
      </c>
      <c r="BV284">
        <v>101.79689841334002</v>
      </c>
      <c r="BW284" s="82">
        <f t="shared" si="92"/>
        <v>-0.25130946349595717</v>
      </c>
      <c r="BX284">
        <v>239.5</v>
      </c>
      <c r="BY284">
        <v>109139.92476837069</v>
      </c>
      <c r="BZ284" t="s">
        <v>82</v>
      </c>
      <c r="CA284">
        <v>239.5</v>
      </c>
      <c r="CB284">
        <v>102.5924804023164</v>
      </c>
      <c r="CC284" s="82">
        <f t="shared" si="93"/>
        <v>-0.23579323149232323</v>
      </c>
      <c r="CD284">
        <v>239.5</v>
      </c>
      <c r="CE284">
        <v>104344.34328191639</v>
      </c>
      <c r="CF284" t="s">
        <v>82</v>
      </c>
      <c r="CG284">
        <v>239.5</v>
      </c>
      <c r="CH284">
        <v>103.30533272374829</v>
      </c>
      <c r="CI284" s="82">
        <f t="shared" si="94"/>
        <v>-0.22153634919062881</v>
      </c>
      <c r="CJ284">
        <v>239.5</v>
      </c>
      <c r="CK284">
        <v>100046.04630127171</v>
      </c>
      <c r="CL284" t="s">
        <v>82</v>
      </c>
      <c r="CM284">
        <v>239.5</v>
      </c>
      <c r="CN284">
        <v>103.94469455038436</v>
      </c>
      <c r="CO284" s="82">
        <f t="shared" si="95"/>
        <v>-0.20845617382916259</v>
      </c>
      <c r="CP284">
        <v>239.5</v>
      </c>
      <c r="CQ284">
        <v>96217.301068341796</v>
      </c>
      <c r="CR284" t="s">
        <v>82</v>
      </c>
      <c r="CS284">
        <v>239.5</v>
      </c>
      <c r="CT284">
        <v>104.51860435462258</v>
      </c>
      <c r="CU284" s="82">
        <f t="shared" si="96"/>
        <v>-0.19645502442995166</v>
      </c>
      <c r="CV284">
        <v>239.5</v>
      </c>
      <c r="CW284">
        <v>92822.800787499538</v>
      </c>
      <c r="CX284" t="s">
        <v>82</v>
      </c>
      <c r="CY284">
        <v>239.5</v>
      </c>
      <c r="CZ284">
        <v>105.03697885721522</v>
      </c>
      <c r="DA284" s="82">
        <f t="shared" si="97"/>
        <v>-0.18520119294831261</v>
      </c>
      <c r="DB284">
        <v>239.5</v>
      </c>
      <c r="DC284">
        <v>89764.785656137741</v>
      </c>
      <c r="DD284" t="s">
        <v>82</v>
      </c>
      <c r="DG284" s="82">
        <f t="shared" si="98"/>
        <v>0</v>
      </c>
      <c r="DM284" s="82">
        <f t="shared" si="99"/>
        <v>0</v>
      </c>
    </row>
    <row r="285" spans="1:117" x14ac:dyDescent="0.2">
      <c r="A285">
        <v>240.5</v>
      </c>
      <c r="B285">
        <v>90.008396519790097</v>
      </c>
      <c r="C285" s="82">
        <f t="shared" si="80"/>
        <v>-5.8024189184919805E-2</v>
      </c>
      <c r="D285">
        <v>240.5</v>
      </c>
      <c r="E285">
        <v>26658.636299239188</v>
      </c>
      <c r="F285" t="s">
        <v>82</v>
      </c>
      <c r="G285">
        <v>240.5</v>
      </c>
      <c r="H285">
        <v>90.277252776309666</v>
      </c>
      <c r="I285" s="82">
        <f t="shared" si="81"/>
        <v>-0.13023487047573212</v>
      </c>
      <c r="J285">
        <v>240.5</v>
      </c>
      <c r="K285">
        <v>52080.701428384353</v>
      </c>
      <c r="L285" t="s">
        <v>82</v>
      </c>
      <c r="M285">
        <v>240.5</v>
      </c>
      <c r="N285">
        <v>90.822090225476671</v>
      </c>
      <c r="O285" s="82">
        <f t="shared" si="82"/>
        <v>-0.21571638936678994</v>
      </c>
      <c r="P285">
        <v>240.5</v>
      </c>
      <c r="Q285">
        <v>84375.861702459079</v>
      </c>
      <c r="R285" t="s">
        <v>82</v>
      </c>
      <c r="S285">
        <v>240.5</v>
      </c>
      <c r="T285">
        <v>91.653286954749376</v>
      </c>
      <c r="U285" s="82">
        <f t="shared" si="83"/>
        <v>-0.27686574867557567</v>
      </c>
      <c r="V285">
        <v>240.5</v>
      </c>
      <c r="W285">
        <v>109094.53616834605</v>
      </c>
      <c r="X285" t="s">
        <v>82</v>
      </c>
      <c r="Y285">
        <v>240.5</v>
      </c>
      <c r="Z285">
        <v>92.685800167248431</v>
      </c>
      <c r="AA285" s="82">
        <f t="shared" si="84"/>
        <v>-0.31316600150947238</v>
      </c>
      <c r="AB285">
        <v>240.5</v>
      </c>
      <c r="AC285">
        <v>124214.95916246105</v>
      </c>
      <c r="AD285" t="s">
        <v>82</v>
      </c>
      <c r="AE285">
        <v>240.5</v>
      </c>
      <c r="AF285">
        <v>93.83994714767185</v>
      </c>
      <c r="AG285" s="82">
        <f t="shared" si="85"/>
        <v>-0.33047804805775627</v>
      </c>
      <c r="AH285">
        <v>240.5</v>
      </c>
      <c r="AI285">
        <v>131983.27697819937</v>
      </c>
      <c r="AJ285" t="s">
        <v>82</v>
      </c>
      <c r="AK285">
        <v>240.5</v>
      </c>
      <c r="AL285">
        <v>95.049970985227759</v>
      </c>
      <c r="AM285" s="82">
        <f t="shared" si="86"/>
        <v>-0.33412543724379873</v>
      </c>
      <c r="AN285">
        <v>240.5</v>
      </c>
      <c r="AO285">
        <v>134456.9969801041</v>
      </c>
      <c r="AP285" t="s">
        <v>82</v>
      </c>
      <c r="AQ285">
        <v>240.5</v>
      </c>
      <c r="AR285">
        <v>96.267289474685811</v>
      </c>
      <c r="AS285" s="82">
        <f t="shared" si="87"/>
        <v>-0.32849670474877257</v>
      </c>
      <c r="AT285">
        <v>240.5</v>
      </c>
      <c r="AU285">
        <v>133341.70517485766</v>
      </c>
      <c r="AV285" t="s">
        <v>82</v>
      </c>
      <c r="AW285">
        <v>240.5</v>
      </c>
      <c r="AX285">
        <v>97.454265017680271</v>
      </c>
      <c r="AY285" s="82">
        <f t="shared" si="88"/>
        <v>-0.31696413963074122</v>
      </c>
      <c r="AZ285">
        <v>240.5</v>
      </c>
      <c r="BA285">
        <v>129949.04577568674</v>
      </c>
      <c r="BB285" t="s">
        <v>82</v>
      </c>
      <c r="BC285">
        <v>240.5</v>
      </c>
      <c r="BD285">
        <v>98.586763171132048</v>
      </c>
      <c r="BE285" s="82">
        <f t="shared" si="89"/>
        <v>-0.30207311037011664</v>
      </c>
      <c r="BF285">
        <v>240.5</v>
      </c>
      <c r="BG285">
        <v>125274.67237304174</v>
      </c>
      <c r="BH285" t="s">
        <v>82</v>
      </c>
      <c r="BI285">
        <v>240.5</v>
      </c>
      <c r="BJ285">
        <v>99.651160008724915</v>
      </c>
      <c r="BK285" s="82">
        <f t="shared" si="90"/>
        <v>-0.28553029327247259</v>
      </c>
      <c r="BL285">
        <v>240.5</v>
      </c>
      <c r="BM285">
        <v>119992.65555723969</v>
      </c>
      <c r="BN285" t="s">
        <v>82</v>
      </c>
      <c r="BO285">
        <v>240.5</v>
      </c>
      <c r="BP285">
        <v>100.63958844023479</v>
      </c>
      <c r="BQ285" s="82">
        <f t="shared" si="91"/>
        <v>-0.26848105315710313</v>
      </c>
      <c r="BR285">
        <v>240.5</v>
      </c>
      <c r="BS285">
        <v>114557.01503487422</v>
      </c>
      <c r="BT285" t="s">
        <v>82</v>
      </c>
      <c r="BU285">
        <v>240.5</v>
      </c>
      <c r="BV285">
        <v>101.54517316251969</v>
      </c>
      <c r="BW285" s="82">
        <f t="shared" si="92"/>
        <v>-0.25172525082032848</v>
      </c>
      <c r="BX285">
        <v>240.5</v>
      </c>
      <c r="BY285">
        <v>109278.49624632714</v>
      </c>
      <c r="BZ285" t="s">
        <v>82</v>
      </c>
      <c r="CA285">
        <v>240.5</v>
      </c>
      <c r="CB285">
        <v>102.35627161708067</v>
      </c>
      <c r="CC285" s="82">
        <f t="shared" si="93"/>
        <v>-0.23620878523573197</v>
      </c>
      <c r="CD285">
        <v>240.5</v>
      </c>
      <c r="CE285">
        <v>104482.87957173093</v>
      </c>
      <c r="CF285" t="s">
        <v>82</v>
      </c>
      <c r="CG285">
        <v>240.5</v>
      </c>
      <c r="CH285">
        <v>103.08339858975965</v>
      </c>
      <c r="CI285" s="82">
        <f t="shared" si="94"/>
        <v>-0.22193413398863981</v>
      </c>
      <c r="CJ285">
        <v>240.5</v>
      </c>
      <c r="CK285">
        <v>100177.67385679044</v>
      </c>
      <c r="CL285" t="s">
        <v>82</v>
      </c>
      <c r="CM285">
        <v>240.5</v>
      </c>
      <c r="CN285">
        <v>103.73586496951685</v>
      </c>
      <c r="CO285" s="82">
        <f t="shared" si="95"/>
        <v>-0.20882958086750136</v>
      </c>
      <c r="CP285">
        <v>240.5</v>
      </c>
      <c r="CQ285">
        <v>96339.439676380221</v>
      </c>
      <c r="CR285" t="s">
        <v>82</v>
      </c>
      <c r="CS285">
        <v>240.5</v>
      </c>
      <c r="CT285">
        <v>104.32180205236217</v>
      </c>
      <c r="CU285" s="82">
        <f t="shared" si="96"/>
        <v>-0.19680230226040862</v>
      </c>
      <c r="CV285">
        <v>240.5</v>
      </c>
      <c r="CW285">
        <v>92934.775859503934</v>
      </c>
      <c r="CX285" t="s">
        <v>82</v>
      </c>
      <c r="CY285">
        <v>240.5</v>
      </c>
      <c r="CZ285">
        <v>104.85145692348883</v>
      </c>
      <c r="DA285" s="82">
        <f t="shared" si="97"/>
        <v>-0.18552193372639181</v>
      </c>
      <c r="DB285">
        <v>240.5</v>
      </c>
      <c r="DC285">
        <v>89866.460586962217</v>
      </c>
      <c r="DD285" t="s">
        <v>82</v>
      </c>
      <c r="DG285" s="82">
        <f t="shared" si="98"/>
        <v>0</v>
      </c>
      <c r="DM285" s="82">
        <f t="shared" si="99"/>
        <v>0</v>
      </c>
    </row>
    <row r="286" spans="1:117" x14ac:dyDescent="0.2">
      <c r="A286">
        <v>241.5</v>
      </c>
      <c r="B286">
        <v>89.967069388295357</v>
      </c>
      <c r="C286" s="82">
        <f t="shared" si="80"/>
        <v>-4.1327131494739433E-2</v>
      </c>
      <c r="D286">
        <v>241.5</v>
      </c>
      <c r="E286">
        <v>21163.917575734151</v>
      </c>
      <c r="F286" t="s">
        <v>82</v>
      </c>
      <c r="G286">
        <v>241.5</v>
      </c>
      <c r="H286">
        <v>90.172253709163641</v>
      </c>
      <c r="I286" s="82">
        <f t="shared" si="81"/>
        <v>-0.10499906714602503</v>
      </c>
      <c r="J286">
        <v>241.5</v>
      </c>
      <c r="K286">
        <v>43198.854261688466</v>
      </c>
      <c r="L286" t="s">
        <v>82</v>
      </c>
      <c r="M286">
        <v>241.5</v>
      </c>
      <c r="N286">
        <v>90.631018633203468</v>
      </c>
      <c r="O286" s="82">
        <f t="shared" si="82"/>
        <v>-0.19107159227320381</v>
      </c>
      <c r="P286">
        <v>241.5</v>
      </c>
      <c r="Q286">
        <v>74885.120101392778</v>
      </c>
      <c r="R286" t="s">
        <v>82</v>
      </c>
      <c r="S286">
        <v>241.5</v>
      </c>
      <c r="T286">
        <v>91.392907081350259</v>
      </c>
      <c r="U286" s="82">
        <f t="shared" si="83"/>
        <v>-0.26037987339911695</v>
      </c>
      <c r="V286">
        <v>241.5</v>
      </c>
      <c r="W286">
        <v>102643.96279843131</v>
      </c>
      <c r="X286" t="s">
        <v>82</v>
      </c>
      <c r="Y286">
        <v>241.5</v>
      </c>
      <c r="Z286">
        <v>92.383169677295825</v>
      </c>
      <c r="AA286" s="82">
        <f t="shared" si="84"/>
        <v>-0.30263048995260533</v>
      </c>
      <c r="AB286">
        <v>241.5</v>
      </c>
      <c r="AC286">
        <v>120078.30229018573</v>
      </c>
      <c r="AD286" t="s">
        <v>82</v>
      </c>
      <c r="AE286">
        <v>241.5</v>
      </c>
      <c r="AF286">
        <v>93.515843947897352</v>
      </c>
      <c r="AG286" s="82">
        <f t="shared" si="85"/>
        <v>-0.32410319977449831</v>
      </c>
      <c r="AH286">
        <v>241.5</v>
      </c>
      <c r="AI286">
        <v>129468.00019771689</v>
      </c>
      <c r="AJ286" t="s">
        <v>82</v>
      </c>
      <c r="AK286">
        <v>241.5</v>
      </c>
      <c r="AL286">
        <v>94.719432730737395</v>
      </c>
      <c r="AM286" s="82">
        <f t="shared" si="86"/>
        <v>-0.33053825449036367</v>
      </c>
      <c r="AN286">
        <v>241.5</v>
      </c>
      <c r="AO286">
        <v>133029.75031536102</v>
      </c>
      <c r="AP286" t="s">
        <v>82</v>
      </c>
      <c r="AQ286">
        <v>241.5</v>
      </c>
      <c r="AR286">
        <v>95.940593753112324</v>
      </c>
      <c r="AS286" s="82">
        <f t="shared" si="87"/>
        <v>-0.32669572157348625</v>
      </c>
      <c r="AT286">
        <v>241.5</v>
      </c>
      <c r="AU286">
        <v>132612.55925449161</v>
      </c>
      <c r="AV286" t="s">
        <v>82</v>
      </c>
      <c r="AW286">
        <v>241.5</v>
      </c>
      <c r="AX286">
        <v>97.138023596785288</v>
      </c>
      <c r="AY286" s="82">
        <f t="shared" si="88"/>
        <v>-0.31624142089498264</v>
      </c>
      <c r="AZ286">
        <v>241.5</v>
      </c>
      <c r="BA286">
        <v>129641.81905999457</v>
      </c>
      <c r="BB286" t="s">
        <v>82</v>
      </c>
      <c r="BC286">
        <v>241.5</v>
      </c>
      <c r="BD286">
        <v>98.284802468494576</v>
      </c>
      <c r="BE286" s="82">
        <f t="shared" si="89"/>
        <v>-0.30196070263747288</v>
      </c>
      <c r="BF286">
        <v>241.5</v>
      </c>
      <c r="BG286">
        <v>125206.50163776558</v>
      </c>
      <c r="BH286" t="s">
        <v>82</v>
      </c>
      <c r="BI286">
        <v>241.5</v>
      </c>
      <c r="BJ286">
        <v>99.365424760337476</v>
      </c>
      <c r="BK286" s="82">
        <f t="shared" si="90"/>
        <v>-0.28573524838743936</v>
      </c>
      <c r="BL286">
        <v>241.5</v>
      </c>
      <c r="BM286">
        <v>120048.89853069761</v>
      </c>
      <c r="BN286" t="s">
        <v>82</v>
      </c>
      <c r="BO286">
        <v>241.5</v>
      </c>
      <c r="BP286">
        <v>100.37075679727981</v>
      </c>
      <c r="BQ286" s="82">
        <f t="shared" si="91"/>
        <v>-0.26883164295497863</v>
      </c>
      <c r="BR286">
        <v>241.5</v>
      </c>
      <c r="BS286">
        <v>114670.39484691837</v>
      </c>
      <c r="BT286" t="s">
        <v>82</v>
      </c>
      <c r="BU286">
        <v>241.5</v>
      </c>
      <c r="BV286">
        <v>101.29304624423624</v>
      </c>
      <c r="BW286" s="82">
        <f t="shared" si="92"/>
        <v>-0.25212691828345157</v>
      </c>
      <c r="BX286">
        <v>241.5</v>
      </c>
      <c r="BY286">
        <v>109411.94371336749</v>
      </c>
      <c r="BZ286" t="s">
        <v>82</v>
      </c>
      <c r="CA286">
        <v>241.5</v>
      </c>
      <c r="CB286">
        <v>102.11965628525635</v>
      </c>
      <c r="CC286" s="82">
        <f t="shared" si="93"/>
        <v>-0.23661533182431072</v>
      </c>
      <c r="CD286">
        <v>241.5</v>
      </c>
      <c r="CE286">
        <v>104618.2626749019</v>
      </c>
      <c r="CF286" t="s">
        <v>82</v>
      </c>
      <c r="CG286">
        <v>241.5</v>
      </c>
      <c r="CH286">
        <v>102.8610730041086</v>
      </c>
      <c r="CI286" s="82">
        <f t="shared" si="94"/>
        <v>-0.2223255856510491</v>
      </c>
      <c r="CJ286">
        <v>241.5</v>
      </c>
      <c r="CK286">
        <v>100307.16325466537</v>
      </c>
      <c r="CL286" t="s">
        <v>82</v>
      </c>
      <c r="CM286">
        <v>241.5</v>
      </c>
      <c r="CN286">
        <v>103.52666677724736</v>
      </c>
      <c r="CO286" s="82">
        <f t="shared" si="95"/>
        <v>-0.20919819226949699</v>
      </c>
      <c r="CP286">
        <v>241.5</v>
      </c>
      <c r="CQ286">
        <v>96460.012022540512</v>
      </c>
      <c r="CR286" t="s">
        <v>82</v>
      </c>
      <c r="CS286">
        <v>241.5</v>
      </c>
      <c r="CT286">
        <v>104.12465627511165</v>
      </c>
      <c r="CU286" s="82">
        <f t="shared" si="96"/>
        <v>-0.19714577725052607</v>
      </c>
      <c r="CV286">
        <v>241.5</v>
      </c>
      <c r="CW286">
        <v>93045.546338346321</v>
      </c>
      <c r="CX286" t="s">
        <v>82</v>
      </c>
      <c r="CY286">
        <v>241.5</v>
      </c>
      <c r="CZ286">
        <v>104.66561733071551</v>
      </c>
      <c r="DA286" s="82">
        <f t="shared" si="97"/>
        <v>-0.18583959277331985</v>
      </c>
      <c r="DB286">
        <v>241.5</v>
      </c>
      <c r="DC286">
        <v>89967.18905238458</v>
      </c>
      <c r="DD286" t="s">
        <v>82</v>
      </c>
      <c r="DG286" s="82">
        <f t="shared" si="98"/>
        <v>0</v>
      </c>
      <c r="DM286" s="82">
        <f t="shared" si="99"/>
        <v>0</v>
      </c>
    </row>
    <row r="287" spans="1:117" x14ac:dyDescent="0.2">
      <c r="A287">
        <v>242.5</v>
      </c>
      <c r="B287">
        <v>89.939487575885252</v>
      </c>
      <c r="C287" s="82">
        <f t="shared" si="80"/>
        <v>-2.7581812410105044E-2</v>
      </c>
      <c r="D287">
        <v>242.5</v>
      </c>
      <c r="E287">
        <v>16785.610732758214</v>
      </c>
      <c r="F287" t="s">
        <v>82</v>
      </c>
      <c r="G287">
        <v>242.5</v>
      </c>
      <c r="H287">
        <v>90.090040482219905</v>
      </c>
      <c r="I287" s="82">
        <f t="shared" si="81"/>
        <v>-8.2213226943736117E-2</v>
      </c>
      <c r="J287">
        <v>242.5</v>
      </c>
      <c r="K287">
        <v>35319.336174401884</v>
      </c>
      <c r="L287" t="s">
        <v>82</v>
      </c>
      <c r="M287">
        <v>242.5</v>
      </c>
      <c r="N287">
        <v>90.466402441470734</v>
      </c>
      <c r="O287" s="82">
        <f t="shared" si="82"/>
        <v>-0.16461619173273334</v>
      </c>
      <c r="P287">
        <v>242.5</v>
      </c>
      <c r="Q287">
        <v>65055.089308308852</v>
      </c>
      <c r="R287" t="s">
        <v>82</v>
      </c>
      <c r="S287">
        <v>242.5</v>
      </c>
      <c r="T287">
        <v>91.15074192939322</v>
      </c>
      <c r="U287" s="82">
        <f t="shared" si="83"/>
        <v>-0.24216515195703892</v>
      </c>
      <c r="V287">
        <v>242.5</v>
      </c>
      <c r="W287">
        <v>95520.765989302061</v>
      </c>
      <c r="X287" t="s">
        <v>82</v>
      </c>
      <c r="Y287">
        <v>242.5</v>
      </c>
      <c r="Z287">
        <v>92.092238009075928</v>
      </c>
      <c r="AA287" s="82">
        <f t="shared" si="84"/>
        <v>-0.29093166821989769</v>
      </c>
      <c r="AB287">
        <v>242.5</v>
      </c>
      <c r="AC287">
        <v>115487.90327105076</v>
      </c>
      <c r="AD287" t="s">
        <v>82</v>
      </c>
      <c r="AE287">
        <v>242.5</v>
      </c>
      <c r="AF287">
        <v>93.198869958389039</v>
      </c>
      <c r="AG287" s="82">
        <f t="shared" si="85"/>
        <v>-0.31697398950831257</v>
      </c>
      <c r="AH287">
        <v>242.5</v>
      </c>
      <c r="AI287">
        <v>126658.20434672029</v>
      </c>
      <c r="AJ287" t="s">
        <v>82</v>
      </c>
      <c r="AK287">
        <v>242.5</v>
      </c>
      <c r="AL287">
        <v>94.392952032524619</v>
      </c>
      <c r="AM287" s="82">
        <f t="shared" si="86"/>
        <v>-0.32648069821277659</v>
      </c>
      <c r="AN287">
        <v>242.5</v>
      </c>
      <c r="AO287">
        <v>131418.84253629047</v>
      </c>
      <c r="AP287" t="s">
        <v>82</v>
      </c>
      <c r="AQ287">
        <v>242.5</v>
      </c>
      <c r="AR287">
        <v>95.615980050094407</v>
      </c>
      <c r="AS287" s="82">
        <f t="shared" si="87"/>
        <v>-0.32461370301791703</v>
      </c>
      <c r="AT287">
        <v>242.5</v>
      </c>
      <c r="AU287">
        <v>131773.78679936123</v>
      </c>
      <c r="AV287" t="s">
        <v>82</v>
      </c>
      <c r="AW287">
        <v>242.5</v>
      </c>
      <c r="AX287">
        <v>96.822666206151041</v>
      </c>
      <c r="AY287" s="82">
        <f t="shared" si="88"/>
        <v>-0.31535739063424728</v>
      </c>
      <c r="AZ287">
        <v>242.5</v>
      </c>
      <c r="BA287">
        <v>129271.83701327372</v>
      </c>
      <c r="BB287" t="s">
        <v>82</v>
      </c>
      <c r="BC287">
        <v>242.5</v>
      </c>
      <c r="BD287">
        <v>97.983043531791225</v>
      </c>
      <c r="BE287" s="82">
        <f t="shared" si="89"/>
        <v>-0.30175893670335086</v>
      </c>
      <c r="BF287">
        <v>242.5</v>
      </c>
      <c r="BG287">
        <v>125103.76612792755</v>
      </c>
      <c r="BH287" t="s">
        <v>82</v>
      </c>
      <c r="BI287">
        <v>242.5</v>
      </c>
      <c r="BJ287">
        <v>99.079532976151171</v>
      </c>
      <c r="BK287" s="82">
        <f t="shared" si="90"/>
        <v>-0.28589178418630468</v>
      </c>
      <c r="BL287">
        <v>242.5</v>
      </c>
      <c r="BM287">
        <v>120086.61580106824</v>
      </c>
      <c r="BN287" t="s">
        <v>82</v>
      </c>
      <c r="BO287">
        <v>242.5</v>
      </c>
      <c r="BP287">
        <v>100.10160087043553</v>
      </c>
      <c r="BQ287" s="82">
        <f t="shared" si="91"/>
        <v>-0.26915592684427736</v>
      </c>
      <c r="BR287">
        <v>242.5</v>
      </c>
      <c r="BS287">
        <v>114773.90019486095</v>
      </c>
      <c r="BT287" t="s">
        <v>82</v>
      </c>
      <c r="BU287">
        <v>242.5</v>
      </c>
      <c r="BV287">
        <v>101.04053263679911</v>
      </c>
      <c r="BW287" s="82">
        <f t="shared" si="92"/>
        <v>-0.25251360743712326</v>
      </c>
      <c r="BX287">
        <v>242.5</v>
      </c>
      <c r="BY287">
        <v>109539.93001625167</v>
      </c>
      <c r="BZ287" t="s">
        <v>82</v>
      </c>
      <c r="CA287">
        <v>242.5</v>
      </c>
      <c r="CB287">
        <v>101.88264379674771</v>
      </c>
      <c r="CC287" s="82">
        <f t="shared" si="93"/>
        <v>-0.23701248850863976</v>
      </c>
      <c r="CD287">
        <v>242.5</v>
      </c>
      <c r="CE287">
        <v>104750.34337992014</v>
      </c>
      <c r="CF287" t="s">
        <v>82</v>
      </c>
      <c r="CG287">
        <v>242.5</v>
      </c>
      <c r="CH287">
        <v>102.63836247892971</v>
      </c>
      <c r="CI287" s="82">
        <f t="shared" si="94"/>
        <v>-0.222710525178897</v>
      </c>
      <c r="CJ287">
        <v>242.5</v>
      </c>
      <c r="CK287">
        <v>100434.4457371499</v>
      </c>
      <c r="CL287" t="s">
        <v>82</v>
      </c>
      <c r="CM287">
        <v>242.5</v>
      </c>
      <c r="CN287">
        <v>103.31710486317789</v>
      </c>
      <c r="CO287" s="82">
        <f t="shared" si="95"/>
        <v>-0.209561914069468</v>
      </c>
      <c r="CP287">
        <v>242.5</v>
      </c>
      <c r="CQ287">
        <v>96578.982776609861</v>
      </c>
      <c r="CR287" t="s">
        <v>82</v>
      </c>
      <c r="CS287">
        <v>242.5</v>
      </c>
      <c r="CT287">
        <v>103.9271708835084</v>
      </c>
      <c r="CU287" s="82">
        <f t="shared" si="96"/>
        <v>-0.19748539160325151</v>
      </c>
      <c r="CV287">
        <v>242.5</v>
      </c>
      <c r="CW287">
        <v>93155.090984055132</v>
      </c>
      <c r="CX287" t="s">
        <v>82</v>
      </c>
      <c r="CY287">
        <v>242.5</v>
      </c>
      <c r="CZ287">
        <v>104.47946320129196</v>
      </c>
      <c r="DA287" s="82">
        <f t="shared" si="97"/>
        <v>-0.18615412942354226</v>
      </c>
      <c r="DB287">
        <v>242.5</v>
      </c>
      <c r="DC287">
        <v>90066.95635742489</v>
      </c>
      <c r="DD287" t="s">
        <v>82</v>
      </c>
      <c r="DG287" s="82">
        <f t="shared" si="98"/>
        <v>0</v>
      </c>
      <c r="DM287" s="82">
        <f t="shared" si="99"/>
        <v>0</v>
      </c>
    </row>
    <row r="288" spans="1:117" x14ac:dyDescent="0.2">
      <c r="A288">
        <v>243.5</v>
      </c>
      <c r="B288">
        <v>89.922914735158855</v>
      </c>
      <c r="C288" s="82">
        <f t="shared" si="80"/>
        <v>-1.6572840726396976E-2</v>
      </c>
      <c r="D288">
        <v>243.5</v>
      </c>
      <c r="E288">
        <v>13981.433006178298</v>
      </c>
      <c r="F288" t="s">
        <v>82</v>
      </c>
      <c r="G288">
        <v>243.5</v>
      </c>
      <c r="H288">
        <v>90.02780196142578</v>
      </c>
      <c r="I288" s="82">
        <f t="shared" si="81"/>
        <v>-6.2238520794124952E-2</v>
      </c>
      <c r="J288">
        <v>243.5</v>
      </c>
      <c r="K288">
        <v>28539.199255134703</v>
      </c>
      <c r="L288" t="s">
        <v>82</v>
      </c>
      <c r="M288">
        <v>243.5</v>
      </c>
      <c r="N288">
        <v>90.328252844226114</v>
      </c>
      <c r="O288" s="82">
        <f t="shared" si="82"/>
        <v>-0.13814959724462028</v>
      </c>
      <c r="P288">
        <v>243.5</v>
      </c>
      <c r="Q288">
        <v>55467.478906812707</v>
      </c>
      <c r="R288" t="s">
        <v>82</v>
      </c>
      <c r="S288">
        <v>243.5</v>
      </c>
      <c r="T288">
        <v>90.928692377511226</v>
      </c>
      <c r="U288" s="82">
        <f t="shared" si="83"/>
        <v>-0.22204955188199449</v>
      </c>
      <c r="V288">
        <v>243.5</v>
      </c>
      <c r="W288">
        <v>87658.737937315833</v>
      </c>
      <c r="X288" t="s">
        <v>82</v>
      </c>
      <c r="Y288">
        <v>243.5</v>
      </c>
      <c r="Z288">
        <v>91.814286479096367</v>
      </c>
      <c r="AA288" s="82">
        <f t="shared" si="84"/>
        <v>-0.27795152997956052</v>
      </c>
      <c r="AB288">
        <v>243.5</v>
      </c>
      <c r="AC288">
        <v>110397.76065696662</v>
      </c>
      <c r="AD288" t="s">
        <v>82</v>
      </c>
      <c r="AE288">
        <v>243.5</v>
      </c>
      <c r="AF288">
        <v>92.889857378522535</v>
      </c>
      <c r="AG288" s="82">
        <f t="shared" si="85"/>
        <v>-0.30901257986650421</v>
      </c>
      <c r="AH288">
        <v>243.5</v>
      </c>
      <c r="AI288">
        <v>123523.4228435954</v>
      </c>
      <c r="AJ288" t="s">
        <v>82</v>
      </c>
      <c r="AK288">
        <v>243.5</v>
      </c>
      <c r="AL288">
        <v>94.071048439408713</v>
      </c>
      <c r="AM288" s="82">
        <f t="shared" si="86"/>
        <v>-0.32190359311590555</v>
      </c>
      <c r="AN288">
        <v>243.5</v>
      </c>
      <c r="AO288">
        <v>129604.98247993876</v>
      </c>
      <c r="AP288" t="s">
        <v>82</v>
      </c>
      <c r="AQ288">
        <v>243.5</v>
      </c>
      <c r="AR288">
        <v>95.293758954957781</v>
      </c>
      <c r="AS288" s="82">
        <f t="shared" si="87"/>
        <v>-0.32222109513662645</v>
      </c>
      <c r="AT288">
        <v>243.5</v>
      </c>
      <c r="AU288">
        <v>130813.77434092588</v>
      </c>
      <c r="AV288" t="s">
        <v>82</v>
      </c>
      <c r="AW288">
        <v>243.5</v>
      </c>
      <c r="AX288">
        <v>96.508370999290435</v>
      </c>
      <c r="AY288" s="82">
        <f t="shared" si="88"/>
        <v>-0.31429520686060641</v>
      </c>
      <c r="AZ288">
        <v>243.5</v>
      </c>
      <c r="BA288">
        <v>128832.47194556713</v>
      </c>
      <c r="BB288" t="s">
        <v>82</v>
      </c>
      <c r="BC288">
        <v>243.5</v>
      </c>
      <c r="BD288">
        <v>97.681584766234707</v>
      </c>
      <c r="BE288" s="82">
        <f t="shared" si="89"/>
        <v>-0.30145876555651796</v>
      </c>
      <c r="BF288">
        <v>243.5</v>
      </c>
      <c r="BG288">
        <v>124962.90147351458</v>
      </c>
      <c r="BH288" t="s">
        <v>82</v>
      </c>
      <c r="BI288">
        <v>243.5</v>
      </c>
      <c r="BJ288">
        <v>98.793537636692349</v>
      </c>
      <c r="BK288" s="82">
        <f t="shared" si="90"/>
        <v>-0.28599533945882172</v>
      </c>
      <c r="BL288">
        <v>243.5</v>
      </c>
      <c r="BM288">
        <v>120104.0090010343</v>
      </c>
      <c r="BN288" t="s">
        <v>82</v>
      </c>
      <c r="BO288">
        <v>243.5</v>
      </c>
      <c r="BP288">
        <v>99.832149115277787</v>
      </c>
      <c r="BQ288" s="82">
        <f t="shared" si="91"/>
        <v>-0.26945175515774622</v>
      </c>
      <c r="BR288">
        <v>243.5</v>
      </c>
      <c r="BS288">
        <v>114866.68373278696</v>
      </c>
      <c r="BT288" t="s">
        <v>82</v>
      </c>
      <c r="BU288">
        <v>243.5</v>
      </c>
      <c r="BV288">
        <v>100.78764827768407</v>
      </c>
      <c r="BW288" s="82">
        <f t="shared" si="92"/>
        <v>-0.25288435911504337</v>
      </c>
      <c r="BX288">
        <v>243.5</v>
      </c>
      <c r="BY288">
        <v>109662.07795938588</v>
      </c>
      <c r="BZ288" t="s">
        <v>82</v>
      </c>
      <c r="CA288">
        <v>243.5</v>
      </c>
      <c r="CB288">
        <v>101.64524396515486</v>
      </c>
      <c r="CC288" s="82">
        <f t="shared" si="93"/>
        <v>-0.23739983159285316</v>
      </c>
      <c r="CD288">
        <v>243.5</v>
      </c>
      <c r="CE288">
        <v>104878.95617800672</v>
      </c>
      <c r="CF288" t="s">
        <v>82</v>
      </c>
      <c r="CG288">
        <v>243.5</v>
      </c>
      <c r="CH288">
        <v>102.41527372083614</v>
      </c>
      <c r="CI288" s="82">
        <f t="shared" si="94"/>
        <v>-0.22308875809356721</v>
      </c>
      <c r="CJ288">
        <v>243.5</v>
      </c>
      <c r="CK288">
        <v>100559.44635889978</v>
      </c>
      <c r="CL288" t="s">
        <v>82</v>
      </c>
      <c r="CM288">
        <v>243.5</v>
      </c>
      <c r="CN288">
        <v>103.1071842162434</v>
      </c>
      <c r="CO288" s="82">
        <f t="shared" si="95"/>
        <v>-0.20992064693449208</v>
      </c>
      <c r="CP288">
        <v>243.5</v>
      </c>
      <c r="CQ288">
        <v>96696.314475489489</v>
      </c>
      <c r="CR288" t="s">
        <v>82</v>
      </c>
      <c r="CS288">
        <v>243.5</v>
      </c>
      <c r="CT288">
        <v>103.72934979765111</v>
      </c>
      <c r="CU288" s="82">
        <f t="shared" si="96"/>
        <v>-0.19782108585728508</v>
      </c>
      <c r="CV288">
        <v>243.5</v>
      </c>
      <c r="CW288">
        <v>93263.38789368578</v>
      </c>
      <c r="CX288" t="s">
        <v>82</v>
      </c>
      <c r="CY288">
        <v>243.5</v>
      </c>
      <c r="CZ288">
        <v>104.29299769870077</v>
      </c>
      <c r="DA288" s="82">
        <f t="shared" si="97"/>
        <v>-0.1864655025911901</v>
      </c>
      <c r="DB288">
        <v>243.5</v>
      </c>
      <c r="DC288">
        <v>90165.747639079695</v>
      </c>
      <c r="DD288" t="s">
        <v>82</v>
      </c>
      <c r="DG288" s="82">
        <f t="shared" si="98"/>
        <v>0</v>
      </c>
      <c r="DM288" s="82">
        <f t="shared" si="99"/>
        <v>0</v>
      </c>
    </row>
    <row r="289" spans="1:117" x14ac:dyDescent="0.2">
      <c r="A289">
        <v>244.5</v>
      </c>
      <c r="B289">
        <v>89.914896654307711</v>
      </c>
      <c r="C289" s="82">
        <f t="shared" si="80"/>
        <v>-8.0180808511443047E-3</v>
      </c>
      <c r="D289">
        <v>244.5</v>
      </c>
      <c r="E289">
        <v>12097.352549671399</v>
      </c>
      <c r="F289" t="s">
        <v>82</v>
      </c>
      <c r="G289">
        <v>244.5</v>
      </c>
      <c r="H289">
        <v>89.982606150178171</v>
      </c>
      <c r="I289" s="82">
        <f t="shared" si="81"/>
        <v>-4.5195811247609186E-2</v>
      </c>
      <c r="J289">
        <v>244.5</v>
      </c>
      <c r="K289">
        <v>22879.718007914846</v>
      </c>
      <c r="L289" t="s">
        <v>82</v>
      </c>
      <c r="M289">
        <v>244.5</v>
      </c>
      <c r="N289">
        <v>90.215318895398838</v>
      </c>
      <c r="O289" s="82">
        <f t="shared" si="82"/>
        <v>-0.11293394882727625</v>
      </c>
      <c r="P289">
        <v>244.5</v>
      </c>
      <c r="Q289">
        <v>46514.982226561777</v>
      </c>
      <c r="R289" t="s">
        <v>82</v>
      </c>
      <c r="S289">
        <v>244.5</v>
      </c>
      <c r="T289">
        <v>90.728849038085727</v>
      </c>
      <c r="U289" s="82">
        <f t="shared" si="83"/>
        <v>-0.19984333942549881</v>
      </c>
      <c r="V289">
        <v>244.5</v>
      </c>
      <c r="W289">
        <v>78985.48952494566</v>
      </c>
      <c r="X289" t="s">
        <v>82</v>
      </c>
      <c r="Y289">
        <v>244.5</v>
      </c>
      <c r="Z289">
        <v>91.550726857477684</v>
      </c>
      <c r="AA289" s="82">
        <f t="shared" si="84"/>
        <v>-0.26355962161868263</v>
      </c>
      <c r="AB289">
        <v>244.5</v>
      </c>
      <c r="AC289">
        <v>104757.09676654263</v>
      </c>
      <c r="AD289" t="s">
        <v>82</v>
      </c>
      <c r="AE289">
        <v>244.5</v>
      </c>
      <c r="AF289">
        <v>92.589724659612912</v>
      </c>
      <c r="AG289" s="82">
        <f t="shared" si="85"/>
        <v>-0.30013271890962301</v>
      </c>
      <c r="AH289">
        <v>244.5</v>
      </c>
      <c r="AI289">
        <v>120029.90879527842</v>
      </c>
      <c r="AJ289" t="s">
        <v>82</v>
      </c>
      <c r="AK289">
        <v>244.5</v>
      </c>
      <c r="AL289">
        <v>93.754296125651834</v>
      </c>
      <c r="AM289" s="82">
        <f t="shared" si="86"/>
        <v>-0.31675231375687929</v>
      </c>
      <c r="AN289">
        <v>244.5</v>
      </c>
      <c r="AO289">
        <v>127566.74317035235</v>
      </c>
      <c r="AP289" t="s">
        <v>82</v>
      </c>
      <c r="AQ289">
        <v>244.5</v>
      </c>
      <c r="AR289">
        <v>94.974273969906307</v>
      </c>
      <c r="AS289" s="82">
        <f t="shared" si="87"/>
        <v>-0.31948498505147427</v>
      </c>
      <c r="AT289">
        <v>244.5</v>
      </c>
      <c r="AU289">
        <v>129719.58834274157</v>
      </c>
      <c r="AV289" t="s">
        <v>82</v>
      </c>
      <c r="AW289">
        <v>244.5</v>
      </c>
      <c r="AX289">
        <v>96.195334933559948</v>
      </c>
      <c r="AY289" s="82">
        <f t="shared" si="88"/>
        <v>-0.31303606573048626</v>
      </c>
      <c r="AZ289">
        <v>244.5</v>
      </c>
      <c r="BA289">
        <v>128316.32352719731</v>
      </c>
      <c r="BB289" t="s">
        <v>82</v>
      </c>
      <c r="BC289">
        <v>244.5</v>
      </c>
      <c r="BD289">
        <v>97.380534701878588</v>
      </c>
      <c r="BE289" s="82">
        <f t="shared" si="89"/>
        <v>-0.3010500643561187</v>
      </c>
      <c r="BF289">
        <v>244.5</v>
      </c>
      <c r="BG289">
        <v>124779.91798696831</v>
      </c>
      <c r="BH289" t="s">
        <v>82</v>
      </c>
      <c r="BI289">
        <v>244.5</v>
      </c>
      <c r="BJ289">
        <v>98.507496836557067</v>
      </c>
      <c r="BK289" s="82">
        <f t="shared" si="90"/>
        <v>-0.28604080013528232</v>
      </c>
      <c r="BL289">
        <v>244.5</v>
      </c>
      <c r="BM289">
        <v>120099.0612207325</v>
      </c>
      <c r="BN289" t="s">
        <v>82</v>
      </c>
      <c r="BO289">
        <v>244.5</v>
      </c>
      <c r="BP289">
        <v>99.562432398956702</v>
      </c>
      <c r="BQ289" s="82">
        <f t="shared" si="91"/>
        <v>-0.26971671632108496</v>
      </c>
      <c r="BR289">
        <v>244.5</v>
      </c>
      <c r="BS289">
        <v>114947.79438704617</v>
      </c>
      <c r="BT289" t="s">
        <v>82</v>
      </c>
      <c r="BU289">
        <v>244.5</v>
      </c>
      <c r="BV289">
        <v>100.53441017788494</v>
      </c>
      <c r="BW289" s="82">
        <f t="shared" si="92"/>
        <v>-0.25323809979913392</v>
      </c>
      <c r="BX289">
        <v>244.5</v>
      </c>
      <c r="BY289">
        <v>109777.96498721027</v>
      </c>
      <c r="BZ289" t="s">
        <v>82</v>
      </c>
      <c r="CA289">
        <v>244.5</v>
      </c>
      <c r="CB289">
        <v>101.40746707446587</v>
      </c>
      <c r="CC289" s="82">
        <f t="shared" si="93"/>
        <v>-0.23777689068899122</v>
      </c>
      <c r="CD289">
        <v>244.5</v>
      </c>
      <c r="CE289">
        <v>105003.91696914624</v>
      </c>
      <c r="CF289" t="s">
        <v>82</v>
      </c>
      <c r="CG289">
        <v>244.5</v>
      </c>
      <c r="CH289">
        <v>102.19181364865069</v>
      </c>
      <c r="CI289" s="82">
        <f t="shared" si="94"/>
        <v>-0.22346007218544628</v>
      </c>
      <c r="CJ289">
        <v>244.5</v>
      </c>
      <c r="CK289">
        <v>100682.08308142262</v>
      </c>
      <c r="CL289" t="s">
        <v>82</v>
      </c>
      <c r="CM289">
        <v>244.5</v>
      </c>
      <c r="CN289">
        <v>102.89690993091708</v>
      </c>
      <c r="CO289" s="82">
        <f t="shared" si="95"/>
        <v>-0.21027428532632086</v>
      </c>
      <c r="CP289">
        <v>244.5</v>
      </c>
      <c r="CQ289">
        <v>96811.967141668545</v>
      </c>
      <c r="CR289" t="s">
        <v>82</v>
      </c>
      <c r="CS289">
        <v>244.5</v>
      </c>
      <c r="CT289">
        <v>103.53119699905416</v>
      </c>
      <c r="CU289" s="82">
        <f t="shared" si="96"/>
        <v>-0.19815279859695067</v>
      </c>
      <c r="CV289">
        <v>244.5</v>
      </c>
      <c r="CW289">
        <v>93370.414357345348</v>
      </c>
      <c r="CX289" t="s">
        <v>82</v>
      </c>
      <c r="CY289">
        <v>244.5</v>
      </c>
      <c r="CZ289">
        <v>104.10622402801863</v>
      </c>
      <c r="DA289" s="82">
        <f t="shared" si="97"/>
        <v>-0.18677367068214323</v>
      </c>
      <c r="DB289">
        <v>244.5</v>
      </c>
      <c r="DC289">
        <v>90263.547814738413</v>
      </c>
      <c r="DD289" t="s">
        <v>82</v>
      </c>
      <c r="DG289" s="82">
        <f t="shared" si="98"/>
        <v>0</v>
      </c>
      <c r="DM289" s="82">
        <f t="shared" si="99"/>
        <v>0</v>
      </c>
    </row>
    <row r="290" spans="1:117" x14ac:dyDescent="0.2">
      <c r="A290">
        <v>245.5</v>
      </c>
      <c r="B290">
        <v>89.913294917044439</v>
      </c>
      <c r="C290" s="82">
        <f t="shared" si="80"/>
        <v>-1.6017372632717297E-3</v>
      </c>
      <c r="D290">
        <v>245.5</v>
      </c>
      <c r="E290">
        <v>11146.327589376519</v>
      </c>
      <c r="F290" t="s">
        <v>82</v>
      </c>
      <c r="G290">
        <v>245.5</v>
      </c>
      <c r="H290">
        <v>89.951575321573671</v>
      </c>
      <c r="I290" s="82">
        <f t="shared" si="81"/>
        <v>-3.1030828604500016E-2</v>
      </c>
      <c r="J290">
        <v>245.5</v>
      </c>
      <c r="K290">
        <v>18307.548708727674</v>
      </c>
      <c r="L290" t="s">
        <v>82</v>
      </c>
      <c r="M290">
        <v>245.5</v>
      </c>
      <c r="N290">
        <v>90.125520097485619</v>
      </c>
      <c r="O290" s="82">
        <f t="shared" si="82"/>
        <v>-8.9798797913218209E-2</v>
      </c>
      <c r="P290">
        <v>245.5</v>
      </c>
      <c r="Q290">
        <v>38446.928259819375</v>
      </c>
      <c r="R290" t="s">
        <v>82</v>
      </c>
      <c r="S290">
        <v>245.5</v>
      </c>
      <c r="T290">
        <v>90.553511789535321</v>
      </c>
      <c r="U290" s="82">
        <f t="shared" si="83"/>
        <v>-0.17533724855040589</v>
      </c>
      <c r="V290">
        <v>245.5</v>
      </c>
      <c r="W290">
        <v>69678.783302590498</v>
      </c>
      <c r="X290" t="s">
        <v>82</v>
      </c>
      <c r="Y290">
        <v>245.5</v>
      </c>
      <c r="Z290">
        <v>91.303115141229981</v>
      </c>
      <c r="AA290" s="82">
        <f t="shared" si="84"/>
        <v>-0.24761171624770384</v>
      </c>
      <c r="AB290">
        <v>245.5</v>
      </c>
      <c r="AC290">
        <v>98509.897037756615</v>
      </c>
      <c r="AD290" t="s">
        <v>82</v>
      </c>
      <c r="AE290">
        <v>245.5</v>
      </c>
      <c r="AF290">
        <v>92.299485839708865</v>
      </c>
      <c r="AG290" s="82">
        <f t="shared" si="85"/>
        <v>-0.29023881990404732</v>
      </c>
      <c r="AH290">
        <v>245.5</v>
      </c>
      <c r="AI290">
        <v>116140.28304180253</v>
      </c>
      <c r="AJ290" t="s">
        <v>82</v>
      </c>
      <c r="AK290">
        <v>245.5</v>
      </c>
      <c r="AL290">
        <v>93.443329952783202</v>
      </c>
      <c r="AM290" s="82">
        <f t="shared" si="86"/>
        <v>-0.31096617286863193</v>
      </c>
      <c r="AN290">
        <v>245.5</v>
      </c>
      <c r="AO290">
        <v>125280.3233309802</v>
      </c>
      <c r="AP290" t="s">
        <v>82</v>
      </c>
      <c r="AQ290">
        <v>245.5</v>
      </c>
      <c r="AR290">
        <v>94.657905256208238</v>
      </c>
      <c r="AS290" s="82">
        <f t="shared" si="87"/>
        <v>-0.3163687136980684</v>
      </c>
      <c r="AT290">
        <v>245.5</v>
      </c>
      <c r="AU290">
        <v>128476.8233607953</v>
      </c>
      <c r="AV290" t="s">
        <v>82</v>
      </c>
      <c r="AW290">
        <v>245.5</v>
      </c>
      <c r="AX290">
        <v>95.883775964719788</v>
      </c>
      <c r="AY290" s="82">
        <f t="shared" si="88"/>
        <v>-0.31155896884015988</v>
      </c>
      <c r="AZ290">
        <v>245.5</v>
      </c>
      <c r="BA290">
        <v>127715.12720431066</v>
      </c>
      <c r="BB290" t="s">
        <v>82</v>
      </c>
      <c r="BC290">
        <v>245.5</v>
      </c>
      <c r="BD290">
        <v>97.08001320315681</v>
      </c>
      <c r="BE290" s="82">
        <f t="shared" si="89"/>
        <v>-0.30052149872177836</v>
      </c>
      <c r="BF290">
        <v>245.5</v>
      </c>
      <c r="BG290">
        <v>124550.34870811114</v>
      </c>
      <c r="BH290" t="s">
        <v>82</v>
      </c>
      <c r="BI290">
        <v>245.5</v>
      </c>
      <c r="BJ290">
        <v>98.221474407017467</v>
      </c>
      <c r="BK290" s="82">
        <f t="shared" si="90"/>
        <v>-0.28602242953959944</v>
      </c>
      <c r="BL290">
        <v>245.5</v>
      </c>
      <c r="BM290">
        <v>120069.50938388586</v>
      </c>
      <c r="BN290" t="s">
        <v>82</v>
      </c>
      <c r="BO290">
        <v>245.5</v>
      </c>
      <c r="BP290">
        <v>99.292484296285096</v>
      </c>
      <c r="BQ290" s="82">
        <f t="shared" si="91"/>
        <v>-0.26994810267160574</v>
      </c>
      <c r="BR290">
        <v>245.5</v>
      </c>
      <c r="BS290">
        <v>115016.16374408623</v>
      </c>
      <c r="BT290" t="s">
        <v>82</v>
      </c>
      <c r="BU290">
        <v>245.5</v>
      </c>
      <c r="BV290">
        <v>100.28083655173083</v>
      </c>
      <c r="BW290" s="82">
        <f t="shared" si="92"/>
        <v>-0.2535736261541075</v>
      </c>
      <c r="BX290">
        <v>245.5</v>
      </c>
      <c r="BY290">
        <v>109887.11696917276</v>
      </c>
      <c r="BZ290" t="s">
        <v>82</v>
      </c>
      <c r="CA290">
        <v>245.5</v>
      </c>
      <c r="CB290">
        <v>101.16932393231973</v>
      </c>
      <c r="CC290" s="82">
        <f t="shared" si="93"/>
        <v>-0.23814314214614285</v>
      </c>
      <c r="CD290">
        <v>245.5</v>
      </c>
      <c r="CE290">
        <v>105125.02046055117</v>
      </c>
      <c r="CF290" t="s">
        <v>82</v>
      </c>
      <c r="CG290">
        <v>245.5</v>
      </c>
      <c r="CH290">
        <v>101.9679894137566</v>
      </c>
      <c r="CI290" s="82">
        <f t="shared" si="94"/>
        <v>-0.22382423489409575</v>
      </c>
      <c r="CJ290">
        <v>245.5</v>
      </c>
      <c r="CK290">
        <v>100802.26575969299</v>
      </c>
      <c r="CL290" t="s">
        <v>82</v>
      </c>
      <c r="CM290">
        <v>245.5</v>
      </c>
      <c r="CN290">
        <v>102.68628721437882</v>
      </c>
      <c r="CO290" s="82">
        <f t="shared" si="95"/>
        <v>-0.21062271653825348</v>
      </c>
      <c r="CP290">
        <v>245.5</v>
      </c>
      <c r="CQ290">
        <v>96925.897937908521</v>
      </c>
      <c r="CR290" t="s">
        <v>82</v>
      </c>
      <c r="CS290">
        <v>245.5</v>
      </c>
      <c r="CT290">
        <v>103.33271653292699</v>
      </c>
      <c r="CU290" s="82">
        <f t="shared" si="96"/>
        <v>-0.1984804661271653</v>
      </c>
      <c r="CV290">
        <v>245.5</v>
      </c>
      <c r="CW290">
        <v>93476.146740056094</v>
      </c>
      <c r="CX290" t="s">
        <v>82</v>
      </c>
      <c r="CY290">
        <v>245.5</v>
      </c>
      <c r="CZ290">
        <v>103.91914543651239</v>
      </c>
      <c r="DA290" s="82">
        <f t="shared" si="97"/>
        <v>-0.18707859150623563</v>
      </c>
      <c r="DB290">
        <v>245.5</v>
      </c>
      <c r="DC290">
        <v>90360.34158848034</v>
      </c>
      <c r="DD290" t="s">
        <v>82</v>
      </c>
      <c r="DG290" s="82">
        <f t="shared" si="98"/>
        <v>0</v>
      </c>
      <c r="DM290" s="82">
        <f t="shared" si="99"/>
        <v>0</v>
      </c>
    </row>
    <row r="291" spans="1:117" x14ac:dyDescent="0.2">
      <c r="A291">
        <v>246.5</v>
      </c>
      <c r="B291">
        <v>89.916295625506208</v>
      </c>
      <c r="C291" s="82">
        <f t="shared" si="80"/>
        <v>3.0007084617693636E-3</v>
      </c>
      <c r="D291">
        <v>246.5</v>
      </c>
      <c r="E291">
        <v>12015.674946637844</v>
      </c>
      <c r="F291" t="s">
        <v>82</v>
      </c>
      <c r="G291">
        <v>246.5</v>
      </c>
      <c r="H291">
        <v>89.932006885361588</v>
      </c>
      <c r="I291" s="82">
        <f t="shared" si="81"/>
        <v>-1.9568436212082929E-2</v>
      </c>
      <c r="J291">
        <v>246.5</v>
      </c>
      <c r="K291">
        <v>15065.754752825398</v>
      </c>
      <c r="L291" t="s">
        <v>82</v>
      </c>
      <c r="M291">
        <v>246.5</v>
      </c>
      <c r="N291">
        <v>90.056290552747384</v>
      </c>
      <c r="O291" s="82">
        <f t="shared" si="82"/>
        <v>-6.9229544738234949E-2</v>
      </c>
      <c r="P291">
        <v>246.5</v>
      </c>
      <c r="Q291">
        <v>31400.503532530332</v>
      </c>
      <c r="R291" t="s">
        <v>82</v>
      </c>
      <c r="S291">
        <v>246.5</v>
      </c>
      <c r="T291">
        <v>90.40376436336895</v>
      </c>
      <c r="U291" s="82">
        <f t="shared" si="83"/>
        <v>-0.14974742616637116</v>
      </c>
      <c r="V291">
        <v>246.5</v>
      </c>
      <c r="W291">
        <v>60261.499658519533</v>
      </c>
      <c r="X291" t="s">
        <v>82</v>
      </c>
      <c r="Y291">
        <v>246.5</v>
      </c>
      <c r="Z291">
        <v>91.073166794433149</v>
      </c>
      <c r="AA291" s="82">
        <f t="shared" si="84"/>
        <v>-0.22994834679683152</v>
      </c>
      <c r="AB291">
        <v>246.5</v>
      </c>
      <c r="AC291">
        <v>91594.438457453725</v>
      </c>
      <c r="AD291" t="s">
        <v>82</v>
      </c>
      <c r="AE291">
        <v>246.5</v>
      </c>
      <c r="AF291">
        <v>92.020260899536524</v>
      </c>
      <c r="AG291" s="82">
        <f t="shared" si="85"/>
        <v>-0.27922494017234101</v>
      </c>
      <c r="AH291">
        <v>246.5</v>
      </c>
      <c r="AI291">
        <v>111813.1474906216</v>
      </c>
      <c r="AJ291" t="s">
        <v>82</v>
      </c>
      <c r="AK291">
        <v>246.5</v>
      </c>
      <c r="AL291">
        <v>93.138852212044753</v>
      </c>
      <c r="AM291" s="82">
        <f t="shared" si="86"/>
        <v>-0.30447774073844869</v>
      </c>
      <c r="AN291">
        <v>246.5</v>
      </c>
      <c r="AO291">
        <v>122719.28282260153</v>
      </c>
      <c r="AP291" t="s">
        <v>82</v>
      </c>
      <c r="AQ291">
        <v>246.5</v>
      </c>
      <c r="AR291">
        <v>94.345073812457386</v>
      </c>
      <c r="AS291" s="82">
        <f t="shared" si="87"/>
        <v>-0.31283144375085215</v>
      </c>
      <c r="AT291">
        <v>246.5</v>
      </c>
      <c r="AU291">
        <v>127069.43262710939</v>
      </c>
      <c r="AV291" t="s">
        <v>82</v>
      </c>
      <c r="AW291">
        <v>246.5</v>
      </c>
      <c r="AX291">
        <v>95.573935501853541</v>
      </c>
      <c r="AY291" s="82">
        <f t="shared" si="88"/>
        <v>-0.30984046286624789</v>
      </c>
      <c r="AZ291">
        <v>246.5</v>
      </c>
      <c r="BA291">
        <v>127019.65178518833</v>
      </c>
      <c r="BB291" t="s">
        <v>82</v>
      </c>
      <c r="BC291">
        <v>246.5</v>
      </c>
      <c r="BD291">
        <v>96.780152826283157</v>
      </c>
      <c r="BE291" s="82">
        <f t="shared" si="89"/>
        <v>-0.29986037687365297</v>
      </c>
      <c r="BF291">
        <v>246.5</v>
      </c>
      <c r="BG291">
        <v>124269.19111383041</v>
      </c>
      <c r="BH291" t="s">
        <v>82</v>
      </c>
      <c r="BI291">
        <v>246.5</v>
      </c>
      <c r="BJ291">
        <v>97.935540617176343</v>
      </c>
      <c r="BK291" s="82">
        <f t="shared" si="90"/>
        <v>-0.28593378984112405</v>
      </c>
      <c r="BL291">
        <v>246.5</v>
      </c>
      <c r="BM291">
        <v>120012.81321041829</v>
      </c>
      <c r="BN291" t="s">
        <v>82</v>
      </c>
      <c r="BO291">
        <v>246.5</v>
      </c>
      <c r="BP291">
        <v>99.022341424425903</v>
      </c>
      <c r="BQ291" s="82">
        <f t="shared" si="91"/>
        <v>-0.27014287185919272</v>
      </c>
      <c r="BR291">
        <v>246.5</v>
      </c>
      <c r="BS291">
        <v>115070.59084909574</v>
      </c>
      <c r="BT291" t="s">
        <v>82</v>
      </c>
      <c r="BU291">
        <v>246.5</v>
      </c>
      <c r="BV291">
        <v>100.02694696424085</v>
      </c>
      <c r="BW291" s="82">
        <f t="shared" si="92"/>
        <v>-0.25388958748997936</v>
      </c>
      <c r="BX291">
        <v>246.5</v>
      </c>
      <c r="BY291">
        <v>109989.00127013504</v>
      </c>
      <c r="BZ291" t="s">
        <v>82</v>
      </c>
      <c r="CA291">
        <v>246.5</v>
      </c>
      <c r="CB291">
        <v>100.93082593072423</v>
      </c>
      <c r="CC291" s="82">
        <f t="shared" si="93"/>
        <v>-0.23849800159550227</v>
      </c>
      <c r="CD291">
        <v>246.5</v>
      </c>
      <c r="CE291">
        <v>105242.0371658646</v>
      </c>
      <c r="CF291" t="s">
        <v>82</v>
      </c>
      <c r="CG291">
        <v>246.5</v>
      </c>
      <c r="CH291">
        <v>101.74380842340106</v>
      </c>
      <c r="CI291" s="82">
        <f t="shared" si="94"/>
        <v>-0.22418099035553496</v>
      </c>
      <c r="CJ291">
        <v>246.5</v>
      </c>
      <c r="CK291">
        <v>100919.89493286147</v>
      </c>
      <c r="CL291" t="s">
        <v>82</v>
      </c>
      <c r="CM291">
        <v>246.5</v>
      </c>
      <c r="CN291">
        <v>102.47532139476995</v>
      </c>
      <c r="CO291" s="82">
        <f t="shared" si="95"/>
        <v>-0.21096581960887306</v>
      </c>
      <c r="CP291">
        <v>246.5</v>
      </c>
      <c r="CQ291">
        <v>97038.060703998344</v>
      </c>
      <c r="CR291" t="s">
        <v>82</v>
      </c>
      <c r="CS291">
        <v>246.5</v>
      </c>
      <c r="CT291">
        <v>103.13391251081289</v>
      </c>
      <c r="CU291" s="82">
        <f t="shared" si="96"/>
        <v>-0.19880402211410342</v>
      </c>
      <c r="CV291">
        <v>246.5</v>
      </c>
      <c r="CW291">
        <v>93580.560365318001</v>
      </c>
      <c r="CX291" t="s">
        <v>82</v>
      </c>
      <c r="CY291">
        <v>246.5</v>
      </c>
      <c r="CZ291">
        <v>103.73176521435792</v>
      </c>
      <c r="DA291" s="82">
        <f t="shared" si="97"/>
        <v>-0.18738022215447359</v>
      </c>
      <c r="DB291">
        <v>246.5</v>
      </c>
      <c r="DC291">
        <v>90456.113322682402</v>
      </c>
      <c r="DD291" t="s">
        <v>82</v>
      </c>
      <c r="DG291" s="82">
        <f t="shared" si="98"/>
        <v>0</v>
      </c>
      <c r="DM291" s="82">
        <f t="shared" si="99"/>
        <v>0</v>
      </c>
    </row>
    <row r="292" spans="1:117" x14ac:dyDescent="0.2">
      <c r="A292">
        <v>247.5</v>
      </c>
      <c r="B292">
        <v>89.922400117966404</v>
      </c>
      <c r="C292" s="82">
        <f t="shared" si="80"/>
        <v>6.1044924601958428E-3</v>
      </c>
      <c r="D292">
        <v>247.5</v>
      </c>
      <c r="E292">
        <v>12608.152122891217</v>
      </c>
      <c r="F292" t="s">
        <v>82</v>
      </c>
      <c r="G292">
        <v>247.5</v>
      </c>
      <c r="H292">
        <v>89.921450260059729</v>
      </c>
      <c r="I292" s="82">
        <f t="shared" si="81"/>
        <v>-1.0556625301859413E-2</v>
      </c>
      <c r="J292">
        <v>247.5</v>
      </c>
      <c r="K292">
        <v>12983.425913224421</v>
      </c>
      <c r="L292" t="s">
        <v>82</v>
      </c>
      <c r="M292">
        <v>247.5</v>
      </c>
      <c r="N292">
        <v>90.004844453034821</v>
      </c>
      <c r="O292" s="82">
        <f t="shared" si="82"/>
        <v>-5.1446099712563864E-2</v>
      </c>
      <c r="P292">
        <v>247.5</v>
      </c>
      <c r="Q292">
        <v>25427.959591424125</v>
      </c>
      <c r="R292" t="s">
        <v>82</v>
      </c>
      <c r="S292">
        <v>247.5</v>
      </c>
      <c r="T292">
        <v>90.279150905091697</v>
      </c>
      <c r="U292" s="82">
        <f t="shared" si="83"/>
        <v>-0.12461345827725268</v>
      </c>
      <c r="V292">
        <v>247.5</v>
      </c>
      <c r="W292">
        <v>51223.791418354871</v>
      </c>
      <c r="X292" t="s">
        <v>82</v>
      </c>
      <c r="Y292">
        <v>247.5</v>
      </c>
      <c r="Z292">
        <v>90.862773610774909</v>
      </c>
      <c r="AA292" s="82">
        <f t="shared" si="84"/>
        <v>-0.21039318365824045</v>
      </c>
      <c r="AB292">
        <v>247.5</v>
      </c>
      <c r="AC292">
        <v>83942.844932580483</v>
      </c>
      <c r="AD292" t="s">
        <v>82</v>
      </c>
      <c r="AE292">
        <v>247.5</v>
      </c>
      <c r="AF292">
        <v>91.753287251612917</v>
      </c>
      <c r="AG292" s="82">
        <f t="shared" si="85"/>
        <v>-0.26697364792360645</v>
      </c>
      <c r="AH292">
        <v>247.5</v>
      </c>
      <c r="AI292">
        <v>107002.66221191887</v>
      </c>
      <c r="AJ292" t="s">
        <v>82</v>
      </c>
      <c r="AK292">
        <v>247.5</v>
      </c>
      <c r="AL292">
        <v>92.841640124143012</v>
      </c>
      <c r="AM292" s="82">
        <f t="shared" si="86"/>
        <v>-0.29721208790174103</v>
      </c>
      <c r="AN292">
        <v>247.5</v>
      </c>
      <c r="AO292">
        <v>119854.24893934057</v>
      </c>
      <c r="AP292" t="s">
        <v>82</v>
      </c>
      <c r="AQ292">
        <v>247.5</v>
      </c>
      <c r="AR292">
        <v>94.036246134878851</v>
      </c>
      <c r="AS292" s="82">
        <f t="shared" si="87"/>
        <v>-0.30882767757853458</v>
      </c>
      <c r="AT292">
        <v>247.5</v>
      </c>
      <c r="AU292">
        <v>125479.53932353493</v>
      </c>
      <c r="AV292" t="s">
        <v>82</v>
      </c>
      <c r="AW292">
        <v>247.5</v>
      </c>
      <c r="AX292">
        <v>95.266081153562993</v>
      </c>
      <c r="AY292" s="82">
        <f t="shared" si="88"/>
        <v>-0.30785434829054736</v>
      </c>
      <c r="AZ292">
        <v>247.5</v>
      </c>
      <c r="BA292">
        <v>126219.58489458934</v>
      </c>
      <c r="BB292" t="s">
        <v>82</v>
      </c>
      <c r="BC292">
        <v>247.5</v>
      </c>
      <c r="BD292">
        <v>96.481100342528293</v>
      </c>
      <c r="BE292" s="82">
        <f t="shared" si="89"/>
        <v>-0.29905248375486337</v>
      </c>
      <c r="BF292">
        <v>247.5</v>
      </c>
      <c r="BG292">
        <v>123930.84171795774</v>
      </c>
      <c r="BH292" t="s">
        <v>82</v>
      </c>
      <c r="BI292">
        <v>247.5</v>
      </c>
      <c r="BJ292">
        <v>97.649772963524924</v>
      </c>
      <c r="BK292" s="82">
        <f t="shared" si="90"/>
        <v>-0.2857676536514191</v>
      </c>
      <c r="BL292">
        <v>247.5</v>
      </c>
      <c r="BM292">
        <v>119926.12032523879</v>
      </c>
      <c r="BN292" t="s">
        <v>82</v>
      </c>
      <c r="BO292">
        <v>247.5</v>
      </c>
      <c r="BP292">
        <v>98.752043821232348</v>
      </c>
      <c r="BQ292" s="82">
        <f t="shared" si="91"/>
        <v>-0.27029760319355489</v>
      </c>
      <c r="BR292">
        <v>247.5</v>
      </c>
      <c r="BS292">
        <v>115109.72482726623</v>
      </c>
      <c r="BT292" t="s">
        <v>82</v>
      </c>
      <c r="BU292">
        <v>247.5</v>
      </c>
      <c r="BV292">
        <v>99.772762498382917</v>
      </c>
      <c r="BW292" s="82">
        <f t="shared" si="92"/>
        <v>-0.2541844658579322</v>
      </c>
      <c r="BX292">
        <v>247.5</v>
      </c>
      <c r="BY292">
        <v>110083.01886364253</v>
      </c>
      <c r="BZ292" t="s">
        <v>82</v>
      </c>
      <c r="CA292">
        <v>247.5</v>
      </c>
      <c r="CB292">
        <v>100.69198511528799</v>
      </c>
      <c r="CC292" s="82">
        <f t="shared" si="93"/>
        <v>-0.23884081543623381</v>
      </c>
      <c r="CD292">
        <v>247.5</v>
      </c>
      <c r="CE292">
        <v>105354.71007772851</v>
      </c>
      <c r="CF292" t="s">
        <v>82</v>
      </c>
      <c r="CG292">
        <v>247.5</v>
      </c>
      <c r="CH292">
        <v>101.51927836741027</v>
      </c>
      <c r="CI292" s="82">
        <f t="shared" si="94"/>
        <v>-0.22453005599079745</v>
      </c>
      <c r="CJ292">
        <v>247.5</v>
      </c>
      <c r="CK292">
        <v>101034.86048411604</v>
      </c>
      <c r="CL292" t="s">
        <v>82</v>
      </c>
      <c r="CM292">
        <v>247.5</v>
      </c>
      <c r="CN292">
        <v>102.26401793072607</v>
      </c>
      <c r="CO292" s="82">
        <f t="shared" si="95"/>
        <v>-0.21130346404387979</v>
      </c>
      <c r="CP292">
        <v>247.5</v>
      </c>
      <c r="CQ292">
        <v>97148.405465816628</v>
      </c>
      <c r="CR292" t="s">
        <v>82</v>
      </c>
      <c r="CS292">
        <v>247.5</v>
      </c>
      <c r="CT292">
        <v>102.93478911368386</v>
      </c>
      <c r="CU292" s="82">
        <f t="shared" si="96"/>
        <v>-0.19912339712902849</v>
      </c>
      <c r="CV292">
        <v>247.5</v>
      </c>
      <c r="CW292">
        <v>93683.629272758131</v>
      </c>
      <c r="CX292" t="s">
        <v>82</v>
      </c>
      <c r="CY292">
        <v>247.5</v>
      </c>
      <c r="CZ292">
        <v>103.54408669548872</v>
      </c>
      <c r="DA292" s="82">
        <f t="shared" si="97"/>
        <v>-0.18767851886920539</v>
      </c>
      <c r="DB292">
        <v>247.5</v>
      </c>
      <c r="DC292">
        <v>90550.847055557009</v>
      </c>
      <c r="DD292" t="s">
        <v>82</v>
      </c>
      <c r="DG292" s="82">
        <f t="shared" si="98"/>
        <v>0</v>
      </c>
      <c r="DM292" s="82">
        <f t="shared" si="99"/>
        <v>0</v>
      </c>
    </row>
    <row r="293" spans="1:117" x14ac:dyDescent="0.2">
      <c r="A293">
        <v>248.5</v>
      </c>
      <c r="B293">
        <v>89.930403426511276</v>
      </c>
      <c r="C293" s="82">
        <f t="shared" si="80"/>
        <v>8.0033085448718566E-3</v>
      </c>
      <c r="D293">
        <v>248.5</v>
      </c>
      <c r="E293">
        <v>12951.735860709388</v>
      </c>
      <c r="F293" t="s">
        <v>82</v>
      </c>
      <c r="G293">
        <v>248.5</v>
      </c>
      <c r="H293">
        <v>89.917749079969298</v>
      </c>
      <c r="I293" s="82">
        <f t="shared" si="81"/>
        <v>-3.7011800904309666E-3</v>
      </c>
      <c r="J293">
        <v>248.5</v>
      </c>
      <c r="K293">
        <v>11550.524288929821</v>
      </c>
      <c r="L293" t="s">
        <v>82</v>
      </c>
      <c r="M293">
        <v>248.5</v>
      </c>
      <c r="N293">
        <v>89.968373541219293</v>
      </c>
      <c r="O293" s="82">
        <f t="shared" si="82"/>
        <v>-3.6470911815527529E-2</v>
      </c>
      <c r="P293">
        <v>248.5</v>
      </c>
      <c r="Q293">
        <v>20519.219128880704</v>
      </c>
      <c r="R293" t="s">
        <v>82</v>
      </c>
      <c r="S293">
        <v>248.5</v>
      </c>
      <c r="T293">
        <v>90.17815558354809</v>
      </c>
      <c r="U293" s="82">
        <f t="shared" si="83"/>
        <v>-0.10099532154360702</v>
      </c>
      <c r="V293">
        <v>248.5</v>
      </c>
      <c r="W293">
        <v>42891.947705183979</v>
      </c>
      <c r="X293" t="s">
        <v>82</v>
      </c>
      <c r="Y293">
        <v>248.5</v>
      </c>
      <c r="Z293">
        <v>90.674022369746822</v>
      </c>
      <c r="AA293" s="82">
        <f t="shared" si="84"/>
        <v>-0.18875124102808627</v>
      </c>
      <c r="AB293">
        <v>248.5</v>
      </c>
      <c r="AC293">
        <v>75480.763822058769</v>
      </c>
      <c r="AD293" t="s">
        <v>82</v>
      </c>
      <c r="AE293">
        <v>248.5</v>
      </c>
      <c r="AF293">
        <v>91.499932486665429</v>
      </c>
      <c r="AG293" s="82">
        <f t="shared" si="85"/>
        <v>-0.25335476494748832</v>
      </c>
      <c r="AH293">
        <v>248.5</v>
      </c>
      <c r="AI293">
        <v>101658.08732872737</v>
      </c>
      <c r="AJ293" t="s">
        <v>82</v>
      </c>
      <c r="AK293">
        <v>248.5</v>
      </c>
      <c r="AL293">
        <v>92.552554181712239</v>
      </c>
      <c r="AM293" s="82">
        <f t="shared" si="86"/>
        <v>-0.28908594243077346</v>
      </c>
      <c r="AN293">
        <v>248.5</v>
      </c>
      <c r="AO293">
        <v>116652.59104137539</v>
      </c>
      <c r="AP293" t="s">
        <v>82</v>
      </c>
      <c r="AQ293">
        <v>248.5</v>
      </c>
      <c r="AR293">
        <v>93.731939415457845</v>
      </c>
      <c r="AS293" s="82">
        <f t="shared" si="87"/>
        <v>-0.30430671942100673</v>
      </c>
      <c r="AT293">
        <v>248.5</v>
      </c>
      <c r="AU293">
        <v>123687.22614480622</v>
      </c>
      <c r="AV293" t="s">
        <v>82</v>
      </c>
      <c r="AW293">
        <v>248.5</v>
      </c>
      <c r="AX293">
        <v>94.960509800076522</v>
      </c>
      <c r="AY293" s="82">
        <f t="shared" si="88"/>
        <v>-0.3055713534864708</v>
      </c>
      <c r="AZ293">
        <v>248.5</v>
      </c>
      <c r="BA293">
        <v>125303.40482907309</v>
      </c>
      <c r="BB293" t="s">
        <v>82</v>
      </c>
      <c r="BC293">
        <v>248.5</v>
      </c>
      <c r="BD293">
        <v>96.183018447689875</v>
      </c>
      <c r="BE293" s="82">
        <f t="shared" si="89"/>
        <v>-0.29808189483841829</v>
      </c>
      <c r="BF293">
        <v>248.5</v>
      </c>
      <c r="BG293">
        <v>123529.02261897128</v>
      </c>
      <c r="BH293" t="s">
        <v>82</v>
      </c>
      <c r="BI293">
        <v>248.5</v>
      </c>
      <c r="BJ293">
        <v>97.364257059063448</v>
      </c>
      <c r="BK293" s="82">
        <f t="shared" si="90"/>
        <v>-0.28551590446147657</v>
      </c>
      <c r="BL293">
        <v>248.5</v>
      </c>
      <c r="BM293">
        <v>119806.22685556221</v>
      </c>
      <c r="BN293" t="s">
        <v>82</v>
      </c>
      <c r="BO293">
        <v>248.5</v>
      </c>
      <c r="BP293">
        <v>98.481635372869889</v>
      </c>
      <c r="BQ293" s="82">
        <f t="shared" si="91"/>
        <v>-0.27040844836245981</v>
      </c>
      <c r="BR293">
        <v>248.5</v>
      </c>
      <c r="BS293">
        <v>115132.04545804972</v>
      </c>
      <c r="BT293" t="s">
        <v>82</v>
      </c>
      <c r="BU293">
        <v>248.5</v>
      </c>
      <c r="BV293">
        <v>99.51830594489337</v>
      </c>
      <c r="BW293" s="82">
        <f t="shared" si="92"/>
        <v>-0.25445655348954688</v>
      </c>
      <c r="BX293">
        <v>248.5</v>
      </c>
      <c r="BY293">
        <v>110168.49537438828</v>
      </c>
      <c r="BZ293" t="s">
        <v>82</v>
      </c>
      <c r="CA293">
        <v>248.5</v>
      </c>
      <c r="CB293">
        <v>100.4528142641369</v>
      </c>
      <c r="CC293" s="82">
        <f t="shared" si="93"/>
        <v>-0.23917085115108705</v>
      </c>
      <c r="CD293">
        <v>248.5</v>
      </c>
      <c r="CE293">
        <v>105462.75076784594</v>
      </c>
      <c r="CF293" t="s">
        <v>82</v>
      </c>
      <c r="CG293">
        <v>248.5</v>
      </c>
      <c r="CH293">
        <v>101.29440724878538</v>
      </c>
      <c r="CI293" s="82">
        <f t="shared" si="94"/>
        <v>-0.22487111862488973</v>
      </c>
      <c r="CJ293">
        <v>248.5</v>
      </c>
      <c r="CK293">
        <v>101147.04007915065</v>
      </c>
      <c r="CL293" t="s">
        <v>82</v>
      </c>
      <c r="CM293">
        <v>248.5</v>
      </c>
      <c r="CN293">
        <v>102.05238242234969</v>
      </c>
      <c r="CO293" s="82">
        <f t="shared" si="95"/>
        <v>-0.21163550837637501</v>
      </c>
      <c r="CP293">
        <v>248.5</v>
      </c>
      <c r="CQ293">
        <v>97256.877864483962</v>
      </c>
      <c r="CR293" t="s">
        <v>82</v>
      </c>
      <c r="CS293">
        <v>248.5</v>
      </c>
      <c r="CT293">
        <v>102.73535059552384</v>
      </c>
      <c r="CU293" s="82">
        <f t="shared" si="96"/>
        <v>-0.19943851816002223</v>
      </c>
      <c r="CV293">
        <v>248.5</v>
      </c>
      <c r="CW293">
        <v>93785.326080938059</v>
      </c>
      <c r="CX293" t="s">
        <v>82</v>
      </c>
      <c r="CY293">
        <v>248.5</v>
      </c>
      <c r="CZ293">
        <v>103.35611325859684</v>
      </c>
      <c r="DA293" s="82">
        <f t="shared" si="97"/>
        <v>-0.1879734368918804</v>
      </c>
      <c r="DB293">
        <v>248.5</v>
      </c>
      <c r="DC293">
        <v>90644.526423514661</v>
      </c>
      <c r="DD293" t="s">
        <v>82</v>
      </c>
      <c r="DG293" s="82">
        <f t="shared" si="98"/>
        <v>0</v>
      </c>
      <c r="DM293" s="82">
        <f t="shared" si="99"/>
        <v>0</v>
      </c>
    </row>
    <row r="294" spans="1:117" x14ac:dyDescent="0.2">
      <c r="A294">
        <v>249.5</v>
      </c>
      <c r="B294">
        <v>89.939365110124143</v>
      </c>
      <c r="C294" s="82">
        <f t="shared" si="80"/>
        <v>8.9616836128669775E-3</v>
      </c>
      <c r="D294">
        <v>249.5</v>
      </c>
      <c r="E294">
        <v>13093.028498172993</v>
      </c>
      <c r="F294" t="s">
        <v>82</v>
      </c>
      <c r="G294">
        <v>249.5</v>
      </c>
      <c r="H294">
        <v>89.919056960143038</v>
      </c>
      <c r="I294" s="82">
        <f t="shared" si="81"/>
        <v>1.3078801737407275E-3</v>
      </c>
      <c r="J294">
        <v>249.5</v>
      </c>
      <c r="K294">
        <v>11967.890026836301</v>
      </c>
      <c r="L294" t="s">
        <v>82</v>
      </c>
      <c r="M294">
        <v>249.5</v>
      </c>
      <c r="N294">
        <v>89.944187270618968</v>
      </c>
      <c r="O294" s="82">
        <f t="shared" si="82"/>
        <v>-2.4186270600324633E-2</v>
      </c>
      <c r="P294">
        <v>249.5</v>
      </c>
      <c r="Q294">
        <v>16619.256248557176</v>
      </c>
      <c r="R294" t="s">
        <v>82</v>
      </c>
      <c r="S294">
        <v>249.5</v>
      </c>
      <c r="T294">
        <v>90.098588511723179</v>
      </c>
      <c r="U294" s="82">
        <f t="shared" si="83"/>
        <v>-7.9567071824911295E-2</v>
      </c>
      <c r="V294">
        <v>249.5</v>
      </c>
      <c r="W294">
        <v>35464.972535382221</v>
      </c>
      <c r="X294" t="s">
        <v>82</v>
      </c>
      <c r="Y294">
        <v>249.5</v>
      </c>
      <c r="Z294">
        <v>90.509215475004723</v>
      </c>
      <c r="AA294" s="82">
        <f t="shared" si="84"/>
        <v>-0.16480689474209953</v>
      </c>
      <c r="AB294">
        <v>249.5</v>
      </c>
      <c r="AC294">
        <v>66447.707216382361</v>
      </c>
      <c r="AD294" t="s">
        <v>82</v>
      </c>
      <c r="AE294">
        <v>249.5</v>
      </c>
      <c r="AF294">
        <v>91.261708515016295</v>
      </c>
      <c r="AG294" s="82">
        <f t="shared" si="85"/>
        <v>-0.23822397164913411</v>
      </c>
      <c r="AH294">
        <v>249.5</v>
      </c>
      <c r="AI294">
        <v>95723.294343531496</v>
      </c>
      <c r="AJ294" t="s">
        <v>82</v>
      </c>
      <c r="AK294">
        <v>249.5</v>
      </c>
      <c r="AL294">
        <v>92.27254742950177</v>
      </c>
      <c r="AM294" s="82">
        <f t="shared" si="86"/>
        <v>-0.28000675221046833</v>
      </c>
      <c r="AN294">
        <v>249.5</v>
      </c>
      <c r="AO294">
        <v>113078.06058553257</v>
      </c>
      <c r="AP294" t="s">
        <v>82</v>
      </c>
      <c r="AQ294">
        <v>249.5</v>
      </c>
      <c r="AR294">
        <v>93.432727340212026</v>
      </c>
      <c r="AS294" s="82">
        <f t="shared" si="87"/>
        <v>-0.29921207524581916</v>
      </c>
      <c r="AT294">
        <v>249.5</v>
      </c>
      <c r="AU294">
        <v>121670.30085986026</v>
      </c>
      <c r="AV294" t="s">
        <v>82</v>
      </c>
      <c r="AW294">
        <v>249.5</v>
      </c>
      <c r="AX294">
        <v>94.657551030035506</v>
      </c>
      <c r="AY294" s="82">
        <f t="shared" si="88"/>
        <v>-0.30295877004101612</v>
      </c>
      <c r="AZ294">
        <v>249.5</v>
      </c>
      <c r="BA294">
        <v>124258.23725209423</v>
      </c>
      <c r="BB294" t="s">
        <v>82</v>
      </c>
      <c r="BC294">
        <v>249.5</v>
      </c>
      <c r="BD294">
        <v>95.886087680498306</v>
      </c>
      <c r="BE294" s="82">
        <f t="shared" si="89"/>
        <v>-0.29693076719156863</v>
      </c>
      <c r="BF294">
        <v>249.5</v>
      </c>
      <c r="BG294">
        <v>123056.69917733384</v>
      </c>
      <c r="BH294" t="s">
        <v>82</v>
      </c>
      <c r="BI294">
        <v>249.5</v>
      </c>
      <c r="BJ294">
        <v>97.079087634506436</v>
      </c>
      <c r="BK294" s="82">
        <f t="shared" si="90"/>
        <v>-0.28516942455701155</v>
      </c>
      <c r="BL294">
        <v>249.5</v>
      </c>
      <c r="BM294">
        <v>119649.53319406429</v>
      </c>
      <c r="BN294" t="s">
        <v>82</v>
      </c>
      <c r="BO294">
        <v>249.5</v>
      </c>
      <c r="BP294">
        <v>98.211164297157708</v>
      </c>
      <c r="BQ294" s="82">
        <f t="shared" si="91"/>
        <v>-0.27047107571218021</v>
      </c>
      <c r="BR294">
        <v>249.5</v>
      </c>
      <c r="BS294">
        <v>115135.84106401648</v>
      </c>
      <c r="BT294" t="s">
        <v>82</v>
      </c>
      <c r="BU294">
        <v>249.5</v>
      </c>
      <c r="BV294">
        <v>99.263602017706376</v>
      </c>
      <c r="BW294" s="82">
        <f t="shared" si="92"/>
        <v>-0.25470392718699486</v>
      </c>
      <c r="BX294">
        <v>249.5</v>
      </c>
      <c r="BY294">
        <v>110244.67088237983</v>
      </c>
      <c r="BZ294" t="s">
        <v>82</v>
      </c>
      <c r="CA294">
        <v>249.5</v>
      </c>
      <c r="CB294">
        <v>100.21332697786717</v>
      </c>
      <c r="CC294" s="82">
        <f t="shared" si="93"/>
        <v>-0.23948728626973548</v>
      </c>
      <c r="CD294">
        <v>249.5</v>
      </c>
      <c r="CE294">
        <v>105565.83502590326</v>
      </c>
      <c r="CF294" t="s">
        <v>82</v>
      </c>
      <c r="CG294">
        <v>249.5</v>
      </c>
      <c r="CH294">
        <v>101.06920341875151</v>
      </c>
      <c r="CI294" s="82">
        <f t="shared" si="94"/>
        <v>-0.22520383003386257</v>
      </c>
      <c r="CJ294">
        <v>249.5</v>
      </c>
      <c r="CK294">
        <v>101256.29739228812</v>
      </c>
      <c r="CL294" t="s">
        <v>82</v>
      </c>
      <c r="CM294">
        <v>249.5</v>
      </c>
      <c r="CN294">
        <v>101.84042062387205</v>
      </c>
      <c r="CO294" s="82">
        <f t="shared" si="95"/>
        <v>-0.2119617984776454</v>
      </c>
      <c r="CP294">
        <v>249.5</v>
      </c>
      <c r="CQ294">
        <v>97363.418434579609</v>
      </c>
      <c r="CR294" t="s">
        <v>82</v>
      </c>
      <c r="CS294">
        <v>249.5</v>
      </c>
      <c r="CT294">
        <v>102.53560128749125</v>
      </c>
      <c r="CU294" s="82">
        <f t="shared" si="96"/>
        <v>-0.19974930803259383</v>
      </c>
      <c r="CV294">
        <v>249.5</v>
      </c>
      <c r="CW294">
        <v>93885.621721173869</v>
      </c>
      <c r="CX294" t="s">
        <v>82</v>
      </c>
      <c r="CY294">
        <v>249.5</v>
      </c>
      <c r="CZ294">
        <v>103.16784832831773</v>
      </c>
      <c r="DA294" s="82">
        <f t="shared" si="97"/>
        <v>-0.18826493027910374</v>
      </c>
      <c r="DB294">
        <v>249.5</v>
      </c>
      <c r="DC294">
        <v>90737.134539437888</v>
      </c>
      <c r="DD294" t="s">
        <v>82</v>
      </c>
      <c r="DG294" s="82">
        <f t="shared" si="98"/>
        <v>0</v>
      </c>
      <c r="DM294" s="82">
        <f t="shared" si="99"/>
        <v>0</v>
      </c>
    </row>
    <row r="295" spans="1:117" x14ac:dyDescent="0.2">
      <c r="A295">
        <v>250.5</v>
      </c>
      <c r="B295">
        <v>89.948576095563993</v>
      </c>
      <c r="C295" s="82">
        <f t="shared" si="80"/>
        <v>9.2109854398501056E-3</v>
      </c>
      <c r="D295">
        <v>250.5</v>
      </c>
      <c r="E295">
        <v>13081.325786205951</v>
      </c>
      <c r="F295" t="s">
        <v>82</v>
      </c>
      <c r="G295">
        <v>250.5</v>
      </c>
      <c r="H295">
        <v>89.923833871806551</v>
      </c>
      <c r="I295" s="82">
        <f t="shared" si="81"/>
        <v>4.776911663512351E-3</v>
      </c>
      <c r="J295">
        <v>250.5</v>
      </c>
      <c r="K295">
        <v>12642.055032396474</v>
      </c>
      <c r="L295" t="s">
        <v>82</v>
      </c>
      <c r="M295">
        <v>250.5</v>
      </c>
      <c r="N295">
        <v>89.929805941836648</v>
      </c>
      <c r="O295" s="82">
        <f t="shared" si="82"/>
        <v>-1.4381328782320679E-2</v>
      </c>
      <c r="P295">
        <v>250.5</v>
      </c>
      <c r="Q295">
        <v>14236.193555009939</v>
      </c>
      <c r="R295" t="s">
        <v>82</v>
      </c>
      <c r="S295">
        <v>250.5</v>
      </c>
      <c r="T295">
        <v>90.03788942267947</v>
      </c>
      <c r="U295" s="82">
        <f t="shared" si="83"/>
        <v>-6.0699089043708909E-2</v>
      </c>
      <c r="V295">
        <v>250.5</v>
      </c>
      <c r="W295">
        <v>29043.308728092346</v>
      </c>
      <c r="X295" t="s">
        <v>82</v>
      </c>
      <c r="Y295">
        <v>250.5</v>
      </c>
      <c r="Z295">
        <v>90.369084834438183</v>
      </c>
      <c r="AA295" s="82">
        <f t="shared" si="84"/>
        <v>-0.14013064056653945</v>
      </c>
      <c r="AB295">
        <v>250.5</v>
      </c>
      <c r="AC295">
        <v>57410.06042820638</v>
      </c>
      <c r="AD295" t="s">
        <v>82</v>
      </c>
      <c r="AE295">
        <v>250.5</v>
      </c>
      <c r="AF295">
        <v>91.040287255362912</v>
      </c>
      <c r="AG295" s="82">
        <f t="shared" si="85"/>
        <v>-0.22142125965338266</v>
      </c>
      <c r="AH295">
        <v>250.5</v>
      </c>
      <c r="AI295">
        <v>89136.261636148323</v>
      </c>
      <c r="AJ295" t="s">
        <v>82</v>
      </c>
      <c r="AK295">
        <v>250.5</v>
      </c>
      <c r="AL295">
        <v>92.002675788012894</v>
      </c>
      <c r="AM295" s="82">
        <f t="shared" si="86"/>
        <v>-0.26987164148887643</v>
      </c>
      <c r="AN295">
        <v>250.5</v>
      </c>
      <c r="AO295">
        <v>109090.39392412986</v>
      </c>
      <c r="AP295" t="s">
        <v>82</v>
      </c>
      <c r="AQ295">
        <v>250.5</v>
      </c>
      <c r="AR295">
        <v>93.139246557076163</v>
      </c>
      <c r="AS295" s="82">
        <f t="shared" si="87"/>
        <v>-0.29348078313586257</v>
      </c>
      <c r="AT295">
        <v>250.5</v>
      </c>
      <c r="AU295">
        <v>119404.0352133651</v>
      </c>
      <c r="AV295" t="s">
        <v>82</v>
      </c>
      <c r="AW295">
        <v>250.5</v>
      </c>
      <c r="AX295">
        <v>94.357570985325538</v>
      </c>
      <c r="AY295" s="82">
        <f t="shared" si="88"/>
        <v>-0.29998004470996875</v>
      </c>
      <c r="AZ295">
        <v>250.5</v>
      </c>
      <c r="BA295">
        <v>123069.69494880816</v>
      </c>
      <c r="BB295" t="s">
        <v>82</v>
      </c>
      <c r="BC295">
        <v>250.5</v>
      </c>
      <c r="BD295">
        <v>95.590508575543168</v>
      </c>
      <c r="BE295" s="82">
        <f t="shared" si="89"/>
        <v>-0.29557910495513795</v>
      </c>
      <c r="BF295">
        <v>250.5</v>
      </c>
      <c r="BG295">
        <v>122505.98758057621</v>
      </c>
      <c r="BH295" t="s">
        <v>82</v>
      </c>
      <c r="BI295">
        <v>250.5</v>
      </c>
      <c r="BJ295">
        <v>96.794369665707876</v>
      </c>
      <c r="BK295" s="82">
        <f t="shared" si="90"/>
        <v>-0.28471796879856015</v>
      </c>
      <c r="BL295">
        <v>250.5</v>
      </c>
      <c r="BM295">
        <v>119451.99410901907</v>
      </c>
      <c r="BN295" t="s">
        <v>82</v>
      </c>
      <c r="BO295">
        <v>250.5</v>
      </c>
      <c r="BP295">
        <v>97.940683689845557</v>
      </c>
      <c r="BQ295" s="82">
        <f t="shared" si="91"/>
        <v>-0.27048060731215173</v>
      </c>
      <c r="BR295">
        <v>250.5</v>
      </c>
      <c r="BS295">
        <v>115119.18358440301</v>
      </c>
      <c r="BT295" t="s">
        <v>82</v>
      </c>
      <c r="BU295">
        <v>250.5</v>
      </c>
      <c r="BV295">
        <v>99.008677598411438</v>
      </c>
      <c r="BW295" s="82">
        <f t="shared" si="92"/>
        <v>-0.25492441929493737</v>
      </c>
      <c r="BX295">
        <v>250.5</v>
      </c>
      <c r="BY295">
        <v>110310.68847967258</v>
      </c>
      <c r="BZ295" t="s">
        <v>82</v>
      </c>
      <c r="CA295">
        <v>250.5</v>
      </c>
      <c r="CB295">
        <v>99.973537782045099</v>
      </c>
      <c r="CC295" s="82">
        <f t="shared" si="93"/>
        <v>-0.2397891958220697</v>
      </c>
      <c r="CD295">
        <v>250.5</v>
      </c>
      <c r="CE295">
        <v>105663.59785499547</v>
      </c>
      <c r="CF295" t="s">
        <v>82</v>
      </c>
      <c r="CG295">
        <v>250.5</v>
      </c>
      <c r="CH295">
        <v>100.84367561687597</v>
      </c>
      <c r="CI295" s="82">
        <f t="shared" si="94"/>
        <v>-0.22552780187554333</v>
      </c>
      <c r="CJ295">
        <v>250.5</v>
      </c>
      <c r="CK295">
        <v>101362.48011588458</v>
      </c>
      <c r="CL295" t="s">
        <v>82</v>
      </c>
      <c r="CM295">
        <v>250.5</v>
      </c>
      <c r="CN295">
        <v>101.62813845820465</v>
      </c>
      <c r="CO295" s="82">
        <f t="shared" si="95"/>
        <v>-0.21228216566740343</v>
      </c>
      <c r="CP295">
        <v>250.5</v>
      </c>
      <c r="CQ295">
        <v>97467.9619379824</v>
      </c>
      <c r="CR295" t="s">
        <v>82</v>
      </c>
      <c r="CS295">
        <v>250.5</v>
      </c>
      <c r="CT295">
        <v>102.3355456027611</v>
      </c>
      <c r="CU295" s="82">
        <f t="shared" si="96"/>
        <v>-0.20005568473014534</v>
      </c>
      <c r="CV295">
        <v>250.5</v>
      </c>
      <c r="CW295">
        <v>93984.485187852188</v>
      </c>
      <c r="CX295" t="s">
        <v>82</v>
      </c>
      <c r="CY295">
        <v>250.5</v>
      </c>
      <c r="CZ295">
        <v>102.97929537662499</v>
      </c>
      <c r="DA295" s="82">
        <f t="shared" si="97"/>
        <v>-0.188552951692742</v>
      </c>
      <c r="DB295">
        <v>250.5</v>
      </c>
      <c r="DC295">
        <v>90828.654008570375</v>
      </c>
      <c r="DD295" t="s">
        <v>82</v>
      </c>
      <c r="DG295" s="82">
        <f t="shared" si="98"/>
        <v>0</v>
      </c>
      <c r="DM295" s="82">
        <f t="shared" si="99"/>
        <v>0</v>
      </c>
    </row>
    <row r="296" spans="1:117" x14ac:dyDescent="0.2">
      <c r="A296">
        <v>251.5</v>
      </c>
      <c r="B296">
        <v>89.957524278432388</v>
      </c>
      <c r="C296" s="82">
        <f t="shared" si="80"/>
        <v>8.9481828683943831E-3</v>
      </c>
      <c r="D296">
        <v>251.5</v>
      </c>
      <c r="E296">
        <v>12961.849978778548</v>
      </c>
      <c r="F296" t="s">
        <v>82</v>
      </c>
      <c r="G296">
        <v>251.5</v>
      </c>
      <c r="H296">
        <v>89.930829020820127</v>
      </c>
      <c r="I296" s="82">
        <f t="shared" si="81"/>
        <v>6.9951490135764516E-3</v>
      </c>
      <c r="J296">
        <v>251.5</v>
      </c>
      <c r="K296">
        <v>13060.069577017255</v>
      </c>
      <c r="L296" t="s">
        <v>82</v>
      </c>
      <c r="M296">
        <v>251.5</v>
      </c>
      <c r="N296">
        <v>89.923016291521122</v>
      </c>
      <c r="O296" s="82">
        <f t="shared" si="82"/>
        <v>-6.789650315525364E-3</v>
      </c>
      <c r="P296">
        <v>251.5</v>
      </c>
      <c r="Q296">
        <v>12536.668147388978</v>
      </c>
      <c r="R296" t="s">
        <v>82</v>
      </c>
      <c r="S296">
        <v>251.5</v>
      </c>
      <c r="T296">
        <v>89.993359021986805</v>
      </c>
      <c r="U296" s="82">
        <f t="shared" si="83"/>
        <v>-4.4530400692664784E-2</v>
      </c>
      <c r="V296">
        <v>251.5</v>
      </c>
      <c r="W296">
        <v>23653.409593980876</v>
      </c>
      <c r="X296" t="s">
        <v>82</v>
      </c>
      <c r="Y296">
        <v>251.5</v>
      </c>
      <c r="Z296">
        <v>90.252971879051273</v>
      </c>
      <c r="AA296" s="82">
        <f t="shared" si="84"/>
        <v>-0.11611295538691024</v>
      </c>
      <c r="AB296">
        <v>251.5</v>
      </c>
      <c r="AC296">
        <v>48806.607671702346</v>
      </c>
      <c r="AD296" t="s">
        <v>82</v>
      </c>
      <c r="AE296">
        <v>251.5</v>
      </c>
      <c r="AF296">
        <v>90.837518039696789</v>
      </c>
      <c r="AG296" s="82">
        <f t="shared" si="85"/>
        <v>-0.20276921566612316</v>
      </c>
      <c r="AH296">
        <v>251.5</v>
      </c>
      <c r="AI296">
        <v>81828.590725765418</v>
      </c>
      <c r="AJ296" t="s">
        <v>82</v>
      </c>
      <c r="AK296">
        <v>251.5</v>
      </c>
      <c r="AL296">
        <v>91.744109538240238</v>
      </c>
      <c r="AM296" s="82">
        <f t="shared" si="86"/>
        <v>-0.25856624977265596</v>
      </c>
      <c r="AN296">
        <v>251.5</v>
      </c>
      <c r="AO296">
        <v>104644.87604953202</v>
      </c>
      <c r="AP296" t="s">
        <v>82</v>
      </c>
      <c r="AQ296">
        <v>251.5</v>
      </c>
      <c r="AR296">
        <v>92.852203891062047</v>
      </c>
      <c r="AS296" s="82">
        <f t="shared" si="87"/>
        <v>-0.28704266601411632</v>
      </c>
      <c r="AT296">
        <v>251.5</v>
      </c>
      <c r="AU296">
        <v>116860.87422136472</v>
      </c>
      <c r="AV296" t="s">
        <v>82</v>
      </c>
      <c r="AW296">
        <v>251.5</v>
      </c>
      <c r="AX296">
        <v>94.060976662544249</v>
      </c>
      <c r="AY296" s="82">
        <f t="shared" si="88"/>
        <v>-0.29659432278128861</v>
      </c>
      <c r="AZ296">
        <v>251.5</v>
      </c>
      <c r="BA296">
        <v>121721.69856990979</v>
      </c>
      <c r="BB296" t="s">
        <v>82</v>
      </c>
      <c r="BC296">
        <v>251.5</v>
      </c>
      <c r="BD296">
        <v>95.29650407937757</v>
      </c>
      <c r="BE296" s="82">
        <f t="shared" si="89"/>
        <v>-0.29400449616559854</v>
      </c>
      <c r="BF296">
        <v>251.5</v>
      </c>
      <c r="BG296">
        <v>121868.05111694649</v>
      </c>
      <c r="BH296" t="s">
        <v>82</v>
      </c>
      <c r="BI296">
        <v>251.5</v>
      </c>
      <c r="BJ296">
        <v>96.510219643188407</v>
      </c>
      <c r="BK296" s="82">
        <f t="shared" si="90"/>
        <v>-0.2841500225194693</v>
      </c>
      <c r="BL296">
        <v>251.5</v>
      </c>
      <c r="BM296">
        <v>119209.06260981972</v>
      </c>
      <c r="BN296" t="s">
        <v>82</v>
      </c>
      <c r="BO296">
        <v>251.5</v>
      </c>
      <c r="BP296">
        <v>97.670252142023742</v>
      </c>
      <c r="BQ296" s="82">
        <f t="shared" si="91"/>
        <v>-0.27043154782181489</v>
      </c>
      <c r="BR296">
        <v>251.5</v>
      </c>
      <c r="BS296">
        <v>115079.90047133317</v>
      </c>
      <c r="BT296" t="s">
        <v>82</v>
      </c>
      <c r="BU296">
        <v>251.5</v>
      </c>
      <c r="BV296">
        <v>98.753562013644768</v>
      </c>
      <c r="BW296" s="82">
        <f t="shared" si="92"/>
        <v>-0.25511558476667062</v>
      </c>
      <c r="BX296">
        <v>251.5</v>
      </c>
      <c r="BY296">
        <v>110365.58112994081</v>
      </c>
      <c r="BZ296" t="s">
        <v>82</v>
      </c>
      <c r="CA296">
        <v>251.5</v>
      </c>
      <c r="CB296">
        <v>99.73346224402701</v>
      </c>
      <c r="CC296" s="82">
        <f t="shared" si="93"/>
        <v>-0.24007553801808967</v>
      </c>
      <c r="CD296">
        <v>251.5</v>
      </c>
      <c r="CE296">
        <v>105755.62778552929</v>
      </c>
      <c r="CF296" t="s">
        <v>82</v>
      </c>
      <c r="CG296">
        <v>251.5</v>
      </c>
      <c r="CH296">
        <v>100.61783301702116</v>
      </c>
      <c r="CI296" s="82">
        <f t="shared" si="94"/>
        <v>-0.22584259985481481</v>
      </c>
      <c r="CJ296">
        <v>251.5</v>
      </c>
      <c r="CK296">
        <v>101465.41759950407</v>
      </c>
      <c r="CL296" t="s">
        <v>82</v>
      </c>
      <c r="CM296">
        <v>251.5</v>
      </c>
      <c r="CN296">
        <v>101.41554203372</v>
      </c>
      <c r="CO296" s="82">
        <f t="shared" si="95"/>
        <v>-0.21259642448464433</v>
      </c>
      <c r="CP296">
        <v>251.5</v>
      </c>
      <c r="CQ296">
        <v>97570.436365128713</v>
      </c>
      <c r="CR296" t="s">
        <v>82</v>
      </c>
      <c r="CS296">
        <v>251.5</v>
      </c>
      <c r="CT296">
        <v>102.13518804213059</v>
      </c>
      <c r="CU296" s="82">
        <f t="shared" si="96"/>
        <v>-0.20035756063050769</v>
      </c>
      <c r="CV296">
        <v>251.5</v>
      </c>
      <c r="CW296">
        <v>94081.88319753058</v>
      </c>
      <c r="CX296" t="s">
        <v>82</v>
      </c>
      <c r="CY296">
        <v>251.5</v>
      </c>
      <c r="CZ296">
        <v>102.79045792447344</v>
      </c>
      <c r="DA296" s="82">
        <f t="shared" si="97"/>
        <v>-0.1888374521515459</v>
      </c>
      <c r="DB296">
        <v>251.5</v>
      </c>
      <c r="DC296">
        <v>90919.066716749221</v>
      </c>
      <c r="DD296" t="s">
        <v>82</v>
      </c>
      <c r="DG296" s="82">
        <f t="shared" si="98"/>
        <v>0</v>
      </c>
      <c r="DM296" s="82">
        <f t="shared" si="99"/>
        <v>0</v>
      </c>
    </row>
    <row r="297" spans="1:117" x14ac:dyDescent="0.2">
      <c r="A297">
        <v>252.5</v>
      </c>
      <c r="B297">
        <v>89.96586088514448</v>
      </c>
      <c r="C297" s="82">
        <f t="shared" si="80"/>
        <v>8.3366067120920206E-3</v>
      </c>
      <c r="D297">
        <v>252.5</v>
      </c>
      <c r="E297">
        <v>12773.02846089543</v>
      </c>
      <c r="F297" t="s">
        <v>82</v>
      </c>
      <c r="G297">
        <v>252.5</v>
      </c>
      <c r="H297">
        <v>89.939055024415339</v>
      </c>
      <c r="I297" s="82">
        <f t="shared" si="81"/>
        <v>8.2260035952117505E-3</v>
      </c>
      <c r="J297">
        <v>252.5</v>
      </c>
      <c r="K297">
        <v>13264.948797286188</v>
      </c>
      <c r="L297" t="s">
        <v>82</v>
      </c>
      <c r="M297">
        <v>252.5</v>
      </c>
      <c r="N297">
        <v>89.921897990026267</v>
      </c>
      <c r="O297" s="82">
        <f t="shared" si="82"/>
        <v>-1.1183014948557002E-3</v>
      </c>
      <c r="P297">
        <v>252.5</v>
      </c>
      <c r="Q297">
        <v>11798.440890267359</v>
      </c>
      <c r="R297" t="s">
        <v>82</v>
      </c>
      <c r="S297">
        <v>252.5</v>
      </c>
      <c r="T297">
        <v>89.962328441389317</v>
      </c>
      <c r="U297" s="82">
        <f t="shared" si="83"/>
        <v>-3.1030580597487756E-2</v>
      </c>
      <c r="V297">
        <v>252.5</v>
      </c>
      <c r="W297">
        <v>19267.658556105249</v>
      </c>
      <c r="X297" t="s">
        <v>82</v>
      </c>
      <c r="Y297">
        <v>252.5</v>
      </c>
      <c r="Z297">
        <v>90.159272002319284</v>
      </c>
      <c r="AA297" s="82">
        <f t="shared" si="84"/>
        <v>-9.3699876731989207E-2</v>
      </c>
      <c r="AB297">
        <v>252.5</v>
      </c>
      <c r="AC297">
        <v>40926.547346914922</v>
      </c>
      <c r="AD297" t="s">
        <v>82</v>
      </c>
      <c r="AE297">
        <v>252.5</v>
      </c>
      <c r="AF297">
        <v>90.655446920970746</v>
      </c>
      <c r="AG297" s="82">
        <f t="shared" si="85"/>
        <v>-0.18207111872604287</v>
      </c>
      <c r="AH297">
        <v>252.5</v>
      </c>
      <c r="AI297">
        <v>73725.134816325604</v>
      </c>
      <c r="AJ297" t="s">
        <v>82</v>
      </c>
      <c r="AK297">
        <v>252.5</v>
      </c>
      <c r="AL297">
        <v>91.498146098324341</v>
      </c>
      <c r="AM297" s="82">
        <f t="shared" si="86"/>
        <v>-0.2459634399158972</v>
      </c>
      <c r="AN297">
        <v>252.5</v>
      </c>
      <c r="AO297">
        <v>99691.864730967922</v>
      </c>
      <c r="AP297" t="s">
        <v>82</v>
      </c>
      <c r="AQ297">
        <v>252.5</v>
      </c>
      <c r="AR297">
        <v>92.572384393251767</v>
      </c>
      <c r="AS297" s="82">
        <f t="shared" si="87"/>
        <v>-0.27981949781027993</v>
      </c>
      <c r="AT297">
        <v>252.5</v>
      </c>
      <c r="AU297">
        <v>114010.11298412584</v>
      </c>
      <c r="AV297" t="s">
        <v>82</v>
      </c>
      <c r="AW297">
        <v>252.5</v>
      </c>
      <c r="AX297">
        <v>93.768220725469689</v>
      </c>
      <c r="AY297" s="82">
        <f t="shared" si="88"/>
        <v>-0.29275593707455982</v>
      </c>
      <c r="AZ297">
        <v>252.5</v>
      </c>
      <c r="BA297">
        <v>120196.27630146385</v>
      </c>
      <c r="BB297" t="s">
        <v>82</v>
      </c>
      <c r="BC297">
        <v>252.5</v>
      </c>
      <c r="BD297">
        <v>95.004322262057755</v>
      </c>
      <c r="BE297" s="82">
        <f t="shared" si="89"/>
        <v>-0.29218181731981474</v>
      </c>
      <c r="BF297">
        <v>252.5</v>
      </c>
      <c r="BG297">
        <v>121132.98385655503</v>
      </c>
      <c r="BH297" t="s">
        <v>82</v>
      </c>
      <c r="BI297">
        <v>252.5</v>
      </c>
      <c r="BJ297">
        <v>96.226767001683001</v>
      </c>
      <c r="BK297" s="82">
        <f t="shared" si="90"/>
        <v>-0.28345264150540572</v>
      </c>
      <c r="BL297">
        <v>252.5</v>
      </c>
      <c r="BM297">
        <v>118915.62674298248</v>
      </c>
      <c r="BN297" t="s">
        <v>82</v>
      </c>
      <c r="BO297">
        <v>252.5</v>
      </c>
      <c r="BP297">
        <v>97.399934437883203</v>
      </c>
      <c r="BQ297" s="82">
        <f t="shared" si="91"/>
        <v>-0.27031770414053824</v>
      </c>
      <c r="BR297">
        <v>252.5</v>
      </c>
      <c r="BS297">
        <v>115015.54280126479</v>
      </c>
      <c r="BT297" t="s">
        <v>82</v>
      </c>
      <c r="BU297">
        <v>252.5</v>
      </c>
      <c r="BV297">
        <v>98.498287349824295</v>
      </c>
      <c r="BW297" s="82">
        <f t="shared" si="92"/>
        <v>-0.25527466382047237</v>
      </c>
      <c r="BX297">
        <v>252.5</v>
      </c>
      <c r="BY297">
        <v>110408.25688272291</v>
      </c>
      <c r="BZ297" t="s">
        <v>82</v>
      </c>
      <c r="CA297">
        <v>252.5</v>
      </c>
      <c r="CB297">
        <v>99.493117106047379</v>
      </c>
      <c r="CC297" s="82">
        <f t="shared" si="93"/>
        <v>-0.24034513797963086</v>
      </c>
      <c r="CD297">
        <v>252.5</v>
      </c>
      <c r="CE297">
        <v>105841.46042129687</v>
      </c>
      <c r="CF297" t="s">
        <v>82</v>
      </c>
      <c r="CG297">
        <v>252.5</v>
      </c>
      <c r="CH297">
        <v>100.39168527991727</v>
      </c>
      <c r="CI297" s="82">
        <f t="shared" si="94"/>
        <v>-0.22614773710388647</v>
      </c>
      <c r="CJ297">
        <v>252.5</v>
      </c>
      <c r="CK297">
        <v>101564.91823289139</v>
      </c>
      <c r="CL297" t="s">
        <v>82</v>
      </c>
      <c r="CM297">
        <v>252.5</v>
      </c>
      <c r="CN297">
        <v>101.20263766354844</v>
      </c>
      <c r="CO297" s="82">
        <f t="shared" si="95"/>
        <v>-0.21290437017155739</v>
      </c>
      <c r="CP297">
        <v>252.5</v>
      </c>
      <c r="CQ297">
        <v>97670.762030418206</v>
      </c>
      <c r="CR297" t="s">
        <v>82</v>
      </c>
      <c r="CS297">
        <v>252.5</v>
      </c>
      <c r="CT297">
        <v>101.93453320052998</v>
      </c>
      <c r="CU297" s="82">
        <f t="shared" si="96"/>
        <v>-0.20065484160060976</v>
      </c>
      <c r="CV297">
        <v>252.5</v>
      </c>
      <c r="CW297">
        <v>94177.779859038827</v>
      </c>
      <c r="CX297" t="s">
        <v>82</v>
      </c>
      <c r="CY297">
        <v>252.5</v>
      </c>
      <c r="CZ297">
        <v>102.60133954372428</v>
      </c>
      <c r="DA297" s="82">
        <f t="shared" si="97"/>
        <v>-0.18911838074916432</v>
      </c>
      <c r="DB297">
        <v>252.5</v>
      </c>
      <c r="DC297">
        <v>91008.353773764175</v>
      </c>
      <c r="DD297" t="s">
        <v>82</v>
      </c>
      <c r="DG297" s="82">
        <f t="shared" si="98"/>
        <v>0</v>
      </c>
      <c r="DM297" s="82">
        <f t="shared" si="99"/>
        <v>0</v>
      </c>
    </row>
    <row r="298" spans="1:117" x14ac:dyDescent="0.2">
      <c r="A298">
        <v>253.5</v>
      </c>
      <c r="B298">
        <v>89.973368971213162</v>
      </c>
      <c r="C298" s="82">
        <f t="shared" si="80"/>
        <v>7.5080860686824735E-3</v>
      </c>
      <c r="D298">
        <v>253.5</v>
      </c>
      <c r="E298">
        <v>12545.731495269067</v>
      </c>
      <c r="F298" t="s">
        <v>82</v>
      </c>
      <c r="G298">
        <v>253.5</v>
      </c>
      <c r="H298">
        <v>89.94775718028815</v>
      </c>
      <c r="I298" s="82">
        <f t="shared" si="81"/>
        <v>8.7021558728110904E-3</v>
      </c>
      <c r="J298">
        <v>253.5</v>
      </c>
      <c r="K298">
        <v>13304.93555622965</v>
      </c>
      <c r="L298" t="s">
        <v>82</v>
      </c>
      <c r="M298">
        <v>253.5</v>
      </c>
      <c r="N298">
        <v>89.924828386557593</v>
      </c>
      <c r="O298" s="82">
        <f t="shared" si="82"/>
        <v>2.930396531326096E-3</v>
      </c>
      <c r="P298">
        <v>253.5</v>
      </c>
      <c r="Q298">
        <v>12595.705693044947</v>
      </c>
      <c r="R298" t="s">
        <v>82</v>
      </c>
      <c r="S298">
        <v>253.5</v>
      </c>
      <c r="T298">
        <v>89.942277073974083</v>
      </c>
      <c r="U298" s="82">
        <f t="shared" si="83"/>
        <v>-2.0051367415234722E-2</v>
      </c>
      <c r="V298">
        <v>253.5</v>
      </c>
      <c r="W298">
        <v>16029.488270837241</v>
      </c>
      <c r="X298" t="s">
        <v>82</v>
      </c>
      <c r="Y298">
        <v>253.5</v>
      </c>
      <c r="Z298">
        <v>90.085791430147395</v>
      </c>
      <c r="AA298" s="82">
        <f t="shared" si="84"/>
        <v>-7.3480572171888525E-2</v>
      </c>
      <c r="AB298">
        <v>253.5</v>
      </c>
      <c r="AC298">
        <v>33941.598738781817</v>
      </c>
      <c r="AD298" t="s">
        <v>82</v>
      </c>
      <c r="AE298">
        <v>253.5</v>
      </c>
      <c r="AF298">
        <v>90.496338089587326</v>
      </c>
      <c r="AG298" s="82">
        <f t="shared" si="85"/>
        <v>-0.15910883138342058</v>
      </c>
      <c r="AH298">
        <v>253.5</v>
      </c>
      <c r="AI298">
        <v>65057.271507691396</v>
      </c>
      <c r="AJ298" t="s">
        <v>82</v>
      </c>
      <c r="AK298">
        <v>253.5</v>
      </c>
      <c r="AL298">
        <v>91.266224237603851</v>
      </c>
      <c r="AM298" s="82">
        <f t="shared" si="86"/>
        <v>-0.23192186072049026</v>
      </c>
      <c r="AN298">
        <v>253.5</v>
      </c>
      <c r="AO298">
        <v>94176.278528816314</v>
      </c>
      <c r="AP298" t="s">
        <v>82</v>
      </c>
      <c r="AQ298">
        <v>253.5</v>
      </c>
      <c r="AR298">
        <v>92.300660320386314</v>
      </c>
      <c r="AS298" s="82">
        <f t="shared" si="87"/>
        <v>-0.27172407286545308</v>
      </c>
      <c r="AT298">
        <v>253.5</v>
      </c>
      <c r="AU298">
        <v>110817.53760993497</v>
      </c>
      <c r="AV298" t="s">
        <v>82</v>
      </c>
      <c r="AW298">
        <v>253.5</v>
      </c>
      <c r="AX298">
        <v>93.479806889400635</v>
      </c>
      <c r="AY298" s="82">
        <f t="shared" si="88"/>
        <v>-0.28841383606905424</v>
      </c>
      <c r="AZ298">
        <v>253.5</v>
      </c>
      <c r="BA298">
        <v>118473.33980393241</v>
      </c>
      <c r="BB298" t="s">
        <v>82</v>
      </c>
      <c r="BC298">
        <v>253.5</v>
      </c>
      <c r="BD298">
        <v>94.714239360262212</v>
      </c>
      <c r="BE298" s="82">
        <f t="shared" si="89"/>
        <v>-0.29008290179554308</v>
      </c>
      <c r="BF298">
        <v>253.5</v>
      </c>
      <c r="BG298">
        <v>120289.67999676395</v>
      </c>
      <c r="BH298" t="s">
        <v>82</v>
      </c>
      <c r="BI298">
        <v>253.5</v>
      </c>
      <c r="BJ298">
        <v>95.944155729874396</v>
      </c>
      <c r="BK298" s="82">
        <f t="shared" si="90"/>
        <v>-0.28261127180860512</v>
      </c>
      <c r="BL298">
        <v>253.5</v>
      </c>
      <c r="BM298">
        <v>118565.93842400069</v>
      </c>
      <c r="BN298" t="s">
        <v>82</v>
      </c>
      <c r="BO298">
        <v>253.5</v>
      </c>
      <c r="BP298">
        <v>97.129802343289128</v>
      </c>
      <c r="BQ298" s="82">
        <f t="shared" si="91"/>
        <v>-0.27013209459407506</v>
      </c>
      <c r="BR298">
        <v>253.5</v>
      </c>
      <c r="BS298">
        <v>114923.34940198607</v>
      </c>
      <c r="BT298" t="s">
        <v>82</v>
      </c>
      <c r="BU298">
        <v>253.5</v>
      </c>
      <c r="BV298">
        <v>98.242888810258947</v>
      </c>
      <c r="BW298" s="82">
        <f t="shared" si="92"/>
        <v>-0.25539853956534841</v>
      </c>
      <c r="BX298">
        <v>253.5</v>
      </c>
      <c r="BY298">
        <v>110437.48208985965</v>
      </c>
      <c r="BZ298" t="s">
        <v>82</v>
      </c>
      <c r="CA298">
        <v>253.5</v>
      </c>
      <c r="CB298">
        <v>99.252520436855022</v>
      </c>
      <c r="CC298" s="82">
        <f t="shared" si="93"/>
        <v>-0.24059666919235667</v>
      </c>
      <c r="CD298">
        <v>253.5</v>
      </c>
      <c r="CE298">
        <v>105920.5710389092</v>
      </c>
      <c r="CF298" t="s">
        <v>82</v>
      </c>
      <c r="CG298">
        <v>253.5</v>
      </c>
      <c r="CH298">
        <v>100.16524261335391</v>
      </c>
      <c r="CI298" s="82">
        <f t="shared" si="94"/>
        <v>-0.22644266656335788</v>
      </c>
      <c r="CJ298">
        <v>253.5</v>
      </c>
      <c r="CK298">
        <v>101660.76640297231</v>
      </c>
      <c r="CL298" t="s">
        <v>82</v>
      </c>
      <c r="CM298">
        <v>253.5</v>
      </c>
      <c r="CN298">
        <v>100.98943188777501</v>
      </c>
      <c r="CO298" s="82">
        <f t="shared" si="95"/>
        <v>-0.21320577577343158</v>
      </c>
      <c r="CP298">
        <v>253.5</v>
      </c>
      <c r="CQ298">
        <v>97768.850349432745</v>
      </c>
      <c r="CR298" t="s">
        <v>82</v>
      </c>
      <c r="CS298">
        <v>253.5</v>
      </c>
      <c r="CT298">
        <v>101.73358577454425</v>
      </c>
      <c r="CU298" s="82">
        <f t="shared" si="96"/>
        <v>-0.20094742598573134</v>
      </c>
      <c r="CV298">
        <v>253.5</v>
      </c>
      <c r="CW298">
        <v>94272.136274033386</v>
      </c>
      <c r="CX298" t="s">
        <v>82</v>
      </c>
      <c r="CY298">
        <v>253.5</v>
      </c>
      <c r="CZ298">
        <v>102.41194385940139</v>
      </c>
      <c r="DA298" s="82">
        <f t="shared" si="97"/>
        <v>-0.18939568432288922</v>
      </c>
      <c r="DB298">
        <v>253.5</v>
      </c>
      <c r="DC298">
        <v>91096.495410500749</v>
      </c>
      <c r="DD298" t="s">
        <v>82</v>
      </c>
      <c r="DG298" s="82">
        <f t="shared" si="98"/>
        <v>0</v>
      </c>
      <c r="DM298" s="82">
        <f t="shared" si="99"/>
        <v>0</v>
      </c>
    </row>
    <row r="299" spans="1:117" x14ac:dyDescent="0.2">
      <c r="A299">
        <v>254.5</v>
      </c>
      <c r="B299">
        <v>89.979934924741272</v>
      </c>
      <c r="C299" s="82">
        <f t="shared" si="80"/>
        <v>6.5659535281099579E-3</v>
      </c>
      <c r="D299">
        <v>254.5</v>
      </c>
      <c r="E299">
        <v>12303.519940430007</v>
      </c>
      <c r="F299" t="s">
        <v>82</v>
      </c>
      <c r="G299">
        <v>254.5</v>
      </c>
      <c r="H299">
        <v>89.956380736158422</v>
      </c>
      <c r="I299" s="82">
        <f t="shared" si="81"/>
        <v>8.6235558702725257E-3</v>
      </c>
      <c r="J299">
        <v>254.5</v>
      </c>
      <c r="K299">
        <v>13225.531130188883</v>
      </c>
      <c r="L299" t="s">
        <v>82</v>
      </c>
      <c r="M299">
        <v>254.5</v>
      </c>
      <c r="N299">
        <v>89.930471704350381</v>
      </c>
      <c r="O299" s="82">
        <f t="shared" si="82"/>
        <v>5.6433177927885936E-3</v>
      </c>
      <c r="P299">
        <v>254.5</v>
      </c>
      <c r="Q299">
        <v>13126.162573095377</v>
      </c>
      <c r="R299" t="s">
        <v>82</v>
      </c>
      <c r="S299">
        <v>254.5</v>
      </c>
      <c r="T299">
        <v>89.930908478808803</v>
      </c>
      <c r="U299" s="82">
        <f t="shared" si="83"/>
        <v>-1.1368595165279771E-2</v>
      </c>
      <c r="V299">
        <v>254.5</v>
      </c>
      <c r="W299">
        <v>13951.621074610041</v>
      </c>
      <c r="X299" t="s">
        <v>82</v>
      </c>
      <c r="Y299">
        <v>254.5</v>
      </c>
      <c r="Z299">
        <v>90.030026210591018</v>
      </c>
      <c r="AA299" s="82">
        <f t="shared" si="84"/>
        <v>-5.5765219556377588E-2</v>
      </c>
      <c r="AB299">
        <v>254.5</v>
      </c>
      <c r="AC299">
        <v>27932.962264139755</v>
      </c>
      <c r="AD299" t="s">
        <v>82</v>
      </c>
      <c r="AE299">
        <v>254.5</v>
      </c>
      <c r="AF299">
        <v>90.360927938146645</v>
      </c>
      <c r="AG299" s="82">
        <f t="shared" si="85"/>
        <v>-0.13541015144068069</v>
      </c>
      <c r="AH299">
        <v>254.5</v>
      </c>
      <c r="AI299">
        <v>56373.86251897848</v>
      </c>
      <c r="AJ299" t="s">
        <v>82</v>
      </c>
      <c r="AK299">
        <v>254.5</v>
      </c>
      <c r="AL299">
        <v>91.049939889714537</v>
      </c>
      <c r="AM299" s="82">
        <f t="shared" si="86"/>
        <v>-0.21628434788931372</v>
      </c>
      <c r="AN299">
        <v>254.5</v>
      </c>
      <c r="AO299">
        <v>88037.059479120697</v>
      </c>
      <c r="AP299" t="s">
        <v>82</v>
      </c>
      <c r="AQ299">
        <v>254.5</v>
      </c>
      <c r="AR299">
        <v>92.038001152894353</v>
      </c>
      <c r="AS299" s="82">
        <f t="shared" si="87"/>
        <v>-0.26265916749196094</v>
      </c>
      <c r="AT299">
        <v>254.5</v>
      </c>
      <c r="AU299">
        <v>107245.02733223139</v>
      </c>
      <c r="AV299" t="s">
        <v>82</v>
      </c>
      <c r="AW299">
        <v>254.5</v>
      </c>
      <c r="AX299">
        <v>93.196295945543341</v>
      </c>
      <c r="AY299" s="82">
        <f t="shared" si="88"/>
        <v>-0.28351094385729425</v>
      </c>
      <c r="AZ299">
        <v>254.5</v>
      </c>
      <c r="BA299">
        <v>116530.43390899101</v>
      </c>
      <c r="BB299" t="s">
        <v>82</v>
      </c>
      <c r="BC299">
        <v>254.5</v>
      </c>
      <c r="BD299">
        <v>94.426563192621529</v>
      </c>
      <c r="BE299" s="82">
        <f t="shared" si="89"/>
        <v>-0.28767616764068293</v>
      </c>
      <c r="BF299">
        <v>254.5</v>
      </c>
      <c r="BG299">
        <v>119325.68743526758</v>
      </c>
      <c r="BH299" t="s">
        <v>82</v>
      </c>
      <c r="BI299">
        <v>254.5</v>
      </c>
      <c r="BJ299">
        <v>95.662546183026862</v>
      </c>
      <c r="BK299" s="82">
        <f t="shared" si="90"/>
        <v>-0.28160954684753392</v>
      </c>
      <c r="BL299">
        <v>254.5</v>
      </c>
      <c r="BM299">
        <v>118153.53330901428</v>
      </c>
      <c r="BN299" t="s">
        <v>82</v>
      </c>
      <c r="BO299">
        <v>254.5</v>
      </c>
      <c r="BP299">
        <v>96.859935496960773</v>
      </c>
      <c r="BQ299" s="82">
        <f t="shared" si="91"/>
        <v>-0.26986684632835534</v>
      </c>
      <c r="BR299">
        <v>254.5</v>
      </c>
      <c r="BS299">
        <v>114800.20616247617</v>
      </c>
      <c r="BT299" t="s">
        <v>82</v>
      </c>
      <c r="BU299">
        <v>254.5</v>
      </c>
      <c r="BV299">
        <v>97.98740512027635</v>
      </c>
      <c r="BW299" s="82">
        <f t="shared" si="92"/>
        <v>-0.25548368998259718</v>
      </c>
      <c r="BX299">
        <v>254.5</v>
      </c>
      <c r="BY299">
        <v>110451.86231833092</v>
      </c>
      <c r="BZ299" t="s">
        <v>82</v>
      </c>
      <c r="CA299">
        <v>254.5</v>
      </c>
      <c r="CB299">
        <v>99.011691804457215</v>
      </c>
      <c r="CC299" s="82">
        <f t="shared" si="93"/>
        <v>-0.2408286323978075</v>
      </c>
      <c r="CD299">
        <v>254.5</v>
      </c>
      <c r="CE299">
        <v>105992.36623681663</v>
      </c>
      <c r="CF299" t="s">
        <v>82</v>
      </c>
      <c r="CG299">
        <v>254.5</v>
      </c>
      <c r="CH299">
        <v>99.938515841035525</v>
      </c>
      <c r="CI299" s="82">
        <f t="shared" si="94"/>
        <v>-0.22672677231838634</v>
      </c>
      <c r="CJ299">
        <v>254.5</v>
      </c>
      <c r="CK299">
        <v>101752.71904100165</v>
      </c>
      <c r="CL299" t="s">
        <v>82</v>
      </c>
      <c r="CM299">
        <v>254.5</v>
      </c>
      <c r="CN299">
        <v>100.77593149898462</v>
      </c>
      <c r="CO299" s="82">
        <f t="shared" si="95"/>
        <v>-0.21350038879039346</v>
      </c>
      <c r="CP299">
        <v>254.5</v>
      </c>
      <c r="CQ299">
        <v>97864.602518933767</v>
      </c>
      <c r="CR299" t="s">
        <v>82</v>
      </c>
      <c r="CS299">
        <v>254.5</v>
      </c>
      <c r="CT299">
        <v>101.53235057114921</v>
      </c>
      <c r="CU299" s="82">
        <f t="shared" si="96"/>
        <v>-0.20123520339504353</v>
      </c>
      <c r="CV299">
        <v>254.5</v>
      </c>
      <c r="CW299">
        <v>94364.910011125248</v>
      </c>
      <c r="CX299" t="s">
        <v>82</v>
      </c>
      <c r="CY299">
        <v>254.5</v>
      </c>
      <c r="CZ299">
        <v>102.22227455232901</v>
      </c>
      <c r="DA299" s="82">
        <f t="shared" si="97"/>
        <v>-0.1896693070723785</v>
      </c>
      <c r="DB299">
        <v>254.5</v>
      </c>
      <c r="DC299">
        <v>91183.470749792876</v>
      </c>
      <c r="DD299" t="s">
        <v>82</v>
      </c>
      <c r="DG299" s="82">
        <f t="shared" si="98"/>
        <v>0</v>
      </c>
      <c r="DM299" s="82">
        <f t="shared" si="99"/>
        <v>0</v>
      </c>
    </row>
    <row r="300" spans="1:117" x14ac:dyDescent="0.2">
      <c r="A300">
        <v>255.5</v>
      </c>
      <c r="B300">
        <v>89.985523445255581</v>
      </c>
      <c r="C300" s="82">
        <f t="shared" si="80"/>
        <v>5.5885205143084704E-3</v>
      </c>
      <c r="D300">
        <v>255.5</v>
      </c>
      <c r="E300">
        <v>12063.416155348797</v>
      </c>
      <c r="F300" t="s">
        <v>82</v>
      </c>
      <c r="G300">
        <v>255.5</v>
      </c>
      <c r="H300">
        <v>89.964538305171033</v>
      </c>
      <c r="I300" s="82">
        <f t="shared" si="81"/>
        <v>8.1575690126101108E-3</v>
      </c>
      <c r="J300">
        <v>255.5</v>
      </c>
      <c r="K300">
        <v>13066.167139138581</v>
      </c>
      <c r="L300" t="s">
        <v>82</v>
      </c>
      <c r="M300">
        <v>255.5</v>
      </c>
      <c r="N300">
        <v>89.93775779379736</v>
      </c>
      <c r="O300" s="82">
        <f t="shared" si="82"/>
        <v>7.2860894469783943E-3</v>
      </c>
      <c r="P300">
        <v>255.5</v>
      </c>
      <c r="Q300">
        <v>13426.388740620756</v>
      </c>
      <c r="R300" t="s">
        <v>82</v>
      </c>
      <c r="S300">
        <v>255.5</v>
      </c>
      <c r="T300">
        <v>89.926193165138528</v>
      </c>
      <c r="U300" s="82">
        <f t="shared" si="83"/>
        <v>-4.7153136702746679E-3</v>
      </c>
      <c r="V300">
        <v>255.5</v>
      </c>
      <c r="W300">
        <v>12479.183992142911</v>
      </c>
      <c r="X300" t="s">
        <v>82</v>
      </c>
      <c r="Y300">
        <v>255.5</v>
      </c>
      <c r="Z300">
        <v>89.989373174791439</v>
      </c>
      <c r="AA300" s="82">
        <f t="shared" si="84"/>
        <v>-4.0653035799579129E-2</v>
      </c>
      <c r="AB300">
        <v>255.5</v>
      </c>
      <c r="AC300">
        <v>22914.117731640425</v>
      </c>
      <c r="AD300" t="s">
        <v>82</v>
      </c>
      <c r="AE300">
        <v>255.5</v>
      </c>
      <c r="AF300">
        <v>90.248607215840494</v>
      </c>
      <c r="AG300" s="82">
        <f t="shared" si="85"/>
        <v>-0.11232072230615131</v>
      </c>
      <c r="AH300">
        <v>255.5</v>
      </c>
      <c r="AI300">
        <v>48100.346518119477</v>
      </c>
      <c r="AJ300" t="s">
        <v>82</v>
      </c>
      <c r="AK300">
        <v>255.5</v>
      </c>
      <c r="AL300">
        <v>90.851063744304852</v>
      </c>
      <c r="AM300" s="82">
        <f t="shared" si="86"/>
        <v>-0.19887614540968457</v>
      </c>
      <c r="AN300">
        <v>255.5</v>
      </c>
      <c r="AO300">
        <v>81206.64025962587</v>
      </c>
      <c r="AP300" t="s">
        <v>82</v>
      </c>
      <c r="AQ300">
        <v>255.5</v>
      </c>
      <c r="AR300">
        <v>91.785484771839407</v>
      </c>
      <c r="AS300" s="82">
        <f t="shared" si="87"/>
        <v>-0.25251638105494578</v>
      </c>
      <c r="AT300">
        <v>255.5</v>
      </c>
      <c r="AU300">
        <v>103250.11488870572</v>
      </c>
      <c r="AV300" t="s">
        <v>82</v>
      </c>
      <c r="AW300">
        <v>255.5</v>
      </c>
      <c r="AX300">
        <v>92.918312501741255</v>
      </c>
      <c r="AY300" s="82">
        <f t="shared" si="88"/>
        <v>-0.27798344380208562</v>
      </c>
      <c r="AZ300">
        <v>255.5</v>
      </c>
      <c r="BA300">
        <v>114342.45700981557</v>
      </c>
      <c r="BB300" t="s">
        <v>82</v>
      </c>
      <c r="BC300">
        <v>255.5</v>
      </c>
      <c r="BD300">
        <v>94.14163699287235</v>
      </c>
      <c r="BE300" s="82">
        <f t="shared" si="89"/>
        <v>-0.28492619974917943</v>
      </c>
      <c r="BF300">
        <v>255.5</v>
      </c>
      <c r="BG300">
        <v>118227.04337472898</v>
      </c>
      <c r="BH300" t="s">
        <v>82</v>
      </c>
      <c r="BI300">
        <v>255.5</v>
      </c>
      <c r="BJ300">
        <v>95.382117124110792</v>
      </c>
      <c r="BK300" s="82">
        <f t="shared" si="90"/>
        <v>-0.28042905891607006</v>
      </c>
      <c r="BL300">
        <v>255.5</v>
      </c>
      <c r="BM300">
        <v>117671.14060883338</v>
      </c>
      <c r="BN300" t="s">
        <v>82</v>
      </c>
      <c r="BO300">
        <v>255.5</v>
      </c>
      <c r="BP300">
        <v>96.590422417587263</v>
      </c>
      <c r="BQ300" s="82">
        <f t="shared" si="91"/>
        <v>-0.26951307937351032</v>
      </c>
      <c r="BR300">
        <v>255.5</v>
      </c>
      <c r="BS300">
        <v>114642.60022088799</v>
      </c>
      <c r="BT300" t="s">
        <v>82</v>
      </c>
      <c r="BU300">
        <v>255.5</v>
      </c>
      <c r="BV300">
        <v>97.731878986867571</v>
      </c>
      <c r="BW300" s="82">
        <f t="shared" si="92"/>
        <v>-0.25552613340877883</v>
      </c>
      <c r="BX300">
        <v>255.5</v>
      </c>
      <c r="BY300">
        <v>110449.82072481469</v>
      </c>
      <c r="BZ300" t="s">
        <v>82</v>
      </c>
      <c r="CA300">
        <v>255.5</v>
      </c>
      <c r="CB300">
        <v>98.770652472885814</v>
      </c>
      <c r="CC300" s="82">
        <f t="shared" si="93"/>
        <v>-0.24103933157140034</v>
      </c>
      <c r="CD300">
        <v>255.5</v>
      </c>
      <c r="CE300">
        <v>106056.17431699486</v>
      </c>
      <c r="CF300" t="s">
        <v>82</v>
      </c>
      <c r="CG300">
        <v>255.5</v>
      </c>
      <c r="CH300">
        <v>99.711516481367113</v>
      </c>
      <c r="CI300" s="82">
        <f t="shared" si="94"/>
        <v>-0.22699935966841167</v>
      </c>
      <c r="CJ300">
        <v>255.5</v>
      </c>
      <c r="CK300">
        <v>101840.50167702121</v>
      </c>
      <c r="CL300" t="s">
        <v>82</v>
      </c>
      <c r="CM300">
        <v>255.5</v>
      </c>
      <c r="CN300">
        <v>100.56214357161814</v>
      </c>
      <c r="CO300" s="82">
        <f t="shared" si="95"/>
        <v>-0.21378792736648222</v>
      </c>
      <c r="CP300">
        <v>255.5</v>
      </c>
      <c r="CQ300">
        <v>97957.908013408931</v>
      </c>
      <c r="CR300" t="s">
        <v>82</v>
      </c>
      <c r="CS300">
        <v>255.5</v>
      </c>
      <c r="CT300">
        <v>101.33083251779512</v>
      </c>
      <c r="CU300" s="82">
        <f t="shared" si="96"/>
        <v>-0.20151805335409279</v>
      </c>
      <c r="CV300">
        <v>255.5</v>
      </c>
      <c r="CW300">
        <v>94456.054614579291</v>
      </c>
      <c r="CX300" t="s">
        <v>82</v>
      </c>
      <c r="CY300">
        <v>255.5</v>
      </c>
      <c r="CZ300">
        <v>102.03233536223192</v>
      </c>
      <c r="DA300" s="82">
        <f t="shared" si="97"/>
        <v>-0.18993919009709259</v>
      </c>
      <c r="DB300">
        <v>255.5</v>
      </c>
      <c r="DC300">
        <v>91269.257675870904</v>
      </c>
      <c r="DD300" t="s">
        <v>82</v>
      </c>
      <c r="DG300" s="82">
        <f t="shared" si="98"/>
        <v>0</v>
      </c>
      <c r="DM300" s="82">
        <f t="shared" si="99"/>
        <v>0</v>
      </c>
    </row>
    <row r="301" spans="1:117" x14ac:dyDescent="0.2">
      <c r="A301">
        <v>256.5</v>
      </c>
      <c r="B301">
        <v>89.990156164496767</v>
      </c>
      <c r="C301" s="82">
        <f t="shared" si="80"/>
        <v>4.6327192411865781E-3</v>
      </c>
      <c r="D301">
        <v>256.5</v>
      </c>
      <c r="E301">
        <v>11836.918511436383</v>
      </c>
      <c r="F301" t="s">
        <v>82</v>
      </c>
      <c r="G301">
        <v>256.5</v>
      </c>
      <c r="H301">
        <v>89.971978932920862</v>
      </c>
      <c r="I301" s="82">
        <f t="shared" si="81"/>
        <v>7.4406277498297868E-3</v>
      </c>
      <c r="J301">
        <v>256.5</v>
      </c>
      <c r="K301">
        <v>12859.095755854571</v>
      </c>
      <c r="L301" t="s">
        <v>82</v>
      </c>
      <c r="M301">
        <v>256.5</v>
      </c>
      <c r="N301">
        <v>89.945854538032876</v>
      </c>
      <c r="O301" s="82">
        <f t="shared" si="82"/>
        <v>8.0967442355159847E-3</v>
      </c>
      <c r="P301">
        <v>256.5</v>
      </c>
      <c r="Q301">
        <v>13543.005388038613</v>
      </c>
      <c r="R301" t="s">
        <v>82</v>
      </c>
      <c r="S301">
        <v>256.5</v>
      </c>
      <c r="T301">
        <v>89.926386029713882</v>
      </c>
      <c r="U301" s="82">
        <f t="shared" si="83"/>
        <v>1.9286457535372392E-4</v>
      </c>
      <c r="V301">
        <v>256.5</v>
      </c>
      <c r="W301">
        <v>12383.911520454638</v>
      </c>
      <c r="X301" t="s">
        <v>82</v>
      </c>
      <c r="Y301">
        <v>256.5</v>
      </c>
      <c r="Z301">
        <v>89.961283032390554</v>
      </c>
      <c r="AA301" s="82">
        <f t="shared" si="84"/>
        <v>-2.8090142400884588E-2</v>
      </c>
      <c r="AB301">
        <v>256.5</v>
      </c>
      <c r="AC301">
        <v>18849.086849298721</v>
      </c>
      <c r="AD301" t="s">
        <v>82</v>
      </c>
      <c r="AE301">
        <v>256.5</v>
      </c>
      <c r="AF301">
        <v>90.157850960354921</v>
      </c>
      <c r="AG301" s="82">
        <f t="shared" si="85"/>
        <v>-9.0756255485572979E-2</v>
      </c>
      <c r="AH301">
        <v>256.5</v>
      </c>
      <c r="AI301">
        <v>40516.611642361277</v>
      </c>
      <c r="AJ301" t="s">
        <v>82</v>
      </c>
      <c r="AK301">
        <v>256.5</v>
      </c>
      <c r="AL301">
        <v>90.671560816598443</v>
      </c>
      <c r="AM301" s="82">
        <f t="shared" si="86"/>
        <v>-0.17950292770640885</v>
      </c>
      <c r="AN301">
        <v>256.5</v>
      </c>
      <c r="AO301">
        <v>73610.489408325855</v>
      </c>
      <c r="AP301" t="s">
        <v>82</v>
      </c>
      <c r="AQ301">
        <v>256.5</v>
      </c>
      <c r="AR301">
        <v>91.544309929109815</v>
      </c>
      <c r="AS301" s="82">
        <f t="shared" si="87"/>
        <v>-0.24117484272959189</v>
      </c>
      <c r="AT301">
        <v>256.5</v>
      </c>
      <c r="AU301">
        <v>98785.50352724627</v>
      </c>
      <c r="AV301" t="s">
        <v>82</v>
      </c>
      <c r="AW301">
        <v>256.5</v>
      </c>
      <c r="AX301">
        <v>92.646552524982042</v>
      </c>
      <c r="AY301" s="82">
        <f t="shared" si="88"/>
        <v>-0.27175997675921337</v>
      </c>
      <c r="AZ301">
        <v>256.5</v>
      </c>
      <c r="BA301">
        <v>111881.34887068556</v>
      </c>
      <c r="BB301" t="s">
        <v>82</v>
      </c>
      <c r="BC301">
        <v>256.5</v>
      </c>
      <c r="BD301">
        <v>93.859843712053831</v>
      </c>
      <c r="BE301" s="82">
        <f t="shared" si="89"/>
        <v>-0.28179328081851907</v>
      </c>
      <c r="BF301">
        <v>256.5</v>
      </c>
      <c r="BG301">
        <v>116978.08991000935</v>
      </c>
      <c r="BH301" t="s">
        <v>82</v>
      </c>
      <c r="BI301">
        <v>256.5</v>
      </c>
      <c r="BJ301">
        <v>95.103068022236144</v>
      </c>
      <c r="BK301" s="82">
        <f t="shared" si="90"/>
        <v>-0.27904910187464793</v>
      </c>
      <c r="BL301">
        <v>256.5</v>
      </c>
      <c r="BM301">
        <v>117110.58148248115</v>
      </c>
      <c r="BN301" t="s">
        <v>82</v>
      </c>
      <c r="BO301">
        <v>256.5</v>
      </c>
      <c r="BP301">
        <v>96.321361641958021</v>
      </c>
      <c r="BQ301" s="82">
        <f t="shared" si="91"/>
        <v>-0.26906077562924224</v>
      </c>
      <c r="BR301">
        <v>256.5</v>
      </c>
      <c r="BS301">
        <v>114446.56803860013</v>
      </c>
      <c r="BT301" t="s">
        <v>82</v>
      </c>
      <c r="BU301">
        <v>256.5</v>
      </c>
      <c r="BV301">
        <v>97.476357620093481</v>
      </c>
      <c r="BW301" s="82">
        <f t="shared" si="92"/>
        <v>-0.2555213667740901</v>
      </c>
      <c r="BX301">
        <v>256.5</v>
      </c>
      <c r="BY301">
        <v>110429.57360090205</v>
      </c>
      <c r="BZ301" t="s">
        <v>82</v>
      </c>
      <c r="CA301">
        <v>256.5</v>
      </c>
      <c r="CB301">
        <v>98.529425626332127</v>
      </c>
      <c r="CC301" s="82">
        <f t="shared" si="93"/>
        <v>-0.24122684655368687</v>
      </c>
      <c r="CD301">
        <v>256.5</v>
      </c>
      <c r="CE301">
        <v>106111.2345056552</v>
      </c>
      <c r="CF301" t="s">
        <v>82</v>
      </c>
      <c r="CG301">
        <v>256.5</v>
      </c>
      <c r="CH301">
        <v>99.484256837590678</v>
      </c>
      <c r="CI301" s="82">
        <f t="shared" si="94"/>
        <v>-0.22725964377643493</v>
      </c>
      <c r="CJ301">
        <v>256.5</v>
      </c>
      <c r="CK301">
        <v>101923.80392390625</v>
      </c>
      <c r="CL301" t="s">
        <v>82</v>
      </c>
      <c r="CM301">
        <v>256.5</v>
      </c>
      <c r="CN301">
        <v>100.34807549572061</v>
      </c>
      <c r="CO301" s="82">
        <f t="shared" si="95"/>
        <v>-0.2140680758975293</v>
      </c>
      <c r="CP301">
        <v>256.5</v>
      </c>
      <c r="CQ301">
        <v>98048.642819729925</v>
      </c>
      <c r="CR301" t="s">
        <v>82</v>
      </c>
      <c r="CS301">
        <v>256.5</v>
      </c>
      <c r="CT301">
        <v>101.12903667408609</v>
      </c>
      <c r="CU301" s="82">
        <f t="shared" si="96"/>
        <v>-0.20179584370902148</v>
      </c>
      <c r="CV301">
        <v>256.5</v>
      </c>
      <c r="CW301">
        <v>94545.5189123452</v>
      </c>
      <c r="CX301" t="s">
        <v>82</v>
      </c>
      <c r="CY301">
        <v>256.5</v>
      </c>
      <c r="CZ301">
        <v>101.84213009132286</v>
      </c>
      <c r="DA301" s="82">
        <f t="shared" si="97"/>
        <v>-0.19020527090906114</v>
      </c>
      <c r="DB301">
        <v>256.5</v>
      </c>
      <c r="DC301">
        <v>91353.832640495792</v>
      </c>
      <c r="DD301" t="s">
        <v>82</v>
      </c>
      <c r="DG301" s="82">
        <f t="shared" si="98"/>
        <v>0</v>
      </c>
      <c r="DM301" s="82">
        <f t="shared" si="99"/>
        <v>0</v>
      </c>
    </row>
    <row r="302" spans="1:117" x14ac:dyDescent="0.2">
      <c r="A302">
        <v>257.5</v>
      </c>
      <c r="B302">
        <v>89.993893853515459</v>
      </c>
      <c r="C302" s="82">
        <f t="shared" si="80"/>
        <v>3.7376890186919809E-3</v>
      </c>
      <c r="D302">
        <v>257.5</v>
      </c>
      <c r="E302">
        <v>11631.08395867997</v>
      </c>
      <c r="F302" t="s">
        <v>82</v>
      </c>
      <c r="G302">
        <v>257.5</v>
      </c>
      <c r="H302">
        <v>89.978559799314397</v>
      </c>
      <c r="I302" s="82">
        <f t="shared" si="81"/>
        <v>6.5808663935342793E-3</v>
      </c>
      <c r="J302">
        <v>257.5</v>
      </c>
      <c r="K302">
        <v>12629.417122681809</v>
      </c>
      <c r="L302" t="s">
        <v>82</v>
      </c>
      <c r="M302">
        <v>257.5</v>
      </c>
      <c r="N302">
        <v>89.95413709718423</v>
      </c>
      <c r="O302" s="82">
        <f t="shared" si="82"/>
        <v>8.2825591513540076E-3</v>
      </c>
      <c r="P302">
        <v>257.5</v>
      </c>
      <c r="Q302">
        <v>13522.209015971708</v>
      </c>
      <c r="R302" t="s">
        <v>82</v>
      </c>
      <c r="S302">
        <v>257.5</v>
      </c>
      <c r="T302">
        <v>89.930025122377558</v>
      </c>
      <c r="U302" s="82">
        <f t="shared" si="83"/>
        <v>3.6390926636755694E-3</v>
      </c>
      <c r="V302">
        <v>257.5</v>
      </c>
      <c r="W302">
        <v>13075.946868036623</v>
      </c>
      <c r="X302" t="s">
        <v>82</v>
      </c>
      <c r="Y302">
        <v>257.5</v>
      </c>
      <c r="Z302">
        <v>89.943365498491971</v>
      </c>
      <c r="AA302" s="82">
        <f t="shared" si="84"/>
        <v>-1.791753389858286E-2</v>
      </c>
      <c r="AB302">
        <v>257.5</v>
      </c>
      <c r="AC302">
        <v>15965.946436105762</v>
      </c>
      <c r="AD302" t="s">
        <v>82</v>
      </c>
      <c r="AE302">
        <v>257.5</v>
      </c>
      <c r="AF302">
        <v>90.086563072160928</v>
      </c>
      <c r="AG302" s="82">
        <f t="shared" si="85"/>
        <v>-7.1287888193992899E-2</v>
      </c>
      <c r="AH302">
        <v>257.5</v>
      </c>
      <c r="AI302">
        <v>33788.965878588562</v>
      </c>
      <c r="AJ302" t="s">
        <v>82</v>
      </c>
      <c r="AK302">
        <v>257.5</v>
      </c>
      <c r="AL302">
        <v>90.513612215787106</v>
      </c>
      <c r="AM302" s="82">
        <f t="shared" si="86"/>
        <v>-0.15794860081133777</v>
      </c>
      <c r="AN302">
        <v>257.5</v>
      </c>
      <c r="AO302">
        <v>65403.520048318562</v>
      </c>
      <c r="AP302" t="s">
        <v>82</v>
      </c>
      <c r="AQ302">
        <v>257.5</v>
      </c>
      <c r="AR302">
        <v>91.315810160752903</v>
      </c>
      <c r="AS302" s="82">
        <f t="shared" si="87"/>
        <v>-0.22849976835691166</v>
      </c>
      <c r="AT302">
        <v>257.5</v>
      </c>
      <c r="AU302">
        <v>93798.541252806172</v>
      </c>
      <c r="AV302" t="s">
        <v>82</v>
      </c>
      <c r="AW302">
        <v>257.5</v>
      </c>
      <c r="AX302">
        <v>92.381791781353726</v>
      </c>
      <c r="AY302" s="82">
        <f t="shared" si="88"/>
        <v>-0.26476074362831525</v>
      </c>
      <c r="AZ302">
        <v>257.5</v>
      </c>
      <c r="BA302">
        <v>109115.74249794039</v>
      </c>
      <c r="BB302" t="s">
        <v>82</v>
      </c>
      <c r="BC302">
        <v>257.5</v>
      </c>
      <c r="BD302">
        <v>93.581610847267115</v>
      </c>
      <c r="BE302" s="82">
        <f t="shared" si="89"/>
        <v>-0.27823286478671605</v>
      </c>
      <c r="BF302">
        <v>257.5</v>
      </c>
      <c r="BG302">
        <v>115561.26723111374</v>
      </c>
      <c r="BH302" t="s">
        <v>82</v>
      </c>
      <c r="BI302">
        <v>257.5</v>
      </c>
      <c r="BJ302">
        <v>94.825621640858174</v>
      </c>
      <c r="BK302" s="82">
        <f t="shared" si="90"/>
        <v>-0.2774463813779704</v>
      </c>
      <c r="BL302">
        <v>257.5</v>
      </c>
      <c r="BM302">
        <v>116462.65471788443</v>
      </c>
      <c r="BN302" t="s">
        <v>82</v>
      </c>
      <c r="BO302">
        <v>257.5</v>
      </c>
      <c r="BP302">
        <v>96.052863011142776</v>
      </c>
      <c r="BQ302" s="82">
        <f t="shared" si="91"/>
        <v>-0.26849863081524461</v>
      </c>
      <c r="BR302">
        <v>257.5</v>
      </c>
      <c r="BS302">
        <v>114207.6368758335</v>
      </c>
      <c r="BT302" t="s">
        <v>82</v>
      </c>
      <c r="BU302">
        <v>257.5</v>
      </c>
      <c r="BV302">
        <v>97.220893324607474</v>
      </c>
      <c r="BW302" s="82">
        <f t="shared" si="92"/>
        <v>-0.25546429548600713</v>
      </c>
      <c r="BX302">
        <v>257.5</v>
      </c>
      <c r="BY302">
        <v>110389.10250518823</v>
      </c>
      <c r="BZ302" t="s">
        <v>82</v>
      </c>
      <c r="CA302">
        <v>257.5</v>
      </c>
      <c r="CB302">
        <v>98.288036624410225</v>
      </c>
      <c r="CC302" s="82">
        <f t="shared" si="93"/>
        <v>-0.24138900192190249</v>
      </c>
      <c r="CD302">
        <v>257.5</v>
      </c>
      <c r="CE302">
        <v>106156.68448983227</v>
      </c>
      <c r="CF302" t="s">
        <v>82</v>
      </c>
      <c r="CG302">
        <v>257.5</v>
      </c>
      <c r="CH302">
        <v>99.256750100864792</v>
      </c>
      <c r="CI302" s="82">
        <f t="shared" si="94"/>
        <v>-0.22750673672588562</v>
      </c>
      <c r="CJ302">
        <v>257.5</v>
      </c>
      <c r="CK302">
        <v>102002.27429006225</v>
      </c>
      <c r="CL302" t="s">
        <v>82</v>
      </c>
      <c r="CM302">
        <v>257.5</v>
      </c>
      <c r="CN302">
        <v>100.13373501574679</v>
      </c>
      <c r="CO302" s="82">
        <f t="shared" si="95"/>
        <v>-0.21434047997381356</v>
      </c>
      <c r="CP302">
        <v>257.5</v>
      </c>
      <c r="CQ302">
        <v>98136.667387167094</v>
      </c>
      <c r="CR302" t="s">
        <v>82</v>
      </c>
      <c r="CS302">
        <v>257.5</v>
      </c>
      <c r="CT302">
        <v>100.92696824526713</v>
      </c>
      <c r="CU302" s="82">
        <f t="shared" si="96"/>
        <v>-0.20206842881896137</v>
      </c>
      <c r="CV302">
        <v>257.5</v>
      </c>
      <c r="CW302">
        <v>94633.24636922557</v>
      </c>
      <c r="CX302" t="s">
        <v>82</v>
      </c>
      <c r="CY302">
        <v>257.5</v>
      </c>
      <c r="CZ302">
        <v>101.65166260852524</v>
      </c>
      <c r="DA302" s="82">
        <f t="shared" si="97"/>
        <v>-0.19046748279761516</v>
      </c>
      <c r="DB302">
        <v>257.5</v>
      </c>
      <c r="DC302">
        <v>91437.170340802972</v>
      </c>
      <c r="DD302" t="s">
        <v>82</v>
      </c>
      <c r="DG302" s="82">
        <f t="shared" si="98"/>
        <v>0</v>
      </c>
      <c r="DM302" s="82">
        <f t="shared" si="99"/>
        <v>0</v>
      </c>
    </row>
    <row r="303" spans="1:117" x14ac:dyDescent="0.2">
      <c r="A303">
        <v>258.5</v>
      </c>
      <c r="B303">
        <v>89.996822006374913</v>
      </c>
      <c r="C303" s="82">
        <f t="shared" si="80"/>
        <v>2.9281528594538031E-3</v>
      </c>
      <c r="D303">
        <v>258.5</v>
      </c>
      <c r="E303">
        <v>11449.564886150796</v>
      </c>
      <c r="F303" t="s">
        <v>82</v>
      </c>
      <c r="G303">
        <v>258.5</v>
      </c>
      <c r="H303">
        <v>89.984221123399124</v>
      </c>
      <c r="I303" s="82">
        <f t="shared" si="81"/>
        <v>5.6613240847269708E-3</v>
      </c>
      <c r="J303">
        <v>258.5</v>
      </c>
      <c r="K303">
        <v>12395.701549115098</v>
      </c>
      <c r="L303" t="s">
        <v>82</v>
      </c>
      <c r="M303">
        <v>258.5</v>
      </c>
      <c r="N303">
        <v>89.96215638636248</v>
      </c>
      <c r="O303" s="82">
        <f t="shared" si="82"/>
        <v>8.0192891782502329E-3</v>
      </c>
      <c r="P303">
        <v>258.5</v>
      </c>
      <c r="Q303">
        <v>13405.263263815554</v>
      </c>
      <c r="R303" t="s">
        <v>82</v>
      </c>
      <c r="S303">
        <v>258.5</v>
      </c>
      <c r="T303">
        <v>89.935917325144075</v>
      </c>
      <c r="U303" s="82">
        <f t="shared" si="83"/>
        <v>5.8922027665175847E-3</v>
      </c>
      <c r="V303">
        <v>258.5</v>
      </c>
      <c r="W303">
        <v>13516.351715829069</v>
      </c>
      <c r="X303" t="s">
        <v>82</v>
      </c>
      <c r="Y303">
        <v>258.5</v>
      </c>
      <c r="Z303">
        <v>89.933455690453471</v>
      </c>
      <c r="AA303" s="82">
        <f t="shared" si="84"/>
        <v>-9.9098080385005005E-3</v>
      </c>
      <c r="AB303">
        <v>258.5</v>
      </c>
      <c r="AC303">
        <v>14051.188701004448</v>
      </c>
      <c r="AD303" t="s">
        <v>82</v>
      </c>
      <c r="AE303">
        <v>258.5</v>
      </c>
      <c r="AF303">
        <v>90.03234559156256</v>
      </c>
      <c r="AG303" s="82">
        <f t="shared" si="85"/>
        <v>-5.4217480598367729E-2</v>
      </c>
      <c r="AH303">
        <v>258.5</v>
      </c>
      <c r="AI303">
        <v>27996.096628685606</v>
      </c>
      <c r="AJ303" t="s">
        <v>82</v>
      </c>
      <c r="AK303">
        <v>258.5</v>
      </c>
      <c r="AL303">
        <v>90.37830317103122</v>
      </c>
      <c r="AM303" s="82">
        <f t="shared" si="86"/>
        <v>-0.13530904475588557</v>
      </c>
      <c r="AN303">
        <v>258.5</v>
      </c>
      <c r="AO303">
        <v>57056.942062030954</v>
      </c>
      <c r="AP303" t="s">
        <v>82</v>
      </c>
      <c r="AQ303">
        <v>258.5</v>
      </c>
      <c r="AR303">
        <v>91.10146931056434</v>
      </c>
      <c r="AS303" s="82">
        <f t="shared" si="87"/>
        <v>-0.21434085018856308</v>
      </c>
      <c r="AT303">
        <v>258.5</v>
      </c>
      <c r="AU303">
        <v>88230.658564213503</v>
      </c>
      <c r="AV303" t="s">
        <v>82</v>
      </c>
      <c r="AW303">
        <v>258.5</v>
      </c>
      <c r="AX303">
        <v>92.124895280523148</v>
      </c>
      <c r="AY303" s="82">
        <f t="shared" si="88"/>
        <v>-0.25689650083057813</v>
      </c>
      <c r="AZ303">
        <v>258.5</v>
      </c>
      <c r="BA303">
        <v>106010.57646903326</v>
      </c>
      <c r="BB303" t="s">
        <v>82</v>
      </c>
      <c r="BC303">
        <v>258.5</v>
      </c>
      <c r="BD303">
        <v>93.307415861614842</v>
      </c>
      <c r="BE303" s="82">
        <f t="shared" si="89"/>
        <v>-0.27419498565227229</v>
      </c>
      <c r="BF303">
        <v>258.5</v>
      </c>
      <c r="BG303">
        <v>113956.88167930719</v>
      </c>
      <c r="BH303" t="s">
        <v>82</v>
      </c>
      <c r="BI303">
        <v>258.5</v>
      </c>
      <c r="BJ303">
        <v>94.550026952343444</v>
      </c>
      <c r="BK303" s="82">
        <f t="shared" si="90"/>
        <v>-0.27559468851472957</v>
      </c>
      <c r="BL303">
        <v>258.5</v>
      </c>
      <c r="BM303">
        <v>115717.0079765944</v>
      </c>
      <c r="BN303" t="s">
        <v>82</v>
      </c>
      <c r="BO303">
        <v>258.5</v>
      </c>
      <c r="BP303">
        <v>95.785049123956981</v>
      </c>
      <c r="BQ303" s="82">
        <f t="shared" si="91"/>
        <v>-0.26781388718579535</v>
      </c>
      <c r="BR303">
        <v>258.5</v>
      </c>
      <c r="BS303">
        <v>113920.75855475129</v>
      </c>
      <c r="BT303" t="s">
        <v>82</v>
      </c>
      <c r="BU303">
        <v>258.5</v>
      </c>
      <c r="BV303">
        <v>96.965544170641934</v>
      </c>
      <c r="BW303" s="82">
        <f t="shared" si="92"/>
        <v>-0.2553491539655397</v>
      </c>
      <c r="BX303">
        <v>258.5</v>
      </c>
      <c r="BY303">
        <v>110326.12278864782</v>
      </c>
      <c r="BZ303" t="s">
        <v>82</v>
      </c>
      <c r="CA303">
        <v>258.5</v>
      </c>
      <c r="CB303">
        <v>98.046513292886388</v>
      </c>
      <c r="CC303" s="82">
        <f t="shared" si="93"/>
        <v>-0.24152333152383676</v>
      </c>
      <c r="CD303">
        <v>258.5</v>
      </c>
      <c r="CE303">
        <v>106191.5463656522</v>
      </c>
      <c r="CF303" t="s">
        <v>82</v>
      </c>
      <c r="CG303">
        <v>258.5</v>
      </c>
      <c r="CH303">
        <v>99.029010468177447</v>
      </c>
      <c r="CI303" s="82">
        <f t="shared" si="94"/>
        <v>-0.22773963268734576</v>
      </c>
      <c r="CJ303">
        <v>258.5</v>
      </c>
      <c r="CK303">
        <v>102075.51431509963</v>
      </c>
      <c r="CL303" t="s">
        <v>82</v>
      </c>
      <c r="CM303">
        <v>258.5</v>
      </c>
      <c r="CN303">
        <v>99.919130275115634</v>
      </c>
      <c r="CO303" s="82">
        <f t="shared" si="95"/>
        <v>-0.21460474063115953</v>
      </c>
      <c r="CP303">
        <v>258.5</v>
      </c>
      <c r="CQ303">
        <v>98221.824426950159</v>
      </c>
      <c r="CR303" t="s">
        <v>82</v>
      </c>
      <c r="CS303">
        <v>258.5</v>
      </c>
      <c r="CT303">
        <v>100.72463259783275</v>
      </c>
      <c r="CU303" s="82">
        <f t="shared" si="96"/>
        <v>-0.20233564743438137</v>
      </c>
      <c r="CV303">
        <v>258.5</v>
      </c>
      <c r="CW303">
        <v>94719.174129979467</v>
      </c>
      <c r="CX303" t="s">
        <v>82</v>
      </c>
      <c r="CY303">
        <v>258.5</v>
      </c>
      <c r="CZ303">
        <v>101.46093685435717</v>
      </c>
      <c r="DA303" s="82">
        <f t="shared" si="97"/>
        <v>-0.19072575416807069</v>
      </c>
      <c r="DB303">
        <v>258.5</v>
      </c>
      <c r="DC303">
        <v>91519.243583404343</v>
      </c>
      <c r="DD303" t="s">
        <v>82</v>
      </c>
      <c r="DG303" s="82">
        <f t="shared" si="98"/>
        <v>0</v>
      </c>
      <c r="DM303" s="82">
        <f t="shared" si="99"/>
        <v>0</v>
      </c>
    </row>
    <row r="304" spans="1:117" x14ac:dyDescent="0.2">
      <c r="A304">
        <v>259.5</v>
      </c>
      <c r="B304">
        <v>89.999039491971132</v>
      </c>
      <c r="C304" s="82">
        <f t="shared" si="80"/>
        <v>2.2174855962191486E-3</v>
      </c>
      <c r="D304">
        <v>259.5</v>
      </c>
      <c r="E304">
        <v>11293.530435366252</v>
      </c>
      <c r="F304" t="s">
        <v>82</v>
      </c>
      <c r="G304">
        <v>259.5</v>
      </c>
      <c r="H304">
        <v>89.988964519534036</v>
      </c>
      <c r="I304" s="82">
        <f t="shared" si="81"/>
        <v>4.743396134912814E-3</v>
      </c>
      <c r="J304">
        <v>259.5</v>
      </c>
      <c r="K304">
        <v>12170.902539077975</v>
      </c>
      <c r="L304" t="s">
        <v>82</v>
      </c>
      <c r="M304">
        <v>259.5</v>
      </c>
      <c r="N304">
        <v>89.969608511377643</v>
      </c>
      <c r="O304" s="82">
        <f t="shared" si="82"/>
        <v>7.4521250151633467E-3</v>
      </c>
      <c r="P304">
        <v>259.5</v>
      </c>
      <c r="Q304">
        <v>13226.764567220589</v>
      </c>
      <c r="R304" t="s">
        <v>82</v>
      </c>
      <c r="S304">
        <v>259.5</v>
      </c>
      <c r="T304">
        <v>89.943115497945783</v>
      </c>
      <c r="U304" s="82">
        <f t="shared" si="83"/>
        <v>7.1981728017078694E-3</v>
      </c>
      <c r="V304">
        <v>259.5</v>
      </c>
      <c r="W304">
        <v>13747.449985283682</v>
      </c>
      <c r="X304" t="s">
        <v>82</v>
      </c>
      <c r="Y304">
        <v>259.5</v>
      </c>
      <c r="Z304">
        <v>89.929650130232616</v>
      </c>
      <c r="AA304" s="82">
        <f t="shared" si="84"/>
        <v>-3.8055602208544315E-3</v>
      </c>
      <c r="AB304">
        <v>259.5</v>
      </c>
      <c r="AC304">
        <v>12692.553285092421</v>
      </c>
      <c r="AD304" t="s">
        <v>82</v>
      </c>
      <c r="AE304">
        <v>259.5</v>
      </c>
      <c r="AF304">
        <v>89.992702274400685</v>
      </c>
      <c r="AG304" s="82">
        <f t="shared" si="85"/>
        <v>-3.9643317161875302E-2</v>
      </c>
      <c r="AH304">
        <v>259.5</v>
      </c>
      <c r="AI304">
        <v>23150.990479437776</v>
      </c>
      <c r="AJ304" t="s">
        <v>82</v>
      </c>
      <c r="AK304">
        <v>259.5</v>
      </c>
      <c r="AL304">
        <v>90.265317709719639</v>
      </c>
      <c r="AM304" s="82">
        <f t="shared" si="86"/>
        <v>-0.11298546131158105</v>
      </c>
      <c r="AN304">
        <v>259.5</v>
      </c>
      <c r="AO304">
        <v>49019.545811754404</v>
      </c>
      <c r="AP304" t="s">
        <v>82</v>
      </c>
      <c r="AQ304">
        <v>259.5</v>
      </c>
      <c r="AR304">
        <v>90.902938850204833</v>
      </c>
      <c r="AS304" s="82">
        <f t="shared" si="87"/>
        <v>-0.19853046035950683</v>
      </c>
      <c r="AT304">
        <v>259.5</v>
      </c>
      <c r="AU304">
        <v>82016.788019847838</v>
      </c>
      <c r="AV304" t="s">
        <v>82</v>
      </c>
      <c r="AW304">
        <v>259.5</v>
      </c>
      <c r="AX304">
        <v>91.876827844632956</v>
      </c>
      <c r="AY304" s="82">
        <f t="shared" si="88"/>
        <v>-0.2480674358901922</v>
      </c>
      <c r="AZ304">
        <v>259.5</v>
      </c>
      <c r="BA304">
        <v>102526.66413874039</v>
      </c>
      <c r="BB304" t="s">
        <v>82</v>
      </c>
      <c r="BC304">
        <v>259.5</v>
      </c>
      <c r="BD304">
        <v>93.037792267866777</v>
      </c>
      <c r="BE304" s="82">
        <f t="shared" si="89"/>
        <v>-0.2696235937480651</v>
      </c>
      <c r="BF304">
        <v>259.5</v>
      </c>
      <c r="BG304">
        <v>112142.84567343064</v>
      </c>
      <c r="BH304" t="s">
        <v>82</v>
      </c>
      <c r="BI304">
        <v>259.5</v>
      </c>
      <c r="BJ304">
        <v>94.27656242009121</v>
      </c>
      <c r="BK304" s="82">
        <f t="shared" si="90"/>
        <v>-0.27346453225223399</v>
      </c>
      <c r="BL304">
        <v>259.5</v>
      </c>
      <c r="BM304">
        <v>114861.99284301225</v>
      </c>
      <c r="BN304" t="s">
        <v>82</v>
      </c>
      <c r="BO304">
        <v>259.5</v>
      </c>
      <c r="BP304">
        <v>95.518056979503001</v>
      </c>
      <c r="BQ304" s="82">
        <f t="shared" si="91"/>
        <v>-0.26699214445397956</v>
      </c>
      <c r="BR304">
        <v>259.5</v>
      </c>
      <c r="BS304">
        <v>113580.23465684033</v>
      </c>
      <c r="BT304" t="s">
        <v>82</v>
      </c>
      <c r="BU304">
        <v>259.5</v>
      </c>
      <c r="BV304">
        <v>96.710374755155939</v>
      </c>
      <c r="BW304" s="82">
        <f t="shared" si="92"/>
        <v>-0.25516941548599448</v>
      </c>
      <c r="BX304">
        <v>259.5</v>
      </c>
      <c r="BY304">
        <v>110238.04781485704</v>
      </c>
      <c r="BZ304" t="s">
        <v>82</v>
      </c>
      <c r="CA304">
        <v>259.5</v>
      </c>
      <c r="CB304">
        <v>97.804886254765009</v>
      </c>
      <c r="CC304" s="82">
        <f t="shared" si="93"/>
        <v>-0.2416270381213792</v>
      </c>
      <c r="CD304">
        <v>259.5</v>
      </c>
      <c r="CE304">
        <v>106214.71059821843</v>
      </c>
      <c r="CF304" t="s">
        <v>82</v>
      </c>
      <c r="CG304">
        <v>259.5</v>
      </c>
      <c r="CH304">
        <v>98.801053277178909</v>
      </c>
      <c r="CI304" s="82">
        <f t="shared" si="94"/>
        <v>-0.22795719099853784</v>
      </c>
      <c r="CJ304">
        <v>259.5</v>
      </c>
      <c r="CK304">
        <v>102143.07178072793</v>
      </c>
      <c r="CL304" t="s">
        <v>82</v>
      </c>
      <c r="CM304">
        <v>259.5</v>
      </c>
      <c r="CN304">
        <v>99.704269867438001</v>
      </c>
      <c r="CO304" s="82">
        <f t="shared" si="95"/>
        <v>-0.2148604076776337</v>
      </c>
      <c r="CP304">
        <v>259.5</v>
      </c>
      <c r="CQ304">
        <v>98303.936093291239</v>
      </c>
      <c r="CR304" t="s">
        <v>82</v>
      </c>
      <c r="CS304">
        <v>259.5</v>
      </c>
      <c r="CT304">
        <v>100.52203527752303</v>
      </c>
      <c r="CU304" s="82">
        <f t="shared" si="96"/>
        <v>-0.20259732030972089</v>
      </c>
      <c r="CV304">
        <v>259.5</v>
      </c>
      <c r="CW304">
        <v>94803.232205862063</v>
      </c>
      <c r="CX304" t="s">
        <v>82</v>
      </c>
      <c r="CY304">
        <v>259.5</v>
      </c>
      <c r="CZ304">
        <v>101.26995684664352</v>
      </c>
      <c r="DA304" s="82">
        <f t="shared" si="97"/>
        <v>-0.19098000771364809</v>
      </c>
      <c r="DB304">
        <v>259.5</v>
      </c>
      <c r="DC304">
        <v>91600.02279503287</v>
      </c>
      <c r="DD304" t="s">
        <v>82</v>
      </c>
      <c r="DG304" s="82">
        <f t="shared" si="98"/>
        <v>0</v>
      </c>
      <c r="DM304" s="82">
        <f t="shared" si="99"/>
        <v>0</v>
      </c>
    </row>
    <row r="305" spans="1:117" x14ac:dyDescent="0.2">
      <c r="A305">
        <v>260.5</v>
      </c>
      <c r="B305">
        <v>90.000649910430013</v>
      </c>
      <c r="C305" s="82">
        <f t="shared" si="80"/>
        <v>1.6104184588812132E-3</v>
      </c>
      <c r="D305">
        <v>260.5</v>
      </c>
      <c r="E305">
        <v>11162.437040200208</v>
      </c>
      <c r="F305" t="s">
        <v>82</v>
      </c>
      <c r="G305">
        <v>260.5</v>
      </c>
      <c r="H305">
        <v>89.99283481610324</v>
      </c>
      <c r="I305" s="82">
        <f t="shared" si="81"/>
        <v>3.8702965692039015E-3</v>
      </c>
      <c r="J305">
        <v>260.5</v>
      </c>
      <c r="K305">
        <v>11963.373515376294</v>
      </c>
      <c r="L305" t="s">
        <v>82</v>
      </c>
      <c r="M305">
        <v>260.5</v>
      </c>
      <c r="N305">
        <v>89.976306331431374</v>
      </c>
      <c r="O305" s="82">
        <f t="shared" si="82"/>
        <v>6.697820053730652E-3</v>
      </c>
      <c r="P305">
        <v>260.5</v>
      </c>
      <c r="Q305">
        <v>13014.307021220284</v>
      </c>
      <c r="R305" t="s">
        <v>82</v>
      </c>
      <c r="S305">
        <v>260.5</v>
      </c>
      <c r="T305">
        <v>89.950890701668882</v>
      </c>
      <c r="U305" s="82">
        <f t="shared" si="83"/>
        <v>7.7752037230993665E-3</v>
      </c>
      <c r="V305">
        <v>260.5</v>
      </c>
      <c r="W305">
        <v>13815.556720461409</v>
      </c>
      <c r="X305" t="s">
        <v>82</v>
      </c>
      <c r="Y305">
        <v>260.5</v>
      </c>
      <c r="Z305">
        <v>89.930319657543748</v>
      </c>
      <c r="AA305" s="82">
        <f t="shared" si="84"/>
        <v>6.6952731113190112E-4</v>
      </c>
      <c r="AB305">
        <v>260.5</v>
      </c>
      <c r="AC305">
        <v>12843.867790364058</v>
      </c>
      <c r="AD305" t="s">
        <v>82</v>
      </c>
      <c r="AE305">
        <v>260.5</v>
      </c>
      <c r="AF305">
        <v>89.965186331845018</v>
      </c>
      <c r="AG305" s="82">
        <f t="shared" si="85"/>
        <v>-2.7515942555666584E-2</v>
      </c>
      <c r="AH305">
        <v>260.5</v>
      </c>
      <c r="AI305">
        <v>19218.552839719076</v>
      </c>
      <c r="AJ305" t="s">
        <v>82</v>
      </c>
      <c r="AK305">
        <v>260.5</v>
      </c>
      <c r="AL305">
        <v>90.173374058447749</v>
      </c>
      <c r="AM305" s="82">
        <f t="shared" si="86"/>
        <v>-9.1943651271890303E-2</v>
      </c>
      <c r="AN305">
        <v>260.5</v>
      </c>
      <c r="AO305">
        <v>41588.688907049072</v>
      </c>
      <c r="AP305" t="s">
        <v>82</v>
      </c>
      <c r="AQ305">
        <v>260.5</v>
      </c>
      <c r="AR305">
        <v>90.722057203350772</v>
      </c>
      <c r="AS305" s="82">
        <f t="shared" si="87"/>
        <v>-0.18088164685406127</v>
      </c>
      <c r="AT305">
        <v>260.5</v>
      </c>
      <c r="AU305">
        <v>75084.813934714839</v>
      </c>
      <c r="AV305" t="s">
        <v>82</v>
      </c>
      <c r="AW305">
        <v>260.5</v>
      </c>
      <c r="AX305">
        <v>91.638665935814345</v>
      </c>
      <c r="AY305" s="82">
        <f t="shared" si="88"/>
        <v>-0.23816190881861132</v>
      </c>
      <c r="AZ305">
        <v>260.5</v>
      </c>
      <c r="BA305">
        <v>98620.216696106174</v>
      </c>
      <c r="BB305" t="s">
        <v>82</v>
      </c>
      <c r="BC305">
        <v>260.5</v>
      </c>
      <c r="BD305">
        <v>92.773336457348151</v>
      </c>
      <c r="BE305" s="82">
        <f t="shared" si="89"/>
        <v>-0.26445581051862632</v>
      </c>
      <c r="BF305">
        <v>260.5</v>
      </c>
      <c r="BG305">
        <v>110094.38633357848</v>
      </c>
      <c r="BH305" t="s">
        <v>82</v>
      </c>
      <c r="BI305">
        <v>260.5</v>
      </c>
      <c r="BJ305">
        <v>94.005539694633299</v>
      </c>
      <c r="BK305" s="82">
        <f t="shared" si="90"/>
        <v>-0.27102272545791095</v>
      </c>
      <c r="BL305">
        <v>260.5</v>
      </c>
      <c r="BM305">
        <v>113884.50169974503</v>
      </c>
      <c r="BN305" t="s">
        <v>82</v>
      </c>
      <c r="BO305">
        <v>260.5</v>
      </c>
      <c r="BP305">
        <v>95.252039833334393</v>
      </c>
      <c r="BQ305" s="82">
        <f t="shared" si="91"/>
        <v>-0.26601714616860761</v>
      </c>
      <c r="BR305">
        <v>260.5</v>
      </c>
      <c r="BS305">
        <v>113179.63205767924</v>
      </c>
      <c r="BT305" t="s">
        <v>82</v>
      </c>
      <c r="BU305">
        <v>260.5</v>
      </c>
      <c r="BV305">
        <v>96.455457065229865</v>
      </c>
      <c r="BW305" s="82">
        <f t="shared" si="92"/>
        <v>-0.25491768992607433</v>
      </c>
      <c r="BX305">
        <v>260.5</v>
      </c>
      <c r="BY305">
        <v>110121.9484033396</v>
      </c>
      <c r="BZ305" t="s">
        <v>82</v>
      </c>
      <c r="CA305">
        <v>260.5</v>
      </c>
      <c r="CB305">
        <v>97.563189307314801</v>
      </c>
      <c r="CC305" s="82">
        <f t="shared" si="93"/>
        <v>-0.2416969474502082</v>
      </c>
      <c r="CD305">
        <v>260.5</v>
      </c>
      <c r="CE305">
        <v>106224.91776191772</v>
      </c>
      <c r="CF305" t="s">
        <v>82</v>
      </c>
      <c r="CG305">
        <v>260.5</v>
      </c>
      <c r="CH305">
        <v>98.572895160350058</v>
      </c>
      <c r="CI305" s="82">
        <f t="shared" si="94"/>
        <v>-0.22815811682885112</v>
      </c>
      <c r="CJ305">
        <v>260.5</v>
      </c>
      <c r="CK305">
        <v>102204.43307886868</v>
      </c>
      <c r="CL305" t="s">
        <v>82</v>
      </c>
      <c r="CM305">
        <v>260.5</v>
      </c>
      <c r="CN305">
        <v>99.489162895319623</v>
      </c>
      <c r="CO305" s="82">
        <f t="shared" si="95"/>
        <v>-0.21510697211837737</v>
      </c>
      <c r="CP305">
        <v>260.5</v>
      </c>
      <c r="CQ305">
        <v>98382.801145019286</v>
      </c>
      <c r="CR305" t="s">
        <v>82</v>
      </c>
      <c r="CS305">
        <v>260.5</v>
      </c>
      <c r="CT305">
        <v>100.31918203014123</v>
      </c>
      <c r="CU305" s="82">
        <f t="shared" si="96"/>
        <v>-0.20285324738179611</v>
      </c>
      <c r="CV305">
        <v>260.5</v>
      </c>
      <c r="CW305">
        <v>94885.342167432013</v>
      </c>
      <c r="CX305" t="s">
        <v>82</v>
      </c>
      <c r="CY305">
        <v>260.5</v>
      </c>
      <c r="CZ305">
        <v>101.07872668715137</v>
      </c>
      <c r="DA305" s="82">
        <f t="shared" si="97"/>
        <v>-0.19123015949215016</v>
      </c>
      <c r="DB305">
        <v>260.5</v>
      </c>
      <c r="DC305">
        <v>91679.475763867085</v>
      </c>
      <c r="DD305" t="s">
        <v>82</v>
      </c>
      <c r="DG305" s="82">
        <f t="shared" si="98"/>
        <v>0</v>
      </c>
      <c r="DM305" s="82">
        <f t="shared" si="99"/>
        <v>0</v>
      </c>
    </row>
    <row r="306" spans="1:117" x14ac:dyDescent="0.2">
      <c r="A306">
        <v>261.5</v>
      </c>
      <c r="B306">
        <v>90.001755269000185</v>
      </c>
      <c r="C306" s="82">
        <f t="shared" si="80"/>
        <v>1.1053585701716884E-3</v>
      </c>
      <c r="D306">
        <v>261.5</v>
      </c>
      <c r="E306">
        <v>11054.639401427132</v>
      </c>
      <c r="F306" t="s">
        <v>82</v>
      </c>
      <c r="G306">
        <v>261.5</v>
      </c>
      <c r="H306">
        <v>89.995905180068675</v>
      </c>
      <c r="I306" s="82">
        <f t="shared" si="81"/>
        <v>3.0703639654348081E-3</v>
      </c>
      <c r="J306">
        <v>261.5</v>
      </c>
      <c r="K306">
        <v>11777.868250007617</v>
      </c>
      <c r="L306" t="s">
        <v>82</v>
      </c>
      <c r="M306">
        <v>261.5</v>
      </c>
      <c r="N306">
        <v>89.982153871706103</v>
      </c>
      <c r="O306" s="82">
        <f t="shared" si="82"/>
        <v>5.8475402747291128E-3</v>
      </c>
      <c r="P306">
        <v>261.5</v>
      </c>
      <c r="Q306">
        <v>12788.882873436492</v>
      </c>
      <c r="R306" t="s">
        <v>82</v>
      </c>
      <c r="S306">
        <v>261.5</v>
      </c>
      <c r="T306">
        <v>89.958702274270948</v>
      </c>
      <c r="U306" s="82">
        <f t="shared" si="83"/>
        <v>7.8115726020655529E-3</v>
      </c>
      <c r="V306">
        <v>261.5</v>
      </c>
      <c r="W306">
        <v>13764.15668535869</v>
      </c>
      <c r="X306" t="s">
        <v>82</v>
      </c>
      <c r="Y306">
        <v>261.5</v>
      </c>
      <c r="Z306">
        <v>89.934105487785459</v>
      </c>
      <c r="AA306" s="82">
        <f t="shared" si="84"/>
        <v>3.7858302417106415E-3</v>
      </c>
      <c r="AB306">
        <v>261.5</v>
      </c>
      <c r="AC306">
        <v>13478.987811501893</v>
      </c>
      <c r="AD306" t="s">
        <v>82</v>
      </c>
      <c r="AE306">
        <v>261.5</v>
      </c>
      <c r="AF306">
        <v>89.947501918349275</v>
      </c>
      <c r="AG306" s="82">
        <f t="shared" si="85"/>
        <v>-1.7684413495743456E-2</v>
      </c>
      <c r="AH306">
        <v>261.5</v>
      </c>
      <c r="AI306">
        <v>16403.3144778897</v>
      </c>
      <c r="AJ306" t="s">
        <v>82</v>
      </c>
      <c r="AK306">
        <v>261.5</v>
      </c>
      <c r="AL306">
        <v>90.100573109101759</v>
      </c>
      <c r="AM306" s="82">
        <f t="shared" si="86"/>
        <v>-7.2800949345989352E-2</v>
      </c>
      <c r="AN306">
        <v>261.5</v>
      </c>
      <c r="AO306">
        <v>34946.402493668145</v>
      </c>
      <c r="AP306" t="s">
        <v>82</v>
      </c>
      <c r="AQ306">
        <v>261.5</v>
      </c>
      <c r="AR306">
        <v>90.560871304841541</v>
      </c>
      <c r="AS306" s="82">
        <f t="shared" si="87"/>
        <v>-0.16118589850923115</v>
      </c>
      <c r="AT306">
        <v>261.5</v>
      </c>
      <c r="AU306">
        <v>67443.645208606176</v>
      </c>
      <c r="AV306" t="s">
        <v>82</v>
      </c>
      <c r="AW306">
        <v>261.5</v>
      </c>
      <c r="AX306">
        <v>91.411610892473092</v>
      </c>
      <c r="AY306" s="82">
        <f t="shared" si="88"/>
        <v>-0.22705504334125237</v>
      </c>
      <c r="AZ306">
        <v>261.5</v>
      </c>
      <c r="BA306">
        <v>94242.318381551973</v>
      </c>
      <c r="BB306" t="s">
        <v>82</v>
      </c>
      <c r="BC306">
        <v>261.5</v>
      </c>
      <c r="BD306">
        <v>92.514715365579434</v>
      </c>
      <c r="BE306" s="82">
        <f t="shared" si="89"/>
        <v>-0.25862109176871684</v>
      </c>
      <c r="BF306">
        <v>261.5</v>
      </c>
      <c r="BG306">
        <v>107783.71916571549</v>
      </c>
      <c r="BH306" t="s">
        <v>82</v>
      </c>
      <c r="BI306">
        <v>261.5</v>
      </c>
      <c r="BJ306">
        <v>93.737307776032708</v>
      </c>
      <c r="BK306" s="82">
        <f t="shared" si="90"/>
        <v>-0.26823191860059126</v>
      </c>
      <c r="BL306">
        <v>261.5</v>
      </c>
      <c r="BM306">
        <v>112769.78399555293</v>
      </c>
      <c r="BN306" t="s">
        <v>82</v>
      </c>
      <c r="BO306">
        <v>261.5</v>
      </c>
      <c r="BP306">
        <v>94.987169295100202</v>
      </c>
      <c r="BQ306" s="82">
        <f t="shared" si="91"/>
        <v>-0.2648705382341916</v>
      </c>
      <c r="BR306">
        <v>261.5</v>
      </c>
      <c r="BS306">
        <v>112711.68737612179</v>
      </c>
      <c r="BT306" t="s">
        <v>82</v>
      </c>
      <c r="BU306">
        <v>261.5</v>
      </c>
      <c r="BV306">
        <v>96.200871457418259</v>
      </c>
      <c r="BW306" s="82">
        <f t="shared" si="92"/>
        <v>-0.254585607811606</v>
      </c>
      <c r="BX306">
        <v>261.5</v>
      </c>
      <c r="BY306">
        <v>109974.50688408049</v>
      </c>
      <c r="BZ306" t="s">
        <v>82</v>
      </c>
      <c r="CA306">
        <v>261.5</v>
      </c>
      <c r="CB306">
        <v>97.321459851407226</v>
      </c>
      <c r="CC306" s="82">
        <f t="shared" si="93"/>
        <v>-0.24172945590757422</v>
      </c>
      <c r="CD306">
        <v>261.5</v>
      </c>
      <c r="CE306">
        <v>106220.7377095752</v>
      </c>
      <c r="CF306" t="s">
        <v>82</v>
      </c>
      <c r="CG306">
        <v>261.5</v>
      </c>
      <c r="CH306">
        <v>98.344554221304875</v>
      </c>
      <c r="CI306" s="82">
        <f t="shared" si="94"/>
        <v>-0.22834093904518227</v>
      </c>
      <c r="CJ306">
        <v>261.5</v>
      </c>
      <c r="CK306">
        <v>102259.01432396902</v>
      </c>
      <c r="CL306" t="s">
        <v>82</v>
      </c>
      <c r="CM306">
        <v>261.5</v>
      </c>
      <c r="CN306">
        <v>99.27381903792029</v>
      </c>
      <c r="CO306" s="82">
        <f t="shared" si="95"/>
        <v>-0.21534385739933271</v>
      </c>
      <c r="CP306">
        <v>261.5</v>
      </c>
      <c r="CQ306">
        <v>98458.191292951626</v>
      </c>
      <c r="CR306" t="s">
        <v>82</v>
      </c>
      <c r="CS306">
        <v>261.5</v>
      </c>
      <c r="CT306">
        <v>100.116078825559</v>
      </c>
      <c r="CU306" s="82">
        <f t="shared" si="96"/>
        <v>-0.2031032045822343</v>
      </c>
      <c r="CV306">
        <v>261.5</v>
      </c>
      <c r="CW306">
        <v>94965.416086719459</v>
      </c>
      <c r="CX306" t="s">
        <v>82</v>
      </c>
      <c r="CY306">
        <v>261.5</v>
      </c>
      <c r="CZ306">
        <v>100.88725056929526</v>
      </c>
      <c r="DA306" s="82">
        <f t="shared" si="97"/>
        <v>-0.19147611785611218</v>
      </c>
      <c r="DB306">
        <v>261.5</v>
      </c>
      <c r="DC306">
        <v>91757.567199845653</v>
      </c>
      <c r="DD306" t="s">
        <v>82</v>
      </c>
      <c r="DG306" s="82">
        <f t="shared" si="98"/>
        <v>0</v>
      </c>
      <c r="DM306" s="82">
        <f t="shared" si="99"/>
        <v>0</v>
      </c>
    </row>
    <row r="307" spans="1:117" x14ac:dyDescent="0.2">
      <c r="A307">
        <v>262.5</v>
      </c>
      <c r="B307">
        <v>90.002451595419075</v>
      </c>
      <c r="C307" s="82">
        <f t="shared" si="80"/>
        <v>6.9632641888972557E-4</v>
      </c>
      <c r="D307">
        <v>262.5</v>
      </c>
      <c r="E307">
        <v>10967.852411871922</v>
      </c>
      <c r="F307" t="s">
        <v>82</v>
      </c>
      <c r="G307">
        <v>262.5</v>
      </c>
      <c r="H307">
        <v>89.998265279854365</v>
      </c>
      <c r="I307" s="82">
        <f t="shared" si="81"/>
        <v>2.360099785690295E-3</v>
      </c>
      <c r="J307">
        <v>262.5</v>
      </c>
      <c r="K307">
        <v>11616.450112124956</v>
      </c>
      <c r="L307" t="s">
        <v>82</v>
      </c>
      <c r="M307">
        <v>262.5</v>
      </c>
      <c r="N307">
        <v>89.987123959889203</v>
      </c>
      <c r="O307" s="82">
        <f t="shared" si="82"/>
        <v>4.9700881831000743E-3</v>
      </c>
      <c r="P307">
        <v>262.5</v>
      </c>
      <c r="Q307">
        <v>12565.65937635885</v>
      </c>
      <c r="R307" t="s">
        <v>82</v>
      </c>
      <c r="S307">
        <v>262.5</v>
      </c>
      <c r="T307">
        <v>89.966167816321885</v>
      </c>
      <c r="U307" s="82">
        <f t="shared" si="83"/>
        <v>7.4655420509373016E-3</v>
      </c>
      <c r="V307">
        <v>262.5</v>
      </c>
      <c r="W307">
        <v>13631.015625966684</v>
      </c>
      <c r="X307" t="s">
        <v>82</v>
      </c>
      <c r="Y307">
        <v>262.5</v>
      </c>
      <c r="Z307">
        <v>89.939903599640601</v>
      </c>
      <c r="AA307" s="82">
        <f t="shared" si="84"/>
        <v>5.7981118551424515E-3</v>
      </c>
      <c r="AB307">
        <v>262.5</v>
      </c>
      <c r="AC307">
        <v>13873.797400978128</v>
      </c>
      <c r="AD307" t="s">
        <v>82</v>
      </c>
      <c r="AE307">
        <v>262.5</v>
      </c>
      <c r="AF307">
        <v>89.93756829787678</v>
      </c>
      <c r="AG307" s="82">
        <f t="shared" si="85"/>
        <v>-9.9336204724949084E-3</v>
      </c>
      <c r="AH307">
        <v>262.5</v>
      </c>
      <c r="AI307">
        <v>14524.97503916829</v>
      </c>
      <c r="AJ307" t="s">
        <v>82</v>
      </c>
      <c r="AK307">
        <v>262.5</v>
      </c>
      <c r="AL307">
        <v>90.04467240006035</v>
      </c>
      <c r="AM307" s="82">
        <f t="shared" si="86"/>
        <v>-5.5900709041409868E-2</v>
      </c>
      <c r="AN307">
        <v>262.5</v>
      </c>
      <c r="AO307">
        <v>29185.114794838733</v>
      </c>
      <c r="AP307" t="s">
        <v>82</v>
      </c>
      <c r="AQ307">
        <v>262.5</v>
      </c>
      <c r="AR307">
        <v>90.421161271402056</v>
      </c>
      <c r="AS307" s="82">
        <f t="shared" si="87"/>
        <v>-0.13971003343948496</v>
      </c>
      <c r="AT307">
        <v>262.5</v>
      </c>
      <c r="AU307">
        <v>59425.281290926934</v>
      </c>
      <c r="AV307" t="s">
        <v>82</v>
      </c>
      <c r="AW307">
        <v>262.5</v>
      </c>
      <c r="AX307">
        <v>91.197003742436664</v>
      </c>
      <c r="AY307" s="82">
        <f t="shared" si="88"/>
        <v>-0.21460715003642861</v>
      </c>
      <c r="AZ307">
        <v>262.5</v>
      </c>
      <c r="BA307">
        <v>89338.355008158687</v>
      </c>
      <c r="BB307" t="s">
        <v>82</v>
      </c>
      <c r="BC307">
        <v>262.5</v>
      </c>
      <c r="BD307">
        <v>92.262675077475976</v>
      </c>
      <c r="BE307" s="82">
        <f t="shared" si="89"/>
        <v>-0.25204028810345847</v>
      </c>
      <c r="BF307">
        <v>262.5</v>
      </c>
      <c r="BG307">
        <v>105179.68284324787</v>
      </c>
      <c r="BH307" t="s">
        <v>82</v>
      </c>
      <c r="BI307">
        <v>262.5</v>
      </c>
      <c r="BJ307">
        <v>93.472257701494613</v>
      </c>
      <c r="BK307" s="82">
        <f t="shared" si="90"/>
        <v>-0.26505007453809526</v>
      </c>
      <c r="BL307">
        <v>262.5</v>
      </c>
      <c r="BM307">
        <v>111501.23963265352</v>
      </c>
      <c r="BN307" t="s">
        <v>82</v>
      </c>
      <c r="BO307">
        <v>262.5</v>
      </c>
      <c r="BP307">
        <v>94.72363769904922</v>
      </c>
      <c r="BQ307" s="82">
        <f t="shared" si="91"/>
        <v>-0.26353159605098142</v>
      </c>
      <c r="BR307">
        <v>262.5</v>
      </c>
      <c r="BS307">
        <v>112168.199116185</v>
      </c>
      <c r="BT307" t="s">
        <v>82</v>
      </c>
      <c r="BU307">
        <v>262.5</v>
      </c>
      <c r="BV307">
        <v>95.94670776864443</v>
      </c>
      <c r="BW307" s="82">
        <f t="shared" si="92"/>
        <v>-0.25416368877382922</v>
      </c>
      <c r="BX307">
        <v>262.5</v>
      </c>
      <c r="BY307">
        <v>109791.96488630772</v>
      </c>
      <c r="BZ307" t="s">
        <v>82</v>
      </c>
      <c r="CA307">
        <v>262.5</v>
      </c>
      <c r="CB307">
        <v>97.07973938038991</v>
      </c>
      <c r="CC307" s="82">
        <f t="shared" si="93"/>
        <v>-0.24172047101731664</v>
      </c>
      <c r="CD307">
        <v>262.5</v>
      </c>
      <c r="CE307">
        <v>106200.54599284017</v>
      </c>
      <c r="CF307" t="s">
        <v>82</v>
      </c>
      <c r="CG307">
        <v>262.5</v>
      </c>
      <c r="CH307">
        <v>98.116050236321257</v>
      </c>
      <c r="CI307" s="82">
        <f t="shared" si="94"/>
        <v>-0.22850398498361812</v>
      </c>
      <c r="CJ307">
        <v>262.5</v>
      </c>
      <c r="CK307">
        <v>102306.15136147954</v>
      </c>
      <c r="CL307" t="s">
        <v>82</v>
      </c>
      <c r="CM307">
        <v>262.5</v>
      </c>
      <c r="CN307">
        <v>99.058248628525988</v>
      </c>
      <c r="CO307" s="82">
        <f t="shared" si="95"/>
        <v>-0.21557040939430294</v>
      </c>
      <c r="CP307">
        <v>262.5</v>
      </c>
      <c r="CQ307">
        <v>98529.847291657745</v>
      </c>
      <c r="CR307" t="s">
        <v>82</v>
      </c>
      <c r="CS307">
        <v>262.5</v>
      </c>
      <c r="CT307">
        <v>99.912731885431114</v>
      </c>
      <c r="CU307" s="82">
        <f t="shared" si="96"/>
        <v>-0.20334694012788646</v>
      </c>
      <c r="CV307">
        <v>262.5</v>
      </c>
      <c r="CW307">
        <v>95043.354810536533</v>
      </c>
      <c r="CX307" t="s">
        <v>82</v>
      </c>
      <c r="CY307">
        <v>262.5</v>
      </c>
      <c r="CZ307">
        <v>100.69553278711412</v>
      </c>
      <c r="DA307" s="82">
        <f t="shared" si="97"/>
        <v>-0.19171778218114355</v>
      </c>
      <c r="DB307">
        <v>262.5</v>
      </c>
      <c r="DC307">
        <v>91834.258157272721</v>
      </c>
      <c r="DD307" t="s">
        <v>82</v>
      </c>
      <c r="DG307" s="82">
        <f t="shared" si="98"/>
        <v>0</v>
      </c>
      <c r="DM307" s="82">
        <f t="shared" si="99"/>
        <v>0</v>
      </c>
    </row>
    <row r="308" spans="1:117" x14ac:dyDescent="0.2">
      <c r="A308">
        <v>263.5</v>
      </c>
      <c r="B308">
        <v>90.002826127077839</v>
      </c>
      <c r="C308" s="82">
        <f t="shared" si="80"/>
        <v>3.7453165876399908E-4</v>
      </c>
      <c r="D308">
        <v>263.5</v>
      </c>
      <c r="E308">
        <v>10899.485160845881</v>
      </c>
      <c r="F308" t="s">
        <v>82</v>
      </c>
      <c r="G308">
        <v>263.5</v>
      </c>
      <c r="H308">
        <v>90.000012153464979</v>
      </c>
      <c r="I308" s="82">
        <f t="shared" si="81"/>
        <v>1.7468736106138749E-3</v>
      </c>
      <c r="J308">
        <v>263.5</v>
      </c>
      <c r="K308">
        <v>11479.269163628675</v>
      </c>
      <c r="L308" t="s">
        <v>82</v>
      </c>
      <c r="M308">
        <v>263.5</v>
      </c>
      <c r="N308">
        <v>89.991239197089058</v>
      </c>
      <c r="O308" s="82">
        <f t="shared" si="82"/>
        <v>4.1152371998549597E-3</v>
      </c>
      <c r="P308">
        <v>263.5</v>
      </c>
      <c r="Q308">
        <v>12354.918159314973</v>
      </c>
      <c r="R308" t="s">
        <v>82</v>
      </c>
      <c r="S308">
        <v>263.5</v>
      </c>
      <c r="T308">
        <v>89.973034538151964</v>
      </c>
      <c r="U308" s="82">
        <f t="shared" si="83"/>
        <v>6.8667218300788591E-3</v>
      </c>
      <c r="V308">
        <v>263.5</v>
      </c>
      <c r="W308">
        <v>13447.212408148323</v>
      </c>
      <c r="X308" t="s">
        <v>82</v>
      </c>
      <c r="Y308">
        <v>263.5</v>
      </c>
      <c r="Z308">
        <v>89.946841653460851</v>
      </c>
      <c r="AA308" s="82">
        <f t="shared" si="84"/>
        <v>6.938053820249479E-3</v>
      </c>
      <c r="AB308">
        <v>263.5</v>
      </c>
      <c r="AC308">
        <v>14072.291616256614</v>
      </c>
      <c r="AD308" t="s">
        <v>82</v>
      </c>
      <c r="AE308">
        <v>263.5</v>
      </c>
      <c r="AF308">
        <v>89.933554734657037</v>
      </c>
      <c r="AG308" s="82">
        <f t="shared" si="85"/>
        <v>-4.0135632197433324E-3</v>
      </c>
      <c r="AH308">
        <v>263.5</v>
      </c>
      <c r="AI308">
        <v>13178.656300546616</v>
      </c>
      <c r="AJ308" t="s">
        <v>82</v>
      </c>
      <c r="AK308">
        <v>263.5</v>
      </c>
      <c r="AL308">
        <v>90.003294794861674</v>
      </c>
      <c r="AM308" s="82">
        <f t="shared" si="86"/>
        <v>-4.1377605198675838E-2</v>
      </c>
      <c r="AN308">
        <v>263.5</v>
      </c>
      <c r="AO308">
        <v>24329.547676591352</v>
      </c>
      <c r="AP308" t="s">
        <v>82</v>
      </c>
      <c r="AQ308">
        <v>263.5</v>
      </c>
      <c r="AR308">
        <v>90.30314951817887</v>
      </c>
      <c r="AS308" s="82">
        <f t="shared" si="87"/>
        <v>-0.11801175322318613</v>
      </c>
      <c r="AT308">
        <v>263.5</v>
      </c>
      <c r="AU308">
        <v>51538.752881303786</v>
      </c>
      <c r="AV308" t="s">
        <v>82</v>
      </c>
      <c r="AW308">
        <v>263.5</v>
      </c>
      <c r="AX308">
        <v>90.99634178087318</v>
      </c>
      <c r="AY308" s="82">
        <f t="shared" si="88"/>
        <v>-0.20066196156348326</v>
      </c>
      <c r="AZ308">
        <v>263.5</v>
      </c>
      <c r="BA308">
        <v>83847.404295677363</v>
      </c>
      <c r="BB308" t="s">
        <v>82</v>
      </c>
      <c r="BC308">
        <v>263.5</v>
      </c>
      <c r="BD308">
        <v>92.018050487532591</v>
      </c>
      <c r="BE308" s="82">
        <f t="shared" si="89"/>
        <v>-0.24462458994338476</v>
      </c>
      <c r="BF308">
        <v>263.5</v>
      </c>
      <c r="BG308">
        <v>102247.33128514861</v>
      </c>
      <c r="BH308" t="s">
        <v>82</v>
      </c>
      <c r="BI308">
        <v>263.5</v>
      </c>
      <c r="BJ308">
        <v>93.210827824631977</v>
      </c>
      <c r="BK308" s="82">
        <f t="shared" si="90"/>
        <v>-0.26142987686263552</v>
      </c>
      <c r="BL308">
        <v>263.5</v>
      </c>
      <c r="BM308">
        <v>110060.18624174625</v>
      </c>
      <c r="BN308" t="s">
        <v>82</v>
      </c>
      <c r="BO308">
        <v>263.5</v>
      </c>
      <c r="BP308">
        <v>94.461660782948613</v>
      </c>
      <c r="BQ308" s="82">
        <f t="shared" si="91"/>
        <v>-0.26197691610060758</v>
      </c>
      <c r="BR308">
        <v>263.5</v>
      </c>
      <c r="BS308">
        <v>111539.90575815662</v>
      </c>
      <c r="BT308" t="s">
        <v>82</v>
      </c>
      <c r="BU308">
        <v>263.5</v>
      </c>
      <c r="BV308">
        <v>95.69306657626683</v>
      </c>
      <c r="BW308" s="82">
        <f t="shared" si="92"/>
        <v>-0.25364119237760008</v>
      </c>
      <c r="BX308">
        <v>263.5</v>
      </c>
      <c r="BY308">
        <v>109570.06427593573</v>
      </c>
      <c r="BZ308" t="s">
        <v>82</v>
      </c>
      <c r="CA308">
        <v>263.5</v>
      </c>
      <c r="CB308">
        <v>96.838074036745397</v>
      </c>
      <c r="CC308" s="82">
        <f t="shared" si="93"/>
        <v>-0.24166534364451309</v>
      </c>
      <c r="CD308">
        <v>263.5</v>
      </c>
      <c r="CE308">
        <v>106162.49684015087</v>
      </c>
      <c r="CF308" t="s">
        <v>82</v>
      </c>
      <c r="CG308">
        <v>263.5</v>
      </c>
      <c r="CH308">
        <v>97.887404884768529</v>
      </c>
      <c r="CI308" s="82">
        <f t="shared" si="94"/>
        <v>-0.22864535155272847</v>
      </c>
      <c r="CJ308">
        <v>263.5</v>
      </c>
      <c r="CK308">
        <v>102345.08822856215</v>
      </c>
      <c r="CL308" t="s">
        <v>82</v>
      </c>
      <c r="CM308">
        <v>263.5</v>
      </c>
      <c r="CN308">
        <v>98.842462743602439</v>
      </c>
      <c r="CO308" s="82">
        <f t="shared" si="95"/>
        <v>-0.21578588492354811</v>
      </c>
      <c r="CP308">
        <v>263.5</v>
      </c>
      <c r="CQ308">
        <v>98597.47436626062</v>
      </c>
      <c r="CR308" t="s">
        <v>82</v>
      </c>
      <c r="CS308">
        <v>263.5</v>
      </c>
      <c r="CT308">
        <v>99.709147715168783</v>
      </c>
      <c r="CU308" s="82">
        <f t="shared" si="96"/>
        <v>-0.20358417026233155</v>
      </c>
      <c r="CV308">
        <v>263.5</v>
      </c>
      <c r="CW308">
        <v>95119.046483126192</v>
      </c>
      <c r="CX308" t="s">
        <v>82</v>
      </c>
      <c r="CY308">
        <v>263.5</v>
      </c>
      <c r="CZ308">
        <v>100.50357774565659</v>
      </c>
      <c r="DA308" s="82">
        <f t="shared" si="97"/>
        <v>-0.19195504145753262</v>
      </c>
      <c r="DB308">
        <v>263.5</v>
      </c>
      <c r="DC308">
        <v>91909.505570691646</v>
      </c>
      <c r="DD308" t="s">
        <v>82</v>
      </c>
      <c r="DG308" s="82">
        <f t="shared" si="98"/>
        <v>0</v>
      </c>
      <c r="DM308" s="82">
        <f t="shared" si="99"/>
        <v>0</v>
      </c>
    </row>
    <row r="309" spans="1:117" x14ac:dyDescent="0.2">
      <c r="A309">
        <v>264.5</v>
      </c>
      <c r="B309">
        <v>90.002955745867212</v>
      </c>
      <c r="C309" s="82">
        <f t="shared" si="80"/>
        <v>1.2961878937289839E-4</v>
      </c>
      <c r="D309">
        <v>264.5</v>
      </c>
      <c r="E309">
        <v>10846.872394746264</v>
      </c>
      <c r="F309" t="s">
        <v>82</v>
      </c>
      <c r="G309">
        <v>264.5</v>
      </c>
      <c r="H309">
        <v>90.001243418450329</v>
      </c>
      <c r="I309" s="82">
        <f t="shared" si="81"/>
        <v>1.2312649853498669E-3</v>
      </c>
      <c r="J309">
        <v>264.5</v>
      </c>
      <c r="K309">
        <v>11365.192839779131</v>
      </c>
      <c r="L309" t="s">
        <v>82</v>
      </c>
      <c r="M309">
        <v>264.5</v>
      </c>
      <c r="N309">
        <v>89.99455618261085</v>
      </c>
      <c r="O309" s="82">
        <f t="shared" si="82"/>
        <v>3.3169855217920485E-3</v>
      </c>
      <c r="P309">
        <v>264.5</v>
      </c>
      <c r="Q309">
        <v>12163.021586766934</v>
      </c>
      <c r="R309" t="s">
        <v>82</v>
      </c>
      <c r="S309">
        <v>264.5</v>
      </c>
      <c r="T309">
        <v>89.979152926543932</v>
      </c>
      <c r="U309" s="82">
        <f t="shared" si="83"/>
        <v>6.1183883919682103E-3</v>
      </c>
      <c r="V309">
        <v>264.5</v>
      </c>
      <c r="W309">
        <v>13237.171155124062</v>
      </c>
      <c r="X309" t="s">
        <v>82</v>
      </c>
      <c r="Y309">
        <v>264.5</v>
      </c>
      <c r="Z309">
        <v>89.954251750366737</v>
      </c>
      <c r="AA309" s="82">
        <f t="shared" si="84"/>
        <v>7.410096905886121E-3</v>
      </c>
      <c r="AB309">
        <v>264.5</v>
      </c>
      <c r="AC309">
        <v>14119.705258954988</v>
      </c>
      <c r="AD309" t="s">
        <v>82</v>
      </c>
      <c r="AE309">
        <v>264.5</v>
      </c>
      <c r="AF309">
        <v>89.933893151852971</v>
      </c>
      <c r="AG309" s="82">
        <f t="shared" si="85"/>
        <v>3.3841719593397102E-4</v>
      </c>
      <c r="AH309">
        <v>264.5</v>
      </c>
      <c r="AI309">
        <v>13171.861164155946</v>
      </c>
      <c r="AJ309" t="s">
        <v>82</v>
      </c>
      <c r="AK309">
        <v>264.5</v>
      </c>
      <c r="AL309">
        <v>89.974081407021103</v>
      </c>
      <c r="AM309" s="82">
        <f t="shared" si="86"/>
        <v>-2.9213387840570704E-2</v>
      </c>
      <c r="AN309">
        <v>264.5</v>
      </c>
      <c r="AO309">
        <v>20354.575663437321</v>
      </c>
      <c r="AP309" t="s">
        <v>82</v>
      </c>
      <c r="AQ309">
        <v>264.5</v>
      </c>
      <c r="AR309">
        <v>90.205962383875061</v>
      </c>
      <c r="AS309" s="82">
        <f t="shared" si="87"/>
        <v>-9.7187134303808875E-2</v>
      </c>
      <c r="AT309">
        <v>264.5</v>
      </c>
      <c r="AU309">
        <v>44125.66768104439</v>
      </c>
      <c r="AV309" t="s">
        <v>82</v>
      </c>
      <c r="AW309">
        <v>264.5</v>
      </c>
      <c r="AX309">
        <v>90.811297123210252</v>
      </c>
      <c r="AY309" s="82">
        <f t="shared" si="88"/>
        <v>-0.1850446576629281</v>
      </c>
      <c r="AZ309">
        <v>264.5</v>
      </c>
      <c r="BA309">
        <v>77701.612302678288</v>
      </c>
      <c r="BB309" t="s">
        <v>82</v>
      </c>
      <c r="BC309">
        <v>264.5</v>
      </c>
      <c r="BD309">
        <v>91.781776144694732</v>
      </c>
      <c r="BE309" s="82">
        <f t="shared" si="89"/>
        <v>-0.23627434283785931</v>
      </c>
      <c r="BF309">
        <v>264.5</v>
      </c>
      <c r="BG309">
        <v>98947.478828957581</v>
      </c>
      <c r="BH309" t="s">
        <v>82</v>
      </c>
      <c r="BI309">
        <v>264.5</v>
      </c>
      <c r="BJ309">
        <v>92.953509761169897</v>
      </c>
      <c r="BK309" s="82">
        <f t="shared" si="90"/>
        <v>-0.25731806346207975</v>
      </c>
      <c r="BL309">
        <v>264.5</v>
      </c>
      <c r="BM309">
        <v>108425.59759138987</v>
      </c>
      <c r="BN309" t="s">
        <v>82</v>
      </c>
      <c r="BO309">
        <v>264.5</v>
      </c>
      <c r="BP309">
        <v>94.201480715570412</v>
      </c>
      <c r="BQ309" s="82">
        <f t="shared" si="91"/>
        <v>-0.26018006737820087</v>
      </c>
      <c r="BR309">
        <v>264.5</v>
      </c>
      <c r="BS309">
        <v>110816.34798473363</v>
      </c>
      <c r="BT309" t="s">
        <v>82</v>
      </c>
      <c r="BU309">
        <v>264.5</v>
      </c>
      <c r="BV309">
        <v>95.440060627371707</v>
      </c>
      <c r="BW309" s="82">
        <f t="shared" si="92"/>
        <v>-0.2530059488951224</v>
      </c>
      <c r="BX309">
        <v>264.5</v>
      </c>
      <c r="BY309">
        <v>109303.97993064825</v>
      </c>
      <c r="BZ309" t="s">
        <v>82</v>
      </c>
      <c r="CA309">
        <v>264.5</v>
      </c>
      <c r="CB309">
        <v>96.596515245913082</v>
      </c>
      <c r="CC309" s="82">
        <f t="shared" si="93"/>
        <v>-0.24155879083231468</v>
      </c>
      <c r="CD309">
        <v>264.5</v>
      </c>
      <c r="CE309">
        <v>106104.49256569752</v>
      </c>
      <c r="CF309" t="s">
        <v>82</v>
      </c>
      <c r="CG309">
        <v>264.5</v>
      </c>
      <c r="CH309">
        <v>97.658642012496713</v>
      </c>
      <c r="CI309" s="82">
        <f t="shared" si="94"/>
        <v>-0.22876287227181535</v>
      </c>
      <c r="CJ309">
        <v>264.5</v>
      </c>
      <c r="CK309">
        <v>102374.96401934014</v>
      </c>
      <c r="CL309" t="s">
        <v>82</v>
      </c>
      <c r="CM309">
        <v>264.5</v>
      </c>
      <c r="CN309">
        <v>98.626473305051164</v>
      </c>
      <c r="CO309" s="82">
        <f t="shared" si="95"/>
        <v>-0.21598943855127573</v>
      </c>
      <c r="CP309">
        <v>264.5</v>
      </c>
      <c r="CQ309">
        <v>98660.736845466978</v>
      </c>
      <c r="CR309" t="s">
        <v>82</v>
      </c>
      <c r="CS309">
        <v>264.5</v>
      </c>
      <c r="CT309">
        <v>99.505333140828284</v>
      </c>
      <c r="CU309" s="82">
        <f t="shared" si="96"/>
        <v>-0.20381457434049821</v>
      </c>
      <c r="CV309">
        <v>264.5</v>
      </c>
      <c r="CW309">
        <v>95192.364455902527</v>
      </c>
      <c r="CX309" t="s">
        <v>82</v>
      </c>
      <c r="CY309">
        <v>264.5</v>
      </c>
      <c r="CZ309">
        <v>100.31138997308247</v>
      </c>
      <c r="DA309" s="82">
        <f t="shared" si="97"/>
        <v>-0.19218777257411546</v>
      </c>
      <c r="DB309">
        <v>264.5</v>
      </c>
      <c r="DC309">
        <v>91983.261434802145</v>
      </c>
      <c r="DD309" t="s">
        <v>82</v>
      </c>
      <c r="DG309" s="82">
        <f t="shared" si="98"/>
        <v>0</v>
      </c>
      <c r="DM309" s="82">
        <f t="shared" si="99"/>
        <v>0</v>
      </c>
    </row>
    <row r="310" spans="1:117" x14ac:dyDescent="0.2">
      <c r="A310">
        <v>265.5</v>
      </c>
      <c r="B310">
        <v>90.002906366459811</v>
      </c>
      <c r="C310" s="82">
        <f t="shared" si="80"/>
        <v>-4.9379407400351738E-5</v>
      </c>
      <c r="D310">
        <v>265.5</v>
      </c>
      <c r="E310">
        <v>10854.639609431222</v>
      </c>
      <c r="F310" t="s">
        <v>82</v>
      </c>
      <c r="G310">
        <v>265.5</v>
      </c>
      <c r="H310">
        <v>90.002052456110661</v>
      </c>
      <c r="I310" s="82">
        <f t="shared" si="81"/>
        <v>8.0903766033202373E-4</v>
      </c>
      <c r="J310">
        <v>265.5</v>
      </c>
      <c r="K310">
        <v>11272.294669881047</v>
      </c>
      <c r="L310" t="s">
        <v>82</v>
      </c>
      <c r="M310">
        <v>265.5</v>
      </c>
      <c r="N310">
        <v>89.997152781288491</v>
      </c>
      <c r="O310" s="82">
        <f t="shared" si="82"/>
        <v>2.5965986776412819E-3</v>
      </c>
      <c r="P310">
        <v>265.5</v>
      </c>
      <c r="Q310">
        <v>11993.320400993907</v>
      </c>
      <c r="R310" t="s">
        <v>82</v>
      </c>
      <c r="S310">
        <v>265.5</v>
      </c>
      <c r="T310">
        <v>89.984453295345787</v>
      </c>
      <c r="U310" s="82">
        <f t="shared" si="83"/>
        <v>5.3003688018549155E-3</v>
      </c>
      <c r="V310">
        <v>265.5</v>
      </c>
      <c r="W310">
        <v>13019.221436100433</v>
      </c>
      <c r="X310" t="s">
        <v>82</v>
      </c>
      <c r="Y310">
        <v>265.5</v>
      </c>
      <c r="Z310">
        <v>89.961641558101874</v>
      </c>
      <c r="AA310" s="82">
        <f t="shared" si="84"/>
        <v>7.3898077351373104E-3</v>
      </c>
      <c r="AB310">
        <v>265.5</v>
      </c>
      <c r="AC310">
        <v>14057.429777187317</v>
      </c>
      <c r="AD310" t="s">
        <v>82</v>
      </c>
      <c r="AE310">
        <v>265.5</v>
      </c>
      <c r="AF310">
        <v>89.937274562793647</v>
      </c>
      <c r="AG310" s="82">
        <f t="shared" si="85"/>
        <v>3.3814109406762327E-3</v>
      </c>
      <c r="AH310">
        <v>265.5</v>
      </c>
      <c r="AI310">
        <v>13802.277869791904</v>
      </c>
      <c r="AJ310" t="s">
        <v>82</v>
      </c>
      <c r="AK310">
        <v>265.5</v>
      </c>
      <c r="AL310">
        <v>89.954798121631669</v>
      </c>
      <c r="AM310" s="82">
        <f t="shared" si="86"/>
        <v>-1.9283285389434468E-2</v>
      </c>
      <c r="AN310">
        <v>265.5</v>
      </c>
      <c r="AO310">
        <v>17340.641415147231</v>
      </c>
      <c r="AP310" t="s">
        <v>82</v>
      </c>
      <c r="AQ310">
        <v>265.5</v>
      </c>
      <c r="AR310">
        <v>90.127998710484675</v>
      </c>
      <c r="AS310" s="82">
        <f t="shared" si="87"/>
        <v>-7.7963673390385679E-2</v>
      </c>
      <c r="AT310">
        <v>265.5</v>
      </c>
      <c r="AU310">
        <v>37404.934306001684</v>
      </c>
      <c r="AV310" t="s">
        <v>82</v>
      </c>
      <c r="AW310">
        <v>265.5</v>
      </c>
      <c r="AX310">
        <v>90.643737467888727</v>
      </c>
      <c r="AY310" s="82">
        <f t="shared" si="88"/>
        <v>-0.16755965532152572</v>
      </c>
      <c r="AZ310">
        <v>265.5</v>
      </c>
      <c r="BA310">
        <v>70825.619948765801</v>
      </c>
      <c r="BB310" t="s">
        <v>82</v>
      </c>
      <c r="BC310">
        <v>265.5</v>
      </c>
      <c r="BD310">
        <v>91.554898427489306</v>
      </c>
      <c r="BE310" s="82">
        <f t="shared" si="89"/>
        <v>-0.22687771720542571</v>
      </c>
      <c r="BF310">
        <v>265.5</v>
      </c>
      <c r="BG310">
        <v>95236.194863990473</v>
      </c>
      <c r="BH310" t="s">
        <v>82</v>
      </c>
      <c r="BI310">
        <v>265.5</v>
      </c>
      <c r="BJ310">
        <v>92.700855085459139</v>
      </c>
      <c r="BK310" s="82">
        <f t="shared" si="90"/>
        <v>-0.25265467571075817</v>
      </c>
      <c r="BL310">
        <v>265.5</v>
      </c>
      <c r="BM310">
        <v>106573.80927718825</v>
      </c>
      <c r="BN310" t="s">
        <v>82</v>
      </c>
      <c r="BO310">
        <v>265.5</v>
      </c>
      <c r="BP310">
        <v>93.943369518164843</v>
      </c>
      <c r="BQ310" s="82">
        <f t="shared" si="91"/>
        <v>-0.25811119740556876</v>
      </c>
      <c r="BR310">
        <v>265.5</v>
      </c>
      <c r="BS310">
        <v>109985.71315302662</v>
      </c>
      <c r="BT310" t="s">
        <v>82</v>
      </c>
      <c r="BU310">
        <v>265.5</v>
      </c>
      <c r="BV310">
        <v>95.187816459984404</v>
      </c>
      <c r="BW310" s="82">
        <f t="shared" si="92"/>
        <v>-0.25224416738730326</v>
      </c>
      <c r="BX310">
        <v>265.5</v>
      </c>
      <c r="BY310">
        <v>108988.24384732367</v>
      </c>
      <c r="BZ310" t="s">
        <v>82</v>
      </c>
      <c r="CA310">
        <v>265.5</v>
      </c>
      <c r="CB310">
        <v>96.355120437945146</v>
      </c>
      <c r="CC310" s="82">
        <f t="shared" si="93"/>
        <v>-0.24139480796793578</v>
      </c>
      <c r="CD310">
        <v>265.5</v>
      </c>
      <c r="CE310">
        <v>106024.1486073323</v>
      </c>
      <c r="CF310" t="s">
        <v>82</v>
      </c>
      <c r="CG310">
        <v>265.5</v>
      </c>
      <c r="CH310">
        <v>97.429787932928889</v>
      </c>
      <c r="CI310" s="82">
        <f t="shared" si="94"/>
        <v>-0.22885407956782444</v>
      </c>
      <c r="CJ310">
        <v>265.5</v>
      </c>
      <c r="CK310">
        <v>102394.7979548786</v>
      </c>
      <c r="CL310" t="s">
        <v>82</v>
      </c>
      <c r="CM310">
        <v>265.5</v>
      </c>
      <c r="CN310">
        <v>98.410293197568066</v>
      </c>
      <c r="CO310" s="82">
        <f t="shared" si="95"/>
        <v>-0.21618010748309757</v>
      </c>
      <c r="CP310">
        <v>265.5</v>
      </c>
      <c r="CQ310">
        <v>98719.25228710573</v>
      </c>
      <c r="CR310" t="s">
        <v>82</v>
      </c>
      <c r="CS310">
        <v>265.5</v>
      </c>
      <c r="CT310">
        <v>99.301295351640277</v>
      </c>
      <c r="CU310" s="82">
        <f t="shared" si="96"/>
        <v>-0.20403778918800697</v>
      </c>
      <c r="CV310">
        <v>265.5</v>
      </c>
      <c r="CW310">
        <v>95263.165003362781</v>
      </c>
      <c r="CX310" t="s">
        <v>82</v>
      </c>
      <c r="CY310">
        <v>265.5</v>
      </c>
      <c r="CZ310">
        <v>100.11897413465073</v>
      </c>
      <c r="DA310" s="82">
        <f t="shared" si="97"/>
        <v>-0.19241583843174226</v>
      </c>
      <c r="DB310">
        <v>265.5</v>
      </c>
      <c r="DC310">
        <v>92055.472203486468</v>
      </c>
      <c r="DD310" t="s">
        <v>82</v>
      </c>
      <c r="DG310" s="82">
        <f t="shared" si="98"/>
        <v>0</v>
      </c>
      <c r="DM310" s="82">
        <f t="shared" si="99"/>
        <v>0</v>
      </c>
    </row>
    <row r="311" spans="1:117" x14ac:dyDescent="0.2">
      <c r="A311">
        <v>266.5</v>
      </c>
      <c r="B311">
        <v>90.002733026552065</v>
      </c>
      <c r="C311" s="82">
        <f t="shared" si="80"/>
        <v>-1.7333990774659469E-4</v>
      </c>
      <c r="D311">
        <v>266.5</v>
      </c>
      <c r="E311">
        <v>10868.942781065944</v>
      </c>
      <c r="F311" t="s">
        <v>82</v>
      </c>
      <c r="G311">
        <v>266.5</v>
      </c>
      <c r="H311">
        <v>90.002525216930664</v>
      </c>
      <c r="I311" s="82">
        <f t="shared" si="81"/>
        <v>4.7276082000280439E-4</v>
      </c>
      <c r="J311">
        <v>266.5</v>
      </c>
      <c r="K311">
        <v>11198.217577682224</v>
      </c>
      <c r="L311" t="s">
        <v>82</v>
      </c>
      <c r="M311">
        <v>266.5</v>
      </c>
      <c r="N311">
        <v>89.999118139956366</v>
      </c>
      <c r="O311" s="82">
        <f t="shared" si="82"/>
        <v>1.965358667874284E-3</v>
      </c>
      <c r="P311">
        <v>266.5</v>
      </c>
      <c r="Q311">
        <v>11846.952200421256</v>
      </c>
      <c r="R311" t="s">
        <v>82</v>
      </c>
      <c r="S311">
        <v>266.5</v>
      </c>
      <c r="T311">
        <v>89.988925480554812</v>
      </c>
      <c r="U311" s="82">
        <f t="shared" si="83"/>
        <v>4.4721852090248149E-3</v>
      </c>
      <c r="V311">
        <v>266.5</v>
      </c>
      <c r="W311">
        <v>12806.417623335377</v>
      </c>
      <c r="X311" t="s">
        <v>82</v>
      </c>
      <c r="Y311">
        <v>266.5</v>
      </c>
      <c r="Z311">
        <v>89.968665658353743</v>
      </c>
      <c r="AA311" s="82">
        <f t="shared" si="84"/>
        <v>7.0241002518685036E-3</v>
      </c>
      <c r="AB311">
        <v>266.5</v>
      </c>
      <c r="AC311">
        <v>13920.913483500472</v>
      </c>
      <c r="AD311" t="s">
        <v>82</v>
      </c>
      <c r="AE311">
        <v>266.5</v>
      </c>
      <c r="AF311">
        <v>89.942634264822303</v>
      </c>
      <c r="AG311" s="82">
        <f t="shared" si="85"/>
        <v>5.3597020286559882E-3</v>
      </c>
      <c r="AH311">
        <v>266.5</v>
      </c>
      <c r="AI311">
        <v>14196.711644732564</v>
      </c>
      <c r="AJ311" t="s">
        <v>82</v>
      </c>
      <c r="AK311">
        <v>266.5</v>
      </c>
      <c r="AL311">
        <v>89.943404480368415</v>
      </c>
      <c r="AM311" s="82">
        <f t="shared" si="86"/>
        <v>-1.139364126325404E-2</v>
      </c>
      <c r="AN311">
        <v>266.5</v>
      </c>
      <c r="AO311">
        <v>15381.776208925743</v>
      </c>
      <c r="AP311" t="s">
        <v>82</v>
      </c>
      <c r="AQ311">
        <v>266.5</v>
      </c>
      <c r="AR311">
        <v>90.067222920997267</v>
      </c>
      <c r="AS311" s="82">
        <f t="shared" si="87"/>
        <v>-6.077578948740836E-2</v>
      </c>
      <c r="AT311">
        <v>266.5</v>
      </c>
      <c r="AU311">
        <v>31499.004672695017</v>
      </c>
      <c r="AV311" t="s">
        <v>82</v>
      </c>
      <c r="AW311">
        <v>266.5</v>
      </c>
      <c r="AX311">
        <v>90.495749331261081</v>
      </c>
      <c r="AY311" s="82">
        <f t="shared" si="88"/>
        <v>-0.14798813662764587</v>
      </c>
      <c r="AZ311">
        <v>266.5</v>
      </c>
      <c r="BA311">
        <v>63341.69859646335</v>
      </c>
      <c r="BB311" t="s">
        <v>82</v>
      </c>
      <c r="BC311">
        <v>266.5</v>
      </c>
      <c r="BD311">
        <v>91.33858921289179</v>
      </c>
      <c r="BE311" s="82">
        <f t="shared" si="89"/>
        <v>-0.21630921459751562</v>
      </c>
      <c r="BF311">
        <v>266.5</v>
      </c>
      <c r="BG311">
        <v>91064.245881694223</v>
      </c>
      <c r="BH311" t="s">
        <v>82</v>
      </c>
      <c r="BI311">
        <v>266.5</v>
      </c>
      <c r="BJ311">
        <v>92.453482872783312</v>
      </c>
      <c r="BK311" s="82">
        <f t="shared" si="90"/>
        <v>-0.24737221267582754</v>
      </c>
      <c r="BL311">
        <v>266.5</v>
      </c>
      <c r="BM311">
        <v>104478.18794234245</v>
      </c>
      <c r="BN311" t="s">
        <v>82</v>
      </c>
      <c r="BO311">
        <v>266.5</v>
      </c>
      <c r="BP311">
        <v>93.687632931234219</v>
      </c>
      <c r="BQ311" s="82">
        <f t="shared" si="91"/>
        <v>-0.25573658693062384</v>
      </c>
      <c r="BR311">
        <v>266.5</v>
      </c>
      <c r="BS311">
        <v>109034.65940869252</v>
      </c>
      <c r="BT311" t="s">
        <v>82</v>
      </c>
      <c r="BU311">
        <v>266.5</v>
      </c>
      <c r="BV311">
        <v>94.936476242001163</v>
      </c>
      <c r="BW311" s="82">
        <f t="shared" si="92"/>
        <v>-0.25134021798324113</v>
      </c>
      <c r="BX311">
        <v>266.5</v>
      </c>
      <c r="BY311">
        <v>108616.65868909458</v>
      </c>
      <c r="BZ311" t="s">
        <v>82</v>
      </c>
      <c r="CA311">
        <v>266.5</v>
      </c>
      <c r="CB311">
        <v>96.113953869179355</v>
      </c>
      <c r="CC311" s="82">
        <f t="shared" si="93"/>
        <v>-0.24116656876579157</v>
      </c>
      <c r="CD311">
        <v>266.5</v>
      </c>
      <c r="CE311">
        <v>105918.75384074784</v>
      </c>
      <c r="CF311" t="s">
        <v>82</v>
      </c>
      <c r="CG311">
        <v>266.5</v>
      </c>
      <c r="CH311">
        <v>97.200871771222779</v>
      </c>
      <c r="CI311" s="82">
        <f t="shared" si="94"/>
        <v>-0.22891616170610973</v>
      </c>
      <c r="CJ311">
        <v>266.5</v>
      </c>
      <c r="CK311">
        <v>102403.47208399397</v>
      </c>
      <c r="CL311" t="s">
        <v>82</v>
      </c>
      <c r="CM311">
        <v>266.5</v>
      </c>
      <c r="CN311">
        <v>98.193936403362954</v>
      </c>
      <c r="CO311" s="82">
        <f t="shared" si="95"/>
        <v>-0.21635679420511167</v>
      </c>
      <c r="CP311">
        <v>266.5</v>
      </c>
      <c r="CQ311">
        <v>98772.584379696375</v>
      </c>
      <c r="CR311" t="s">
        <v>82</v>
      </c>
      <c r="CS311">
        <v>266.5</v>
      </c>
      <c r="CT311">
        <v>99.097041949064163</v>
      </c>
      <c r="CU311" s="82">
        <f t="shared" si="96"/>
        <v>-0.20425340257611424</v>
      </c>
      <c r="CV311">
        <v>266.5</v>
      </c>
      <c r="CW311">
        <v>95331.284841771354</v>
      </c>
      <c r="CX311" t="s">
        <v>82</v>
      </c>
      <c r="CY311">
        <v>266.5</v>
      </c>
      <c r="CZ311">
        <v>99.926335048977947</v>
      </c>
      <c r="DA311" s="82">
        <f t="shared" si="97"/>
        <v>-0.19263908567278065</v>
      </c>
      <c r="DB311">
        <v>266.5</v>
      </c>
      <c r="DC311">
        <v>92126.077762111352</v>
      </c>
      <c r="DD311" t="s">
        <v>82</v>
      </c>
      <c r="DG311" s="82">
        <f t="shared" si="98"/>
        <v>0</v>
      </c>
      <c r="DM311" s="82">
        <f t="shared" si="99"/>
        <v>0</v>
      </c>
    </row>
    <row r="312" spans="1:117" x14ac:dyDescent="0.2">
      <c r="A312">
        <v>267.5</v>
      </c>
      <c r="B312">
        <v>90.002480468133442</v>
      </c>
      <c r="C312" s="82">
        <f t="shared" si="80"/>
        <v>-2.5255841862303896E-4</v>
      </c>
      <c r="D312">
        <v>267.5</v>
      </c>
      <c r="E312">
        <v>10874.80185971625</v>
      </c>
      <c r="F312" t="s">
        <v>82</v>
      </c>
      <c r="G312">
        <v>267.5</v>
      </c>
      <c r="H312">
        <v>90.002738321196446</v>
      </c>
      <c r="I312" s="82">
        <f t="shared" si="81"/>
        <v>2.1310426578224906E-4</v>
      </c>
      <c r="J312">
        <v>267.5</v>
      </c>
      <c r="K312">
        <v>11140.433432076703</v>
      </c>
      <c r="L312" t="s">
        <v>82</v>
      </c>
      <c r="M312">
        <v>267.5</v>
      </c>
      <c r="N312">
        <v>90.000545115684716</v>
      </c>
      <c r="O312" s="82">
        <f t="shared" si="82"/>
        <v>1.4269757283500439E-3</v>
      </c>
      <c r="P312">
        <v>267.5</v>
      </c>
      <c r="Q312">
        <v>11723.507995771892</v>
      </c>
      <c r="R312" t="s">
        <v>82</v>
      </c>
      <c r="S312">
        <v>267.5</v>
      </c>
      <c r="T312">
        <v>89.992601714025753</v>
      </c>
      <c r="U312" s="82">
        <f t="shared" si="83"/>
        <v>3.6762334709408151E-3</v>
      </c>
      <c r="V312">
        <v>267.5</v>
      </c>
      <c r="W312">
        <v>12607.45230325937</v>
      </c>
      <c r="X312" t="s">
        <v>82</v>
      </c>
      <c r="Y312">
        <v>267.5</v>
      </c>
      <c r="Z312">
        <v>89.97509841001677</v>
      </c>
      <c r="AA312" s="82">
        <f t="shared" si="84"/>
        <v>6.4327516630271475E-3</v>
      </c>
      <c r="AB312">
        <v>267.5</v>
      </c>
      <c r="AC312">
        <v>13739.06439615391</v>
      </c>
      <c r="AD312" t="s">
        <v>82</v>
      </c>
      <c r="AE312">
        <v>267.5</v>
      </c>
      <c r="AF312">
        <v>89.949129836243173</v>
      </c>
      <c r="AG312" s="82">
        <f t="shared" si="85"/>
        <v>6.4955714208707604E-3</v>
      </c>
      <c r="AH312">
        <v>267.5</v>
      </c>
      <c r="AI312">
        <v>14398.960902762137</v>
      </c>
      <c r="AJ312" t="s">
        <v>82</v>
      </c>
      <c r="AK312">
        <v>267.5</v>
      </c>
      <c r="AL312">
        <v>89.93809287013039</v>
      </c>
      <c r="AM312" s="82">
        <f t="shared" si="86"/>
        <v>-5.3116102380244001E-3</v>
      </c>
      <c r="AN312">
        <v>267.5</v>
      </c>
      <c r="AO312">
        <v>13952.54540033107</v>
      </c>
      <c r="AP312" t="s">
        <v>82</v>
      </c>
      <c r="AQ312">
        <v>267.5</v>
      </c>
      <c r="AR312">
        <v>90.021391229217315</v>
      </c>
      <c r="AS312" s="82">
        <f t="shared" si="87"/>
        <v>-4.5831691779952166E-2</v>
      </c>
      <c r="AT312">
        <v>267.5</v>
      </c>
      <c r="AU312">
        <v>26456.542571763086</v>
      </c>
      <c r="AV312" t="s">
        <v>82</v>
      </c>
      <c r="AW312">
        <v>267.5</v>
      </c>
      <c r="AX312">
        <v>90.368503245989885</v>
      </c>
      <c r="AY312" s="82">
        <f t="shared" si="88"/>
        <v>-0.12724608527119585</v>
      </c>
      <c r="AZ312">
        <v>267.5</v>
      </c>
      <c r="BA312">
        <v>55671.919812299631</v>
      </c>
      <c r="BB312" t="s">
        <v>82</v>
      </c>
      <c r="BC312">
        <v>267.5</v>
      </c>
      <c r="BD312">
        <v>91.134161222490746</v>
      </c>
      <c r="BE312" s="82">
        <f t="shared" si="89"/>
        <v>-0.20442799040104376</v>
      </c>
      <c r="BF312">
        <v>267.5</v>
      </c>
      <c r="BG312">
        <v>86376.485418239754</v>
      </c>
      <c r="BH312" t="s">
        <v>82</v>
      </c>
      <c r="BI312">
        <v>267.5</v>
      </c>
      <c r="BJ312">
        <v>92.212088194565752</v>
      </c>
      <c r="BK312" s="82">
        <f t="shared" si="90"/>
        <v>-0.24139467821756</v>
      </c>
      <c r="BL312">
        <v>267.5</v>
      </c>
      <c r="BM312">
        <v>102108.75985153529</v>
      </c>
      <c r="BN312" t="s">
        <v>82</v>
      </c>
      <c r="BO312">
        <v>267.5</v>
      </c>
      <c r="BP312">
        <v>93.434614784696024</v>
      </c>
      <c r="BQ312" s="82">
        <f t="shared" si="91"/>
        <v>-0.25301814653819577</v>
      </c>
      <c r="BR312">
        <v>267.5</v>
      </c>
      <c r="BS312">
        <v>107948.11716891301</v>
      </c>
      <c r="BT312" t="s">
        <v>82</v>
      </c>
      <c r="BU312">
        <v>267.5</v>
      </c>
      <c r="BV312">
        <v>94.686199857068075</v>
      </c>
      <c r="BW312" s="82">
        <f t="shared" si="92"/>
        <v>-0.25027638493308757</v>
      </c>
      <c r="BX312">
        <v>267.5</v>
      </c>
      <c r="BY312">
        <v>108182.20010060878</v>
      </c>
      <c r="BZ312" t="s">
        <v>82</v>
      </c>
      <c r="CA312">
        <v>267.5</v>
      </c>
      <c r="CB312">
        <v>95.87308755773563</v>
      </c>
      <c r="CC312" s="82">
        <f t="shared" si="93"/>
        <v>-0.24086631144372461</v>
      </c>
      <c r="CD312">
        <v>267.5</v>
      </c>
      <c r="CE312">
        <v>105785.22532942757</v>
      </c>
      <c r="CF312" t="s">
        <v>82</v>
      </c>
      <c r="CG312">
        <v>267.5</v>
      </c>
      <c r="CH312">
        <v>96.971925857639789</v>
      </c>
      <c r="CI312" s="82">
        <f t="shared" si="94"/>
        <v>-0.2289459135829901</v>
      </c>
      <c r="CJ312">
        <v>267.5</v>
      </c>
      <c r="CK312">
        <v>102399.71183334003</v>
      </c>
      <c r="CL312" t="s">
        <v>82</v>
      </c>
      <c r="CM312">
        <v>267.5</v>
      </c>
      <c r="CN312">
        <v>97.977418156765509</v>
      </c>
      <c r="CO312" s="82">
        <f t="shared" si="95"/>
        <v>-0.21651824659744534</v>
      </c>
      <c r="CP312">
        <v>267.5</v>
      </c>
      <c r="CQ312">
        <v>98820.235178267671</v>
      </c>
      <c r="CR312" t="s">
        <v>82</v>
      </c>
      <c r="CS312">
        <v>267.5</v>
      </c>
      <c r="CT312">
        <v>98.892581003326711</v>
      </c>
      <c r="CU312" s="82">
        <f t="shared" si="96"/>
        <v>-0.20446094573745199</v>
      </c>
      <c r="CV312">
        <v>267.5</v>
      </c>
      <c r="CW312">
        <v>95396.538015439277</v>
      </c>
      <c r="CX312" t="s">
        <v>82</v>
      </c>
      <c r="CY312">
        <v>267.5</v>
      </c>
      <c r="CZ312">
        <v>99.733477706870076</v>
      </c>
      <c r="DA312" s="82">
        <f t="shared" si="97"/>
        <v>-0.19285734210787098</v>
      </c>
      <c r="DB312">
        <v>267.5</v>
      </c>
      <c r="DC312">
        <v>92195.010441167062</v>
      </c>
      <c r="DD312" t="s">
        <v>82</v>
      </c>
      <c r="DG312" s="82">
        <f t="shared" si="98"/>
        <v>0</v>
      </c>
      <c r="DM312" s="82">
        <f t="shared" si="99"/>
        <v>0</v>
      </c>
    </row>
    <row r="313" spans="1:117" x14ac:dyDescent="0.2">
      <c r="A313">
        <v>268.5</v>
      </c>
      <c r="B313">
        <v>90.002184037648547</v>
      </c>
      <c r="C313" s="82">
        <f t="shared" si="80"/>
        <v>-2.964304848944721E-4</v>
      </c>
      <c r="D313">
        <v>268.5</v>
      </c>
      <c r="E313">
        <v>10874.085504986939</v>
      </c>
      <c r="F313" t="s">
        <v>82</v>
      </c>
      <c r="G313">
        <v>268.5</v>
      </c>
      <c r="H313">
        <v>90.002758163324714</v>
      </c>
      <c r="I313" s="82">
        <f t="shared" si="81"/>
        <v>1.9842128267555381E-5</v>
      </c>
      <c r="J313">
        <v>268.5</v>
      </c>
      <c r="K313">
        <v>11117.747649077432</v>
      </c>
      <c r="L313" t="s">
        <v>82</v>
      </c>
      <c r="M313">
        <v>268.5</v>
      </c>
      <c r="N313">
        <v>90.001524763474094</v>
      </c>
      <c r="O313" s="82">
        <f t="shared" si="82"/>
        <v>9.7964778937864594E-4</v>
      </c>
      <c r="P313">
        <v>268.5</v>
      </c>
      <c r="Q313">
        <v>11621.563710786657</v>
      </c>
      <c r="R313" t="s">
        <v>82</v>
      </c>
      <c r="S313">
        <v>268.5</v>
      </c>
      <c r="T313">
        <v>89.995542548981192</v>
      </c>
      <c r="U313" s="82">
        <f t="shared" si="83"/>
        <v>2.9408349554387314E-3</v>
      </c>
      <c r="V313">
        <v>268.5</v>
      </c>
      <c r="W313">
        <v>12427.558309325472</v>
      </c>
      <c r="X313" t="s">
        <v>82</v>
      </c>
      <c r="Y313">
        <v>268.5</v>
      </c>
      <c r="Z313">
        <v>89.980809167295504</v>
      </c>
      <c r="AA313" s="82">
        <f t="shared" si="84"/>
        <v>5.7107572787344907E-3</v>
      </c>
      <c r="AB313">
        <v>268.5</v>
      </c>
      <c r="AC313">
        <v>13534.448880086786</v>
      </c>
      <c r="AD313" t="s">
        <v>82</v>
      </c>
      <c r="AE313">
        <v>268.5</v>
      </c>
      <c r="AF313">
        <v>89.956115117921001</v>
      </c>
      <c r="AG313" s="82">
        <f t="shared" si="85"/>
        <v>6.9852816778279703E-3</v>
      </c>
      <c r="AH313">
        <v>268.5</v>
      </c>
      <c r="AI313">
        <v>14453.24689763507</v>
      </c>
      <c r="AJ313" t="s">
        <v>82</v>
      </c>
      <c r="AK313">
        <v>268.5</v>
      </c>
      <c r="AL313">
        <v>89.93730499868667</v>
      </c>
      <c r="AM313" s="82">
        <f t="shared" si="86"/>
        <v>-7.8787144371972317E-4</v>
      </c>
      <c r="AN313">
        <v>268.5</v>
      </c>
      <c r="AO313">
        <v>13364.450015592598</v>
      </c>
      <c r="AP313" t="s">
        <v>82</v>
      </c>
      <c r="AQ313">
        <v>268.5</v>
      </c>
      <c r="AR313">
        <v>89.988220212861748</v>
      </c>
      <c r="AS313" s="82">
        <f t="shared" si="87"/>
        <v>-3.3171016355566962E-2</v>
      </c>
      <c r="AT313">
        <v>268.5</v>
      </c>
      <c r="AU313">
        <v>22271.282018918278</v>
      </c>
      <c r="AV313" t="s">
        <v>82</v>
      </c>
      <c r="AW313">
        <v>268.5</v>
      </c>
      <c r="AX313">
        <v>90.261831708049286</v>
      </c>
      <c r="AY313" s="82">
        <f t="shared" si="88"/>
        <v>-0.10667153794059914</v>
      </c>
      <c r="AZ313">
        <v>268.5</v>
      </c>
      <c r="BA313">
        <v>48247.761538989209</v>
      </c>
      <c r="BB313" t="s">
        <v>82</v>
      </c>
      <c r="BC313">
        <v>268.5</v>
      </c>
      <c r="BD313">
        <v>90.943085251879808</v>
      </c>
      <c r="BE313" s="82">
        <f t="shared" si="89"/>
        <v>-0.19107597061093884</v>
      </c>
      <c r="BF313">
        <v>268.5</v>
      </c>
      <c r="BG313">
        <v>81111.20022396835</v>
      </c>
      <c r="BH313" t="s">
        <v>82</v>
      </c>
      <c r="BI313">
        <v>268.5</v>
      </c>
      <c r="BJ313">
        <v>91.977451687109834</v>
      </c>
      <c r="BK313" s="82">
        <f t="shared" si="90"/>
        <v>-0.23463650745591735</v>
      </c>
      <c r="BL313">
        <v>268.5</v>
      </c>
      <c r="BM313">
        <v>99431.794268259226</v>
      </c>
      <c r="BN313" t="s">
        <v>82</v>
      </c>
      <c r="BO313">
        <v>268.5</v>
      </c>
      <c r="BP313">
        <v>93.184701937022012</v>
      </c>
      <c r="BQ313" s="82">
        <f t="shared" si="91"/>
        <v>-0.24991284767401112</v>
      </c>
      <c r="BR313">
        <v>268.5</v>
      </c>
      <c r="BS313">
        <v>106709.06491852642</v>
      </c>
      <c r="BT313" t="s">
        <v>82</v>
      </c>
      <c r="BU313">
        <v>268.5</v>
      </c>
      <c r="BV313">
        <v>94.437167270605713</v>
      </c>
      <c r="BW313" s="82">
        <f t="shared" si="92"/>
        <v>-0.24903258646236281</v>
      </c>
      <c r="BX313">
        <v>268.5</v>
      </c>
      <c r="BY313">
        <v>107676.90557179964</v>
      </c>
      <c r="BZ313" t="s">
        <v>82</v>
      </c>
      <c r="CA313">
        <v>268.5</v>
      </c>
      <c r="CB313">
        <v>95.632602348633654</v>
      </c>
      <c r="CC313" s="82">
        <f t="shared" si="93"/>
        <v>-0.24048520910197624</v>
      </c>
      <c r="CD313">
        <v>268.5</v>
      </c>
      <c r="CE313">
        <v>105620.05679783644</v>
      </c>
      <c r="CF313" t="s">
        <v>82</v>
      </c>
      <c r="CG313">
        <v>268.5</v>
      </c>
      <c r="CH313">
        <v>96.742986177141248</v>
      </c>
      <c r="CI313" s="82">
        <f t="shared" si="94"/>
        <v>-0.22893968049854152</v>
      </c>
      <c r="CJ313">
        <v>268.5</v>
      </c>
      <c r="CK313">
        <v>102382.06354058058</v>
      </c>
      <c r="CL313" t="s">
        <v>82</v>
      </c>
      <c r="CM313">
        <v>268.5</v>
      </c>
      <c r="CN313">
        <v>97.760755121662029</v>
      </c>
      <c r="CO313" s="82">
        <f t="shared" si="95"/>
        <v>-0.21666303510347973</v>
      </c>
      <c r="CP313">
        <v>268.5</v>
      </c>
      <c r="CQ313">
        <v>98861.635850150837</v>
      </c>
      <c r="CR313" t="s">
        <v>82</v>
      </c>
      <c r="CS313">
        <v>268.5</v>
      </c>
      <c r="CT313">
        <v>98.687921118605232</v>
      </c>
      <c r="CU313" s="82">
        <f t="shared" si="96"/>
        <v>-0.20465988472147956</v>
      </c>
      <c r="CV313">
        <v>268.5</v>
      </c>
      <c r="CW313">
        <v>95458.712523608032</v>
      </c>
      <c r="CX313" t="s">
        <v>82</v>
      </c>
      <c r="CY313">
        <v>268.5</v>
      </c>
      <c r="CZ313">
        <v>99.540407293138088</v>
      </c>
      <c r="DA313" s="82">
        <f t="shared" si="97"/>
        <v>-0.19307041373198786</v>
      </c>
      <c r="DB313">
        <v>268.5</v>
      </c>
      <c r="DC313">
        <v>92262.193808855314</v>
      </c>
      <c r="DD313" t="s">
        <v>82</v>
      </c>
      <c r="DG313" s="82">
        <f t="shared" si="98"/>
        <v>0</v>
      </c>
      <c r="DM313" s="82">
        <f t="shared" si="99"/>
        <v>0</v>
      </c>
    </row>
    <row r="314" spans="1:117" x14ac:dyDescent="0.2">
      <c r="A314">
        <v>269.5</v>
      </c>
      <c r="B314">
        <v>90.001870768378808</v>
      </c>
      <c r="C314" s="82">
        <f t="shared" si="80"/>
        <v>-3.1326926973918034E-4</v>
      </c>
      <c r="D314">
        <v>269.5</v>
      </c>
      <c r="E314">
        <v>10868.44164229178</v>
      </c>
      <c r="F314" t="s">
        <v>82</v>
      </c>
      <c r="G314">
        <v>269.5</v>
      </c>
      <c r="H314">
        <v>90.002640766646934</v>
      </c>
      <c r="I314" s="82">
        <f t="shared" si="81"/>
        <v>-1.1739667777987961E-4</v>
      </c>
      <c r="J314">
        <v>269.5</v>
      </c>
      <c r="K314">
        <v>11134.990773601588</v>
      </c>
      <c r="L314" t="s">
        <v>82</v>
      </c>
      <c r="M314">
        <v>269.5</v>
      </c>
      <c r="N314">
        <v>90.002142537278942</v>
      </c>
      <c r="O314" s="82">
        <f t="shared" si="82"/>
        <v>6.1777380484784317E-4</v>
      </c>
      <c r="P314">
        <v>269.5</v>
      </c>
      <c r="Q314">
        <v>11539.087203174982</v>
      </c>
      <c r="R314" t="s">
        <v>82</v>
      </c>
      <c r="S314">
        <v>269.5</v>
      </c>
      <c r="T314">
        <v>89.997825603104275</v>
      </c>
      <c r="U314" s="82">
        <f t="shared" si="83"/>
        <v>2.2830541230831614E-3</v>
      </c>
      <c r="V314">
        <v>269.5</v>
      </c>
      <c r="W314">
        <v>12269.334557646302</v>
      </c>
      <c r="X314" t="s">
        <v>82</v>
      </c>
      <c r="Y314">
        <v>269.5</v>
      </c>
      <c r="Z314">
        <v>89.98574033113087</v>
      </c>
      <c r="AA314" s="82">
        <f t="shared" si="84"/>
        <v>4.9311638353657372E-3</v>
      </c>
      <c r="AB314">
        <v>269.5</v>
      </c>
      <c r="AC314">
        <v>13323.909062430292</v>
      </c>
      <c r="AD314" t="s">
        <v>82</v>
      </c>
      <c r="AE314">
        <v>269.5</v>
      </c>
      <c r="AF314">
        <v>89.963112606523126</v>
      </c>
      <c r="AG314" s="82">
        <f t="shared" si="85"/>
        <v>6.9974886021242355E-3</v>
      </c>
      <c r="AH314">
        <v>269.5</v>
      </c>
      <c r="AI314">
        <v>14399.779382879477</v>
      </c>
      <c r="AJ314" t="s">
        <v>82</v>
      </c>
      <c r="AK314">
        <v>269.5</v>
      </c>
      <c r="AL314">
        <v>89.939731637865947</v>
      </c>
      <c r="AM314" s="82">
        <f t="shared" si="86"/>
        <v>2.4266391792764352E-3</v>
      </c>
      <c r="AN314">
        <v>269.5</v>
      </c>
      <c r="AO314">
        <v>14043.504876279103</v>
      </c>
      <c r="AP314" t="s">
        <v>82</v>
      </c>
      <c r="AQ314">
        <v>269.5</v>
      </c>
      <c r="AR314">
        <v>89.965506960008284</v>
      </c>
      <c r="AS314" s="82">
        <f t="shared" si="87"/>
        <v>-2.2713252853463928E-2</v>
      </c>
      <c r="AT314">
        <v>269.5</v>
      </c>
      <c r="AU314">
        <v>18897.137571552354</v>
      </c>
      <c r="AV314" t="s">
        <v>82</v>
      </c>
      <c r="AW314">
        <v>269.5</v>
      </c>
      <c r="AX314">
        <v>90.174641467781839</v>
      </c>
      <c r="AY314" s="82">
        <f t="shared" si="88"/>
        <v>-8.7190240267446484E-2</v>
      </c>
      <c r="AZ314">
        <v>269.5</v>
      </c>
      <c r="BA314">
        <v>41354.715124873888</v>
      </c>
      <c r="BB314" t="s">
        <v>82</v>
      </c>
      <c r="BC314">
        <v>269.5</v>
      </c>
      <c r="BD314">
        <v>90.767009514380561</v>
      </c>
      <c r="BE314" s="82">
        <f t="shared" si="89"/>
        <v>-0.17607573749924654</v>
      </c>
      <c r="BF314">
        <v>269.5</v>
      </c>
      <c r="BG314">
        <v>75199.437954939407</v>
      </c>
      <c r="BH314" t="s">
        <v>82</v>
      </c>
      <c r="BI314">
        <v>269.5</v>
      </c>
      <c r="BJ314">
        <v>91.750450329853933</v>
      </c>
      <c r="BK314" s="82">
        <f t="shared" si="90"/>
        <v>-0.22700135725590087</v>
      </c>
      <c r="BL314">
        <v>269.5</v>
      </c>
      <c r="BM314">
        <v>96409.337035975914</v>
      </c>
      <c r="BN314" t="s">
        <v>82</v>
      </c>
      <c r="BO314">
        <v>269.5</v>
      </c>
      <c r="BP314">
        <v>92.938329857603946</v>
      </c>
      <c r="BQ314" s="82">
        <f t="shared" si="91"/>
        <v>-0.24637207941806594</v>
      </c>
      <c r="BR314">
        <v>269.5</v>
      </c>
      <c r="BS314">
        <v>105298.27580750248</v>
      </c>
      <c r="BT314" t="s">
        <v>82</v>
      </c>
      <c r="BU314">
        <v>269.5</v>
      </c>
      <c r="BV314">
        <v>94.189581213601329</v>
      </c>
      <c r="BW314" s="82">
        <f t="shared" si="92"/>
        <v>-0.24758605700438352</v>
      </c>
      <c r="BX314">
        <v>269.5</v>
      </c>
      <c r="BY314">
        <v>107091.74869392638</v>
      </c>
      <c r="BZ314" t="s">
        <v>82</v>
      </c>
      <c r="CA314">
        <v>269.5</v>
      </c>
      <c r="CB314">
        <v>95.39258912644641</v>
      </c>
      <c r="CC314" s="82">
        <f t="shared" si="93"/>
        <v>-0.24001322218724397</v>
      </c>
      <c r="CD314">
        <v>269.5</v>
      </c>
      <c r="CE314">
        <v>105419.26013773237</v>
      </c>
      <c r="CF314" t="s">
        <v>82</v>
      </c>
      <c r="CG314">
        <v>269.5</v>
      </c>
      <c r="CH314">
        <v>96.514092883261128</v>
      </c>
      <c r="CI314" s="82">
        <f t="shared" si="94"/>
        <v>-0.22889329388011959</v>
      </c>
      <c r="CJ314">
        <v>269.5</v>
      </c>
      <c r="CK314">
        <v>102348.86891496768</v>
      </c>
      <c r="CL314" t="s">
        <v>82</v>
      </c>
      <c r="CM314">
        <v>269.5</v>
      </c>
      <c r="CN314">
        <v>97.543965595100346</v>
      </c>
      <c r="CO314" s="82">
        <f t="shared" si="95"/>
        <v>-0.21678952656168349</v>
      </c>
      <c r="CP314">
        <v>269.5</v>
      </c>
      <c r="CQ314">
        <v>98896.136351065477</v>
      </c>
      <c r="CR314" t="s">
        <v>82</v>
      </c>
      <c r="CS314">
        <v>269.5</v>
      </c>
      <c r="CT314">
        <v>98.483071508145898</v>
      </c>
      <c r="CU314" s="82">
        <f t="shared" si="96"/>
        <v>-0.20484961045933403</v>
      </c>
      <c r="CV314">
        <v>269.5</v>
      </c>
      <c r="CW314">
        <v>95517.566268230483</v>
      </c>
      <c r="CX314" t="s">
        <v>82</v>
      </c>
      <c r="CY314">
        <v>269.5</v>
      </c>
      <c r="CZ314">
        <v>99.347129211887747</v>
      </c>
      <c r="DA314" s="82">
        <f t="shared" si="97"/>
        <v>-0.19327808125034096</v>
      </c>
      <c r="DB314">
        <v>269.5</v>
      </c>
      <c r="DC314">
        <v>92327.541305059203</v>
      </c>
      <c r="DD314" t="s">
        <v>82</v>
      </c>
      <c r="DG314" s="82">
        <f t="shared" si="98"/>
        <v>0</v>
      </c>
      <c r="DM314" s="82">
        <f t="shared" si="99"/>
        <v>0</v>
      </c>
    </row>
    <row r="315" spans="1:117" x14ac:dyDescent="0.2">
      <c r="A315">
        <v>270.5</v>
      </c>
      <c r="B315">
        <v>90.001560539904176</v>
      </c>
      <c r="C315" s="82">
        <f t="shared" si="80"/>
        <v>-3.1022847463191283E-4</v>
      </c>
      <c r="D315">
        <v>270.5</v>
      </c>
      <c r="E315">
        <v>10859.278086684255</v>
      </c>
      <c r="F315" t="s">
        <v>82</v>
      </c>
      <c r="G315">
        <v>270.5</v>
      </c>
      <c r="H315">
        <v>90.002432174333748</v>
      </c>
      <c r="I315" s="82">
        <f t="shared" si="81"/>
        <v>-2.0859231318581806E-4</v>
      </c>
      <c r="J315">
        <v>270.5</v>
      </c>
      <c r="K315">
        <v>11143.244668766531</v>
      </c>
      <c r="L315" t="s">
        <v>82</v>
      </c>
      <c r="M315">
        <v>270.5</v>
      </c>
      <c r="N315">
        <v>90.00247587905011</v>
      </c>
      <c r="O315" s="82">
        <f t="shared" si="82"/>
        <v>3.333417711672837E-4</v>
      </c>
      <c r="P315">
        <v>270.5</v>
      </c>
      <c r="Q315">
        <v>11473.738459302755</v>
      </c>
      <c r="R315" t="s">
        <v>82</v>
      </c>
      <c r="S315">
        <v>270.5</v>
      </c>
      <c r="T315">
        <v>89.999536820494029</v>
      </c>
      <c r="U315" s="82">
        <f t="shared" si="83"/>
        <v>1.711217389754438E-3</v>
      </c>
      <c r="V315">
        <v>270.5</v>
      </c>
      <c r="W315">
        <v>12133.460161554434</v>
      </c>
      <c r="X315" t="s">
        <v>82</v>
      </c>
      <c r="Y315">
        <v>270.5</v>
      </c>
      <c r="Z315">
        <v>89.989888436259434</v>
      </c>
      <c r="AA315" s="82">
        <f t="shared" si="84"/>
        <v>4.1481051285643389E-3</v>
      </c>
      <c r="AB315">
        <v>270.5</v>
      </c>
      <c r="AC315">
        <v>13119.377874085816</v>
      </c>
      <c r="AD315" t="s">
        <v>82</v>
      </c>
      <c r="AE315">
        <v>270.5</v>
      </c>
      <c r="AF315">
        <v>89.969786040941898</v>
      </c>
      <c r="AG315" s="82">
        <f t="shared" si="85"/>
        <v>6.6734344187722172E-3</v>
      </c>
      <c r="AH315">
        <v>270.5</v>
      </c>
      <c r="AI315">
        <v>14272.931410251385</v>
      </c>
      <c r="AJ315" t="s">
        <v>82</v>
      </c>
      <c r="AK315">
        <v>270.5</v>
      </c>
      <c r="AL315">
        <v>89.944300627348284</v>
      </c>
      <c r="AM315" s="82">
        <f t="shared" si="86"/>
        <v>4.5689894823368604E-3</v>
      </c>
      <c r="AN315">
        <v>270.5</v>
      </c>
      <c r="AO315">
        <v>14482.907294363084</v>
      </c>
      <c r="AP315" t="s">
        <v>82</v>
      </c>
      <c r="AQ315">
        <v>270.5</v>
      </c>
      <c r="AR315">
        <v>89.951209546012365</v>
      </c>
      <c r="AS315" s="82">
        <f t="shared" si="87"/>
        <v>-1.4297413995919328E-2</v>
      </c>
      <c r="AT315">
        <v>270.5</v>
      </c>
      <c r="AU315">
        <v>16651.468661030452</v>
      </c>
      <c r="AV315" t="s">
        <v>82</v>
      </c>
      <c r="AW315">
        <v>270.5</v>
      </c>
      <c r="AX315">
        <v>90.105242294084263</v>
      </c>
      <c r="AY315" s="82">
        <f t="shared" si="88"/>
        <v>-6.9399173697576089E-2</v>
      </c>
      <c r="AZ315">
        <v>270.5</v>
      </c>
      <c r="BA315">
        <v>35169.16357559937</v>
      </c>
      <c r="BB315" t="s">
        <v>82</v>
      </c>
      <c r="BC315">
        <v>270.5</v>
      </c>
      <c r="BD315">
        <v>90.607781358255536</v>
      </c>
      <c r="BE315" s="82">
        <f t="shared" si="89"/>
        <v>-0.15922815612502461</v>
      </c>
      <c r="BF315">
        <v>270.5</v>
      </c>
      <c r="BG315">
        <v>68564.382593313712</v>
      </c>
      <c r="BH315" t="s">
        <v>82</v>
      </c>
      <c r="BI315">
        <v>270.5</v>
      </c>
      <c r="BJ315">
        <v>91.532069586339091</v>
      </c>
      <c r="BK315" s="82">
        <f t="shared" si="90"/>
        <v>-0.21838074351484238</v>
      </c>
      <c r="BL315">
        <v>270.5</v>
      </c>
      <c r="BM315">
        <v>92998.68986483592</v>
      </c>
      <c r="BN315" t="s">
        <v>82</v>
      </c>
      <c r="BO315">
        <v>270.5</v>
      </c>
      <c r="BP315">
        <v>92.695988936244277</v>
      </c>
      <c r="BQ315" s="82">
        <f t="shared" si="91"/>
        <v>-0.24234092135966989</v>
      </c>
      <c r="BR315">
        <v>270.5</v>
      </c>
      <c r="BS315">
        <v>103694.03199957708</v>
      </c>
      <c r="BT315" t="s">
        <v>82</v>
      </c>
      <c r="BU315">
        <v>270.5</v>
      </c>
      <c r="BV315">
        <v>93.943670226906718</v>
      </c>
      <c r="BW315" s="82">
        <f t="shared" si="92"/>
        <v>-0.24591098669461076</v>
      </c>
      <c r="BX315">
        <v>270.5</v>
      </c>
      <c r="BY315">
        <v>106416.496501909</v>
      </c>
      <c r="BZ315" t="s">
        <v>82</v>
      </c>
      <c r="CA315">
        <v>270.5</v>
      </c>
      <c r="CB315">
        <v>95.153150195954254</v>
      </c>
      <c r="CC315" s="82">
        <f t="shared" si="93"/>
        <v>-0.23943893049215603</v>
      </c>
      <c r="CD315">
        <v>270.5</v>
      </c>
      <c r="CE315">
        <v>105178.29852328864</v>
      </c>
      <c r="CF315" t="s">
        <v>82</v>
      </c>
      <c r="CG315">
        <v>270.5</v>
      </c>
      <c r="CH315">
        <v>96.28529088537438</v>
      </c>
      <c r="CI315" s="82">
        <f t="shared" si="94"/>
        <v>-0.22880199788674815</v>
      </c>
      <c r="CJ315">
        <v>270.5</v>
      </c>
      <c r="CK315">
        <v>102298.23573763041</v>
      </c>
      <c r="CL315" t="s">
        <v>82</v>
      </c>
      <c r="CM315">
        <v>270.5</v>
      </c>
      <c r="CN315">
        <v>97.327069740926973</v>
      </c>
      <c r="CO315" s="82">
        <f t="shared" si="95"/>
        <v>-0.21689585417337298</v>
      </c>
      <c r="CP315">
        <v>270.5</v>
      </c>
      <c r="CQ315">
        <v>98922.993335822102</v>
      </c>
      <c r="CR315" t="s">
        <v>82</v>
      </c>
      <c r="CS315">
        <v>270.5</v>
      </c>
      <c r="CT315">
        <v>98.278042080831526</v>
      </c>
      <c r="CU315" s="82">
        <f t="shared" si="96"/>
        <v>-0.20502942731437201</v>
      </c>
      <c r="CV315">
        <v>270.5</v>
      </c>
      <c r="CW315">
        <v>95572.822556942891</v>
      </c>
      <c r="CX315" t="s">
        <v>82</v>
      </c>
      <c r="CY315">
        <v>270.5</v>
      </c>
      <c r="CZ315">
        <v>99.153649115789989</v>
      </c>
      <c r="DA315" s="82">
        <f t="shared" si="97"/>
        <v>-0.19348009609775829</v>
      </c>
      <c r="DB315">
        <v>270.5</v>
      </c>
      <c r="DC315">
        <v>92390.954616468822</v>
      </c>
      <c r="DD315" t="s">
        <v>82</v>
      </c>
      <c r="DG315" s="82">
        <f t="shared" si="98"/>
        <v>0</v>
      </c>
      <c r="DM315" s="82">
        <f t="shared" si="99"/>
        <v>0</v>
      </c>
    </row>
    <row r="316" spans="1:117" x14ac:dyDescent="0.2">
      <c r="A316">
        <v>271.5</v>
      </c>
      <c r="B316">
        <v>90.001267236848918</v>
      </c>
      <c r="C316" s="82">
        <f t="shared" si="80"/>
        <v>-2.9330305525832046E-4</v>
      </c>
      <c r="D316">
        <v>271.5</v>
      </c>
      <c r="E316">
        <v>10847.762276961585</v>
      </c>
      <c r="F316" t="s">
        <v>82</v>
      </c>
      <c r="G316">
        <v>271.5</v>
      </c>
      <c r="H316">
        <v>90.002169199872725</v>
      </c>
      <c r="I316" s="82">
        <f t="shared" si="81"/>
        <v>-2.62974461023191E-4</v>
      </c>
      <c r="J316">
        <v>271.5</v>
      </c>
      <c r="K316">
        <v>11144.405219336328</v>
      </c>
      <c r="L316" t="s">
        <v>82</v>
      </c>
      <c r="M316">
        <v>271.5</v>
      </c>
      <c r="N316">
        <v>90.002592900564892</v>
      </c>
      <c r="O316" s="82">
        <f t="shared" si="82"/>
        <v>1.1702151478232281E-4</v>
      </c>
      <c r="P316">
        <v>271.5</v>
      </c>
      <c r="Q316">
        <v>11423.083212058225</v>
      </c>
      <c r="R316" t="s">
        <v>82</v>
      </c>
      <c r="S316">
        <v>271.5</v>
      </c>
      <c r="T316">
        <v>90.000763922544905</v>
      </c>
      <c r="U316" s="82">
        <f t="shared" si="83"/>
        <v>1.2271020508762831E-3</v>
      </c>
      <c r="V316">
        <v>271.5</v>
      </c>
      <c r="W316">
        <v>12019.283566351722</v>
      </c>
      <c r="X316" t="s">
        <v>82</v>
      </c>
      <c r="Y316">
        <v>271.5</v>
      </c>
      <c r="Z316">
        <v>89.993288272136439</v>
      </c>
      <c r="AA316" s="82">
        <f t="shared" si="84"/>
        <v>3.3998358770048753E-3</v>
      </c>
      <c r="AB316">
        <v>271.5</v>
      </c>
      <c r="AC316">
        <v>12928.753756181079</v>
      </c>
      <c r="AD316" t="s">
        <v>82</v>
      </c>
      <c r="AE316">
        <v>271.5</v>
      </c>
      <c r="AF316">
        <v>89.97591442520465</v>
      </c>
      <c r="AG316" s="82">
        <f t="shared" si="85"/>
        <v>6.1283842627517515E-3</v>
      </c>
      <c r="AH316">
        <v>271.5</v>
      </c>
      <c r="AI316">
        <v>14100.750228234188</v>
      </c>
      <c r="AJ316" t="s">
        <v>82</v>
      </c>
      <c r="AK316">
        <v>271.5</v>
      </c>
      <c r="AL316">
        <v>89.950157202130882</v>
      </c>
      <c r="AM316" s="82">
        <f t="shared" si="86"/>
        <v>5.8565747825980452E-3</v>
      </c>
      <c r="AN316">
        <v>271.5</v>
      </c>
      <c r="AO316">
        <v>14725.236815238861</v>
      </c>
      <c r="AP316" t="s">
        <v>82</v>
      </c>
      <c r="AQ316">
        <v>271.5</v>
      </c>
      <c r="AR316">
        <v>89.943495864373972</v>
      </c>
      <c r="AS316" s="82">
        <f t="shared" si="87"/>
        <v>-7.7136816383926998E-3</v>
      </c>
      <c r="AT316">
        <v>271.5</v>
      </c>
      <c r="AU316">
        <v>15044.151756778283</v>
      </c>
      <c r="AV316" t="s">
        <v>82</v>
      </c>
      <c r="AW316">
        <v>271.5</v>
      </c>
      <c r="AX316">
        <v>90.051605687990858</v>
      </c>
      <c r="AY316" s="82">
        <f t="shared" si="88"/>
        <v>-5.3636606093405703E-2</v>
      </c>
      <c r="AZ316">
        <v>271.5</v>
      </c>
      <c r="BA316">
        <v>29782.480257215728</v>
      </c>
      <c r="BB316" t="s">
        <v>82</v>
      </c>
      <c r="BC316">
        <v>271.5</v>
      </c>
      <c r="BD316">
        <v>90.467471647834728</v>
      </c>
      <c r="BE316" s="82">
        <f t="shared" si="89"/>
        <v>-0.14030971042080864</v>
      </c>
      <c r="BF316">
        <v>271.5</v>
      </c>
      <c r="BG316">
        <v>61357.797181869653</v>
      </c>
      <c r="BH316" t="s">
        <v>82</v>
      </c>
      <c r="BI316">
        <v>271.5</v>
      </c>
      <c r="BJ316">
        <v>91.323417080478379</v>
      </c>
      <c r="BK316" s="82">
        <f t="shared" si="90"/>
        <v>-0.20865250586071227</v>
      </c>
      <c r="BL316">
        <v>271.5</v>
      </c>
      <c r="BM316">
        <v>89151.832173092058</v>
      </c>
      <c r="BN316" t="s">
        <v>82</v>
      </c>
      <c r="BO316">
        <v>271.5</v>
      </c>
      <c r="BP316">
        <v>92.45823161467834</v>
      </c>
      <c r="BQ316" s="82">
        <f t="shared" si="91"/>
        <v>-0.23775732156593676</v>
      </c>
      <c r="BR316">
        <v>271.5</v>
      </c>
      <c r="BS316">
        <v>101871.80199180721</v>
      </c>
      <c r="BT316" t="s">
        <v>82</v>
      </c>
      <c r="BU316">
        <v>271.5</v>
      </c>
      <c r="BV316">
        <v>93.699692114520431</v>
      </c>
      <c r="BW316" s="82">
        <f t="shared" si="92"/>
        <v>-0.24397811238628719</v>
      </c>
      <c r="BX316">
        <v>271.5</v>
      </c>
      <c r="BY316">
        <v>105639.54745743355</v>
      </c>
      <c r="BZ316" t="s">
        <v>82</v>
      </c>
      <c r="CA316">
        <v>271.5</v>
      </c>
      <c r="CB316">
        <v>94.914400854026937</v>
      </c>
      <c r="CC316" s="82">
        <f t="shared" si="93"/>
        <v>-0.238749341927317</v>
      </c>
      <c r="CD316">
        <v>271.5</v>
      </c>
      <c r="CE316">
        <v>104892.01060686549</v>
      </c>
      <c r="CF316" t="s">
        <v>82</v>
      </c>
      <c r="CG316">
        <v>271.5</v>
      </c>
      <c r="CH316">
        <v>96.056630519890888</v>
      </c>
      <c r="CI316" s="82">
        <f t="shared" si="94"/>
        <v>-0.228660365483492</v>
      </c>
      <c r="CJ316">
        <v>271.5</v>
      </c>
      <c r="CK316">
        <v>102228.00452518712</v>
      </c>
      <c r="CL316" t="s">
        <v>82</v>
      </c>
      <c r="CM316">
        <v>271.5</v>
      </c>
      <c r="CN316">
        <v>97.110089857854774</v>
      </c>
      <c r="CO316" s="82">
        <f t="shared" si="95"/>
        <v>-0.21697988307219873</v>
      </c>
      <c r="CP316">
        <v>271.5</v>
      </c>
      <c r="CQ316">
        <v>98941.356522189046</v>
      </c>
      <c r="CR316" t="s">
        <v>82</v>
      </c>
      <c r="CS316">
        <v>271.5</v>
      </c>
      <c r="CT316">
        <v>98.072843540933178</v>
      </c>
      <c r="CU316" s="82">
        <f t="shared" si="96"/>
        <v>-0.20519853989834758</v>
      </c>
      <c r="CV316">
        <v>271.5</v>
      </c>
      <c r="CW316">
        <v>95624.164788908805</v>
      </c>
      <c r="CX316" t="s">
        <v>82</v>
      </c>
      <c r="CY316">
        <v>271.5</v>
      </c>
      <c r="CZ316">
        <v>98.959972939992312</v>
      </c>
      <c r="DA316" s="82">
        <f t="shared" si="97"/>
        <v>-0.19367617579767682</v>
      </c>
      <c r="DB316">
        <v>271.5</v>
      </c>
      <c r="DC316">
        <v>92452.321826328174</v>
      </c>
      <c r="DD316" t="s">
        <v>82</v>
      </c>
      <c r="DG316" s="82">
        <f t="shared" si="98"/>
        <v>0</v>
      </c>
      <c r="DM316" s="82">
        <f t="shared" si="99"/>
        <v>0</v>
      </c>
    </row>
    <row r="317" spans="1:117" x14ac:dyDescent="0.2">
      <c r="A317">
        <v>272.5</v>
      </c>
      <c r="B317">
        <v>90.000999851937806</v>
      </c>
      <c r="C317" s="82">
        <f t="shared" si="80"/>
        <v>-2.6738491111188978E-4</v>
      </c>
      <c r="D317">
        <v>272.5</v>
      </c>
      <c r="E317">
        <v>10834.833962001081</v>
      </c>
      <c r="F317" t="s">
        <v>82</v>
      </c>
      <c r="G317">
        <v>272.5</v>
      </c>
      <c r="H317">
        <v>90.001880395425701</v>
      </c>
      <c r="I317" s="82">
        <f t="shared" si="81"/>
        <v>-2.8880444702394925E-4</v>
      </c>
      <c r="J317">
        <v>272.5</v>
      </c>
      <c r="K317">
        <v>11140.163719330405</v>
      </c>
      <c r="L317" t="s">
        <v>82</v>
      </c>
      <c r="M317">
        <v>272.5</v>
      </c>
      <c r="N317">
        <v>90.002551898088655</v>
      </c>
      <c r="O317" s="82">
        <f t="shared" si="82"/>
        <v>-4.1002476237395058E-5</v>
      </c>
      <c r="P317">
        <v>272.5</v>
      </c>
      <c r="Q317">
        <v>11427.821099588093</v>
      </c>
      <c r="R317" t="s">
        <v>82</v>
      </c>
      <c r="S317">
        <v>272.5</v>
      </c>
      <c r="T317">
        <v>90.001591711429782</v>
      </c>
      <c r="U317" s="82">
        <f t="shared" si="83"/>
        <v>8.2778888487666791E-4</v>
      </c>
      <c r="V317">
        <v>272.5</v>
      </c>
      <c r="W317">
        <v>11925.289085846916</v>
      </c>
      <c r="X317" t="s">
        <v>82</v>
      </c>
      <c r="Y317">
        <v>272.5</v>
      </c>
      <c r="Z317">
        <v>89.995999892589566</v>
      </c>
      <c r="AA317" s="82">
        <f t="shared" si="84"/>
        <v>2.711620453126784E-3</v>
      </c>
      <c r="AB317">
        <v>272.5</v>
      </c>
      <c r="AC317">
        <v>12756.747451123409</v>
      </c>
      <c r="AD317" t="s">
        <v>82</v>
      </c>
      <c r="AE317">
        <v>272.5</v>
      </c>
      <c r="AF317">
        <v>89.981368293874795</v>
      </c>
      <c r="AG317" s="82">
        <f t="shared" si="85"/>
        <v>5.4538686701448569E-3</v>
      </c>
      <c r="AH317">
        <v>272.5</v>
      </c>
      <c r="AI317">
        <v>13905.182673703141</v>
      </c>
      <c r="AJ317" t="s">
        <v>82</v>
      </c>
      <c r="AK317">
        <v>272.5</v>
      </c>
      <c r="AL317">
        <v>89.956639861224161</v>
      </c>
      <c r="AM317" s="82">
        <f t="shared" si="86"/>
        <v>6.482659093279608E-3</v>
      </c>
      <c r="AN317">
        <v>272.5</v>
      </c>
      <c r="AO317">
        <v>14814.069689998203</v>
      </c>
      <c r="AP317" t="s">
        <v>82</v>
      </c>
      <c r="AQ317">
        <v>272.5</v>
      </c>
      <c r="AR317">
        <v>89.940767939933181</v>
      </c>
      <c r="AS317" s="82">
        <f t="shared" si="87"/>
        <v>-2.7279244407907299E-3</v>
      </c>
      <c r="AT317">
        <v>272.5</v>
      </c>
      <c r="AU317">
        <v>13887.679727846127</v>
      </c>
      <c r="AV317" t="s">
        <v>82</v>
      </c>
      <c r="AW317">
        <v>272.5</v>
      </c>
      <c r="AX317">
        <v>90.011562239138399</v>
      </c>
      <c r="AY317" s="82">
        <f t="shared" si="88"/>
        <v>-4.0043448852458141E-2</v>
      </c>
      <c r="AZ317">
        <v>272.5</v>
      </c>
      <c r="BA317">
        <v>25221.579300895341</v>
      </c>
      <c r="BB317" t="s">
        <v>82</v>
      </c>
      <c r="BC317">
        <v>272.5</v>
      </c>
      <c r="BD317">
        <v>90.347063763440943</v>
      </c>
      <c r="BE317" s="82">
        <f t="shared" si="89"/>
        <v>-0.12040788439378503</v>
      </c>
      <c r="BF317">
        <v>272.5</v>
      </c>
      <c r="BG317">
        <v>54018.107838000644</v>
      </c>
      <c r="BH317" t="s">
        <v>82</v>
      </c>
      <c r="BI317">
        <v>272.5</v>
      </c>
      <c r="BJ317">
        <v>91.125738002567815</v>
      </c>
      <c r="BK317" s="82">
        <f t="shared" si="90"/>
        <v>-0.19767907791056416</v>
      </c>
      <c r="BL317">
        <v>272.5</v>
      </c>
      <c r="BM317">
        <v>84814.784207594814</v>
      </c>
      <c r="BN317" t="s">
        <v>82</v>
      </c>
      <c r="BO317">
        <v>272.5</v>
      </c>
      <c r="BP317">
        <v>92.225680447432694</v>
      </c>
      <c r="BQ317" s="82">
        <f t="shared" si="91"/>
        <v>-0.23255116724564573</v>
      </c>
      <c r="BR317">
        <v>272.5</v>
      </c>
      <c r="BS317">
        <v>99803.8769286366</v>
      </c>
      <c r="BT317" t="s">
        <v>82</v>
      </c>
      <c r="BU317">
        <v>272.5</v>
      </c>
      <c r="BV317">
        <v>93.457937860818348</v>
      </c>
      <c r="BW317" s="82">
        <f t="shared" si="92"/>
        <v>-0.24175425370208359</v>
      </c>
      <c r="BX317">
        <v>272.5</v>
      </c>
      <c r="BY317">
        <v>104747.74819369253</v>
      </c>
      <c r="BZ317" t="s">
        <v>82</v>
      </c>
      <c r="CA317">
        <v>272.5</v>
      </c>
      <c r="CB317">
        <v>94.676471179269512</v>
      </c>
      <c r="CC317" s="82">
        <f t="shared" si="93"/>
        <v>-0.23792967475742444</v>
      </c>
      <c r="CD317">
        <v>272.5</v>
      </c>
      <c r="CE317">
        <v>104554.5240243539</v>
      </c>
      <c r="CF317" t="s">
        <v>82</v>
      </c>
      <c r="CG317">
        <v>272.5</v>
      </c>
      <c r="CH317">
        <v>95.828168317293901</v>
      </c>
      <c r="CI317" s="82">
        <f t="shared" si="94"/>
        <v>-0.22846220259698669</v>
      </c>
      <c r="CJ317">
        <v>272.5</v>
      </c>
      <c r="CK317">
        <v>102135.71034942837</v>
      </c>
      <c r="CL317" t="s">
        <v>82</v>
      </c>
      <c r="CM317">
        <v>272.5</v>
      </c>
      <c r="CN317">
        <v>96.89305068703986</v>
      </c>
      <c r="CO317" s="82">
        <f t="shared" si="95"/>
        <v>-0.21703917081491397</v>
      </c>
      <c r="CP317">
        <v>272.5</v>
      </c>
      <c r="CQ317">
        <v>98950.252839725814</v>
      </c>
      <c r="CR317" t="s">
        <v>82</v>
      </c>
      <c r="CS317">
        <v>272.5</v>
      </c>
      <c r="CT317">
        <v>97.867487503031882</v>
      </c>
      <c r="CU317" s="82">
        <f t="shared" si="96"/>
        <v>-0.20535603790129642</v>
      </c>
      <c r="CV317">
        <v>272.5</v>
      </c>
      <c r="CW317">
        <v>95671.23038258795</v>
      </c>
      <c r="CX317" t="s">
        <v>82</v>
      </c>
      <c r="CY317">
        <v>272.5</v>
      </c>
      <c r="CZ317">
        <v>98.766106941354536</v>
      </c>
      <c r="DA317" s="82">
        <f t="shared" si="97"/>
        <v>-0.19386599863777576</v>
      </c>
      <c r="DB317">
        <v>272.5</v>
      </c>
      <c r="DC317">
        <v>92511.515286355512</v>
      </c>
      <c r="DD317" t="s">
        <v>82</v>
      </c>
      <c r="DG317" s="82">
        <f t="shared" si="98"/>
        <v>0</v>
      </c>
      <c r="DM317" s="82">
        <f t="shared" si="99"/>
        <v>0</v>
      </c>
    </row>
    <row r="318" spans="1:117" x14ac:dyDescent="0.2">
      <c r="A318">
        <v>273.5</v>
      </c>
      <c r="B318">
        <v>90.000763497326446</v>
      </c>
      <c r="C318" s="82">
        <f t="shared" si="80"/>
        <v>-2.3635461135995683E-4</v>
      </c>
      <c r="D318">
        <v>273.5</v>
      </c>
      <c r="E318">
        <v>10821.226229401675</v>
      </c>
      <c r="F318" t="s">
        <v>82</v>
      </c>
      <c r="G318">
        <v>273.5</v>
      </c>
      <c r="H318">
        <v>90.001587127813906</v>
      </c>
      <c r="I318" s="82">
        <f t="shared" si="81"/>
        <v>-2.9326761179504501E-4</v>
      </c>
      <c r="J318">
        <v>273.5</v>
      </c>
      <c r="K318">
        <v>11131.981163170161</v>
      </c>
      <c r="L318" t="s">
        <v>82</v>
      </c>
      <c r="M318">
        <v>273.5</v>
      </c>
      <c r="N318">
        <v>90.002401477047343</v>
      </c>
      <c r="O318" s="82">
        <f t="shared" si="82"/>
        <v>-1.5042104131168799E-4</v>
      </c>
      <c r="P318">
        <v>273.5</v>
      </c>
      <c r="Q318">
        <v>11439.860568030488</v>
      </c>
      <c r="R318" t="s">
        <v>82</v>
      </c>
      <c r="S318">
        <v>273.5</v>
      </c>
      <c r="T318">
        <v>90.002098901387996</v>
      </c>
      <c r="U318" s="82">
        <f t="shared" si="83"/>
        <v>5.071899582134165E-4</v>
      </c>
      <c r="V318">
        <v>273.5</v>
      </c>
      <c r="W318">
        <v>11849.453130169104</v>
      </c>
      <c r="X318" t="s">
        <v>82</v>
      </c>
      <c r="Y318">
        <v>273.5</v>
      </c>
      <c r="Z318">
        <v>89.998098274909879</v>
      </c>
      <c r="AA318" s="82">
        <f t="shared" si="84"/>
        <v>2.098382320312453E-3</v>
      </c>
      <c r="AB318">
        <v>273.5</v>
      </c>
      <c r="AC318">
        <v>12605.647905905991</v>
      </c>
      <c r="AD318" t="s">
        <v>82</v>
      </c>
      <c r="AE318">
        <v>273.5</v>
      </c>
      <c r="AF318">
        <v>89.986088680234403</v>
      </c>
      <c r="AG318" s="82">
        <f t="shared" si="85"/>
        <v>4.7203863596081419E-3</v>
      </c>
      <c r="AH318">
        <v>273.5</v>
      </c>
      <c r="AI318">
        <v>13702.678038745715</v>
      </c>
      <c r="AJ318" t="s">
        <v>82</v>
      </c>
      <c r="AK318">
        <v>273.5</v>
      </c>
      <c r="AL318">
        <v>89.963254248844251</v>
      </c>
      <c r="AM318" s="82">
        <f t="shared" si="86"/>
        <v>6.6143876200897012E-3</v>
      </c>
      <c r="AN318">
        <v>273.5</v>
      </c>
      <c r="AO318">
        <v>14789.419691574039</v>
      </c>
      <c r="AP318" t="s">
        <v>82</v>
      </c>
      <c r="AQ318">
        <v>273.5</v>
      </c>
      <c r="AR318">
        <v>89.941667887058955</v>
      </c>
      <c r="AS318" s="82">
        <f t="shared" si="87"/>
        <v>8.9994712577379232E-4</v>
      </c>
      <c r="AT318">
        <v>273.5</v>
      </c>
      <c r="AU318">
        <v>14198.17772491601</v>
      </c>
      <c r="AV318" t="s">
        <v>82</v>
      </c>
      <c r="AW318">
        <v>273.5</v>
      </c>
      <c r="AX318">
        <v>89.982946627676</v>
      </c>
      <c r="AY318" s="82">
        <f t="shared" si="88"/>
        <v>-2.8615611462399215E-2</v>
      </c>
      <c r="AZ318">
        <v>273.5</v>
      </c>
      <c r="BA318">
        <v>21465.851979587613</v>
      </c>
      <c r="BB318" t="s">
        <v>82</v>
      </c>
      <c r="BC318">
        <v>273.5</v>
      </c>
      <c r="BD318">
        <v>90.246299415298878</v>
      </c>
      <c r="BE318" s="82">
        <f t="shared" si="89"/>
        <v>-0.10076434814206436</v>
      </c>
      <c r="BF318">
        <v>273.5</v>
      </c>
      <c r="BG318">
        <v>46944.215582416313</v>
      </c>
      <c r="BH318" t="s">
        <v>82</v>
      </c>
      <c r="BI318">
        <v>273.5</v>
      </c>
      <c r="BJ318">
        <v>90.940432464039574</v>
      </c>
      <c r="BK318" s="82">
        <f t="shared" si="90"/>
        <v>-0.18530553852824028</v>
      </c>
      <c r="BL318">
        <v>273.5</v>
      </c>
      <c r="BM318">
        <v>79926.916894772105</v>
      </c>
      <c r="BN318" t="s">
        <v>82</v>
      </c>
      <c r="BO318">
        <v>273.5</v>
      </c>
      <c r="BP318">
        <v>91.999037213361575</v>
      </c>
      <c r="BQ318" s="82">
        <f t="shared" si="91"/>
        <v>-0.22664323407111908</v>
      </c>
      <c r="BR318">
        <v>273.5</v>
      </c>
      <c r="BS318">
        <v>97458.960944658</v>
      </c>
      <c r="BT318" t="s">
        <v>82</v>
      </c>
      <c r="BU318">
        <v>273.5</v>
      </c>
      <c r="BV318">
        <v>93.218736074213339</v>
      </c>
      <c r="BW318" s="82">
        <f t="shared" si="92"/>
        <v>-0.23920178660500824</v>
      </c>
      <c r="BX318">
        <v>273.5</v>
      </c>
      <c r="BY318">
        <v>103726.18531012218</v>
      </c>
      <c r="BZ318" t="s">
        <v>82</v>
      </c>
      <c r="CA318">
        <v>273.5</v>
      </c>
      <c r="CB318">
        <v>94.439508069562464</v>
      </c>
      <c r="CC318" s="82">
        <f t="shared" si="93"/>
        <v>-0.23696310970704815</v>
      </c>
      <c r="CD318">
        <v>273.5</v>
      </c>
      <c r="CE318">
        <v>104159.1568868015</v>
      </c>
      <c r="CF318" t="s">
        <v>82</v>
      </c>
      <c r="CG318">
        <v>273.5</v>
      </c>
      <c r="CH318">
        <v>95.599967878751784</v>
      </c>
      <c r="CI318" s="82">
        <f t="shared" si="94"/>
        <v>-0.22820043854211747</v>
      </c>
      <c r="CJ318">
        <v>273.5</v>
      </c>
      <c r="CK318">
        <v>102018.53922783067</v>
      </c>
      <c r="CL318" t="s">
        <v>82</v>
      </c>
      <c r="CM318">
        <v>273.5</v>
      </c>
      <c r="CN318">
        <v>96.675979764946163</v>
      </c>
      <c r="CO318" s="82">
        <f t="shared" si="95"/>
        <v>-0.21707092209369705</v>
      </c>
      <c r="CP318">
        <v>273.5</v>
      </c>
      <c r="CQ318">
        <v>98948.568455245142</v>
      </c>
      <c r="CR318" t="s">
        <v>82</v>
      </c>
      <c r="CS318">
        <v>273.5</v>
      </c>
      <c r="CT318">
        <v>97.661986624421388</v>
      </c>
      <c r="CU318" s="82">
        <f t="shared" si="96"/>
        <v>-0.20550087861049349</v>
      </c>
      <c r="CV318">
        <v>273.5</v>
      </c>
      <c r="CW318">
        <v>95713.603832797526</v>
      </c>
      <c r="CX318" t="s">
        <v>82</v>
      </c>
      <c r="CY318">
        <v>273.5</v>
      </c>
      <c r="CZ318">
        <v>98.572057743886134</v>
      </c>
      <c r="DA318" s="82">
        <f t="shared" si="97"/>
        <v>-0.19404919746840221</v>
      </c>
      <c r="DB318">
        <v>273.5</v>
      </c>
      <c r="DC318">
        <v>92568.389130785246</v>
      </c>
      <c r="DD318" t="s">
        <v>82</v>
      </c>
      <c r="DG318" s="82">
        <f t="shared" si="98"/>
        <v>0</v>
      </c>
      <c r="DM318" s="82">
        <f t="shared" si="99"/>
        <v>0</v>
      </c>
    </row>
    <row r="319" spans="1:117" x14ac:dyDescent="0.2">
      <c r="A319">
        <v>274.5</v>
      </c>
      <c r="B319">
        <v>90.00056030302818</v>
      </c>
      <c r="C319" s="82">
        <f t="shared" si="80"/>
        <v>-2.0319429826543001E-4</v>
      </c>
      <c r="D319">
        <v>274.5</v>
      </c>
      <c r="E319">
        <v>10807.490837535508</v>
      </c>
      <c r="F319" t="s">
        <v>82</v>
      </c>
      <c r="G319">
        <v>274.5</v>
      </c>
      <c r="H319">
        <v>90.001304679227573</v>
      </c>
      <c r="I319" s="82">
        <f t="shared" si="81"/>
        <v>-2.8244858633286185E-4</v>
      </c>
      <c r="J319">
        <v>274.5</v>
      </c>
      <c r="K319">
        <v>11121.082746469441</v>
      </c>
      <c r="L319" t="s">
        <v>82</v>
      </c>
      <c r="M319">
        <v>274.5</v>
      </c>
      <c r="N319">
        <v>90.002181100723334</v>
      </c>
      <c r="O319" s="82">
        <f t="shared" si="82"/>
        <v>-2.2037632400895291E-4</v>
      </c>
      <c r="P319">
        <v>274.5</v>
      </c>
      <c r="Q319">
        <v>11444.019212486448</v>
      </c>
      <c r="R319" t="s">
        <v>82</v>
      </c>
      <c r="S319">
        <v>274.5</v>
      </c>
      <c r="T319">
        <v>90.002356176507902</v>
      </c>
      <c r="U319" s="82">
        <f t="shared" si="83"/>
        <v>2.5727511990680796E-4</v>
      </c>
      <c r="V319">
        <v>274.5</v>
      </c>
      <c r="W319">
        <v>11789.506823908519</v>
      </c>
      <c r="X319" t="s">
        <v>82</v>
      </c>
      <c r="Y319">
        <v>274.5</v>
      </c>
      <c r="Z319">
        <v>89.999665334324987</v>
      </c>
      <c r="AA319" s="82">
        <f t="shared" si="84"/>
        <v>1.567059415108929E-3</v>
      </c>
      <c r="AB319">
        <v>274.5</v>
      </c>
      <c r="AC319">
        <v>12475.980155436646</v>
      </c>
      <c r="AD319" t="s">
        <v>82</v>
      </c>
      <c r="AE319">
        <v>274.5</v>
      </c>
      <c r="AF319">
        <v>89.990068982720459</v>
      </c>
      <c r="AG319" s="82">
        <f t="shared" si="85"/>
        <v>3.9803024860560754E-3</v>
      </c>
      <c r="AH319">
        <v>274.5</v>
      </c>
      <c r="AI319">
        <v>13504.967949362454</v>
      </c>
      <c r="AJ319" t="s">
        <v>82</v>
      </c>
      <c r="AK319">
        <v>274.5</v>
      </c>
      <c r="AL319">
        <v>89.96964687815084</v>
      </c>
      <c r="AM319" s="82">
        <f t="shared" si="86"/>
        <v>6.392629306589015E-3</v>
      </c>
      <c r="AN319">
        <v>274.5</v>
      </c>
      <c r="AO319">
        <v>14685.803953503362</v>
      </c>
      <c r="AP319" t="s">
        <v>82</v>
      </c>
      <c r="AQ319">
        <v>274.5</v>
      </c>
      <c r="AR319">
        <v>89.945070706268581</v>
      </c>
      <c r="AS319" s="82">
        <f t="shared" si="87"/>
        <v>3.4028192096258181E-3</v>
      </c>
      <c r="AT319">
        <v>274.5</v>
      </c>
      <c r="AU319">
        <v>14728.722584027248</v>
      </c>
      <c r="AV319" t="s">
        <v>82</v>
      </c>
      <c r="AW319">
        <v>274.5</v>
      </c>
      <c r="AX319">
        <v>89.963699062387008</v>
      </c>
      <c r="AY319" s="82">
        <f t="shared" si="88"/>
        <v>-1.9247565288992519E-2</v>
      </c>
      <c r="AZ319">
        <v>274.5</v>
      </c>
      <c r="BA319">
        <v>18527.949475431808</v>
      </c>
      <c r="BB319" t="s">
        <v>82</v>
      </c>
      <c r="BC319">
        <v>274.5</v>
      </c>
      <c r="BD319">
        <v>90.164066591023968</v>
      </c>
      <c r="BE319" s="82">
        <f t="shared" si="89"/>
        <v>-8.2232824274910854E-2</v>
      </c>
      <c r="BF319">
        <v>274.5</v>
      </c>
      <c r="BG319">
        <v>40398.266832114787</v>
      </c>
      <c r="BH319" t="s">
        <v>82</v>
      </c>
      <c r="BI319">
        <v>274.5</v>
      </c>
      <c r="BJ319">
        <v>90.769075047504515</v>
      </c>
      <c r="BK319" s="82">
        <f t="shared" si="90"/>
        <v>-0.17135741653505931</v>
      </c>
      <c r="BL319">
        <v>274.5</v>
      </c>
      <c r="BM319">
        <v>74420.227372590438</v>
      </c>
      <c r="BN319" t="s">
        <v>82</v>
      </c>
      <c r="BO319">
        <v>274.5</v>
      </c>
      <c r="BP319">
        <v>91.779093215095955</v>
      </c>
      <c r="BQ319" s="82">
        <f t="shared" si="91"/>
        <v>-0.21994399826562017</v>
      </c>
      <c r="BR319">
        <v>274.5</v>
      </c>
      <c r="BS319">
        <v>94801.710082072648</v>
      </c>
      <c r="BT319" t="s">
        <v>82</v>
      </c>
      <c r="BU319">
        <v>274.5</v>
      </c>
      <c r="BV319">
        <v>92.9824580280075</v>
      </c>
      <c r="BW319" s="82">
        <f t="shared" si="92"/>
        <v>-0.23627804620583959</v>
      </c>
      <c r="BX319">
        <v>274.5</v>
      </c>
      <c r="BY319">
        <v>102557.9496322768</v>
      </c>
      <c r="BZ319" t="s">
        <v>82</v>
      </c>
      <c r="CA319">
        <v>274.5</v>
      </c>
      <c r="CB319">
        <v>94.203677561885996</v>
      </c>
      <c r="CC319" s="82">
        <f t="shared" si="93"/>
        <v>-0.23583050767646796</v>
      </c>
      <c r="CD319">
        <v>274.5</v>
      </c>
      <c r="CE319">
        <v>103698.30589339368</v>
      </c>
      <c r="CF319" t="s">
        <v>82</v>
      </c>
      <c r="CG319">
        <v>274.5</v>
      </c>
      <c r="CH319">
        <v>95.372100877901033</v>
      </c>
      <c r="CI319" s="82">
        <f t="shared" si="94"/>
        <v>-0.2278670008507504</v>
      </c>
      <c r="CJ319">
        <v>274.5</v>
      </c>
      <c r="CK319">
        <v>101873.27828388805</v>
      </c>
      <c r="CL319" t="s">
        <v>82</v>
      </c>
      <c r="CM319">
        <v>274.5</v>
      </c>
      <c r="CN319">
        <v>96.458907828195166</v>
      </c>
      <c r="CO319" s="82">
        <f t="shared" si="95"/>
        <v>-0.21707193675099745</v>
      </c>
      <c r="CP319">
        <v>274.5</v>
      </c>
      <c r="CQ319">
        <v>98935.027935784645</v>
      </c>
      <c r="CR319" t="s">
        <v>82</v>
      </c>
      <c r="CS319">
        <v>274.5</v>
      </c>
      <c r="CT319">
        <v>97.456354757630805</v>
      </c>
      <c r="CU319" s="82">
        <f t="shared" si="96"/>
        <v>-0.20563186679058276</v>
      </c>
      <c r="CV319">
        <v>274.5</v>
      </c>
      <c r="CW319">
        <v>95750.808600705233</v>
      </c>
      <c r="CX319" t="s">
        <v>82</v>
      </c>
      <c r="CY319">
        <v>274.5</v>
      </c>
      <c r="CZ319">
        <v>98.377832391309624</v>
      </c>
      <c r="DA319" s="82">
        <f t="shared" si="97"/>
        <v>-0.19422535257650964</v>
      </c>
      <c r="DB319">
        <v>274.5</v>
      </c>
      <c r="DC319">
        <v>92622.77640972157</v>
      </c>
      <c r="DD319" t="s">
        <v>82</v>
      </c>
      <c r="DG319" s="82">
        <f t="shared" si="98"/>
        <v>0</v>
      </c>
      <c r="DM319" s="82">
        <f t="shared" si="99"/>
        <v>0</v>
      </c>
    </row>
    <row r="320" spans="1:117" x14ac:dyDescent="0.2">
      <c r="A320">
        <v>275.5</v>
      </c>
      <c r="B320">
        <v>90.000390192951997</v>
      </c>
      <c r="C320" s="82">
        <f t="shared" si="80"/>
        <v>-1.7011007618350504E-4</v>
      </c>
      <c r="D320">
        <v>275.5</v>
      </c>
      <c r="E320">
        <v>10794.025227712365</v>
      </c>
      <c r="F320" t="s">
        <v>82</v>
      </c>
      <c r="G320">
        <v>275.5</v>
      </c>
      <c r="H320">
        <v>90.00104331304982</v>
      </c>
      <c r="I320" s="82">
        <f t="shared" si="81"/>
        <v>-2.6136617775307514E-4</v>
      </c>
      <c r="J320">
        <v>275.5</v>
      </c>
      <c r="K320">
        <v>11108.466590958316</v>
      </c>
      <c r="L320" t="s">
        <v>82</v>
      </c>
      <c r="M320">
        <v>275.5</v>
      </c>
      <c r="N320">
        <v>90.001921911706475</v>
      </c>
      <c r="O320" s="82">
        <f t="shared" si="82"/>
        <v>-2.5918901685884066E-4</v>
      </c>
      <c r="P320">
        <v>275.5</v>
      </c>
      <c r="Q320">
        <v>11442.05653796944</v>
      </c>
      <c r="R320" t="s">
        <v>82</v>
      </c>
      <c r="S320">
        <v>275.5</v>
      </c>
      <c r="T320">
        <v>90.002425204573527</v>
      </c>
      <c r="U320" s="82">
        <f t="shared" si="83"/>
        <v>6.9028065624365809E-5</v>
      </c>
      <c r="V320">
        <v>275.5</v>
      </c>
      <c r="W320">
        <v>11743.123258681608</v>
      </c>
      <c r="X320" t="s">
        <v>82</v>
      </c>
      <c r="Y320">
        <v>275.5</v>
      </c>
      <c r="Z320">
        <v>90.000783975097093</v>
      </c>
      <c r="AA320" s="82">
        <f t="shared" si="84"/>
        <v>1.1186407721055502E-3</v>
      </c>
      <c r="AB320">
        <v>275.5</v>
      </c>
      <c r="AC320">
        <v>12367.046322884371</v>
      </c>
      <c r="AD320" t="s">
        <v>82</v>
      </c>
      <c r="AE320">
        <v>275.5</v>
      </c>
      <c r="AF320">
        <v>89.99333972956066</v>
      </c>
      <c r="AG320" s="82">
        <f t="shared" si="85"/>
        <v>3.2707468402008999E-3</v>
      </c>
      <c r="AH320">
        <v>275.5</v>
      </c>
      <c r="AI320">
        <v>13319.89725771691</v>
      </c>
      <c r="AJ320" t="s">
        <v>82</v>
      </c>
      <c r="AK320">
        <v>275.5</v>
      </c>
      <c r="AL320">
        <v>89.975579990480554</v>
      </c>
      <c r="AM320" s="82">
        <f t="shared" si="86"/>
        <v>5.933112329714163E-3</v>
      </c>
      <c r="AN320">
        <v>275.5</v>
      </c>
      <c r="AO320">
        <v>14531.65796622885</v>
      </c>
      <c r="AP320" t="s">
        <v>82</v>
      </c>
      <c r="AQ320">
        <v>275.5</v>
      </c>
      <c r="AR320">
        <v>89.950068186741021</v>
      </c>
      <c r="AS320" s="82">
        <f t="shared" si="87"/>
        <v>4.9974804724399746E-3</v>
      </c>
      <c r="AT320">
        <v>275.5</v>
      </c>
      <c r="AU320">
        <v>15048.412533987545</v>
      </c>
      <c r="AV320" t="s">
        <v>82</v>
      </c>
      <c r="AW320">
        <v>275.5</v>
      </c>
      <c r="AX320">
        <v>89.951931379917426</v>
      </c>
      <c r="AY320" s="82">
        <f t="shared" si="88"/>
        <v>-1.1767682469582041E-2</v>
      </c>
      <c r="AZ320">
        <v>275.5</v>
      </c>
      <c r="BA320">
        <v>16623.692016027868</v>
      </c>
      <c r="BB320" t="s">
        <v>82</v>
      </c>
      <c r="BC320">
        <v>275.5</v>
      </c>
      <c r="BD320">
        <v>90.098708258585262</v>
      </c>
      <c r="BE320" s="82">
        <f t="shared" si="89"/>
        <v>-6.5358332438705702E-2</v>
      </c>
      <c r="BF320">
        <v>275.5</v>
      </c>
      <c r="BG320">
        <v>34539.990002592756</v>
      </c>
      <c r="BH320" t="s">
        <v>82</v>
      </c>
      <c r="BI320">
        <v>275.5</v>
      </c>
      <c r="BJ320">
        <v>90.613436829669723</v>
      </c>
      <c r="BK320" s="82">
        <f t="shared" si="90"/>
        <v>-0.1556382178347917</v>
      </c>
      <c r="BL320">
        <v>275.5</v>
      </c>
      <c r="BM320">
        <v>68218.633969438961</v>
      </c>
      <c r="BN320" t="s">
        <v>82</v>
      </c>
      <c r="BO320">
        <v>275.5</v>
      </c>
      <c r="BP320">
        <v>91.566740921546383</v>
      </c>
      <c r="BQ320" s="82">
        <f t="shared" si="91"/>
        <v>-0.21235229354957141</v>
      </c>
      <c r="BR320">
        <v>275.5</v>
      </c>
      <c r="BS320">
        <v>91792.215069724669</v>
      </c>
      <c r="BT320" t="s">
        <v>82</v>
      </c>
      <c r="BU320">
        <v>275.5</v>
      </c>
      <c r="BV320">
        <v>92.749523378893201</v>
      </c>
      <c r="BW320" s="82">
        <f t="shared" si="92"/>
        <v>-0.23293464911429851</v>
      </c>
      <c r="BX320">
        <v>275.5</v>
      </c>
      <c r="BY320">
        <v>101223.86895469169</v>
      </c>
      <c r="BZ320" t="s">
        <v>82</v>
      </c>
      <c r="CA320">
        <v>275.5</v>
      </c>
      <c r="CB320">
        <v>93.969167473522646</v>
      </c>
      <c r="CC320" s="82">
        <f t="shared" si="93"/>
        <v>-0.23451008836335063</v>
      </c>
      <c r="CD320">
        <v>275.5</v>
      </c>
      <c r="CE320">
        <v>103163.31876201424</v>
      </c>
      <c r="CF320" t="s">
        <v>82</v>
      </c>
      <c r="CG320">
        <v>275.5</v>
      </c>
      <c r="CH320">
        <v>95.144648205682472</v>
      </c>
      <c r="CI320" s="82">
        <f t="shared" si="94"/>
        <v>-0.22745267221856125</v>
      </c>
      <c r="CJ320">
        <v>275.5</v>
      </c>
      <c r="CK320">
        <v>101696.25881686539</v>
      </c>
      <c r="CL320" t="s">
        <v>82</v>
      </c>
      <c r="CM320">
        <v>275.5</v>
      </c>
      <c r="CN320">
        <v>96.241869277997026</v>
      </c>
      <c r="CO320" s="82">
        <f t="shared" si="95"/>
        <v>-0.21703855019814</v>
      </c>
      <c r="CP320">
        <v>275.5</v>
      </c>
      <c r="CQ320">
        <v>98908.170574390577</v>
      </c>
      <c r="CR320" t="s">
        <v>82</v>
      </c>
      <c r="CS320">
        <v>275.5</v>
      </c>
      <c r="CT320">
        <v>97.250607126105521</v>
      </c>
      <c r="CU320" s="82">
        <f t="shared" si="96"/>
        <v>-0.20574763152528419</v>
      </c>
      <c r="CV320">
        <v>275.5</v>
      </c>
      <c r="CW320">
        <v>95782.2979291636</v>
      </c>
      <c r="CX320" t="s">
        <v>82</v>
      </c>
      <c r="CY320">
        <v>275.5</v>
      </c>
      <c r="CZ320">
        <v>98.18343840788171</v>
      </c>
      <c r="DA320" s="82">
        <f t="shared" si="97"/>
        <v>-0.19439398342791492</v>
      </c>
      <c r="DB320">
        <v>275.5</v>
      </c>
      <c r="DC320">
        <v>92674.485808756246</v>
      </c>
      <c r="DD320" t="s">
        <v>82</v>
      </c>
      <c r="DG320" s="82">
        <f t="shared" si="98"/>
        <v>0</v>
      </c>
      <c r="DM320" s="82">
        <f t="shared" si="99"/>
        <v>0</v>
      </c>
    </row>
    <row r="321" spans="1:117" x14ac:dyDescent="0.2">
      <c r="A321">
        <v>276.5</v>
      </c>
      <c r="B321">
        <v>90.000251537607085</v>
      </c>
      <c r="C321" s="82">
        <f t="shared" si="80"/>
        <v>-1.3865534491230846E-4</v>
      </c>
      <c r="D321">
        <v>276.5</v>
      </c>
      <c r="E321">
        <v>10781.099191920955</v>
      </c>
      <c r="F321" t="s">
        <v>82</v>
      </c>
      <c r="G321">
        <v>276.5</v>
      </c>
      <c r="H321">
        <v>90.000809264371611</v>
      </c>
      <c r="I321" s="82">
        <f t="shared" si="81"/>
        <v>-2.3404867820886466E-4</v>
      </c>
      <c r="J321">
        <v>276.5</v>
      </c>
      <c r="K321">
        <v>11094.921731434071</v>
      </c>
      <c r="L321" t="s">
        <v>82</v>
      </c>
      <c r="M321">
        <v>276.5</v>
      </c>
      <c r="N321">
        <v>90.00164770656032</v>
      </c>
      <c r="O321" s="82">
        <f t="shared" si="82"/>
        <v>-2.7420514615528191E-4</v>
      </c>
      <c r="P321">
        <v>276.5</v>
      </c>
      <c r="Q321">
        <v>11435.516253215324</v>
      </c>
      <c r="R321" t="s">
        <v>82</v>
      </c>
      <c r="S321">
        <v>276.5</v>
      </c>
      <c r="T321">
        <v>90.002358371087212</v>
      </c>
      <c r="U321" s="82">
        <f t="shared" si="83"/>
        <v>-6.6833486314976653E-5</v>
      </c>
      <c r="V321">
        <v>276.5</v>
      </c>
      <c r="W321">
        <v>11760.380060910737</v>
      </c>
      <c r="X321" t="s">
        <v>82</v>
      </c>
      <c r="Y321">
        <v>276.5</v>
      </c>
      <c r="Z321">
        <v>90.001533857283761</v>
      </c>
      <c r="AA321" s="82">
        <f t="shared" si="84"/>
        <v>7.4988218666760531E-4</v>
      </c>
      <c r="AB321">
        <v>276.5</v>
      </c>
      <c r="AC321">
        <v>12277.354256898989</v>
      </c>
      <c r="AD321" t="s">
        <v>82</v>
      </c>
      <c r="AE321">
        <v>276.5</v>
      </c>
      <c r="AF321">
        <v>89.995956104120765</v>
      </c>
      <c r="AG321" s="82">
        <f t="shared" si="85"/>
        <v>2.6163745601053279E-3</v>
      </c>
      <c r="AH321">
        <v>276.5</v>
      </c>
      <c r="AI321">
        <v>13152.227031187302</v>
      </c>
      <c r="AJ321" t="s">
        <v>82</v>
      </c>
      <c r="AK321">
        <v>276.5</v>
      </c>
      <c r="AL321">
        <v>89.980908404501477</v>
      </c>
      <c r="AM321" s="82">
        <f t="shared" si="86"/>
        <v>5.3284140209228781E-3</v>
      </c>
      <c r="AN321">
        <v>276.5</v>
      </c>
      <c r="AO321">
        <v>14349.477716086236</v>
      </c>
      <c r="AP321" t="s">
        <v>82</v>
      </c>
      <c r="AQ321">
        <v>276.5</v>
      </c>
      <c r="AR321">
        <v>89.955947330540724</v>
      </c>
      <c r="AS321" s="82">
        <f t="shared" si="87"/>
        <v>5.8791437997030016E-3</v>
      </c>
      <c r="AT321">
        <v>276.5</v>
      </c>
      <c r="AU321">
        <v>15200.51416822777</v>
      </c>
      <c r="AV321" t="s">
        <v>82</v>
      </c>
      <c r="AW321">
        <v>276.5</v>
      </c>
      <c r="AX321">
        <v>89.945965243277641</v>
      </c>
      <c r="AY321" s="82">
        <f t="shared" si="88"/>
        <v>-5.966136639784736E-3</v>
      </c>
      <c r="AZ321">
        <v>276.5</v>
      </c>
      <c r="BA321">
        <v>15209.063600841508</v>
      </c>
      <c r="BB321" t="s">
        <v>82</v>
      </c>
      <c r="BC321">
        <v>276.5</v>
      </c>
      <c r="BD321">
        <v>90.048264315686339</v>
      </c>
      <c r="BE321" s="82">
        <f t="shared" si="89"/>
        <v>-5.0443942898922955E-2</v>
      </c>
      <c r="BF321">
        <v>276.5</v>
      </c>
      <c r="BG321">
        <v>29449.555441798086</v>
      </c>
      <c r="BH321" t="s">
        <v>82</v>
      </c>
      <c r="BI321">
        <v>276.5</v>
      </c>
      <c r="BJ321">
        <v>90.475510189348753</v>
      </c>
      <c r="BK321" s="82">
        <f t="shared" si="90"/>
        <v>-0.1379266403209698</v>
      </c>
      <c r="BL321">
        <v>276.5</v>
      </c>
      <c r="BM321">
        <v>61418.973389218198</v>
      </c>
      <c r="BN321" t="s">
        <v>82</v>
      </c>
      <c r="BO321">
        <v>276.5</v>
      </c>
      <c r="BP321">
        <v>91.362987128929191</v>
      </c>
      <c r="BQ321" s="82">
        <f t="shared" si="91"/>
        <v>-0.20375379261719218</v>
      </c>
      <c r="BR321">
        <v>276.5</v>
      </c>
      <c r="BS321">
        <v>88385.422366054961</v>
      </c>
      <c r="BT321" t="s">
        <v>82</v>
      </c>
      <c r="BU321">
        <v>276.5</v>
      </c>
      <c r="BV321">
        <v>92.52040665428224</v>
      </c>
      <c r="BW321" s="82">
        <f t="shared" si="92"/>
        <v>-0.22911672461096089</v>
      </c>
      <c r="BX321">
        <v>276.5</v>
      </c>
      <c r="BY321">
        <v>99702.205266364879</v>
      </c>
      <c r="BZ321" t="s">
        <v>82</v>
      </c>
      <c r="CA321">
        <v>276.5</v>
      </c>
      <c r="CB321">
        <v>93.736190409219702</v>
      </c>
      <c r="CC321" s="82">
        <f t="shared" si="93"/>
        <v>-0.2329770643029434</v>
      </c>
      <c r="CD321">
        <v>276.5</v>
      </c>
      <c r="CE321">
        <v>102544.34900569016</v>
      </c>
      <c r="CF321" t="s">
        <v>82</v>
      </c>
      <c r="CG321">
        <v>276.5</v>
      </c>
      <c r="CH321">
        <v>94.917701278660033</v>
      </c>
      <c r="CI321" s="82">
        <f t="shared" si="94"/>
        <v>-0.22694692702243913</v>
      </c>
      <c r="CJ321">
        <v>276.5</v>
      </c>
      <c r="CK321">
        <v>101483.29128054899</v>
      </c>
      <c r="CL321" t="s">
        <v>82</v>
      </c>
      <c r="CM321">
        <v>276.5</v>
      </c>
      <c r="CN321">
        <v>96.02490271295008</v>
      </c>
      <c r="CO321" s="82">
        <f t="shared" si="95"/>
        <v>-0.21696656504694545</v>
      </c>
      <c r="CP321">
        <v>276.5</v>
      </c>
      <c r="CQ321">
        <v>98866.323024724363</v>
      </c>
      <c r="CR321" t="s">
        <v>82</v>
      </c>
      <c r="CS321">
        <v>276.5</v>
      </c>
      <c r="CT321">
        <v>97.044760526559429</v>
      </c>
      <c r="CU321" s="82">
        <f t="shared" si="96"/>
        <v>-0.20584659954609208</v>
      </c>
      <c r="CV321">
        <v>276.5</v>
      </c>
      <c r="CW321">
        <v>95807.444128236079</v>
      </c>
      <c r="CX321" t="s">
        <v>82</v>
      </c>
      <c r="CY321">
        <v>276.5</v>
      </c>
      <c r="CZ321">
        <v>97.98888386877654</v>
      </c>
      <c r="DA321" s="82">
        <f t="shared" si="97"/>
        <v>-0.19455453910516951</v>
      </c>
      <c r="DB321">
        <v>276.5</v>
      </c>
      <c r="DC321">
        <v>92723.297790671204</v>
      </c>
      <c r="DD321" t="s">
        <v>82</v>
      </c>
      <c r="DG321" s="82">
        <f t="shared" si="98"/>
        <v>0</v>
      </c>
      <c r="DM321" s="82">
        <f t="shared" si="99"/>
        <v>0</v>
      </c>
    </row>
    <row r="322" spans="1:117" x14ac:dyDescent="0.2">
      <c r="A322">
        <v>277.5</v>
      </c>
      <c r="B322">
        <v>90.000141688711523</v>
      </c>
      <c r="C322" s="82">
        <f t="shared" si="80"/>
        <v>-1.0984889556198141E-4</v>
      </c>
      <c r="D322">
        <v>277.5</v>
      </c>
      <c r="E322">
        <v>10768.879797781963</v>
      </c>
      <c r="F322" t="s">
        <v>82</v>
      </c>
      <c r="G322">
        <v>277.5</v>
      </c>
      <c r="H322">
        <v>90.000605630271437</v>
      </c>
      <c r="I322" s="82">
        <f t="shared" si="81"/>
        <v>-2.0363410017409933E-4</v>
      </c>
      <c r="J322">
        <v>277.5</v>
      </c>
      <c r="K322">
        <v>11081.051552145698</v>
      </c>
      <c r="L322" t="s">
        <v>82</v>
      </c>
      <c r="M322">
        <v>277.5</v>
      </c>
      <c r="N322">
        <v>90.001375972119718</v>
      </c>
      <c r="O322" s="82">
        <f t="shared" si="82"/>
        <v>-2.7173444060224483E-4</v>
      </c>
      <c r="P322">
        <v>277.5</v>
      </c>
      <c r="Q322">
        <v>11425.712595919702</v>
      </c>
      <c r="R322" t="s">
        <v>82</v>
      </c>
      <c r="S322">
        <v>277.5</v>
      </c>
      <c r="T322">
        <v>90.00219903316804</v>
      </c>
      <c r="U322" s="82">
        <f t="shared" si="83"/>
        <v>-1.5933791917177587E-4</v>
      </c>
      <c r="V322">
        <v>277.5</v>
      </c>
      <c r="W322">
        <v>11769.172029195661</v>
      </c>
      <c r="X322" t="s">
        <v>82</v>
      </c>
      <c r="Y322">
        <v>277.5</v>
      </c>
      <c r="Z322">
        <v>90.001988571880375</v>
      </c>
      <c r="AA322" s="82">
        <f t="shared" si="84"/>
        <v>4.5471459661428071E-4</v>
      </c>
      <c r="AB322">
        <v>277.5</v>
      </c>
      <c r="AC322">
        <v>12204.945671646979</v>
      </c>
      <c r="AD322" t="s">
        <v>82</v>
      </c>
      <c r="AE322">
        <v>277.5</v>
      </c>
      <c r="AF322">
        <v>89.997988003333973</v>
      </c>
      <c r="AG322" s="82">
        <f t="shared" si="85"/>
        <v>2.0318992132075664E-3</v>
      </c>
      <c r="AH322">
        <v>277.5</v>
      </c>
      <c r="AI322">
        <v>13004.361201627078</v>
      </c>
      <c r="AJ322" t="s">
        <v>82</v>
      </c>
      <c r="AK322">
        <v>277.5</v>
      </c>
      <c r="AL322">
        <v>89.985558861120452</v>
      </c>
      <c r="AM322" s="82">
        <f t="shared" si="86"/>
        <v>4.6504566189753405E-3</v>
      </c>
      <c r="AN322">
        <v>277.5</v>
      </c>
      <c r="AO322">
        <v>14156.351155809072</v>
      </c>
      <c r="AP322" t="s">
        <v>82</v>
      </c>
      <c r="AQ322">
        <v>277.5</v>
      </c>
      <c r="AR322">
        <v>89.962165955073701</v>
      </c>
      <c r="AS322" s="82">
        <f t="shared" si="87"/>
        <v>6.2186245329769463E-3</v>
      </c>
      <c r="AT322">
        <v>277.5</v>
      </c>
      <c r="AU322">
        <v>15225.782004274559</v>
      </c>
      <c r="AV322" t="s">
        <v>82</v>
      </c>
      <c r="AW322">
        <v>277.5</v>
      </c>
      <c r="AX322">
        <v>89.94434897410963</v>
      </c>
      <c r="AY322" s="82">
        <f t="shared" si="88"/>
        <v>-1.616269168010831E-3</v>
      </c>
      <c r="AZ322">
        <v>277.5</v>
      </c>
      <c r="BA322">
        <v>14195.838297389111</v>
      </c>
      <c r="BB322" t="s">
        <v>82</v>
      </c>
      <c r="BC322">
        <v>277.5</v>
      </c>
      <c r="BD322">
        <v>90.010655343611091</v>
      </c>
      <c r="BE322" s="82">
        <f t="shared" si="89"/>
        <v>-3.7608972075247493E-2</v>
      </c>
      <c r="BF322">
        <v>277.5</v>
      </c>
      <c r="BG322">
        <v>25147.00173521453</v>
      </c>
      <c r="BH322" t="s">
        <v>82</v>
      </c>
      <c r="BI322">
        <v>277.5</v>
      </c>
      <c r="BJ322">
        <v>90.356511011203651</v>
      </c>
      <c r="BK322" s="82">
        <f t="shared" si="90"/>
        <v>-0.11899917814510275</v>
      </c>
      <c r="BL322">
        <v>277.5</v>
      </c>
      <c r="BM322">
        <v>54401.063308133351</v>
      </c>
      <c r="BN322" t="s">
        <v>82</v>
      </c>
      <c r="BO322">
        <v>277.5</v>
      </c>
      <c r="BP322">
        <v>91.168967838645827</v>
      </c>
      <c r="BQ322" s="82">
        <f t="shared" si="91"/>
        <v>-0.1940192902833644</v>
      </c>
      <c r="BR322">
        <v>277.5</v>
      </c>
      <c r="BS322">
        <v>84530.490995381391</v>
      </c>
      <c r="BT322" t="s">
        <v>82</v>
      </c>
      <c r="BU322">
        <v>277.5</v>
      </c>
      <c r="BV322">
        <v>92.295644612035005</v>
      </c>
      <c r="BW322" s="82">
        <f t="shared" si="92"/>
        <v>-0.22476204224723517</v>
      </c>
      <c r="BX322">
        <v>277.5</v>
      </c>
      <c r="BY322">
        <v>97968.311818691975</v>
      </c>
      <c r="BZ322" t="s">
        <v>82</v>
      </c>
      <c r="CA322">
        <v>277.5</v>
      </c>
      <c r="CB322">
        <v>93.504987185040576</v>
      </c>
      <c r="CC322" s="82">
        <f t="shared" si="93"/>
        <v>-0.23120322417912575</v>
      </c>
      <c r="CD322">
        <v>277.5</v>
      </c>
      <c r="CE322">
        <v>101830.19087792169</v>
      </c>
      <c r="CF322" t="s">
        <v>82</v>
      </c>
      <c r="CG322">
        <v>277.5</v>
      </c>
      <c r="CH322">
        <v>94.691363534140336</v>
      </c>
      <c r="CI322" s="82">
        <f t="shared" si="94"/>
        <v>-0.22633774451969657</v>
      </c>
      <c r="CJ322">
        <v>277.5</v>
      </c>
      <c r="CK322">
        <v>101229.59093424318</v>
      </c>
      <c r="CL322" t="s">
        <v>82</v>
      </c>
      <c r="CM322">
        <v>277.5</v>
      </c>
      <c r="CN322">
        <v>95.808051540251924</v>
      </c>
      <c r="CO322" s="82">
        <f t="shared" si="95"/>
        <v>-0.21685117269815635</v>
      </c>
      <c r="CP322">
        <v>277.5</v>
      </c>
      <c r="CQ322">
        <v>98807.568127944338</v>
      </c>
      <c r="CR322" t="s">
        <v>82</v>
      </c>
      <c r="CS322">
        <v>277.5</v>
      </c>
      <c r="CT322">
        <v>96.838833562046176</v>
      </c>
      <c r="CU322" s="82">
        <f t="shared" si="96"/>
        <v>-0.2059269645132531</v>
      </c>
      <c r="CV322">
        <v>277.5</v>
      </c>
      <c r="CW322">
        <v>95825.526320070407</v>
      </c>
      <c r="CX322" t="s">
        <v>82</v>
      </c>
      <c r="CY322">
        <v>277.5</v>
      </c>
      <c r="CZ322">
        <v>97.794177481475998</v>
      </c>
      <c r="DA322" s="82">
        <f t="shared" si="97"/>
        <v>-0.19470638730054191</v>
      </c>
      <c r="DB322">
        <v>277.5</v>
      </c>
      <c r="DC322">
        <v>92768.960229027711</v>
      </c>
      <c r="DD322" t="s">
        <v>82</v>
      </c>
      <c r="DG322" s="82">
        <f t="shared" si="98"/>
        <v>0</v>
      </c>
      <c r="DM322" s="82">
        <f t="shared" si="99"/>
        <v>0</v>
      </c>
    </row>
    <row r="323" spans="1:117" x14ac:dyDescent="0.2">
      <c r="A323">
        <v>278.5</v>
      </c>
      <c r="B323">
        <v>90.00005740502715</v>
      </c>
      <c r="C323" s="82">
        <f t="shared" si="80"/>
        <v>-8.4283684373076539E-5</v>
      </c>
      <c r="D323">
        <v>278.5</v>
      </c>
      <c r="E323">
        <v>10757.454016817508</v>
      </c>
      <c r="F323" t="s">
        <v>82</v>
      </c>
      <c r="G323">
        <v>278.5</v>
      </c>
      <c r="H323">
        <v>90.000433147081992</v>
      </c>
      <c r="I323" s="82">
        <f t="shared" si="81"/>
        <v>-1.7248318944496077E-4</v>
      </c>
      <c r="J323">
        <v>278.5</v>
      </c>
      <c r="K323">
        <v>11067.299580192004</v>
      </c>
      <c r="L323" t="s">
        <v>82</v>
      </c>
      <c r="M323">
        <v>278.5</v>
      </c>
      <c r="N323">
        <v>90.001118915993288</v>
      </c>
      <c r="O323" s="82">
        <f t="shared" si="82"/>
        <v>-2.570561264292337E-4</v>
      </c>
      <c r="P323">
        <v>278.5</v>
      </c>
      <c r="Q323">
        <v>11413.732925490021</v>
      </c>
      <c r="R323" t="s">
        <v>82</v>
      </c>
      <c r="S323">
        <v>278.5</v>
      </c>
      <c r="T323">
        <v>90.001982127503069</v>
      </c>
      <c r="U323" s="82">
        <f t="shared" si="83"/>
        <v>-2.1690566497056807E-4</v>
      </c>
      <c r="V323">
        <v>278.5</v>
      </c>
      <c r="W323">
        <v>11770.830009234809</v>
      </c>
      <c r="X323" t="s">
        <v>82</v>
      </c>
      <c r="Y323">
        <v>278.5</v>
      </c>
      <c r="Z323">
        <v>90.002213941219864</v>
      </c>
      <c r="AA323" s="82">
        <f t="shared" si="84"/>
        <v>2.2536933948913429E-4</v>
      </c>
      <c r="AB323">
        <v>278.5</v>
      </c>
      <c r="AC323">
        <v>12147.639377703992</v>
      </c>
      <c r="AD323" t="s">
        <v>82</v>
      </c>
      <c r="AE323">
        <v>278.5</v>
      </c>
      <c r="AF323">
        <v>89.999512349021444</v>
      </c>
      <c r="AG323" s="82">
        <f t="shared" si="85"/>
        <v>1.5243456874713956E-3</v>
      </c>
      <c r="AH323">
        <v>278.5</v>
      </c>
      <c r="AI323">
        <v>12876.972780440688</v>
      </c>
      <c r="AJ323" t="s">
        <v>82</v>
      </c>
      <c r="AK323">
        <v>278.5</v>
      </c>
      <c r="AL323">
        <v>89.989512101259876</v>
      </c>
      <c r="AM323" s="82">
        <f t="shared" si="86"/>
        <v>3.9532401394239969E-3</v>
      </c>
      <c r="AN323">
        <v>278.5</v>
      </c>
      <c r="AO323">
        <v>13964.679410591174</v>
      </c>
      <c r="AP323" t="s">
        <v>82</v>
      </c>
      <c r="AQ323">
        <v>278.5</v>
      </c>
      <c r="AR323">
        <v>89.968327471653112</v>
      </c>
      <c r="AS323" s="82">
        <f t="shared" si="87"/>
        <v>6.1615165794108862E-3</v>
      </c>
      <c r="AT323">
        <v>278.5</v>
      </c>
      <c r="AU323">
        <v>15160.043618113546</v>
      </c>
      <c r="AV323" t="s">
        <v>82</v>
      </c>
      <c r="AW323">
        <v>278.5</v>
      </c>
      <c r="AX323">
        <v>89.945858610491101</v>
      </c>
      <c r="AY323" s="82">
        <f t="shared" si="88"/>
        <v>1.5096363814706137E-3</v>
      </c>
      <c r="AZ323">
        <v>278.5</v>
      </c>
      <c r="BA323">
        <v>14851.271134512321</v>
      </c>
      <c r="BB323" t="s">
        <v>82</v>
      </c>
      <c r="BC323">
        <v>278.5</v>
      </c>
      <c r="BD323">
        <v>89.983816914783574</v>
      </c>
      <c r="BE323" s="82">
        <f t="shared" si="89"/>
        <v>-2.6838428827517191E-2</v>
      </c>
      <c r="BF323">
        <v>278.5</v>
      </c>
      <c r="BG323">
        <v>21608.260836236394</v>
      </c>
      <c r="BH323" t="s">
        <v>82</v>
      </c>
      <c r="BI323">
        <v>278.5</v>
      </c>
      <c r="BJ323">
        <v>90.256388206148728</v>
      </c>
      <c r="BK323" s="82">
        <f t="shared" si="90"/>
        <v>-0.10012280505492299</v>
      </c>
      <c r="BL323">
        <v>278.5</v>
      </c>
      <c r="BM323">
        <v>47575.805293863414</v>
      </c>
      <c r="BN323" t="s">
        <v>82</v>
      </c>
      <c r="BO323">
        <v>278.5</v>
      </c>
      <c r="BP323">
        <v>90.985965076279896</v>
      </c>
      <c r="BQ323" s="82">
        <f t="shared" si="91"/>
        <v>-0.18300276236593049</v>
      </c>
      <c r="BR323">
        <v>278.5</v>
      </c>
      <c r="BS323">
        <v>80170.084528633379</v>
      </c>
      <c r="BT323" t="s">
        <v>82</v>
      </c>
      <c r="BU323">
        <v>278.5</v>
      </c>
      <c r="BV323">
        <v>92.075844590101653</v>
      </c>
      <c r="BW323" s="82">
        <f t="shared" si="92"/>
        <v>-0.21980002193335224</v>
      </c>
      <c r="BX323">
        <v>278.5</v>
      </c>
      <c r="BY323">
        <v>95994.245106402799</v>
      </c>
      <c r="BZ323" t="s">
        <v>82</v>
      </c>
      <c r="CA323">
        <v>278.5</v>
      </c>
      <c r="CB323">
        <v>93.27583072671554</v>
      </c>
      <c r="CC323" s="82">
        <f t="shared" si="93"/>
        <v>-0.22915645832503628</v>
      </c>
      <c r="CD323">
        <v>278.5</v>
      </c>
      <c r="CE323">
        <v>101008.09122041031</v>
      </c>
      <c r="CF323" t="s">
        <v>82</v>
      </c>
      <c r="CG323">
        <v>278.5</v>
      </c>
      <c r="CH323">
        <v>94.46575213877874</v>
      </c>
      <c r="CI323" s="82">
        <f t="shared" si="94"/>
        <v>-0.22561139536159658</v>
      </c>
      <c r="CJ323">
        <v>278.5</v>
      </c>
      <c r="CK323">
        <v>100929.69286789157</v>
      </c>
      <c r="CL323" t="s">
        <v>82</v>
      </c>
      <c r="CM323">
        <v>278.5</v>
      </c>
      <c r="CN323">
        <v>95.591364676837543</v>
      </c>
      <c r="CO323" s="82">
        <f t="shared" si="95"/>
        <v>-0.21668686341438104</v>
      </c>
      <c r="CP323">
        <v>278.5</v>
      </c>
      <c r="CQ323">
        <v>98729.708959939497</v>
      </c>
      <c r="CR323" t="s">
        <v>82</v>
      </c>
      <c r="CS323">
        <v>278.5</v>
      </c>
      <c r="CT323">
        <v>96.632846910358012</v>
      </c>
      <c r="CU323" s="82">
        <f t="shared" si="96"/>
        <v>-0.2059866516881641</v>
      </c>
      <c r="CV323">
        <v>278.5</v>
      </c>
      <c r="CW323">
        <v>95835.716298659652</v>
      </c>
      <c r="CX323" t="s">
        <v>82</v>
      </c>
      <c r="CY323">
        <v>278.5</v>
      </c>
      <c r="CZ323">
        <v>97.599328679940513</v>
      </c>
      <c r="DA323" s="82">
        <f t="shared" si="97"/>
        <v>-0.19484880153548545</v>
      </c>
      <c r="DB323">
        <v>278.5</v>
      </c>
      <c r="DC323">
        <v>92811.183171439028</v>
      </c>
      <c r="DD323" t="s">
        <v>82</v>
      </c>
      <c r="DG323" s="82">
        <f t="shared" si="98"/>
        <v>0</v>
      </c>
      <c r="DM323" s="82">
        <f t="shared" si="99"/>
        <v>0</v>
      </c>
    </row>
    <row r="324" spans="1:117" x14ac:dyDescent="0.2">
      <c r="A324">
        <v>279.5</v>
      </c>
      <c r="B324">
        <v>89.99999518112196</v>
      </c>
      <c r="C324" s="82">
        <f t="shared" si="80"/>
        <v>-6.2223905189284778E-5</v>
      </c>
      <c r="D324">
        <v>279.5</v>
      </c>
      <c r="E324">
        <v>10746.848279387317</v>
      </c>
      <c r="F324" t="s">
        <v>82</v>
      </c>
      <c r="G324">
        <v>279.5</v>
      </c>
      <c r="H324">
        <v>90.000290850943898</v>
      </c>
      <c r="I324" s="82">
        <f t="shared" si="81"/>
        <v>-1.422961380939114E-4</v>
      </c>
      <c r="J324">
        <v>279.5</v>
      </c>
      <c r="K324">
        <v>11053.975549443276</v>
      </c>
      <c r="L324" t="s">
        <v>82</v>
      </c>
      <c r="M324">
        <v>279.5</v>
      </c>
      <c r="N324">
        <v>90.000884443964125</v>
      </c>
      <c r="O324" s="82">
        <f t="shared" si="82"/>
        <v>-2.3447202916315746E-4</v>
      </c>
      <c r="P324">
        <v>279.5</v>
      </c>
      <c r="Q324">
        <v>11400.451421635507</v>
      </c>
      <c r="R324" t="s">
        <v>82</v>
      </c>
      <c r="S324">
        <v>279.5</v>
      </c>
      <c r="T324">
        <v>90.001734998823139</v>
      </c>
      <c r="U324" s="82">
        <f t="shared" si="83"/>
        <v>-2.4712867993059717E-4</v>
      </c>
      <c r="V324">
        <v>279.5</v>
      </c>
      <c r="W324">
        <v>11767.002637578629</v>
      </c>
      <c r="X324" t="s">
        <v>82</v>
      </c>
      <c r="Y324">
        <v>279.5</v>
      </c>
      <c r="Z324">
        <v>90.002267191973118</v>
      </c>
      <c r="AA324" s="82">
        <f t="shared" si="84"/>
        <v>5.3250753254019401E-5</v>
      </c>
      <c r="AB324">
        <v>279.5</v>
      </c>
      <c r="AC324">
        <v>12107.285697048148</v>
      </c>
      <c r="AD324" t="s">
        <v>82</v>
      </c>
      <c r="AE324">
        <v>279.5</v>
      </c>
      <c r="AF324">
        <v>90.000607348193498</v>
      </c>
      <c r="AG324" s="82">
        <f t="shared" si="85"/>
        <v>1.09499917205369E-3</v>
      </c>
      <c r="AH324">
        <v>279.5</v>
      </c>
      <c r="AI324">
        <v>12769.521689314483</v>
      </c>
      <c r="AJ324" t="s">
        <v>82</v>
      </c>
      <c r="AK324">
        <v>279.5</v>
      </c>
      <c r="AL324">
        <v>89.992787713425841</v>
      </c>
      <c r="AM324" s="82">
        <f t="shared" si="86"/>
        <v>3.2756121659645032E-3</v>
      </c>
      <c r="AN324">
        <v>279.5</v>
      </c>
      <c r="AO324">
        <v>13782.961723824637</v>
      </c>
      <c r="AP324" t="s">
        <v>82</v>
      </c>
      <c r="AQ324">
        <v>279.5</v>
      </c>
      <c r="AR324">
        <v>89.974156281318599</v>
      </c>
      <c r="AS324" s="82">
        <f t="shared" si="87"/>
        <v>5.8288096654877108E-3</v>
      </c>
      <c r="AT324">
        <v>279.5</v>
      </c>
      <c r="AU324">
        <v>15033.323302423631</v>
      </c>
      <c r="AV324" t="s">
        <v>82</v>
      </c>
      <c r="AW324">
        <v>279.5</v>
      </c>
      <c r="AX324">
        <v>89.94948785672608</v>
      </c>
      <c r="AY324" s="82">
        <f t="shared" si="88"/>
        <v>3.6292462349791776E-3</v>
      </c>
      <c r="AZ324">
        <v>279.5</v>
      </c>
      <c r="BA324">
        <v>15301.600852419569</v>
      </c>
      <c r="BB324" t="s">
        <v>82</v>
      </c>
      <c r="BC324">
        <v>279.5</v>
      </c>
      <c r="BD324">
        <v>89.965792921349376</v>
      </c>
      <c r="BE324" s="82">
        <f t="shared" si="89"/>
        <v>-1.802399343419836E-2</v>
      </c>
      <c r="BF324">
        <v>279.5</v>
      </c>
      <c r="BG324">
        <v>18876.155226686991</v>
      </c>
      <c r="BH324" t="s">
        <v>82</v>
      </c>
      <c r="BI324">
        <v>279.5</v>
      </c>
      <c r="BJ324">
        <v>90.17421176126588</v>
      </c>
      <c r="BK324" s="82">
        <f t="shared" si="90"/>
        <v>-8.2176444882847477E-2</v>
      </c>
      <c r="BL324">
        <v>279.5</v>
      </c>
      <c r="BM324">
        <v>41214.470245704702</v>
      </c>
      <c r="BN324" t="s">
        <v>82</v>
      </c>
      <c r="BO324">
        <v>279.5</v>
      </c>
      <c r="BP324">
        <v>90.815425905128052</v>
      </c>
      <c r="BQ324" s="82">
        <f t="shared" si="91"/>
        <v>-0.17053917115184447</v>
      </c>
      <c r="BR324">
        <v>279.5</v>
      </c>
      <c r="BS324">
        <v>75239.608273442791</v>
      </c>
      <c r="BT324" t="s">
        <v>82</v>
      </c>
      <c r="BU324">
        <v>279.5</v>
      </c>
      <c r="BV324">
        <v>91.861693979433909</v>
      </c>
      <c r="BW324" s="82">
        <f t="shared" si="92"/>
        <v>-0.21415061066774399</v>
      </c>
      <c r="BX324">
        <v>279.5</v>
      </c>
      <c r="BY324">
        <v>93748.32610870873</v>
      </c>
      <c r="BZ324" t="s">
        <v>82</v>
      </c>
      <c r="CA324">
        <v>279.5</v>
      </c>
      <c r="CB324">
        <v>93.049030508298998</v>
      </c>
      <c r="CC324" s="82">
        <f t="shared" si="93"/>
        <v>-0.22680021841654252</v>
      </c>
      <c r="CD324">
        <v>279.5</v>
      </c>
      <c r="CE324">
        <v>100063.53566562574</v>
      </c>
      <c r="CF324" t="s">
        <v>82</v>
      </c>
      <c r="CG324">
        <v>279.5</v>
      </c>
      <c r="CH324">
        <v>94.240999941163381</v>
      </c>
      <c r="CI324" s="82">
        <f t="shared" si="94"/>
        <v>-0.22475219761535925</v>
      </c>
      <c r="CJ324">
        <v>279.5</v>
      </c>
      <c r="CK324">
        <v>100577.35505873612</v>
      </c>
      <c r="CL324" t="s">
        <v>82</v>
      </c>
      <c r="CM324">
        <v>279.5</v>
      </c>
      <c r="CN324">
        <v>95.374897353674058</v>
      </c>
      <c r="CO324" s="82">
        <f t="shared" si="95"/>
        <v>-0.21646732316348505</v>
      </c>
      <c r="CP324">
        <v>279.5</v>
      </c>
      <c r="CQ324">
        <v>98630.22773614942</v>
      </c>
      <c r="CR324" t="s">
        <v>82</v>
      </c>
      <c r="CS324">
        <v>279.5</v>
      </c>
      <c r="CT324">
        <v>96.426823633156161</v>
      </c>
      <c r="CU324" s="82">
        <f t="shared" si="96"/>
        <v>-0.20602327720185087</v>
      </c>
      <c r="CV324">
        <v>279.5</v>
      </c>
      <c r="CW324">
        <v>95837.062292131828</v>
      </c>
      <c r="CX324" t="s">
        <v>82</v>
      </c>
      <c r="CY324">
        <v>279.5</v>
      </c>
      <c r="CZ324">
        <v>97.404347733494134</v>
      </c>
      <c r="DA324" s="82">
        <f t="shared" si="97"/>
        <v>-0.19498094644637831</v>
      </c>
      <c r="DB324">
        <v>279.5</v>
      </c>
      <c r="DC324">
        <v>92849.633141426297</v>
      </c>
      <c r="DD324" t="s">
        <v>82</v>
      </c>
      <c r="DG324" s="82">
        <f t="shared" si="98"/>
        <v>0</v>
      </c>
      <c r="DM324" s="82">
        <f t="shared" si="99"/>
        <v>0</v>
      </c>
    </row>
    <row r="325" spans="1:117" x14ac:dyDescent="0.2">
      <c r="A325">
        <v>280.5</v>
      </c>
      <c r="B325">
        <v>89.999951492012656</v>
      </c>
      <c r="C325" s="82">
        <f t="shared" si="80"/>
        <v>-4.3689109304523299E-5</v>
      </c>
      <c r="D325">
        <v>280.5</v>
      </c>
      <c r="E325">
        <v>10737.045276395089</v>
      </c>
      <c r="F325" t="s">
        <v>82</v>
      </c>
      <c r="G325">
        <v>280.5</v>
      </c>
      <c r="H325">
        <v>90.000176624628736</v>
      </c>
      <c r="I325" s="82">
        <f t="shared" si="81"/>
        <v>-1.1422631516211368E-4</v>
      </c>
      <c r="J325">
        <v>280.5</v>
      </c>
      <c r="K325">
        <v>11041.280267059625</v>
      </c>
      <c r="L325" t="s">
        <v>82</v>
      </c>
      <c r="M325">
        <v>280.5</v>
      </c>
      <c r="N325">
        <v>90.000677053529373</v>
      </c>
      <c r="O325" s="82">
        <f t="shared" si="82"/>
        <v>-2.0739043475259678E-4</v>
      </c>
      <c r="P325">
        <v>280.5</v>
      </c>
      <c r="Q325">
        <v>11386.549517489606</v>
      </c>
      <c r="R325" t="s">
        <v>82</v>
      </c>
      <c r="S325">
        <v>280.5</v>
      </c>
      <c r="T325">
        <v>90.001478344286539</v>
      </c>
      <c r="U325" s="82">
        <f t="shared" si="83"/>
        <v>-2.5665453659939885E-4</v>
      </c>
      <c r="V325">
        <v>280.5</v>
      </c>
      <c r="W325">
        <v>11759.122025952362</v>
      </c>
      <c r="X325" t="s">
        <v>82</v>
      </c>
      <c r="Y325">
        <v>280.5</v>
      </c>
      <c r="Z325">
        <v>90.002196781552541</v>
      </c>
      <c r="AA325" s="82">
        <f t="shared" si="84"/>
        <v>-7.0410420576649813E-5</v>
      </c>
      <c r="AB325">
        <v>280.5</v>
      </c>
      <c r="AC325">
        <v>12122.832033162944</v>
      </c>
      <c r="AD325" t="s">
        <v>82</v>
      </c>
      <c r="AE325">
        <v>280.5</v>
      </c>
      <c r="AF325">
        <v>90.001348396212947</v>
      </c>
      <c r="AG325" s="82">
        <f t="shared" si="85"/>
        <v>7.4104801944940846E-4</v>
      </c>
      <c r="AH325">
        <v>280.5</v>
      </c>
      <c r="AI325">
        <v>12680.668090087605</v>
      </c>
      <c r="AJ325" t="s">
        <v>82</v>
      </c>
      <c r="AK325">
        <v>280.5</v>
      </c>
      <c r="AL325">
        <v>89.995431645787576</v>
      </c>
      <c r="AM325" s="82">
        <f t="shared" si="86"/>
        <v>2.6439323617353239E-3</v>
      </c>
      <c r="AN325">
        <v>280.5</v>
      </c>
      <c r="AO325">
        <v>13616.565117491649</v>
      </c>
      <c r="AP325" t="s">
        <v>82</v>
      </c>
      <c r="AQ325">
        <v>280.5</v>
      </c>
      <c r="AR325">
        <v>89.979474770063931</v>
      </c>
      <c r="AS325" s="82">
        <f t="shared" si="87"/>
        <v>5.3184887453312513E-3</v>
      </c>
      <c r="AT325">
        <v>280.5</v>
      </c>
      <c r="AU325">
        <v>14869.795731336304</v>
      </c>
      <c r="AV325" t="s">
        <v>82</v>
      </c>
      <c r="AW325">
        <v>280.5</v>
      </c>
      <c r="AX325">
        <v>89.95443072216527</v>
      </c>
      <c r="AY325" s="82">
        <f t="shared" si="88"/>
        <v>4.9428654391903137E-3</v>
      </c>
      <c r="AZ325">
        <v>280.5</v>
      </c>
      <c r="BA325">
        <v>15560.805210685834</v>
      </c>
      <c r="BB325" t="s">
        <v>82</v>
      </c>
      <c r="BC325">
        <v>280.5</v>
      </c>
      <c r="BD325">
        <v>89.954795793061322</v>
      </c>
      <c r="BE325" s="82">
        <f t="shared" si="89"/>
        <v>-1.0997128288053659E-2</v>
      </c>
      <c r="BF325">
        <v>280.5</v>
      </c>
      <c r="BG325">
        <v>17076.384176343887</v>
      </c>
      <c r="BH325" t="s">
        <v>82</v>
      </c>
      <c r="BI325">
        <v>280.5</v>
      </c>
      <c r="BJ325">
        <v>90.108481040593276</v>
      </c>
      <c r="BK325" s="82">
        <f t="shared" si="90"/>
        <v>-6.5730720672604548E-2</v>
      </c>
      <c r="BL325">
        <v>280.5</v>
      </c>
      <c r="BM325">
        <v>35485.795530374933</v>
      </c>
      <c r="BN325" t="s">
        <v>82</v>
      </c>
      <c r="BO325">
        <v>280.5</v>
      </c>
      <c r="BP325">
        <v>90.658983920675198</v>
      </c>
      <c r="BQ325" s="82">
        <f t="shared" si="91"/>
        <v>-0.1564419844528544</v>
      </c>
      <c r="BR325">
        <v>280.5</v>
      </c>
      <c r="BS325">
        <v>69666.421969851202</v>
      </c>
      <c r="BT325" t="s">
        <v>82</v>
      </c>
      <c r="BU325">
        <v>280.5</v>
      </c>
      <c r="BV325">
        <v>91.65397097155892</v>
      </c>
      <c r="BW325" s="82">
        <f t="shared" si="92"/>
        <v>-0.20772300787498921</v>
      </c>
      <c r="BX325">
        <v>280.5</v>
      </c>
      <c r="BY325">
        <v>91194.64493079549</v>
      </c>
      <c r="BZ325" t="s">
        <v>82</v>
      </c>
      <c r="CA325">
        <v>280.5</v>
      </c>
      <c r="CB325">
        <v>92.824937606134</v>
      </c>
      <c r="CC325" s="82">
        <f t="shared" si="93"/>
        <v>-0.22409290216499755</v>
      </c>
      <c r="CD325">
        <v>280.5</v>
      </c>
      <c r="CE325">
        <v>98980.005066057944</v>
      </c>
      <c r="CF325" t="s">
        <v>82</v>
      </c>
      <c r="CG325">
        <v>280.5</v>
      </c>
      <c r="CH325">
        <v>94.017257703212579</v>
      </c>
      <c r="CI325" s="82">
        <f t="shared" si="94"/>
        <v>-0.22374223795080184</v>
      </c>
      <c r="CJ325">
        <v>280.5</v>
      </c>
      <c r="CK325">
        <v>100165.44741399713</v>
      </c>
      <c r="CL325" t="s">
        <v>82</v>
      </c>
      <c r="CM325">
        <v>280.5</v>
      </c>
      <c r="CN325">
        <v>95.15871203837952</v>
      </c>
      <c r="CO325" s="82">
        <f t="shared" si="95"/>
        <v>-0.21618531529453833</v>
      </c>
      <c r="CP325">
        <v>280.5</v>
      </c>
      <c r="CQ325">
        <v>98506.238597382951</v>
      </c>
      <c r="CR325" t="s">
        <v>82</v>
      </c>
      <c r="CS325">
        <v>280.5</v>
      </c>
      <c r="CT325">
        <v>96.220789531937882</v>
      </c>
      <c r="CU325" s="82">
        <f t="shared" si="96"/>
        <v>-0.20603410121827892</v>
      </c>
      <c r="CV325">
        <v>280.5</v>
      </c>
      <c r="CW325">
        <v>95828.470187151353</v>
      </c>
      <c r="CX325" t="s">
        <v>82</v>
      </c>
      <c r="CY325">
        <v>280.5</v>
      </c>
      <c r="CZ325">
        <v>97.209245872771533</v>
      </c>
      <c r="DA325" s="82">
        <f t="shared" si="97"/>
        <v>-0.19510186072260183</v>
      </c>
      <c r="DB325">
        <v>280.5</v>
      </c>
      <c r="DC325">
        <v>92883.926129944492</v>
      </c>
      <c r="DD325" t="s">
        <v>82</v>
      </c>
      <c r="DG325" s="82">
        <f t="shared" si="98"/>
        <v>0</v>
      </c>
      <c r="DM325" s="82">
        <f t="shared" si="99"/>
        <v>0</v>
      </c>
    </row>
    <row r="326" spans="1:117" x14ac:dyDescent="0.2">
      <c r="A326">
        <v>281.5</v>
      </c>
      <c r="B326">
        <v>89.999922966752521</v>
      </c>
      <c r="C326" s="82">
        <f t="shared" ref="C326:C385" si="100">B326-B325</f>
        <v>-2.8525260134415475E-5</v>
      </c>
      <c r="D326">
        <v>281.5</v>
      </c>
      <c r="E326">
        <v>10727.997778407398</v>
      </c>
      <c r="F326" t="s">
        <v>82</v>
      </c>
      <c r="G326">
        <v>281.5</v>
      </c>
      <c r="H326">
        <v>90.000087638137799</v>
      </c>
      <c r="I326" s="82">
        <f t="shared" ref="I326:I385" si="101">H326-H325</f>
        <v>-8.898649093680433E-5</v>
      </c>
      <c r="J326">
        <v>281.5</v>
      </c>
      <c r="K326">
        <v>11029.328394351945</v>
      </c>
      <c r="L326" t="s">
        <v>82</v>
      </c>
      <c r="M326">
        <v>281.5</v>
      </c>
      <c r="N326">
        <v>90.000498625802706</v>
      </c>
      <c r="O326" s="82">
        <f t="shared" ref="O326:O385" si="102">N326-N325</f>
        <v>-1.7842772666654128E-4</v>
      </c>
      <c r="P326">
        <v>281.5</v>
      </c>
      <c r="Q326">
        <v>11372.540049417863</v>
      </c>
      <c r="R326" t="s">
        <v>82</v>
      </c>
      <c r="S326">
        <v>281.5</v>
      </c>
      <c r="T326">
        <v>90.001227194677639</v>
      </c>
      <c r="U326" s="82">
        <f t="shared" ref="U326:U385" si="103">T326-T325</f>
        <v>-2.5114960889993654E-4</v>
      </c>
      <c r="V326">
        <v>281.5</v>
      </c>
      <c r="W326">
        <v>11748.396853968286</v>
      </c>
      <c r="X326" t="s">
        <v>82</v>
      </c>
      <c r="Y326">
        <v>281.5</v>
      </c>
      <c r="Z326">
        <v>90.002042692581199</v>
      </c>
      <c r="AA326" s="82">
        <f t="shared" ref="AA326:AA385" si="104">Z326-Z325</f>
        <v>-1.540889713425031E-4</v>
      </c>
      <c r="AB326">
        <v>281.5</v>
      </c>
      <c r="AC326">
        <v>12129.902700859933</v>
      </c>
      <c r="AD326" t="s">
        <v>82</v>
      </c>
      <c r="AE326">
        <v>281.5</v>
      </c>
      <c r="AF326">
        <v>90.001805329577124</v>
      </c>
      <c r="AG326" s="82">
        <f t="shared" ref="AG326:AG385" si="105">AF326-AF325</f>
        <v>4.5693336417684804E-4</v>
      </c>
      <c r="AH326">
        <v>281.5</v>
      </c>
      <c r="AI326">
        <v>12608.591713068759</v>
      </c>
      <c r="AJ326" t="s">
        <v>82</v>
      </c>
      <c r="AK326">
        <v>281.5</v>
      </c>
      <c r="AL326">
        <v>89.997506182430783</v>
      </c>
      <c r="AM326" s="82">
        <f t="shared" ref="AM326:AM385" si="106">AL326-AL325</f>
        <v>2.0745366432066703E-3</v>
      </c>
      <c r="AN326">
        <v>281.5</v>
      </c>
      <c r="AO326">
        <v>13468.429910053566</v>
      </c>
      <c r="AP326" t="s">
        <v>82</v>
      </c>
      <c r="AQ326">
        <v>281.5</v>
      </c>
      <c r="AR326">
        <v>89.984182516992917</v>
      </c>
      <c r="AS326" s="82">
        <f t="shared" ref="AS326:AS385" si="107">AR326-AR325</f>
        <v>4.7077469289860119E-3</v>
      </c>
      <c r="AT326">
        <v>281.5</v>
      </c>
      <c r="AU326">
        <v>14688.192385668335</v>
      </c>
      <c r="AV326" t="s">
        <v>82</v>
      </c>
      <c r="AW326">
        <v>281.5</v>
      </c>
      <c r="AX326">
        <v>89.960059857059193</v>
      </c>
      <c r="AY326" s="82">
        <f t="shared" ref="AY326:AY385" si="108">AX326-AX325</f>
        <v>5.6291348939225827E-3</v>
      </c>
      <c r="AZ326">
        <v>281.5</v>
      </c>
      <c r="BA326">
        <v>15670.661308496479</v>
      </c>
      <c r="BB326" t="s">
        <v>82</v>
      </c>
      <c r="BC326">
        <v>281.5</v>
      </c>
      <c r="BD326">
        <v>89.949240680484053</v>
      </c>
      <c r="BE326" s="82">
        <f t="shared" ref="BE326:BE385" si="109">BD326-BD325</f>
        <v>-5.5551125772694832E-3</v>
      </c>
      <c r="BF326">
        <v>281.5</v>
      </c>
      <c r="BG326">
        <v>15735.316698699262</v>
      </c>
      <c r="BH326" t="s">
        <v>82</v>
      </c>
      <c r="BI326">
        <v>281.5</v>
      </c>
      <c r="BJ326">
        <v>90.057367407233542</v>
      </c>
      <c r="BK326" s="82">
        <f t="shared" ref="BK326:BK385" si="110">BJ326-BJ325</f>
        <v>-5.1113633359733512E-2</v>
      </c>
      <c r="BL326">
        <v>281.5</v>
      </c>
      <c r="BM326">
        <v>30478.527819811668</v>
      </c>
      <c r="BN326" t="s">
        <v>82</v>
      </c>
      <c r="BO326">
        <v>281.5</v>
      </c>
      <c r="BP326">
        <v>90.518483549480962</v>
      </c>
      <c r="BQ326" s="82">
        <f t="shared" ref="BQ326:BQ385" si="111">BP326-BP325</f>
        <v>-0.14050037119423564</v>
      </c>
      <c r="BR326">
        <v>281.5</v>
      </c>
      <c r="BS326">
        <v>63409.279950203978</v>
      </c>
      <c r="BT326" t="s">
        <v>82</v>
      </c>
      <c r="BU326">
        <v>281.5</v>
      </c>
      <c r="BV326">
        <v>91.453556752591396</v>
      </c>
      <c r="BW326" s="82">
        <f t="shared" ref="BW326:BW385" si="112">BV326-BV325</f>
        <v>-0.20041421896752354</v>
      </c>
      <c r="BX326">
        <v>281.5</v>
      </c>
      <c r="BY326">
        <v>88292.502921514941</v>
      </c>
      <c r="BZ326" t="s">
        <v>82</v>
      </c>
      <c r="CA326">
        <v>281.5</v>
      </c>
      <c r="CB326">
        <v>92.60395045351467</v>
      </c>
      <c r="CC326" s="82">
        <f t="shared" ref="CC326:CC385" si="113">CB326-CB325</f>
        <v>-0.22098715261932966</v>
      </c>
      <c r="CD326">
        <v>281.5</v>
      </c>
      <c r="CE326">
        <v>97738.698680546979</v>
      </c>
      <c r="CF326" t="s">
        <v>82</v>
      </c>
      <c r="CG326">
        <v>281.5</v>
      </c>
      <c r="CH326">
        <v>93.794696650228843</v>
      </c>
      <c r="CI326" s="82">
        <f t="shared" ref="CI326:CI385" si="114">CH326-CH325</f>
        <v>-0.22256105298373541</v>
      </c>
      <c r="CJ326">
        <v>281.5</v>
      </c>
      <c r="CK326">
        <v>99685.825123885093</v>
      </c>
      <c r="CL326" t="s">
        <v>82</v>
      </c>
      <c r="CM326">
        <v>281.5</v>
      </c>
      <c r="CN326">
        <v>94.942879493551885</v>
      </c>
      <c r="CO326" s="82">
        <f t="shared" ref="CO326:CO385" si="115">CN326-CN325</f>
        <v>-0.21583254482763436</v>
      </c>
      <c r="CP326">
        <v>281.5</v>
      </c>
      <c r="CQ326">
        <v>98354.433531983072</v>
      </c>
      <c r="CR326" t="s">
        <v>82</v>
      </c>
      <c r="CS326">
        <v>281.5</v>
      </c>
      <c r="CT326">
        <v>96.014773557975104</v>
      </c>
      <c r="CU326" s="82">
        <f t="shared" ref="CU326:CU385" si="116">CT326-CT325</f>
        <v>-0.20601597396277782</v>
      </c>
      <c r="CV326">
        <v>281.5</v>
      </c>
      <c r="CW326">
        <v>95808.681964932111</v>
      </c>
      <c r="CX326" t="s">
        <v>82</v>
      </c>
      <c r="CY326">
        <v>281.5</v>
      </c>
      <c r="CZ326">
        <v>97.014035435340546</v>
      </c>
      <c r="DA326" s="82">
        <f t="shared" ref="DA326:DA385" si="117">CZ326-CZ325</f>
        <v>-0.19521043743098687</v>
      </c>
      <c r="DB326">
        <v>281.5</v>
      </c>
      <c r="DC326">
        <v>92913.619777607324</v>
      </c>
      <c r="DD326" t="s">
        <v>82</v>
      </c>
      <c r="DG326" s="82">
        <f t="shared" ref="DG326:DG385" si="118">DF326-DF325</f>
        <v>0</v>
      </c>
      <c r="DM326" s="82">
        <f t="shared" ref="DM326:DM385" si="119">DL326-DL325</f>
        <v>0</v>
      </c>
    </row>
    <row r="327" spans="1:117" x14ac:dyDescent="0.2">
      <c r="A327">
        <v>282.5</v>
      </c>
      <c r="B327">
        <v>89.999906503641029</v>
      </c>
      <c r="C327" s="82">
        <f t="shared" si="100"/>
        <v>-1.6463111492726057E-5</v>
      </c>
      <c r="D327">
        <v>282.5</v>
      </c>
      <c r="E327">
        <v>10719.639715383742</v>
      </c>
      <c r="F327" t="s">
        <v>82</v>
      </c>
      <c r="G327">
        <v>282.5</v>
      </c>
      <c r="H327">
        <v>90.000020693401794</v>
      </c>
      <c r="I327" s="82">
        <f t="shared" si="101"/>
        <v>-6.6944736005325467E-5</v>
      </c>
      <c r="J327">
        <v>282.5</v>
      </c>
      <c r="K327">
        <v>11018.168587054564</v>
      </c>
      <c r="L327" t="s">
        <v>82</v>
      </c>
      <c r="M327">
        <v>282.5</v>
      </c>
      <c r="N327">
        <v>90.000349108172855</v>
      </c>
      <c r="O327" s="82">
        <f t="shared" si="102"/>
        <v>-1.4951762985049299E-4</v>
      </c>
      <c r="P327">
        <v>282.5</v>
      </c>
      <c r="Q327">
        <v>11358.79257984476</v>
      </c>
      <c r="R327" t="s">
        <v>82</v>
      </c>
      <c r="S327">
        <v>282.5</v>
      </c>
      <c r="T327">
        <v>90.000991874855472</v>
      </c>
      <c r="U327" s="82">
        <f t="shared" si="103"/>
        <v>-2.3531982216695724E-4</v>
      </c>
      <c r="V327">
        <v>282.5</v>
      </c>
      <c r="W327">
        <v>11735.819063825558</v>
      </c>
      <c r="X327" t="s">
        <v>82</v>
      </c>
      <c r="Y327">
        <v>282.5</v>
      </c>
      <c r="Z327">
        <v>90.001837042802592</v>
      </c>
      <c r="AA327" s="82">
        <f t="shared" si="104"/>
        <v>-2.0564977860715317E-4</v>
      </c>
      <c r="AB327">
        <v>282.5</v>
      </c>
      <c r="AC327">
        <v>12130.262735699358</v>
      </c>
      <c r="AD327" t="s">
        <v>82</v>
      </c>
      <c r="AE327">
        <v>282.5</v>
      </c>
      <c r="AF327">
        <v>90.002040758153612</v>
      </c>
      <c r="AG327" s="82">
        <f t="shared" si="105"/>
        <v>2.3542857648806148E-4</v>
      </c>
      <c r="AH327">
        <v>282.5</v>
      </c>
      <c r="AI327">
        <v>12551.231191814315</v>
      </c>
      <c r="AJ327" t="s">
        <v>82</v>
      </c>
      <c r="AK327">
        <v>282.5</v>
      </c>
      <c r="AL327">
        <v>89.999082126231997</v>
      </c>
      <c r="AM327" s="82">
        <f t="shared" si="106"/>
        <v>1.5759438012139526E-3</v>
      </c>
      <c r="AN327">
        <v>282.5</v>
      </c>
      <c r="AO327">
        <v>13339.685276264046</v>
      </c>
      <c r="AP327" t="s">
        <v>82</v>
      </c>
      <c r="AQ327">
        <v>282.5</v>
      </c>
      <c r="AR327">
        <v>89.988238041164337</v>
      </c>
      <c r="AS327" s="82">
        <f t="shared" si="107"/>
        <v>4.0555241714201884E-3</v>
      </c>
      <c r="AT327">
        <v>282.5</v>
      </c>
      <c r="AU327">
        <v>14502.441193667157</v>
      </c>
      <c r="AV327" t="s">
        <v>82</v>
      </c>
      <c r="AW327">
        <v>282.5</v>
      </c>
      <c r="AX327">
        <v>89.965902897928615</v>
      </c>
      <c r="AY327" s="82">
        <f t="shared" si="108"/>
        <v>5.8430408694221114E-3</v>
      </c>
      <c r="AZ327">
        <v>282.5</v>
      </c>
      <c r="BA327">
        <v>15669.176672294059</v>
      </c>
      <c r="BB327" t="s">
        <v>82</v>
      </c>
      <c r="BC327">
        <v>282.5</v>
      </c>
      <c r="BD327">
        <v>89.947759789983138</v>
      </c>
      <c r="BE327" s="82">
        <f t="shared" si="109"/>
        <v>-1.4808905009147111E-3</v>
      </c>
      <c r="BF327">
        <v>282.5</v>
      </c>
      <c r="BG327">
        <v>14771.035058376137</v>
      </c>
      <c r="BH327" t="s">
        <v>82</v>
      </c>
      <c r="BI327">
        <v>282.5</v>
      </c>
      <c r="BJ327">
        <v>90.018899429325046</v>
      </c>
      <c r="BK327" s="82">
        <f t="shared" si="110"/>
        <v>-3.8467977908496209E-2</v>
      </c>
      <c r="BL327">
        <v>282.5</v>
      </c>
      <c r="BM327">
        <v>26220.689874289197</v>
      </c>
      <c r="BN327" t="s">
        <v>82</v>
      </c>
      <c r="BO327">
        <v>282.5</v>
      </c>
      <c r="BP327">
        <v>90.395780691415169</v>
      </c>
      <c r="BQ327" s="82">
        <f t="shared" si="111"/>
        <v>-0.12270285806579295</v>
      </c>
      <c r="BR327">
        <v>282.5</v>
      </c>
      <c r="BS327">
        <v>56717.998969871827</v>
      </c>
      <c r="BT327" t="s">
        <v>82</v>
      </c>
      <c r="BU327">
        <v>282.5</v>
      </c>
      <c r="BV327">
        <v>91.261449338669237</v>
      </c>
      <c r="BW327" s="82">
        <f t="shared" si="112"/>
        <v>-0.1921074139221588</v>
      </c>
      <c r="BX327">
        <v>282.5</v>
      </c>
      <c r="BY327">
        <v>84995.78647562633</v>
      </c>
      <c r="BZ327" t="s">
        <v>82</v>
      </c>
      <c r="CA327">
        <v>282.5</v>
      </c>
      <c r="CB327">
        <v>92.386521393309351</v>
      </c>
      <c r="CC327" s="82">
        <f t="shared" si="113"/>
        <v>-0.21742906020531905</v>
      </c>
      <c r="CD327">
        <v>282.5</v>
      </c>
      <c r="CE327">
        <v>96318.21929623968</v>
      </c>
      <c r="CF327" t="s">
        <v>82</v>
      </c>
      <c r="CG327">
        <v>282.5</v>
      </c>
      <c r="CH327">
        <v>93.573511385123709</v>
      </c>
      <c r="CI327" s="82">
        <f t="shared" si="114"/>
        <v>-0.22118526510513448</v>
      </c>
      <c r="CJ327">
        <v>282.5</v>
      </c>
      <c r="CK327">
        <v>99129.183956245586</v>
      </c>
      <c r="CL327" t="s">
        <v>82</v>
      </c>
      <c r="CM327">
        <v>282.5</v>
      </c>
      <c r="CN327">
        <v>94.727479990773276</v>
      </c>
      <c r="CO327" s="82">
        <f t="shared" si="115"/>
        <v>-0.21539950277860953</v>
      </c>
      <c r="CP327">
        <v>282.5</v>
      </c>
      <c r="CQ327">
        <v>98171.020251829032</v>
      </c>
      <c r="CR327" t="s">
        <v>82</v>
      </c>
      <c r="CS327">
        <v>282.5</v>
      </c>
      <c r="CT327">
        <v>95.808808284354953</v>
      </c>
      <c r="CU327" s="82">
        <f t="shared" si="116"/>
        <v>-0.20596527362015138</v>
      </c>
      <c r="CV327">
        <v>282.5</v>
      </c>
      <c r="CW327">
        <v>95776.250974017603</v>
      </c>
      <c r="CX327" t="s">
        <v>82</v>
      </c>
      <c r="CY327">
        <v>282.5</v>
      </c>
      <c r="CZ327">
        <v>96.818730034100426</v>
      </c>
      <c r="DA327" s="82">
        <f t="shared" si="117"/>
        <v>-0.19530540124011964</v>
      </c>
      <c r="DB327">
        <v>282.5</v>
      </c>
      <c r="DC327">
        <v>92938.204284555584</v>
      </c>
      <c r="DD327" t="s">
        <v>82</v>
      </c>
      <c r="DG327" s="82">
        <f t="shared" si="118"/>
        <v>0</v>
      </c>
      <c r="DM327" s="82">
        <f t="shared" si="119"/>
        <v>0</v>
      </c>
    </row>
    <row r="328" spans="1:117" x14ac:dyDescent="0.2">
      <c r="A328">
        <v>283.5</v>
      </c>
      <c r="B328">
        <v>89.999899338712311</v>
      </c>
      <c r="C328" s="82">
        <f t="shared" si="100"/>
        <v>-7.1649287178843224E-6</v>
      </c>
      <c r="D328">
        <v>283.5</v>
      </c>
      <c r="E328">
        <v>10711.894953855961</v>
      </c>
      <c r="F328" t="s">
        <v>82</v>
      </c>
      <c r="G328">
        <v>283.5</v>
      </c>
      <c r="H328">
        <v>89.999972484939789</v>
      </c>
      <c r="I328" s="82">
        <f t="shared" si="101"/>
        <v>-4.8208462004595276E-5</v>
      </c>
      <c r="J328">
        <v>283.5</v>
      </c>
      <c r="K328">
        <v>11007.800765337834</v>
      </c>
      <c r="L328" t="s">
        <v>82</v>
      </c>
      <c r="M328">
        <v>283.5</v>
      </c>
      <c r="N328">
        <v>90.00022708746252</v>
      </c>
      <c r="O328" s="82">
        <f t="shared" si="102"/>
        <v>-1.2202071033584616E-4</v>
      </c>
      <c r="P328">
        <v>283.5</v>
      </c>
      <c r="Q328">
        <v>11345.558209458331</v>
      </c>
      <c r="R328" t="s">
        <v>82</v>
      </c>
      <c r="S328">
        <v>283.5</v>
      </c>
      <c r="T328">
        <v>90.000778904004804</v>
      </c>
      <c r="U328" s="82">
        <f t="shared" si="103"/>
        <v>-2.1297085066862564E-4</v>
      </c>
      <c r="V328">
        <v>283.5</v>
      </c>
      <c r="W328">
        <v>11722.17961268111</v>
      </c>
      <c r="X328" t="s">
        <v>82</v>
      </c>
      <c r="Y328">
        <v>283.5</v>
      </c>
      <c r="Z328">
        <v>90.00160488804255</v>
      </c>
      <c r="AA328" s="82">
        <f t="shared" si="104"/>
        <v>-2.3215476004168067E-4</v>
      </c>
      <c r="AB328">
        <v>283.5</v>
      </c>
      <c r="AC328">
        <v>12125.485563213575</v>
      </c>
      <c r="AD328" t="s">
        <v>82</v>
      </c>
      <c r="AE328">
        <v>283.5</v>
      </c>
      <c r="AF328">
        <v>90.002109235620694</v>
      </c>
      <c r="AG328" s="82">
        <f t="shared" si="105"/>
        <v>6.8477467081606846E-5</v>
      </c>
      <c r="AH328">
        <v>283.5</v>
      </c>
      <c r="AI328">
        <v>12506.457611456493</v>
      </c>
      <c r="AJ328" t="s">
        <v>82</v>
      </c>
      <c r="AK328">
        <v>283.5</v>
      </c>
      <c r="AL328">
        <v>90.000232902797094</v>
      </c>
      <c r="AM328" s="82">
        <f t="shared" si="106"/>
        <v>1.1507765650975443E-3</v>
      </c>
      <c r="AN328">
        <v>283.5</v>
      </c>
      <c r="AO328">
        <v>13230.16503036943</v>
      </c>
      <c r="AP328" t="s">
        <v>82</v>
      </c>
      <c r="AQ328">
        <v>283.5</v>
      </c>
      <c r="AR328">
        <v>89.991643195464192</v>
      </c>
      <c r="AS328" s="82">
        <f t="shared" si="107"/>
        <v>3.4051542998554396E-3</v>
      </c>
      <c r="AT328">
        <v>283.5</v>
      </c>
      <c r="AU328">
        <v>14322.402139748277</v>
      </c>
      <c r="AV328" t="s">
        <v>82</v>
      </c>
      <c r="AW328">
        <v>283.5</v>
      </c>
      <c r="AX328">
        <v>89.97161853797752</v>
      </c>
      <c r="AY328" s="82">
        <f t="shared" si="108"/>
        <v>5.715640048904902E-3</v>
      </c>
      <c r="AZ328">
        <v>283.5</v>
      </c>
      <c r="BA328">
        <v>15589.089045481202</v>
      </c>
      <c r="BB328" t="s">
        <v>82</v>
      </c>
      <c r="BC328">
        <v>283.5</v>
      </c>
      <c r="BD328">
        <v>89.949202141418866</v>
      </c>
      <c r="BE328" s="82">
        <f t="shared" si="109"/>
        <v>1.4423514357275735E-3</v>
      </c>
      <c r="BF328">
        <v>283.5</v>
      </c>
      <c r="BG328">
        <v>15409.24936166997</v>
      </c>
      <c r="BH328" t="s">
        <v>82</v>
      </c>
      <c r="BI328">
        <v>283.5</v>
      </c>
      <c r="BJ328">
        <v>89.991099166974323</v>
      </c>
      <c r="BK328" s="82">
        <f t="shared" si="110"/>
        <v>-2.7800262350723415E-2</v>
      </c>
      <c r="BL328">
        <v>283.5</v>
      </c>
      <c r="BM328">
        <v>22695.606817668919</v>
      </c>
      <c r="BN328" t="s">
        <v>82</v>
      </c>
      <c r="BO328">
        <v>283.5</v>
      </c>
      <c r="BP328">
        <v>90.291322012954637</v>
      </c>
      <c r="BQ328" s="82">
        <f t="shared" si="111"/>
        <v>-0.10445867846053147</v>
      </c>
      <c r="BR328">
        <v>283.5</v>
      </c>
      <c r="BS328">
        <v>50052.339780165697</v>
      </c>
      <c r="BT328" t="s">
        <v>82</v>
      </c>
      <c r="BU328">
        <v>283.5</v>
      </c>
      <c r="BV328">
        <v>91.078779274018657</v>
      </c>
      <c r="BW328" s="82">
        <f t="shared" si="112"/>
        <v>-0.18267006465057989</v>
      </c>
      <c r="BX328">
        <v>283.5</v>
      </c>
      <c r="BY328">
        <v>81252.2687868059</v>
      </c>
      <c r="BZ328" t="s">
        <v>82</v>
      </c>
      <c r="CA328">
        <v>283.5</v>
      </c>
      <c r="CB328">
        <v>92.173164139385833</v>
      </c>
      <c r="CC328" s="82">
        <f t="shared" si="113"/>
        <v>-0.2133572539235189</v>
      </c>
      <c r="CD328">
        <v>283.5</v>
      </c>
      <c r="CE328">
        <v>94694.215227586858</v>
      </c>
      <c r="CF328" t="s">
        <v>82</v>
      </c>
      <c r="CG328">
        <v>283.5</v>
      </c>
      <c r="CH328">
        <v>93.353923218877199</v>
      </c>
      <c r="CI328" s="82">
        <f t="shared" si="114"/>
        <v>-0.21958816624650979</v>
      </c>
      <c r="CJ328">
        <v>283.5</v>
      </c>
      <c r="CK328">
        <v>98484.894865930211</v>
      </c>
      <c r="CL328" t="s">
        <v>82</v>
      </c>
      <c r="CM328">
        <v>283.5</v>
      </c>
      <c r="CN328">
        <v>94.512604703178297</v>
      </c>
      <c r="CO328" s="82">
        <f t="shared" si="115"/>
        <v>-0.2148752875949782</v>
      </c>
      <c r="CP328">
        <v>283.5</v>
      </c>
      <c r="CQ328">
        <v>97951.651067926097</v>
      </c>
      <c r="CR328" t="s">
        <v>82</v>
      </c>
      <c r="CS328">
        <v>283.5</v>
      </c>
      <c r="CT328">
        <v>95.602930449542811</v>
      </c>
      <c r="CU328" s="82">
        <f t="shared" si="116"/>
        <v>-0.20587783481214217</v>
      </c>
      <c r="CV328">
        <v>283.5</v>
      </c>
      <c r="CW328">
        <v>95729.513189222213</v>
      </c>
      <c r="CX328" t="s">
        <v>82</v>
      </c>
      <c r="CY328">
        <v>283.5</v>
      </c>
      <c r="CZ328">
        <v>96.623344751978621</v>
      </c>
      <c r="DA328" s="82">
        <f t="shared" si="117"/>
        <v>-0.19538528212180495</v>
      </c>
      <c r="DB328">
        <v>283.5</v>
      </c>
      <c r="DC328">
        <v>92957.091823090275</v>
      </c>
      <c r="DD328" t="s">
        <v>82</v>
      </c>
      <c r="DG328" s="82">
        <f t="shared" si="118"/>
        <v>0</v>
      </c>
      <c r="DM328" s="82">
        <f t="shared" si="119"/>
        <v>0</v>
      </c>
    </row>
    <row r="329" spans="1:117" x14ac:dyDescent="0.2">
      <c r="A329">
        <v>284.5</v>
      </c>
      <c r="B329">
        <v>89.999899078017421</v>
      </c>
      <c r="C329" s="82">
        <f t="shared" si="100"/>
        <v>-2.6069488967550569E-7</v>
      </c>
      <c r="D329">
        <v>284.5</v>
      </c>
      <c r="E329">
        <v>10705.594727563435</v>
      </c>
      <c r="F329" t="s">
        <v>82</v>
      </c>
      <c r="G329">
        <v>284.5</v>
      </c>
      <c r="H329">
        <v>89.999939788848195</v>
      </c>
      <c r="I329" s="82">
        <f t="shared" si="101"/>
        <v>-3.2696091594175414E-5</v>
      </c>
      <c r="J329">
        <v>284.5</v>
      </c>
      <c r="K329">
        <v>10998.190628163666</v>
      </c>
      <c r="L329" t="s">
        <v>82</v>
      </c>
      <c r="M329">
        <v>284.5</v>
      </c>
      <c r="N329">
        <v>90.000130258673522</v>
      </c>
      <c r="O329" s="82">
        <f t="shared" si="102"/>
        <v>-9.6828788997527226E-5</v>
      </c>
      <c r="P329">
        <v>284.5</v>
      </c>
      <c r="Q329">
        <v>11332.992750941483</v>
      </c>
      <c r="R329" t="s">
        <v>82</v>
      </c>
      <c r="S329">
        <v>284.5</v>
      </c>
      <c r="T329">
        <v>90.00059181065356</v>
      </c>
      <c r="U329" s="82">
        <f t="shared" si="103"/>
        <v>-1.870933512435613E-4</v>
      </c>
      <c r="V329">
        <v>284.5</v>
      </c>
      <c r="W329">
        <v>11708.089831325773</v>
      </c>
      <c r="X329" t="s">
        <v>82</v>
      </c>
      <c r="Y329">
        <v>284.5</v>
      </c>
      <c r="Z329">
        <v>90.001365122891443</v>
      </c>
      <c r="AA329" s="82">
        <f t="shared" si="104"/>
        <v>-2.3976515110746277E-4</v>
      </c>
      <c r="AB329">
        <v>284.5</v>
      </c>
      <c r="AC329">
        <v>12116.931760451243</v>
      </c>
      <c r="AD329" t="s">
        <v>82</v>
      </c>
      <c r="AE329">
        <v>284.5</v>
      </c>
      <c r="AF329">
        <v>90.002057058703386</v>
      </c>
      <c r="AG329" s="82">
        <f t="shared" si="105"/>
        <v>-5.217691730763363E-5</v>
      </c>
      <c r="AH329">
        <v>284.5</v>
      </c>
      <c r="AI329">
        <v>12517.699678086574</v>
      </c>
      <c r="AJ329" t="s">
        <v>82</v>
      </c>
      <c r="AK329">
        <v>284.5</v>
      </c>
      <c r="AL329">
        <v>90.00103029374155</v>
      </c>
      <c r="AM329" s="82">
        <f t="shared" si="106"/>
        <v>7.9739094445585579E-4</v>
      </c>
      <c r="AN329">
        <v>284.5</v>
      </c>
      <c r="AO329">
        <v>13138.824984256831</v>
      </c>
      <c r="AP329" t="s">
        <v>82</v>
      </c>
      <c r="AQ329">
        <v>284.5</v>
      </c>
      <c r="AR329">
        <v>89.994430158166196</v>
      </c>
      <c r="AS329" s="82">
        <f t="shared" si="107"/>
        <v>2.7869627020038479E-3</v>
      </c>
      <c r="AT329">
        <v>284.5</v>
      </c>
      <c r="AU329">
        <v>14154.612085374574</v>
      </c>
      <c r="AV329" t="s">
        <v>82</v>
      </c>
      <c r="AW329">
        <v>284.5</v>
      </c>
      <c r="AX329">
        <v>89.976973538339763</v>
      </c>
      <c r="AY329" s="82">
        <f t="shared" si="108"/>
        <v>5.3550003622433451E-3</v>
      </c>
      <c r="AZ329">
        <v>284.5</v>
      </c>
      <c r="BA329">
        <v>15457.444280803631</v>
      </c>
      <c r="BB329" t="s">
        <v>82</v>
      </c>
      <c r="BC329">
        <v>284.5</v>
      </c>
      <c r="BD329">
        <v>89.952623129181902</v>
      </c>
      <c r="BE329" s="82">
        <f t="shared" si="109"/>
        <v>3.4209877630360097E-3</v>
      </c>
      <c r="BF329">
        <v>284.5</v>
      </c>
      <c r="BG329">
        <v>15834.032751085844</v>
      </c>
      <c r="BH329" t="s">
        <v>82</v>
      </c>
      <c r="BI329">
        <v>284.5</v>
      </c>
      <c r="BJ329">
        <v>89.972077797870014</v>
      </c>
      <c r="BK329" s="82">
        <f t="shared" si="110"/>
        <v>-1.9021369104308405E-2</v>
      </c>
      <c r="BL329">
        <v>284.5</v>
      </c>
      <c r="BM329">
        <v>19859.019751557316</v>
      </c>
      <c r="BN329" t="s">
        <v>82</v>
      </c>
      <c r="BO329">
        <v>284.5</v>
      </c>
      <c r="BP329">
        <v>90.204554448463639</v>
      </c>
      <c r="BQ329" s="82">
        <f t="shared" si="111"/>
        <v>-8.6767564490997984E-2</v>
      </c>
      <c r="BR329">
        <v>284.5</v>
      </c>
      <c r="BS329">
        <v>43727.668282911429</v>
      </c>
      <c r="BT329" t="s">
        <v>82</v>
      </c>
      <c r="BU329">
        <v>284.5</v>
      </c>
      <c r="BV329">
        <v>90.906827442717344</v>
      </c>
      <c r="BW329" s="82">
        <f t="shared" si="112"/>
        <v>-0.17195183130131397</v>
      </c>
      <c r="BX329">
        <v>284.5</v>
      </c>
      <c r="BY329">
        <v>77002.839900692677</v>
      </c>
      <c r="BZ329" t="s">
        <v>82</v>
      </c>
      <c r="CA329">
        <v>284.5</v>
      </c>
      <c r="CB329">
        <v>91.964462273035778</v>
      </c>
      <c r="CC329" s="82">
        <f t="shared" si="113"/>
        <v>-0.20870186635005439</v>
      </c>
      <c r="CD329">
        <v>284.5</v>
      </c>
      <c r="CE329">
        <v>92838.973752430655</v>
      </c>
      <c r="CF329" t="s">
        <v>82</v>
      </c>
      <c r="CG329">
        <v>284.5</v>
      </c>
      <c r="CH329">
        <v>93.136183976706761</v>
      </c>
      <c r="CI329" s="82">
        <f t="shared" si="114"/>
        <v>-0.21773924217043827</v>
      </c>
      <c r="CJ329">
        <v>284.5</v>
      </c>
      <c r="CK329">
        <v>97740.815173236304</v>
      </c>
      <c r="CL329" t="s">
        <v>82</v>
      </c>
      <c r="CM329">
        <v>284.5</v>
      </c>
      <c r="CN329">
        <v>94.298357302851983</v>
      </c>
      <c r="CO329" s="82">
        <f t="shared" si="115"/>
        <v>-0.21424740032631462</v>
      </c>
      <c r="CP329">
        <v>284.5</v>
      </c>
      <c r="CQ329">
        <v>97691.341184075703</v>
      </c>
      <c r="CR329" t="s">
        <v>82</v>
      </c>
      <c r="CS329">
        <v>284.5</v>
      </c>
      <c r="CT329">
        <v>95.397181583296813</v>
      </c>
      <c r="CU329" s="82">
        <f t="shared" si="116"/>
        <v>-0.20574886624599742</v>
      </c>
      <c r="CV329">
        <v>284.5</v>
      </c>
      <c r="CW329">
        <v>95666.554434133606</v>
      </c>
      <c r="CX329" t="s">
        <v>82</v>
      </c>
      <c r="CY329">
        <v>284.5</v>
      </c>
      <c r="CZ329">
        <v>96.427896367041825</v>
      </c>
      <c r="DA329" s="82">
        <f t="shared" si="117"/>
        <v>-0.19544838493679606</v>
      </c>
      <c r="DB329">
        <v>284.5</v>
      </c>
      <c r="DC329">
        <v>92969.604426378151</v>
      </c>
      <c r="DD329" t="s">
        <v>82</v>
      </c>
      <c r="DG329" s="82">
        <f t="shared" si="118"/>
        <v>0</v>
      </c>
      <c r="DM329" s="82">
        <f t="shared" si="119"/>
        <v>0</v>
      </c>
    </row>
    <row r="330" spans="1:117" x14ac:dyDescent="0.2">
      <c r="A330">
        <v>285.5</v>
      </c>
      <c r="B330">
        <v>89.999903702775157</v>
      </c>
      <c r="C330" s="82">
        <f t="shared" si="100"/>
        <v>4.6247577358826675E-6</v>
      </c>
      <c r="D330">
        <v>285.5</v>
      </c>
      <c r="E330">
        <v>10700.530426041787</v>
      </c>
      <c r="F330" t="s">
        <v>82</v>
      </c>
      <c r="G330">
        <v>285.5</v>
      </c>
      <c r="H330">
        <v>89.999919592226888</v>
      </c>
      <c r="I330" s="82">
        <f t="shared" si="101"/>
        <v>-2.019662130692268E-5</v>
      </c>
      <c r="J330">
        <v>285.5</v>
      </c>
      <c r="K330">
        <v>10989.281459952081</v>
      </c>
      <c r="L330" t="s">
        <v>82</v>
      </c>
      <c r="M330">
        <v>285.5</v>
      </c>
      <c r="N330">
        <v>90.000055797823777</v>
      </c>
      <c r="O330" s="82">
        <f t="shared" si="102"/>
        <v>-7.4460849745605628E-5</v>
      </c>
      <c r="P330">
        <v>285.5</v>
      </c>
      <c r="Q330">
        <v>11321.177670628</v>
      </c>
      <c r="R330" t="s">
        <v>82</v>
      </c>
      <c r="S330">
        <v>285.5</v>
      </c>
      <c r="T330">
        <v>90.000431848951095</v>
      </c>
      <c r="U330" s="82">
        <f t="shared" si="103"/>
        <v>-1.5996170246523889E-4</v>
      </c>
      <c r="V330">
        <v>285.5</v>
      </c>
      <c r="W330">
        <v>11694.005166201814</v>
      </c>
      <c r="X330" t="s">
        <v>82</v>
      </c>
      <c r="Y330">
        <v>285.5</v>
      </c>
      <c r="Z330">
        <v>90.001131407384491</v>
      </c>
      <c r="AA330" s="82">
        <f t="shared" si="104"/>
        <v>-2.3371550695117094E-4</v>
      </c>
      <c r="AB330">
        <v>285.5</v>
      </c>
      <c r="AC330">
        <v>12105.745262011318</v>
      </c>
      <c r="AD330" t="s">
        <v>82</v>
      </c>
      <c r="AE330">
        <v>285.5</v>
      </c>
      <c r="AF330">
        <v>90.001922518153606</v>
      </c>
      <c r="AG330" s="82">
        <f t="shared" si="105"/>
        <v>-1.3454054978012664E-4</v>
      </c>
      <c r="AH330">
        <v>285.5</v>
      </c>
      <c r="AI330">
        <v>12524.593990346732</v>
      </c>
      <c r="AJ330" t="s">
        <v>82</v>
      </c>
      <c r="AK330">
        <v>285.5</v>
      </c>
      <c r="AL330">
        <v>90.001541517101558</v>
      </c>
      <c r="AM330" s="82">
        <f t="shared" si="106"/>
        <v>5.1122336000730684E-4</v>
      </c>
      <c r="AN330">
        <v>285.5</v>
      </c>
      <c r="AO330">
        <v>13064.070456310143</v>
      </c>
      <c r="AP330" t="s">
        <v>82</v>
      </c>
      <c r="AQ330">
        <v>285.5</v>
      </c>
      <c r="AR330">
        <v>89.996650864403748</v>
      </c>
      <c r="AS330" s="82">
        <f t="shared" si="107"/>
        <v>2.2207062375514397E-3</v>
      </c>
      <c r="AT330">
        <v>285.5</v>
      </c>
      <c r="AU330">
        <v>14002.983978033153</v>
      </c>
      <c r="AV330" t="s">
        <v>82</v>
      </c>
      <c r="AW330">
        <v>285.5</v>
      </c>
      <c r="AX330">
        <v>89.981821488019833</v>
      </c>
      <c r="AY330" s="82">
        <f t="shared" si="108"/>
        <v>4.8479496800695188E-3</v>
      </c>
      <c r="AZ330">
        <v>285.5</v>
      </c>
      <c r="BA330">
        <v>15295.770539819017</v>
      </c>
      <c r="BB330" t="s">
        <v>82</v>
      </c>
      <c r="BC330">
        <v>285.5</v>
      </c>
      <c r="BD330">
        <v>89.957267436730248</v>
      </c>
      <c r="BE330" s="82">
        <f t="shared" si="109"/>
        <v>4.64430754834666E-3</v>
      </c>
      <c r="BF330">
        <v>285.5</v>
      </c>
      <c r="BG330">
        <v>16076.91983566503</v>
      </c>
      <c r="BH330" t="s">
        <v>82</v>
      </c>
      <c r="BI330">
        <v>285.5</v>
      </c>
      <c r="BJ330">
        <v>89.960098280418194</v>
      </c>
      <c r="BK330" s="82">
        <f t="shared" si="110"/>
        <v>-1.1979517451820243E-2</v>
      </c>
      <c r="BL330">
        <v>285.5</v>
      </c>
      <c r="BM330">
        <v>18026.428860605953</v>
      </c>
      <c r="BN330" t="s">
        <v>82</v>
      </c>
      <c r="BO330">
        <v>285.5</v>
      </c>
      <c r="BP330">
        <v>90.134254068722782</v>
      </c>
      <c r="BQ330" s="82">
        <f t="shared" si="111"/>
        <v>-7.0300379740857011E-2</v>
      </c>
      <c r="BR330">
        <v>285.5</v>
      </c>
      <c r="BS330">
        <v>37946.467695475345</v>
      </c>
      <c r="BT330" t="s">
        <v>82</v>
      </c>
      <c r="BU330">
        <v>285.5</v>
      </c>
      <c r="BV330">
        <v>90.747045278918705</v>
      </c>
      <c r="BW330" s="82">
        <f t="shared" si="112"/>
        <v>-0.15978216379863852</v>
      </c>
      <c r="BX330">
        <v>285.5</v>
      </c>
      <c r="BY330">
        <v>72180.67580156248</v>
      </c>
      <c r="BZ330" t="s">
        <v>82</v>
      </c>
      <c r="CA330">
        <v>285.5</v>
      </c>
      <c r="CB330">
        <v>91.76107891818144</v>
      </c>
      <c r="CC330" s="82">
        <f t="shared" si="113"/>
        <v>-0.20338335485433845</v>
      </c>
      <c r="CD330">
        <v>285.5</v>
      </c>
      <c r="CE330">
        <v>90720.959669257616</v>
      </c>
      <c r="CF330" t="s">
        <v>82</v>
      </c>
      <c r="CG330">
        <v>285.5</v>
      </c>
      <c r="CH330">
        <v>92.920580347976298</v>
      </c>
      <c r="CI330" s="82">
        <f t="shared" si="114"/>
        <v>-0.21560362873046302</v>
      </c>
      <c r="CJ330">
        <v>285.5</v>
      </c>
      <c r="CK330">
        <v>96883.072760949231</v>
      </c>
      <c r="CL330" t="s">
        <v>82</v>
      </c>
      <c r="CM330">
        <v>285.5</v>
      </c>
      <c r="CN330">
        <v>94.08485579318257</v>
      </c>
      <c r="CO330" s="82">
        <f t="shared" si="115"/>
        <v>-0.21350150966941328</v>
      </c>
      <c r="CP330">
        <v>285.5</v>
      </c>
      <c r="CQ330">
        <v>97384.375120733501</v>
      </c>
      <c r="CR330" t="s">
        <v>82</v>
      </c>
      <c r="CS330">
        <v>285.5</v>
      </c>
      <c r="CT330">
        <v>95.191608727353625</v>
      </c>
      <c r="CU330" s="82">
        <f t="shared" si="116"/>
        <v>-0.20557285594318842</v>
      </c>
      <c r="CV330">
        <v>285.5</v>
      </c>
      <c r="CW330">
        <v>95585.172465415671</v>
      </c>
      <c r="CX330" t="s">
        <v>82</v>
      </c>
      <c r="CY330">
        <v>285.5</v>
      </c>
      <c r="CZ330">
        <v>96.23240361275279</v>
      </c>
      <c r="DA330" s="82">
        <f t="shared" si="117"/>
        <v>-0.19549275428903456</v>
      </c>
      <c r="DB330">
        <v>285.5</v>
      </c>
      <c r="DC330">
        <v>92974.959784045874</v>
      </c>
      <c r="DD330" t="s">
        <v>82</v>
      </c>
      <c r="DG330" s="82">
        <f t="shared" si="118"/>
        <v>0</v>
      </c>
      <c r="DM330" s="82">
        <f t="shared" si="119"/>
        <v>0</v>
      </c>
    </row>
    <row r="331" spans="1:117" x14ac:dyDescent="0.2">
      <c r="A331">
        <v>286.5</v>
      </c>
      <c r="B331">
        <v>89.999911555178073</v>
      </c>
      <c r="C331" s="82">
        <f t="shared" si="100"/>
        <v>7.8524029163418163E-6</v>
      </c>
      <c r="D331">
        <v>286.5</v>
      </c>
      <c r="E331">
        <v>10695.22401189881</v>
      </c>
      <c r="F331" t="s">
        <v>82</v>
      </c>
      <c r="G331">
        <v>286.5</v>
      </c>
      <c r="H331">
        <v>89.999909174446387</v>
      </c>
      <c r="I331" s="82">
        <f t="shared" si="101"/>
        <v>-1.0417780501370544E-5</v>
      </c>
      <c r="J331">
        <v>286.5</v>
      </c>
      <c r="K331">
        <v>10981.003425736762</v>
      </c>
      <c r="L331" t="s">
        <v>82</v>
      </c>
      <c r="M331">
        <v>286.5</v>
      </c>
      <c r="N331">
        <v>90.000000649464454</v>
      </c>
      <c r="O331" s="82">
        <f t="shared" si="102"/>
        <v>-5.514835932274309E-5</v>
      </c>
      <c r="P331">
        <v>286.5</v>
      </c>
      <c r="Q331">
        <v>11310.138269608387</v>
      </c>
      <c r="R331" t="s">
        <v>82</v>
      </c>
      <c r="S331">
        <v>286.5</v>
      </c>
      <c r="T331">
        <v>90.000298611347503</v>
      </c>
      <c r="U331" s="82">
        <f t="shared" si="103"/>
        <v>-1.3323760359185144E-4</v>
      </c>
      <c r="V331">
        <v>286.5</v>
      </c>
      <c r="W331">
        <v>11680.249645144208</v>
      </c>
      <c r="X331" t="s">
        <v>82</v>
      </c>
      <c r="Y331">
        <v>286.5</v>
      </c>
      <c r="Z331">
        <v>90.0009130679843</v>
      </c>
      <c r="AA331" s="82">
        <f t="shared" si="104"/>
        <v>-2.1833940019178044E-4</v>
      </c>
      <c r="AB331">
        <v>286.5</v>
      </c>
      <c r="AC331">
        <v>12092.861665931297</v>
      </c>
      <c r="AD331" t="s">
        <v>82</v>
      </c>
      <c r="AE331">
        <v>286.5</v>
      </c>
      <c r="AF331">
        <v>90.00173645545982</v>
      </c>
      <c r="AG331" s="82">
        <f t="shared" si="105"/>
        <v>-1.8606269378551588E-4</v>
      </c>
      <c r="AH331">
        <v>286.5</v>
      </c>
      <c r="AI331">
        <v>12524.883051504698</v>
      </c>
      <c r="AJ331" t="s">
        <v>82</v>
      </c>
      <c r="AK331">
        <v>286.5</v>
      </c>
      <c r="AL331">
        <v>90.001827392740736</v>
      </c>
      <c r="AM331" s="82">
        <f t="shared" si="106"/>
        <v>2.8587563917881198E-4</v>
      </c>
      <c r="AN331">
        <v>286.5</v>
      </c>
      <c r="AO331">
        <v>13004.005522828516</v>
      </c>
      <c r="AP331" t="s">
        <v>82</v>
      </c>
      <c r="AQ331">
        <v>286.5</v>
      </c>
      <c r="AR331">
        <v>89.99836865125927</v>
      </c>
      <c r="AS331" s="82">
        <f t="shared" si="107"/>
        <v>1.7177868555222631E-3</v>
      </c>
      <c r="AT331">
        <v>286.5</v>
      </c>
      <c r="AU331">
        <v>13869.429897310558</v>
      </c>
      <c r="AV331" t="s">
        <v>82</v>
      </c>
      <c r="AW331">
        <v>286.5</v>
      </c>
      <c r="AX331">
        <v>89.986083796185383</v>
      </c>
      <c r="AY331" s="82">
        <f t="shared" si="108"/>
        <v>4.2623081655506212E-3</v>
      </c>
      <c r="AZ331">
        <v>286.5</v>
      </c>
      <c r="BA331">
        <v>15120.576010244962</v>
      </c>
      <c r="BB331" t="s">
        <v>82</v>
      </c>
      <c r="BC331">
        <v>286.5</v>
      </c>
      <c r="BD331">
        <v>89.962548105245091</v>
      </c>
      <c r="BE331" s="82">
        <f t="shared" si="109"/>
        <v>5.2806685148425458E-3</v>
      </c>
      <c r="BF331">
        <v>286.5</v>
      </c>
      <c r="BG331">
        <v>16178.368665271086</v>
      </c>
      <c r="BH331" t="s">
        <v>82</v>
      </c>
      <c r="BI331">
        <v>286.5</v>
      </c>
      <c r="BJ331">
        <v>89.95361199790419</v>
      </c>
      <c r="BK331" s="82">
        <f t="shared" si="110"/>
        <v>-6.4862825140039604E-3</v>
      </c>
      <c r="BL331">
        <v>286.5</v>
      </c>
      <c r="BM331">
        <v>16644.501937213652</v>
      </c>
      <c r="BN331" t="s">
        <v>82</v>
      </c>
      <c r="BO331">
        <v>286.5</v>
      </c>
      <c r="BP331">
        <v>90.078786270018469</v>
      </c>
      <c r="BQ331" s="82">
        <f t="shared" si="111"/>
        <v>-5.5467798704313509E-2</v>
      </c>
      <c r="BR331">
        <v>286.5</v>
      </c>
      <c r="BS331">
        <v>32825.074350636132</v>
      </c>
      <c r="BT331" t="s">
        <v>82</v>
      </c>
      <c r="BU331">
        <v>286.5</v>
      </c>
      <c r="BV331">
        <v>90.601077698554747</v>
      </c>
      <c r="BW331" s="82">
        <f t="shared" si="112"/>
        <v>-0.1459675803639584</v>
      </c>
      <c r="BX331">
        <v>286.5</v>
      </c>
      <c r="BY331">
        <v>66710.383765977123</v>
      </c>
      <c r="BZ331" t="s">
        <v>82</v>
      </c>
      <c r="CA331">
        <v>286.5</v>
      </c>
      <c r="CB331">
        <v>91.563767759163198</v>
      </c>
      <c r="CC331" s="82">
        <f t="shared" si="113"/>
        <v>-0.19731115901824126</v>
      </c>
      <c r="CD331">
        <v>286.5</v>
      </c>
      <c r="CE331">
        <v>88304.292362652384</v>
      </c>
      <c r="CF331" t="s">
        <v>82</v>
      </c>
      <c r="CG331">
        <v>286.5</v>
      </c>
      <c r="CH331">
        <v>92.707438857580257</v>
      </c>
      <c r="CI331" s="82">
        <f t="shared" si="114"/>
        <v>-0.21314149039604047</v>
      </c>
      <c r="CJ331">
        <v>286.5</v>
      </c>
      <c r="CK331">
        <v>95895.819747730857</v>
      </c>
      <c r="CL331" t="s">
        <v>82</v>
      </c>
      <c r="CM331">
        <v>286.5</v>
      </c>
      <c r="CN331">
        <v>93.872234610739952</v>
      </c>
      <c r="CO331" s="82">
        <f t="shared" si="115"/>
        <v>-0.21262118244261785</v>
      </c>
      <c r="CP331">
        <v>286.5</v>
      </c>
      <c r="CQ331">
        <v>97024.199232756058</v>
      </c>
      <c r="CR331" t="s">
        <v>82</v>
      </c>
      <c r="CS331">
        <v>286.5</v>
      </c>
      <c r="CT331">
        <v>94.986265265297988</v>
      </c>
      <c r="CU331" s="82">
        <f t="shared" si="116"/>
        <v>-0.20534346205563736</v>
      </c>
      <c r="CV331">
        <v>286.5</v>
      </c>
      <c r="CW331">
        <v>95482.833297528923</v>
      </c>
      <c r="CX331" t="s">
        <v>82</v>
      </c>
      <c r="CY331">
        <v>286.5</v>
      </c>
      <c r="CZ331">
        <v>96.036887478843212</v>
      </c>
      <c r="DA331" s="82">
        <f t="shared" si="117"/>
        <v>-0.19551613390957812</v>
      </c>
      <c r="DB331">
        <v>286.5</v>
      </c>
      <c r="DC331">
        <v>92972.255138264882</v>
      </c>
      <c r="DD331" t="s">
        <v>82</v>
      </c>
      <c r="DG331" s="82">
        <f t="shared" si="118"/>
        <v>0</v>
      </c>
      <c r="DM331" s="82">
        <f t="shared" si="119"/>
        <v>0</v>
      </c>
    </row>
    <row r="332" spans="1:117" x14ac:dyDescent="0.2">
      <c r="A332">
        <v>287.5</v>
      </c>
      <c r="B332">
        <v>89.999921311164968</v>
      </c>
      <c r="C332" s="82">
        <f t="shared" si="100"/>
        <v>9.7559868947882933E-6</v>
      </c>
      <c r="D332">
        <v>287.5</v>
      </c>
      <c r="E332">
        <v>10689.741780074057</v>
      </c>
      <c r="F332" t="s">
        <v>82</v>
      </c>
      <c r="G332">
        <v>287.5</v>
      </c>
      <c r="H332">
        <v>89.999906150570808</v>
      </c>
      <c r="I332" s="82">
        <f t="shared" si="101"/>
        <v>-3.0238755783784654E-6</v>
      </c>
      <c r="J332">
        <v>287.5</v>
      </c>
      <c r="K332">
        <v>10973.280851151101</v>
      </c>
      <c r="L332" t="s">
        <v>82</v>
      </c>
      <c r="M332">
        <v>287.5</v>
      </c>
      <c r="N332">
        <v>89.999961740377771</v>
      </c>
      <c r="O332" s="82">
        <f t="shared" si="102"/>
        <v>-3.8909086683247551E-5</v>
      </c>
      <c r="P332">
        <v>287.5</v>
      </c>
      <c r="Q332">
        <v>11299.85918095291</v>
      </c>
      <c r="R332" t="s">
        <v>82</v>
      </c>
      <c r="S332">
        <v>287.5</v>
      </c>
      <c r="T332">
        <v>90.000190539177737</v>
      </c>
      <c r="U332" s="82">
        <f t="shared" si="103"/>
        <v>-1.0807216976616019E-4</v>
      </c>
      <c r="V332">
        <v>287.5</v>
      </c>
      <c r="W332">
        <v>11667.039425086265</v>
      </c>
      <c r="X332" t="s">
        <v>82</v>
      </c>
      <c r="Y332">
        <v>287.5</v>
      </c>
      <c r="Z332">
        <v>90.000715937651961</v>
      </c>
      <c r="AA332" s="82">
        <f t="shared" si="104"/>
        <v>-1.9713033233870192E-4</v>
      </c>
      <c r="AB332">
        <v>287.5</v>
      </c>
      <c r="AC332">
        <v>12079.024634634876</v>
      </c>
      <c r="AD332" t="s">
        <v>82</v>
      </c>
      <c r="AE332">
        <v>287.5</v>
      </c>
      <c r="AF332">
        <v>90.001523008155758</v>
      </c>
      <c r="AG332" s="82">
        <f t="shared" si="105"/>
        <v>-2.1344730406269719E-4</v>
      </c>
      <c r="AH332">
        <v>287.5</v>
      </c>
      <c r="AI332">
        <v>12520.099635818073</v>
      </c>
      <c r="AJ332" t="s">
        <v>82</v>
      </c>
      <c r="AK332">
        <v>287.5</v>
      </c>
      <c r="AL332">
        <v>90.001941357089692</v>
      </c>
      <c r="AM332" s="82">
        <f t="shared" si="106"/>
        <v>1.139643489551645E-4</v>
      </c>
      <c r="AN332">
        <v>287.5</v>
      </c>
      <c r="AO332">
        <v>12956.617109559089</v>
      </c>
      <c r="AP332" t="s">
        <v>82</v>
      </c>
      <c r="AQ332">
        <v>287.5</v>
      </c>
      <c r="AR332">
        <v>89.999651852691017</v>
      </c>
      <c r="AS332" s="82">
        <f t="shared" si="107"/>
        <v>1.283201431746761E-3</v>
      </c>
      <c r="AT332">
        <v>287.5</v>
      </c>
      <c r="AU332">
        <v>13754.39308159547</v>
      </c>
      <c r="AV332" t="s">
        <v>82</v>
      </c>
      <c r="AW332">
        <v>287.5</v>
      </c>
      <c r="AX332">
        <v>89.989733150222889</v>
      </c>
      <c r="AY332" s="82">
        <f t="shared" si="108"/>
        <v>3.6493540375062139E-3</v>
      </c>
      <c r="AZ332">
        <v>287.5</v>
      </c>
      <c r="BA332">
        <v>14944.005118540823</v>
      </c>
      <c r="BB332" t="s">
        <v>82</v>
      </c>
      <c r="BC332">
        <v>287.5</v>
      </c>
      <c r="BD332">
        <v>89.968023899812096</v>
      </c>
      <c r="BE332" s="82">
        <f t="shared" si="109"/>
        <v>5.4757945670047548E-3</v>
      </c>
      <c r="BF332">
        <v>287.5</v>
      </c>
      <c r="BG332">
        <v>16174.701974803424</v>
      </c>
      <c r="BH332" t="s">
        <v>82</v>
      </c>
      <c r="BI332">
        <v>287.5</v>
      </c>
      <c r="BJ332">
        <v>89.95127547035662</v>
      </c>
      <c r="BK332" s="82">
        <f t="shared" si="110"/>
        <v>-2.3365275475697445E-3</v>
      </c>
      <c r="BL332">
        <v>287.5</v>
      </c>
      <c r="BM332">
        <v>15636.75560019964</v>
      </c>
      <c r="BN332" t="s">
        <v>82</v>
      </c>
      <c r="BO332">
        <v>287.5</v>
      </c>
      <c r="BP332">
        <v>90.036306946352028</v>
      </c>
      <c r="BQ332" s="82">
        <f t="shared" si="111"/>
        <v>-4.247932366644136E-2</v>
      </c>
      <c r="BR332">
        <v>287.5</v>
      </c>
      <c r="BS332">
        <v>28413.684800698142</v>
      </c>
      <c r="BT332" t="s">
        <v>82</v>
      </c>
      <c r="BU332">
        <v>287.5</v>
      </c>
      <c r="BV332">
        <v>90.470789118787877</v>
      </c>
      <c r="BW332" s="82">
        <f t="shared" si="112"/>
        <v>-0.13028857976686936</v>
      </c>
      <c r="BX332">
        <v>287.5</v>
      </c>
      <c r="BY332">
        <v>60627.985639369253</v>
      </c>
      <c r="BZ332" t="s">
        <v>82</v>
      </c>
      <c r="CA332">
        <v>287.5</v>
      </c>
      <c r="CB332">
        <v>91.373385587662128</v>
      </c>
      <c r="CC332" s="82">
        <f t="shared" si="113"/>
        <v>-0.19038217150107073</v>
      </c>
      <c r="CD332">
        <v>287.5</v>
      </c>
      <c r="CE332">
        <v>85548.154312492305</v>
      </c>
      <c r="CF332" t="s">
        <v>82</v>
      </c>
      <c r="CG332">
        <v>287.5</v>
      </c>
      <c r="CH332">
        <v>92.497131547691978</v>
      </c>
      <c r="CI332" s="82">
        <f t="shared" si="114"/>
        <v>-0.21030730988827884</v>
      </c>
      <c r="CJ332">
        <v>287.5</v>
      </c>
      <c r="CK332">
        <v>94760.951114645461</v>
      </c>
      <c r="CL332" t="s">
        <v>82</v>
      </c>
      <c r="CM332">
        <v>287.5</v>
      </c>
      <c r="CN332">
        <v>93.660647036337863</v>
      </c>
      <c r="CO332" s="82">
        <f t="shared" si="115"/>
        <v>-0.21158757440208831</v>
      </c>
      <c r="CP332">
        <v>287.5</v>
      </c>
      <c r="CQ332">
        <v>96603.298682788445</v>
      </c>
      <c r="CR332" t="s">
        <v>82</v>
      </c>
      <c r="CS332">
        <v>287.5</v>
      </c>
      <c r="CT332">
        <v>94.78121187807794</v>
      </c>
      <c r="CU332" s="82">
        <f t="shared" si="116"/>
        <v>-0.20505338722004751</v>
      </c>
      <c r="CV332">
        <v>287.5</v>
      </c>
      <c r="CW332">
        <v>95356.621105113969</v>
      </c>
      <c r="CX332" t="s">
        <v>82</v>
      </c>
      <c r="CY332">
        <v>287.5</v>
      </c>
      <c r="CZ332">
        <v>95.841371559145657</v>
      </c>
      <c r="DA332" s="82">
        <f t="shared" si="117"/>
        <v>-0.19551591969755577</v>
      </c>
      <c r="DB332">
        <v>287.5</v>
      </c>
      <c r="DC332">
        <v>92960.448357815563</v>
      </c>
      <c r="DD332" t="s">
        <v>82</v>
      </c>
      <c r="DG332" s="82">
        <f t="shared" si="118"/>
        <v>0</v>
      </c>
      <c r="DM332" s="82">
        <f t="shared" si="119"/>
        <v>0</v>
      </c>
    </row>
    <row r="333" spans="1:117" x14ac:dyDescent="0.2">
      <c r="A333">
        <v>288.5</v>
      </c>
      <c r="B333">
        <v>89.999931945332733</v>
      </c>
      <c r="C333" s="82">
        <f t="shared" si="100"/>
        <v>1.0634167765033453E-5</v>
      </c>
      <c r="D333">
        <v>288.5</v>
      </c>
      <c r="E333">
        <v>10684.142137297697</v>
      </c>
      <c r="F333" t="s">
        <v>82</v>
      </c>
      <c r="G333">
        <v>288.5</v>
      </c>
      <c r="H333">
        <v>89.999908486010341</v>
      </c>
      <c r="I333" s="82">
        <f t="shared" si="101"/>
        <v>2.3354395324304278E-6</v>
      </c>
      <c r="J333">
        <v>288.5</v>
      </c>
      <c r="K333">
        <v>10967.833272004344</v>
      </c>
      <c r="L333" t="s">
        <v>82</v>
      </c>
      <c r="M333">
        <v>288.5</v>
      </c>
      <c r="N333">
        <v>89.99993613105876</v>
      </c>
      <c r="O333" s="82">
        <f t="shared" si="102"/>
        <v>-2.5609319010300169E-5</v>
      </c>
      <c r="P333">
        <v>288.5</v>
      </c>
      <c r="Q333">
        <v>11290.297191295205</v>
      </c>
      <c r="R333" t="s">
        <v>82</v>
      </c>
      <c r="S333">
        <v>288.5</v>
      </c>
      <c r="T333">
        <v>90.000105337055942</v>
      </c>
      <c r="U333" s="82">
        <f t="shared" si="103"/>
        <v>-8.5202121795191488E-5</v>
      </c>
      <c r="V333">
        <v>288.5</v>
      </c>
      <c r="W333">
        <v>11654.504582848203</v>
      </c>
      <c r="X333" t="s">
        <v>82</v>
      </c>
      <c r="Y333">
        <v>288.5</v>
      </c>
      <c r="Z333">
        <v>90.000543113165435</v>
      </c>
      <c r="AA333" s="82">
        <f t="shared" si="104"/>
        <v>-1.7282448652622406E-4</v>
      </c>
      <c r="AB333">
        <v>288.5</v>
      </c>
      <c r="AC333">
        <v>12064.80703997132</v>
      </c>
      <c r="AD333" t="s">
        <v>82</v>
      </c>
      <c r="AE333">
        <v>288.5</v>
      </c>
      <c r="AF333">
        <v>90.001300452369378</v>
      </c>
      <c r="AG333" s="82">
        <f t="shared" si="105"/>
        <v>-2.2255578637953022E-4</v>
      </c>
      <c r="AH333">
        <v>288.5</v>
      </c>
      <c r="AI333">
        <v>12511.571413987362</v>
      </c>
      <c r="AJ333" t="s">
        <v>82</v>
      </c>
      <c r="AK333">
        <v>288.5</v>
      </c>
      <c r="AL333">
        <v>90.001929121381295</v>
      </c>
      <c r="AM333" s="82">
        <f t="shared" si="106"/>
        <v>-1.2235708396701739E-5</v>
      </c>
      <c r="AN333">
        <v>288.5</v>
      </c>
      <c r="AO333">
        <v>12948.002715306251</v>
      </c>
      <c r="AP333" t="s">
        <v>82</v>
      </c>
      <c r="AQ333">
        <v>288.5</v>
      </c>
      <c r="AR333">
        <v>90.00056906677537</v>
      </c>
      <c r="AS333" s="82">
        <f t="shared" si="107"/>
        <v>9.1721408435319063E-4</v>
      </c>
      <c r="AT333">
        <v>288.5</v>
      </c>
      <c r="AU333">
        <v>13657.287040657446</v>
      </c>
      <c r="AV333" t="s">
        <v>82</v>
      </c>
      <c r="AW333">
        <v>288.5</v>
      </c>
      <c r="AX333">
        <v>89.992779486438494</v>
      </c>
      <c r="AY333" s="82">
        <f t="shared" si="108"/>
        <v>3.0463362156041285E-3</v>
      </c>
      <c r="AZ333">
        <v>288.5</v>
      </c>
      <c r="BA333">
        <v>14774.547702216269</v>
      </c>
      <c r="BB333" t="s">
        <v>82</v>
      </c>
      <c r="BC333">
        <v>288.5</v>
      </c>
      <c r="BD333">
        <v>89.973376554834616</v>
      </c>
      <c r="BE333" s="82">
        <f t="shared" si="109"/>
        <v>5.3526550225200253E-3</v>
      </c>
      <c r="BF333">
        <v>288.5</v>
      </c>
      <c r="BG333">
        <v>16096.981611616677</v>
      </c>
      <c r="BH333" t="s">
        <v>82</v>
      </c>
      <c r="BI333">
        <v>288.5</v>
      </c>
      <c r="BJ333">
        <v>89.951952333857122</v>
      </c>
      <c r="BK333" s="82">
        <f t="shared" si="110"/>
        <v>6.7686350050166766E-4</v>
      </c>
      <c r="BL333">
        <v>288.5</v>
      </c>
      <c r="BM333">
        <v>15865.594155692823</v>
      </c>
      <c r="BN333" t="s">
        <v>82</v>
      </c>
      <c r="BO333">
        <v>288.5</v>
      </c>
      <c r="BP333">
        <v>90.004912923254651</v>
      </c>
      <c r="BQ333" s="82">
        <f t="shared" si="111"/>
        <v>-3.1394023097377044E-2</v>
      </c>
      <c r="BR333">
        <v>288.5</v>
      </c>
      <c r="BS333">
        <v>24713.211082700698</v>
      </c>
      <c r="BT333" t="s">
        <v>82</v>
      </c>
      <c r="BU333">
        <v>288.5</v>
      </c>
      <c r="BV333">
        <v>90.35761066473944</v>
      </c>
      <c r="BW333" s="82">
        <f t="shared" si="112"/>
        <v>-0.11317845404843752</v>
      </c>
      <c r="BX333">
        <v>288.5</v>
      </c>
      <c r="BY333">
        <v>54240.720219202805</v>
      </c>
      <c r="BZ333" t="s">
        <v>82</v>
      </c>
      <c r="CA333">
        <v>288.5</v>
      </c>
      <c r="CB333">
        <v>91.190906591264891</v>
      </c>
      <c r="CC333" s="82">
        <f t="shared" si="113"/>
        <v>-0.18247899639723641</v>
      </c>
      <c r="CD333">
        <v>288.5</v>
      </c>
      <c r="CE333">
        <v>82406.124987328221</v>
      </c>
      <c r="CF333" t="s">
        <v>82</v>
      </c>
      <c r="CG333">
        <v>288.5</v>
      </c>
      <c r="CH333">
        <v>92.29008247151701</v>
      </c>
      <c r="CI333" s="82">
        <f t="shared" si="114"/>
        <v>-0.20704907617496815</v>
      </c>
      <c r="CJ333">
        <v>288.5</v>
      </c>
      <c r="CK333">
        <v>93457.783551518762</v>
      </c>
      <c r="CL333" t="s">
        <v>82</v>
      </c>
      <c r="CM333">
        <v>288.5</v>
      </c>
      <c r="CN333">
        <v>93.450267960765046</v>
      </c>
      <c r="CO333" s="82">
        <f t="shared" si="115"/>
        <v>-0.21037907557281699</v>
      </c>
      <c r="CP333">
        <v>288.5</v>
      </c>
      <c r="CQ333">
        <v>96113.056046353217</v>
      </c>
      <c r="CR333" t="s">
        <v>82</v>
      </c>
      <c r="CS333">
        <v>288.5</v>
      </c>
      <c r="CT333">
        <v>94.576517644218299</v>
      </c>
      <c r="CU333" s="82">
        <f t="shared" si="116"/>
        <v>-0.20469423385964092</v>
      </c>
      <c r="CV333">
        <v>288.5</v>
      </c>
      <c r="CW333">
        <v>95203.180319329287</v>
      </c>
      <c r="CX333" t="s">
        <v>82</v>
      </c>
      <c r="CY333">
        <v>288.5</v>
      </c>
      <c r="CZ333">
        <v>95.645882453684138</v>
      </c>
      <c r="DA333" s="82">
        <f t="shared" si="117"/>
        <v>-0.19548910546151888</v>
      </c>
      <c r="DB333">
        <v>288.5</v>
      </c>
      <c r="DC333">
        <v>92938.336262884884</v>
      </c>
      <c r="DD333" t="s">
        <v>82</v>
      </c>
      <c r="DG333" s="82">
        <f t="shared" si="118"/>
        <v>0</v>
      </c>
      <c r="DM333" s="82">
        <f t="shared" si="119"/>
        <v>0</v>
      </c>
    </row>
    <row r="334" spans="1:117" x14ac:dyDescent="0.2">
      <c r="A334">
        <v>289.5</v>
      </c>
      <c r="B334">
        <v>89.999942691953351</v>
      </c>
      <c r="C334" s="82">
        <f t="shared" si="100"/>
        <v>1.0746620617396729E-5</v>
      </c>
      <c r="D334">
        <v>289.5</v>
      </c>
      <c r="E334">
        <v>10678.475142384617</v>
      </c>
      <c r="F334" t="s">
        <v>82</v>
      </c>
      <c r="G334">
        <v>289.5</v>
      </c>
      <c r="H334">
        <v>89.999914490212063</v>
      </c>
      <c r="I334" s="82">
        <f t="shared" si="101"/>
        <v>6.0042017224759547E-6</v>
      </c>
      <c r="J334">
        <v>289.5</v>
      </c>
      <c r="K334">
        <v>10962.279548744116</v>
      </c>
      <c r="L334" t="s">
        <v>82</v>
      </c>
      <c r="M334">
        <v>289.5</v>
      </c>
      <c r="N334">
        <v>89.999921116166291</v>
      </c>
      <c r="O334" s="82">
        <f t="shared" si="102"/>
        <v>-1.5014892468911967E-5</v>
      </c>
      <c r="P334">
        <v>289.5</v>
      </c>
      <c r="Q334">
        <v>11281.391584912759</v>
      </c>
      <c r="R334" t="s">
        <v>82</v>
      </c>
      <c r="S334">
        <v>289.5</v>
      </c>
      <c r="T334">
        <v>90.000040299833074</v>
      </c>
      <c r="U334" s="82">
        <f t="shared" si="103"/>
        <v>-6.5037222867658784E-5</v>
      </c>
      <c r="V334">
        <v>289.5</v>
      </c>
      <c r="W334">
        <v>11642.708462535606</v>
      </c>
      <c r="X334" t="s">
        <v>82</v>
      </c>
      <c r="Y334">
        <v>289.5</v>
      </c>
      <c r="Z334">
        <v>90.000395618208174</v>
      </c>
      <c r="AA334" s="82">
        <f t="shared" si="104"/>
        <v>-1.4749495726107398E-4</v>
      </c>
      <c r="AB334">
        <v>289.5</v>
      </c>
      <c r="AC334">
        <v>12050.634063788339</v>
      </c>
      <c r="AD334" t="s">
        <v>82</v>
      </c>
      <c r="AE334">
        <v>289.5</v>
      </c>
      <c r="AF334">
        <v>90.00108207375888</v>
      </c>
      <c r="AG334" s="82">
        <f t="shared" si="105"/>
        <v>-2.1837861049789353E-4</v>
      </c>
      <c r="AH334">
        <v>289.5</v>
      </c>
      <c r="AI334">
        <v>12500.416805458148</v>
      </c>
      <c r="AJ334" t="s">
        <v>82</v>
      </c>
      <c r="AK334">
        <v>289.5</v>
      </c>
      <c r="AL334">
        <v>90.001828798251267</v>
      </c>
      <c r="AM334" s="82">
        <f t="shared" si="106"/>
        <v>-1.0032313002739102E-4</v>
      </c>
      <c r="AN334">
        <v>289.5</v>
      </c>
      <c r="AO334">
        <v>12956.288999228907</v>
      </c>
      <c r="AP334" t="s">
        <v>82</v>
      </c>
      <c r="AQ334">
        <v>289.5</v>
      </c>
      <c r="AR334">
        <v>90.001185821181465</v>
      </c>
      <c r="AS334" s="82">
        <f t="shared" si="107"/>
        <v>6.1675440609576526E-4</v>
      </c>
      <c r="AT334">
        <v>289.5</v>
      </c>
      <c r="AU334">
        <v>13576.846545248616</v>
      </c>
      <c r="AV334" t="s">
        <v>82</v>
      </c>
      <c r="AW334">
        <v>289.5</v>
      </c>
      <c r="AX334">
        <v>89.995258387316397</v>
      </c>
      <c r="AY334" s="82">
        <f t="shared" si="108"/>
        <v>2.4789008779038113E-3</v>
      </c>
      <c r="AZ334">
        <v>289.5</v>
      </c>
      <c r="BA334">
        <v>14617.733929789561</v>
      </c>
      <c r="BB334" t="s">
        <v>82</v>
      </c>
      <c r="BC334">
        <v>289.5</v>
      </c>
      <c r="BD334">
        <v>89.978389012180372</v>
      </c>
      <c r="BE334" s="82">
        <f t="shared" si="109"/>
        <v>5.0124573457566157E-3</v>
      </c>
      <c r="BF334">
        <v>289.5</v>
      </c>
      <c r="BG334">
        <v>15970.761328553441</v>
      </c>
      <c r="BH334" t="s">
        <v>82</v>
      </c>
      <c r="BI334">
        <v>289.5</v>
      </c>
      <c r="BJ334">
        <v>89.954704920977107</v>
      </c>
      <c r="BK334" s="82">
        <f t="shared" si="110"/>
        <v>2.7525871199856056E-3</v>
      </c>
      <c r="BL334">
        <v>289.5</v>
      </c>
      <c r="BM334">
        <v>16321.806945845628</v>
      </c>
      <c r="BN334" t="s">
        <v>82</v>
      </c>
      <c r="BO334">
        <v>289.5</v>
      </c>
      <c r="BP334">
        <v>89.982749835804228</v>
      </c>
      <c r="BQ334" s="82">
        <f t="shared" si="111"/>
        <v>-2.2163087450422836E-2</v>
      </c>
      <c r="BR334">
        <v>289.5</v>
      </c>
      <c r="BS334">
        <v>21689.207398215858</v>
      </c>
      <c r="BT334" t="s">
        <v>82</v>
      </c>
      <c r="BU334">
        <v>289.5</v>
      </c>
      <c r="BV334">
        <v>90.261725425203394</v>
      </c>
      <c r="BW334" s="82">
        <f t="shared" si="112"/>
        <v>-9.5885239536045219E-2</v>
      </c>
      <c r="BX334">
        <v>289.5</v>
      </c>
      <c r="BY334">
        <v>47955.975486991847</v>
      </c>
      <c r="BZ334" t="s">
        <v>82</v>
      </c>
      <c r="CA334">
        <v>289.5</v>
      </c>
      <c r="CB334">
        <v>91.017438625718853</v>
      </c>
      <c r="CC334" s="82">
        <f t="shared" si="113"/>
        <v>-0.17346796554603827</v>
      </c>
      <c r="CD334">
        <v>289.5</v>
      </c>
      <c r="CE334">
        <v>78825.434519462113</v>
      </c>
      <c r="CF334" t="s">
        <v>82</v>
      </c>
      <c r="CG334">
        <v>289.5</v>
      </c>
      <c r="CH334">
        <v>92.086775115199472</v>
      </c>
      <c r="CI334" s="82">
        <f t="shared" si="114"/>
        <v>-0.20330735631753782</v>
      </c>
      <c r="CJ334">
        <v>289.5</v>
      </c>
      <c r="CK334">
        <v>91962.689048322412</v>
      </c>
      <c r="CL334" t="s">
        <v>82</v>
      </c>
      <c r="CM334">
        <v>289.5</v>
      </c>
      <c r="CN334">
        <v>93.241297057419089</v>
      </c>
      <c r="CO334" s="82">
        <f t="shared" si="115"/>
        <v>-0.20897090334595703</v>
      </c>
      <c r="CP334">
        <v>289.5</v>
      </c>
      <c r="CQ334">
        <v>95543.589473924643</v>
      </c>
      <c r="CR334" t="s">
        <v>82</v>
      </c>
      <c r="CS334">
        <v>289.5</v>
      </c>
      <c r="CT334">
        <v>94.372261306642727</v>
      </c>
      <c r="CU334" s="82">
        <f t="shared" si="116"/>
        <v>-0.20425633757557193</v>
      </c>
      <c r="CV334">
        <v>289.5</v>
      </c>
      <c r="CW334">
        <v>95018.649138656532</v>
      </c>
      <c r="CX334" t="s">
        <v>82</v>
      </c>
      <c r="CY334">
        <v>289.5</v>
      </c>
      <c r="CZ334">
        <v>95.450450233483764</v>
      </c>
      <c r="DA334" s="82">
        <f t="shared" si="117"/>
        <v>-0.19543222020037376</v>
      </c>
      <c r="DB334">
        <v>289.5</v>
      </c>
      <c r="DC334">
        <v>92904.529514531896</v>
      </c>
      <c r="DD334" t="s">
        <v>82</v>
      </c>
      <c r="DG334" s="82">
        <f t="shared" si="118"/>
        <v>0</v>
      </c>
      <c r="DM334" s="82">
        <f t="shared" si="119"/>
        <v>0</v>
      </c>
    </row>
    <row r="335" spans="1:117" x14ac:dyDescent="0.2">
      <c r="A335">
        <v>290.5</v>
      </c>
      <c r="B335">
        <v>89.999953005095122</v>
      </c>
      <c r="C335" s="82">
        <f t="shared" si="100"/>
        <v>1.0313141771689516E-5</v>
      </c>
      <c r="D335">
        <v>290.5</v>
      </c>
      <c r="E335">
        <v>10672.782538852596</v>
      </c>
      <c r="F335" t="s">
        <v>82</v>
      </c>
      <c r="G335">
        <v>290.5</v>
      </c>
      <c r="H335">
        <v>89.999922795819785</v>
      </c>
      <c r="I335" s="82">
        <f t="shared" si="101"/>
        <v>8.3056077215815094E-6</v>
      </c>
      <c r="J335">
        <v>290.5</v>
      </c>
      <c r="K335">
        <v>10956.538048743214</v>
      </c>
      <c r="L335" t="s">
        <v>82</v>
      </c>
      <c r="M335">
        <v>290.5</v>
      </c>
      <c r="N335">
        <v>89.999914284201495</v>
      </c>
      <c r="O335" s="82">
        <f t="shared" si="102"/>
        <v>-6.8319647965608965E-6</v>
      </c>
      <c r="P335">
        <v>290.5</v>
      </c>
      <c r="Q335">
        <v>11273.072174652527</v>
      </c>
      <c r="R335" t="s">
        <v>82</v>
      </c>
      <c r="S335">
        <v>290.5</v>
      </c>
      <c r="T335">
        <v>89.999992562405581</v>
      </c>
      <c r="U335" s="82">
        <f t="shared" si="103"/>
        <v>-4.7737427493643736E-5</v>
      </c>
      <c r="V335">
        <v>290.5</v>
      </c>
      <c r="W335">
        <v>11631.664547933424</v>
      </c>
      <c r="X335" t="s">
        <v>82</v>
      </c>
      <c r="Y335">
        <v>290.5</v>
      </c>
      <c r="Z335">
        <v>90.000272968624202</v>
      </c>
      <c r="AA335" s="82">
        <f t="shared" si="104"/>
        <v>-1.2264958397167902E-4</v>
      </c>
      <c r="AB335">
        <v>290.5</v>
      </c>
      <c r="AC335">
        <v>12036.806849988763</v>
      </c>
      <c r="AD335" t="s">
        <v>82</v>
      </c>
      <c r="AE335">
        <v>290.5</v>
      </c>
      <c r="AF335">
        <v>90.000877017070991</v>
      </c>
      <c r="AG335" s="82">
        <f t="shared" si="105"/>
        <v>-2.0505668788928233E-4</v>
      </c>
      <c r="AH335">
        <v>290.5</v>
      </c>
      <c r="AI335">
        <v>12487.552879752875</v>
      </c>
      <c r="AJ335" t="s">
        <v>82</v>
      </c>
      <c r="AK335">
        <v>290.5</v>
      </c>
      <c r="AL335">
        <v>90.00167135140812</v>
      </c>
      <c r="AM335" s="82">
        <f t="shared" si="106"/>
        <v>-1.5744684314711321E-4</v>
      </c>
      <c r="AN335">
        <v>290.5</v>
      </c>
      <c r="AO335">
        <v>12957.763967794839</v>
      </c>
      <c r="AP335" t="s">
        <v>82</v>
      </c>
      <c r="AQ335">
        <v>290.5</v>
      </c>
      <c r="AR335">
        <v>90.001562378244699</v>
      </c>
      <c r="AS335" s="82">
        <f t="shared" si="107"/>
        <v>3.7655706323391769E-4</v>
      </c>
      <c r="AT335">
        <v>290.5</v>
      </c>
      <c r="AU335">
        <v>13511.400362298153</v>
      </c>
      <c r="AV335" t="s">
        <v>82</v>
      </c>
      <c r="AW335">
        <v>290.5</v>
      </c>
      <c r="AX335">
        <v>89.997221730045368</v>
      </c>
      <c r="AY335" s="82">
        <f t="shared" si="108"/>
        <v>1.9633427289704741E-3</v>
      </c>
      <c r="AZ335">
        <v>290.5</v>
      </c>
      <c r="BA335">
        <v>14476.77427689682</v>
      </c>
      <c r="BB335" t="s">
        <v>82</v>
      </c>
      <c r="BC335">
        <v>290.5</v>
      </c>
      <c r="BD335">
        <v>89.982925385017523</v>
      </c>
      <c r="BE335" s="82">
        <f t="shared" si="109"/>
        <v>4.5363728371512479E-3</v>
      </c>
      <c r="BF335">
        <v>290.5</v>
      </c>
      <c r="BG335">
        <v>15816.331926050942</v>
      </c>
      <c r="BH335" t="s">
        <v>82</v>
      </c>
      <c r="BI335">
        <v>290.5</v>
      </c>
      <c r="BJ335">
        <v>89.958778965350078</v>
      </c>
      <c r="BK335" s="82">
        <f t="shared" si="110"/>
        <v>4.0740443729703202E-3</v>
      </c>
      <c r="BL335">
        <v>290.5</v>
      </c>
      <c r="BM335">
        <v>16594.028401713826</v>
      </c>
      <c r="BN335" t="s">
        <v>82</v>
      </c>
      <c r="BO335">
        <v>290.5</v>
      </c>
      <c r="BP335">
        <v>89.968085178789224</v>
      </c>
      <c r="BQ335" s="82">
        <f t="shared" si="111"/>
        <v>-1.4664657015003968E-2</v>
      </c>
      <c r="BR335">
        <v>290.5</v>
      </c>
      <c r="BS335">
        <v>19489.307648402879</v>
      </c>
      <c r="BT335" t="s">
        <v>82</v>
      </c>
      <c r="BU335">
        <v>290.5</v>
      </c>
      <c r="BV335">
        <v>90.182442574077768</v>
      </c>
      <c r="BW335" s="82">
        <f t="shared" si="112"/>
        <v>-7.9282851125626053E-2</v>
      </c>
      <c r="BX335">
        <v>290.5</v>
      </c>
      <c r="BY335">
        <v>42045.537371239545</v>
      </c>
      <c r="BZ335" t="s">
        <v>82</v>
      </c>
      <c r="CA335">
        <v>290.5</v>
      </c>
      <c r="CB335">
        <v>90.854241746548041</v>
      </c>
      <c r="CC335" s="82">
        <f t="shared" si="113"/>
        <v>-0.16319687917081183</v>
      </c>
      <c r="CD335">
        <v>290.5</v>
      </c>
      <c r="CE335">
        <v>74746.13716306178</v>
      </c>
      <c r="CF335" t="s">
        <v>82</v>
      </c>
      <c r="CG335">
        <v>290.5</v>
      </c>
      <c r="CH335">
        <v>91.887760880746256</v>
      </c>
      <c r="CI335" s="82">
        <f t="shared" si="114"/>
        <v>-0.19901423445321598</v>
      </c>
      <c r="CJ335">
        <v>290.5</v>
      </c>
      <c r="CK335">
        <v>90248.677010308558</v>
      </c>
      <c r="CL335" t="s">
        <v>82</v>
      </c>
      <c r="CM335">
        <v>290.5</v>
      </c>
      <c r="CN335">
        <v>93.03396242169697</v>
      </c>
      <c r="CO335" s="82">
        <f t="shared" si="115"/>
        <v>-0.20733463572211974</v>
      </c>
      <c r="CP335">
        <v>290.5</v>
      </c>
      <c r="CQ335">
        <v>94883.566873272226</v>
      </c>
      <c r="CR335" t="s">
        <v>82</v>
      </c>
      <c r="CS335">
        <v>290.5</v>
      </c>
      <c r="CT335">
        <v>94.168532731300417</v>
      </c>
      <c r="CU335" s="82">
        <f t="shared" si="116"/>
        <v>-0.20372857534231059</v>
      </c>
      <c r="CV335">
        <v>290.5</v>
      </c>
      <c r="CW335">
        <v>94798.582864681259</v>
      </c>
      <c r="CX335" t="s">
        <v>82</v>
      </c>
      <c r="CY335">
        <v>290.5</v>
      </c>
      <c r="CZ335">
        <v>95.255108977881903</v>
      </c>
      <c r="DA335" s="82">
        <f t="shared" si="117"/>
        <v>-0.19534125560186055</v>
      </c>
      <c r="DB335">
        <v>290.5</v>
      </c>
      <c r="DC335">
        <v>92857.423529264604</v>
      </c>
      <c r="DD335" t="s">
        <v>82</v>
      </c>
      <c r="DG335" s="82">
        <f t="shared" si="118"/>
        <v>0</v>
      </c>
      <c r="DM335" s="82">
        <f t="shared" si="119"/>
        <v>0</v>
      </c>
    </row>
    <row r="336" spans="1:117" x14ac:dyDescent="0.2">
      <c r="A336">
        <v>291.5</v>
      </c>
      <c r="B336">
        <v>89.999962520025321</v>
      </c>
      <c r="C336" s="82">
        <f t="shared" si="100"/>
        <v>9.514930198406546E-6</v>
      </c>
      <c r="D336">
        <v>291.5</v>
      </c>
      <c r="E336">
        <v>10667.098237639824</v>
      </c>
      <c r="F336" t="s">
        <v>82</v>
      </c>
      <c r="G336">
        <v>291.5</v>
      </c>
      <c r="H336">
        <v>89.999932328625192</v>
      </c>
      <c r="I336" s="82">
        <f t="shared" si="101"/>
        <v>9.5328054072751911E-6</v>
      </c>
      <c r="J336">
        <v>291.5</v>
      </c>
      <c r="K336">
        <v>10950.668241557587</v>
      </c>
      <c r="L336" t="s">
        <v>82</v>
      </c>
      <c r="M336">
        <v>291.5</v>
      </c>
      <c r="N336">
        <v>89.999913545604201</v>
      </c>
      <c r="O336" s="82">
        <f t="shared" si="102"/>
        <v>-7.3859729354808223E-7</v>
      </c>
      <c r="P336">
        <v>291.5</v>
      </c>
      <c r="Q336">
        <v>11265.899212316848</v>
      </c>
      <c r="R336" t="s">
        <v>82</v>
      </c>
      <c r="S336">
        <v>291.5</v>
      </c>
      <c r="T336">
        <v>89.999959283309522</v>
      </c>
      <c r="U336" s="82">
        <f t="shared" si="103"/>
        <v>-3.3279096058436153E-5</v>
      </c>
      <c r="V336">
        <v>291.5</v>
      </c>
      <c r="W336">
        <v>11621.350646159348</v>
      </c>
      <c r="X336" t="s">
        <v>82</v>
      </c>
      <c r="Y336">
        <v>291.5</v>
      </c>
      <c r="Z336">
        <v>90.000173641977128</v>
      </c>
      <c r="AA336" s="82">
        <f t="shared" si="104"/>
        <v>-9.9326647074349239E-5</v>
      </c>
      <c r="AB336">
        <v>291.5</v>
      </c>
      <c r="AC336">
        <v>12023.524962115342</v>
      </c>
      <c r="AD336" t="s">
        <v>82</v>
      </c>
      <c r="AE336">
        <v>291.5</v>
      </c>
      <c r="AF336">
        <v>90.000691080321289</v>
      </c>
      <c r="AG336" s="82">
        <f t="shared" si="105"/>
        <v>-1.8593674970190932E-4</v>
      </c>
      <c r="AH336">
        <v>291.5</v>
      </c>
      <c r="AI336">
        <v>12473.710657230233</v>
      </c>
      <c r="AJ336" t="s">
        <v>82</v>
      </c>
      <c r="AK336">
        <v>291.5</v>
      </c>
      <c r="AL336">
        <v>90.00148125097094</v>
      </c>
      <c r="AM336" s="82">
        <f t="shared" si="106"/>
        <v>-1.9010043718026282E-4</v>
      </c>
      <c r="AN336">
        <v>291.5</v>
      </c>
      <c r="AO336">
        <v>12953.952318293992</v>
      </c>
      <c r="AP336" t="s">
        <v>82</v>
      </c>
      <c r="AQ336">
        <v>291.5</v>
      </c>
      <c r="AR336">
        <v>90.00175244407734</v>
      </c>
      <c r="AS336" s="82">
        <f t="shared" si="107"/>
        <v>1.9006583264058463E-4</v>
      </c>
      <c r="AT336">
        <v>291.5</v>
      </c>
      <c r="AU336">
        <v>13459.077053511952</v>
      </c>
      <c r="AV336" t="s">
        <v>82</v>
      </c>
      <c r="AW336">
        <v>291.5</v>
      </c>
      <c r="AX336">
        <v>89.998730356758841</v>
      </c>
      <c r="AY336" s="82">
        <f t="shared" si="108"/>
        <v>1.5086267134734044E-3</v>
      </c>
      <c r="AZ336">
        <v>291.5</v>
      </c>
      <c r="BA336">
        <v>14353.121985734981</v>
      </c>
      <c r="BB336" t="s">
        <v>82</v>
      </c>
      <c r="BC336">
        <v>291.5</v>
      </c>
      <c r="BD336">
        <v>89.986913079019672</v>
      </c>
      <c r="BE336" s="82">
        <f t="shared" si="109"/>
        <v>3.9876940021486007E-3</v>
      </c>
      <c r="BF336">
        <v>291.5</v>
      </c>
      <c r="BG336">
        <v>15649.233421879708</v>
      </c>
      <c r="BH336" t="s">
        <v>82</v>
      </c>
      <c r="BI336">
        <v>291.5</v>
      </c>
      <c r="BJ336">
        <v>89.963584220042264</v>
      </c>
      <c r="BK336" s="82">
        <f t="shared" si="110"/>
        <v>4.8052546921866224E-3</v>
      </c>
      <c r="BL336">
        <v>291.5</v>
      </c>
      <c r="BM336">
        <v>16722.106624324137</v>
      </c>
      <c r="BN336" t="s">
        <v>82</v>
      </c>
      <c r="BO336">
        <v>291.5</v>
      </c>
      <c r="BP336">
        <v>89.959353573568706</v>
      </c>
      <c r="BQ336" s="82">
        <f t="shared" si="111"/>
        <v>-8.7316052205181904E-3</v>
      </c>
      <c r="BR336">
        <v>291.5</v>
      </c>
      <c r="BS336">
        <v>17956.908595903784</v>
      </c>
      <c r="BT336" t="s">
        <v>82</v>
      </c>
      <c r="BU336">
        <v>291.5</v>
      </c>
      <c r="BV336">
        <v>90.118494631907566</v>
      </c>
      <c r="BW336" s="82">
        <f t="shared" si="112"/>
        <v>-6.3947942170202055E-2</v>
      </c>
      <c r="BX336">
        <v>291.5</v>
      </c>
      <c r="BY336">
        <v>36681.246790326615</v>
      </c>
      <c r="BZ336" t="s">
        <v>82</v>
      </c>
      <c r="CA336">
        <v>291.5</v>
      </c>
      <c r="CB336">
        <v>90.702749313899773</v>
      </c>
      <c r="CC336" s="82">
        <f t="shared" si="113"/>
        <v>-0.1514924326482685</v>
      </c>
      <c r="CD336">
        <v>291.5</v>
      </c>
      <c r="CE336">
        <v>70100.214724236474</v>
      </c>
      <c r="CF336" t="s">
        <v>82</v>
      </c>
      <c r="CG336">
        <v>291.5</v>
      </c>
      <c r="CH336">
        <v>91.693668781816413</v>
      </c>
      <c r="CI336" s="82">
        <f t="shared" si="114"/>
        <v>-0.19409209892984336</v>
      </c>
      <c r="CJ336">
        <v>291.5</v>
      </c>
      <c r="CK336">
        <v>88284.918086744263</v>
      </c>
      <c r="CL336" t="s">
        <v>82</v>
      </c>
      <c r="CM336">
        <v>291.5</v>
      </c>
      <c r="CN336">
        <v>92.828524745919523</v>
      </c>
      <c r="CO336" s="82">
        <f t="shared" si="115"/>
        <v>-0.20543767577744632</v>
      </c>
      <c r="CP336">
        <v>291.5</v>
      </c>
      <c r="CQ336">
        <v>94119.993076886487</v>
      </c>
      <c r="CR336" t="s">
        <v>82</v>
      </c>
      <c r="CS336">
        <v>291.5</v>
      </c>
      <c r="CT336">
        <v>93.965434586673467</v>
      </c>
      <c r="CU336" s="82">
        <f t="shared" si="116"/>
        <v>-0.20309814462694931</v>
      </c>
      <c r="CV336">
        <v>291.5</v>
      </c>
      <c r="CW336">
        <v>94537.865760224144</v>
      </c>
      <c r="CX336" t="s">
        <v>82</v>
      </c>
      <c r="CY336">
        <v>291.5</v>
      </c>
      <c r="CZ336">
        <v>95.059897395615678</v>
      </c>
      <c r="DA336" s="82">
        <f t="shared" si="117"/>
        <v>-0.19521158226622504</v>
      </c>
      <c r="DB336">
        <v>291.5</v>
      </c>
      <c r="DC336">
        <v>92795.16498663438</v>
      </c>
      <c r="DD336" t="s">
        <v>82</v>
      </c>
      <c r="DG336" s="82">
        <f t="shared" si="118"/>
        <v>0</v>
      </c>
      <c r="DM336" s="82">
        <f t="shared" si="119"/>
        <v>0</v>
      </c>
    </row>
    <row r="337" spans="1:117" x14ac:dyDescent="0.2">
      <c r="A337">
        <v>292.5</v>
      </c>
      <c r="B337">
        <v>89.999971017345572</v>
      </c>
      <c r="C337" s="82">
        <f t="shared" si="100"/>
        <v>8.4973202518767721E-6</v>
      </c>
      <c r="D337">
        <v>292.5</v>
      </c>
      <c r="E337">
        <v>10661.448953075404</v>
      </c>
      <c r="F337" t="s">
        <v>82</v>
      </c>
      <c r="G337">
        <v>292.5</v>
      </c>
      <c r="H337">
        <v>89.999942272418096</v>
      </c>
      <c r="I337" s="82">
        <f t="shared" si="101"/>
        <v>9.9437929037549111E-6</v>
      </c>
      <c r="J337">
        <v>292.5</v>
      </c>
      <c r="K337">
        <v>10944.721787401402</v>
      </c>
      <c r="L337" t="s">
        <v>82</v>
      </c>
      <c r="M337">
        <v>292.5</v>
      </c>
      <c r="N337">
        <v>89.999917137273542</v>
      </c>
      <c r="O337" s="82">
        <f t="shared" si="102"/>
        <v>3.5916693406079503E-6</v>
      </c>
      <c r="P337">
        <v>292.5</v>
      </c>
      <c r="Q337">
        <v>11260.133324738121</v>
      </c>
      <c r="R337" t="s">
        <v>82</v>
      </c>
      <c r="S337">
        <v>292.5</v>
      </c>
      <c r="T337">
        <v>89.999937772950901</v>
      </c>
      <c r="U337" s="82">
        <f t="shared" si="103"/>
        <v>-2.1510358621412706E-5</v>
      </c>
      <c r="V337">
        <v>292.5</v>
      </c>
      <c r="W337">
        <v>11611.720503012813</v>
      </c>
      <c r="X337" t="s">
        <v>82</v>
      </c>
      <c r="Y337">
        <v>292.5</v>
      </c>
      <c r="Z337">
        <v>90.00009545742472</v>
      </c>
      <c r="AA337" s="82">
        <f t="shared" si="104"/>
        <v>-7.818455240737876E-5</v>
      </c>
      <c r="AB337">
        <v>292.5</v>
      </c>
      <c r="AC337">
        <v>12010.907090122437</v>
      </c>
      <c r="AD337" t="s">
        <v>82</v>
      </c>
      <c r="AE337">
        <v>292.5</v>
      </c>
      <c r="AF337">
        <v>90.000527432327544</v>
      </c>
      <c r="AG337" s="82">
        <f t="shared" si="105"/>
        <v>-1.6364799374457561E-4</v>
      </c>
      <c r="AH337">
        <v>292.5</v>
      </c>
      <c r="AI337">
        <v>12459.455362499473</v>
      </c>
      <c r="AJ337" t="s">
        <v>82</v>
      </c>
      <c r="AK337">
        <v>292.5</v>
      </c>
      <c r="AL337">
        <v>90.001277242234977</v>
      </c>
      <c r="AM337" s="82">
        <f t="shared" si="106"/>
        <v>-2.0400873596315705E-4</v>
      </c>
      <c r="AN337">
        <v>292.5</v>
      </c>
      <c r="AO337">
        <v>12946.185366258987</v>
      </c>
      <c r="AP337" t="s">
        <v>82</v>
      </c>
      <c r="AQ337">
        <v>292.5</v>
      </c>
      <c r="AR337">
        <v>90.001802573464758</v>
      </c>
      <c r="AS337" s="82">
        <f t="shared" si="107"/>
        <v>5.012938741799644E-5</v>
      </c>
      <c r="AT337">
        <v>292.5</v>
      </c>
      <c r="AU337">
        <v>13418.04545996154</v>
      </c>
      <c r="AV337" t="s">
        <v>82</v>
      </c>
      <c r="AW337">
        <v>292.5</v>
      </c>
      <c r="AX337">
        <v>89.99984850980843</v>
      </c>
      <c r="AY337" s="82">
        <f t="shared" si="108"/>
        <v>1.1181530495889547E-3</v>
      </c>
      <c r="AZ337">
        <v>292.5</v>
      </c>
      <c r="BA337">
        <v>14246.949585723871</v>
      </c>
      <c r="BB337" t="s">
        <v>82</v>
      </c>
      <c r="BC337">
        <v>292.5</v>
      </c>
      <c r="BD337">
        <v>89.990327271251687</v>
      </c>
      <c r="BE337" s="82">
        <f t="shared" si="109"/>
        <v>3.4141922320145568E-3</v>
      </c>
      <c r="BF337">
        <v>292.5</v>
      </c>
      <c r="BG337">
        <v>15480.894215873328</v>
      </c>
      <c r="BH337" t="s">
        <v>82</v>
      </c>
      <c r="BI337">
        <v>292.5</v>
      </c>
      <c r="BJ337">
        <v>89.968673134371215</v>
      </c>
      <c r="BK337" s="82">
        <f t="shared" si="110"/>
        <v>5.0889143289509775E-3</v>
      </c>
      <c r="BL337">
        <v>292.5</v>
      </c>
      <c r="BM337">
        <v>16741.950104756459</v>
      </c>
      <c r="BN337" t="s">
        <v>82</v>
      </c>
      <c r="BO337">
        <v>292.5</v>
      </c>
      <c r="BP337">
        <v>89.955180485706748</v>
      </c>
      <c r="BQ337" s="82">
        <f t="shared" si="111"/>
        <v>-4.1730878619574696E-3</v>
      </c>
      <c r="BR337">
        <v>292.5</v>
      </c>
      <c r="BS337">
        <v>16815.225056230262</v>
      </c>
      <c r="BT337" t="s">
        <v>82</v>
      </c>
      <c r="BU337">
        <v>292.5</v>
      </c>
      <c r="BV337">
        <v>90.068271787946813</v>
      </c>
      <c r="BW337" s="82">
        <f t="shared" si="112"/>
        <v>-5.0222843960753494E-2</v>
      </c>
      <c r="BX337">
        <v>292.5</v>
      </c>
      <c r="BY337">
        <v>31957.459601559542</v>
      </c>
      <c r="BZ337" t="s">
        <v>82</v>
      </c>
      <c r="CA337">
        <v>292.5</v>
      </c>
      <c r="CB337">
        <v>90.564592028059153</v>
      </c>
      <c r="CC337" s="82">
        <f t="shared" si="113"/>
        <v>-0.13815728584062015</v>
      </c>
      <c r="CD337">
        <v>292.5</v>
      </c>
      <c r="CE337">
        <v>64810.647755381666</v>
      </c>
      <c r="CF337" t="s">
        <v>82</v>
      </c>
      <c r="CG337">
        <v>292.5</v>
      </c>
      <c r="CH337">
        <v>91.505216526013754</v>
      </c>
      <c r="CI337" s="82">
        <f t="shared" si="114"/>
        <v>-0.1884522558026589</v>
      </c>
      <c r="CJ337">
        <v>292.5</v>
      </c>
      <c r="CK337">
        <v>86036.202439780012</v>
      </c>
      <c r="CL337" t="s">
        <v>82</v>
      </c>
      <c r="CM337">
        <v>292.5</v>
      </c>
      <c r="CN337">
        <v>92.625282108599535</v>
      </c>
      <c r="CO337" s="82">
        <f t="shared" si="115"/>
        <v>-0.20324263731998826</v>
      </c>
      <c r="CP337">
        <v>292.5</v>
      </c>
      <c r="CQ337">
        <v>93237.96557979098</v>
      </c>
      <c r="CR337" t="s">
        <v>82</v>
      </c>
      <c r="CS337">
        <v>292.5</v>
      </c>
      <c r="CT337">
        <v>93.763084277587325</v>
      </c>
      <c r="CU337" s="82">
        <f t="shared" si="116"/>
        <v>-0.20235030908614249</v>
      </c>
      <c r="CV337">
        <v>292.5</v>
      </c>
      <c r="CW337">
        <v>94230.609478514627</v>
      </c>
      <c r="CX337" t="s">
        <v>82</v>
      </c>
      <c r="CY337">
        <v>292.5</v>
      </c>
      <c r="CZ337">
        <v>94.864859542762588</v>
      </c>
      <c r="DA337" s="82">
        <f t="shared" si="117"/>
        <v>-0.1950378528530905</v>
      </c>
      <c r="DB337">
        <v>292.5</v>
      </c>
      <c r="DC337">
        <v>92715.613058128249</v>
      </c>
      <c r="DD337" t="s">
        <v>82</v>
      </c>
      <c r="DG337" s="82">
        <f t="shared" si="118"/>
        <v>0</v>
      </c>
      <c r="DM337" s="82">
        <f t="shared" si="119"/>
        <v>0</v>
      </c>
    </row>
    <row r="338" spans="1:117" x14ac:dyDescent="0.2">
      <c r="A338">
        <v>293.5</v>
      </c>
      <c r="B338">
        <v>89.999978390772995</v>
      </c>
      <c r="C338" s="82">
        <f t="shared" si="100"/>
        <v>7.3734274224079854E-6</v>
      </c>
      <c r="D338">
        <v>293.5</v>
      </c>
      <c r="E338">
        <v>10655.855126485723</v>
      </c>
      <c r="F338" t="s">
        <v>82</v>
      </c>
      <c r="G338">
        <v>293.5</v>
      </c>
      <c r="H338">
        <v>89.999952031926426</v>
      </c>
      <c r="I338" s="82">
        <f t="shared" si="101"/>
        <v>9.7595083303758656E-6</v>
      </c>
      <c r="J338">
        <v>293.5</v>
      </c>
      <c r="K338">
        <v>10938.742237201941</v>
      </c>
      <c r="L338" t="s">
        <v>82</v>
      </c>
      <c r="M338">
        <v>293.5</v>
      </c>
      <c r="N338">
        <v>89.999923610230354</v>
      </c>
      <c r="O338" s="82">
        <f t="shared" si="102"/>
        <v>6.4729568123311765E-6</v>
      </c>
      <c r="P338">
        <v>293.5</v>
      </c>
      <c r="Q338">
        <v>11254.159356101785</v>
      </c>
      <c r="R338" t="s">
        <v>82</v>
      </c>
      <c r="S338">
        <v>293.5</v>
      </c>
      <c r="T338">
        <v>89.999925576728785</v>
      </c>
      <c r="U338" s="82">
        <f t="shared" si="103"/>
        <v>-1.2196222115790079E-5</v>
      </c>
      <c r="V338">
        <v>293.5</v>
      </c>
      <c r="W338">
        <v>11602.713237803864</v>
      </c>
      <c r="X338" t="s">
        <v>82</v>
      </c>
      <c r="Y338">
        <v>293.5</v>
      </c>
      <c r="Z338">
        <v>90.000035874425862</v>
      </c>
      <c r="AA338" s="82">
        <f t="shared" si="104"/>
        <v>-5.9582998858331848E-5</v>
      </c>
      <c r="AB338">
        <v>293.5</v>
      </c>
      <c r="AC338">
        <v>11999.009491237206</v>
      </c>
      <c r="AD338" t="s">
        <v>82</v>
      </c>
      <c r="AE338">
        <v>293.5</v>
      </c>
      <c r="AF338">
        <v>90.000387242260132</v>
      </c>
      <c r="AG338" s="82">
        <f t="shared" si="105"/>
        <v>-1.401900674125045E-4</v>
      </c>
      <c r="AH338">
        <v>293.5</v>
      </c>
      <c r="AI338">
        <v>12445.208533754305</v>
      </c>
      <c r="AJ338" t="s">
        <v>82</v>
      </c>
      <c r="AK338">
        <v>293.5</v>
      </c>
      <c r="AL338">
        <v>90.001073157651419</v>
      </c>
      <c r="AM338" s="82">
        <f t="shared" si="106"/>
        <v>-2.040845835580285E-4</v>
      </c>
      <c r="AN338">
        <v>293.5</v>
      </c>
      <c r="AO338">
        <v>12935.593655125766</v>
      </c>
      <c r="AP338" t="s">
        <v>82</v>
      </c>
      <c r="AQ338">
        <v>293.5</v>
      </c>
      <c r="AR338">
        <v>90.001752091460574</v>
      </c>
      <c r="AS338" s="82">
        <f t="shared" si="107"/>
        <v>-5.0482004184004836E-5</v>
      </c>
      <c r="AT338">
        <v>293.5</v>
      </c>
      <c r="AU338">
        <v>13429.351820811877</v>
      </c>
      <c r="AV338" t="s">
        <v>82</v>
      </c>
      <c r="AW338">
        <v>293.5</v>
      </c>
      <c r="AX338">
        <v>90.000639768427163</v>
      </c>
      <c r="AY338" s="82">
        <f t="shared" si="108"/>
        <v>7.9125861873308168E-4</v>
      </c>
      <c r="AZ338">
        <v>293.5</v>
      </c>
      <c r="BA338">
        <v>14157.539633681165</v>
      </c>
      <c r="BB338" t="s">
        <v>82</v>
      </c>
      <c r="BC338">
        <v>293.5</v>
      </c>
      <c r="BD338">
        <v>89.993177775413841</v>
      </c>
      <c r="BE338" s="82">
        <f t="shared" si="109"/>
        <v>2.8505041621542659E-3</v>
      </c>
      <c r="BF338">
        <v>293.5</v>
      </c>
      <c r="BG338">
        <v>15319.307321298113</v>
      </c>
      <c r="BH338" t="s">
        <v>82</v>
      </c>
      <c r="BI338">
        <v>293.5</v>
      </c>
      <c r="BJ338">
        <v>89.973719181414808</v>
      </c>
      <c r="BK338" s="82">
        <f t="shared" si="110"/>
        <v>5.0460470435922389E-3</v>
      </c>
      <c r="BL338">
        <v>293.5</v>
      </c>
      <c r="BM338">
        <v>16684.419930887732</v>
      </c>
      <c r="BN338" t="s">
        <v>82</v>
      </c>
      <c r="BO338">
        <v>293.5</v>
      </c>
      <c r="BP338">
        <v>89.954389766718364</v>
      </c>
      <c r="BQ338" s="82">
        <f t="shared" si="111"/>
        <v>-7.9071898838378729E-4</v>
      </c>
      <c r="BR338">
        <v>293.5</v>
      </c>
      <c r="BS338">
        <v>16221.354257136281</v>
      </c>
      <c r="BT338" t="s">
        <v>82</v>
      </c>
      <c r="BU338">
        <v>293.5</v>
      </c>
      <c r="BV338">
        <v>90.030001550498667</v>
      </c>
      <c r="BW338" s="82">
        <f t="shared" si="112"/>
        <v>-3.8270237448145394E-2</v>
      </c>
      <c r="BX338">
        <v>293.5</v>
      </c>
      <c r="BY338">
        <v>27909.512270470241</v>
      </c>
      <c r="BZ338" t="s">
        <v>82</v>
      </c>
      <c r="CA338">
        <v>293.5</v>
      </c>
      <c r="CB338">
        <v>90.441625302356925</v>
      </c>
      <c r="CC338" s="82">
        <f t="shared" si="113"/>
        <v>-0.12296672570222711</v>
      </c>
      <c r="CD338">
        <v>293.5</v>
      </c>
      <c r="CE338">
        <v>58949.424444403849</v>
      </c>
      <c r="CF338" t="s">
        <v>82</v>
      </c>
      <c r="CG338">
        <v>293.5</v>
      </c>
      <c r="CH338">
        <v>91.323223182205268</v>
      </c>
      <c r="CI338" s="82">
        <f t="shared" si="114"/>
        <v>-0.18199334380848597</v>
      </c>
      <c r="CJ338">
        <v>293.5</v>
      </c>
      <c r="CK338">
        <v>83462.324400022306</v>
      </c>
      <c r="CL338" t="s">
        <v>82</v>
      </c>
      <c r="CM338">
        <v>293.5</v>
      </c>
      <c r="CN338">
        <v>92.424575468576634</v>
      </c>
      <c r="CO338" s="82">
        <f t="shared" si="115"/>
        <v>-0.20070664002290073</v>
      </c>
      <c r="CP338">
        <v>293.5</v>
      </c>
      <c r="CQ338">
        <v>92220.394865381968</v>
      </c>
      <c r="CR338" t="s">
        <v>82</v>
      </c>
      <c r="CS338">
        <v>293.5</v>
      </c>
      <c r="CT338">
        <v>93.561616171858006</v>
      </c>
      <c r="CU338" s="82">
        <f t="shared" si="116"/>
        <v>-0.20146810572931884</v>
      </c>
      <c r="CV338">
        <v>293.5</v>
      </c>
      <c r="CW338">
        <v>93870.036133565212</v>
      </c>
      <c r="CX338" t="s">
        <v>82</v>
      </c>
      <c r="CY338">
        <v>293.5</v>
      </c>
      <c r="CZ338">
        <v>94.670045652605083</v>
      </c>
      <c r="DA338" s="82">
        <f t="shared" si="117"/>
        <v>-0.19481389015750494</v>
      </c>
      <c r="DB338">
        <v>293.5</v>
      </c>
      <c r="DC338">
        <v>92616.29455711128</v>
      </c>
      <c r="DD338" t="s">
        <v>82</v>
      </c>
      <c r="DG338" s="82">
        <f t="shared" si="118"/>
        <v>0</v>
      </c>
      <c r="DM338" s="82">
        <f t="shared" si="119"/>
        <v>0</v>
      </c>
    </row>
    <row r="339" spans="1:117" x14ac:dyDescent="0.2">
      <c r="A339">
        <v>294.5</v>
      </c>
      <c r="B339">
        <v>89.999984619031508</v>
      </c>
      <c r="C339" s="82">
        <f t="shared" si="100"/>
        <v>6.2282585133743851E-6</v>
      </c>
      <c r="D339">
        <v>294.5</v>
      </c>
      <c r="E339">
        <v>10650.331668385499</v>
      </c>
      <c r="F339" t="s">
        <v>82</v>
      </c>
      <c r="G339">
        <v>294.5</v>
      </c>
      <c r="H339">
        <v>89.999961196181417</v>
      </c>
      <c r="I339" s="82">
        <f t="shared" si="101"/>
        <v>9.1642549904236148E-6</v>
      </c>
      <c r="J339">
        <v>294.5</v>
      </c>
      <c r="K339">
        <v>10932.765415956732</v>
      </c>
      <c r="L339" t="s">
        <v>82</v>
      </c>
      <c r="M339">
        <v>294.5</v>
      </c>
      <c r="N339">
        <v>89.999931805997392</v>
      </c>
      <c r="O339" s="82">
        <f t="shared" si="102"/>
        <v>8.1957670374777081E-6</v>
      </c>
      <c r="P339">
        <v>294.5</v>
      </c>
      <c r="Q339">
        <v>11248.038627433314</v>
      </c>
      <c r="R339" t="s">
        <v>82</v>
      </c>
      <c r="S339">
        <v>294.5</v>
      </c>
      <c r="T339">
        <v>89.999920522439496</v>
      </c>
      <c r="U339" s="82">
        <f t="shared" si="103"/>
        <v>-5.0542892893190583E-6</v>
      </c>
      <c r="V339">
        <v>294.5</v>
      </c>
      <c r="W339">
        <v>11594.26045435235</v>
      </c>
      <c r="X339" t="s">
        <v>82</v>
      </c>
      <c r="Y339">
        <v>294.5</v>
      </c>
      <c r="Z339">
        <v>89.999992220123147</v>
      </c>
      <c r="AA339" s="82">
        <f t="shared" si="104"/>
        <v>-4.3654302714912774E-5</v>
      </c>
      <c r="AB339">
        <v>294.5</v>
      </c>
      <c r="AC339">
        <v>11987.841923501534</v>
      </c>
      <c r="AD339" t="s">
        <v>82</v>
      </c>
      <c r="AE339">
        <v>294.5</v>
      </c>
      <c r="AF339">
        <v>90.00027021743702</v>
      </c>
      <c r="AG339" s="82">
        <f t="shared" si="105"/>
        <v>-1.1702482311193307E-4</v>
      </c>
      <c r="AH339">
        <v>294.5</v>
      </c>
      <c r="AI339">
        <v>12431.270686531379</v>
      </c>
      <c r="AJ339" t="s">
        <v>82</v>
      </c>
      <c r="AK339">
        <v>294.5</v>
      </c>
      <c r="AL339">
        <v>90.000878720656672</v>
      </c>
      <c r="AM339" s="82">
        <f t="shared" si="106"/>
        <v>-1.9443699474663845E-4</v>
      </c>
      <c r="AN339">
        <v>294.5</v>
      </c>
      <c r="AO339">
        <v>12923.111905063799</v>
      </c>
      <c r="AP339" t="s">
        <v>82</v>
      </c>
      <c r="AQ339">
        <v>294.5</v>
      </c>
      <c r="AR339">
        <v>90.001633381371377</v>
      </c>
      <c r="AS339" s="82">
        <f t="shared" si="107"/>
        <v>-1.1871008919683845E-4</v>
      </c>
      <c r="AT339">
        <v>294.5</v>
      </c>
      <c r="AU339">
        <v>13433.330282129473</v>
      </c>
      <c r="AV339" t="s">
        <v>82</v>
      </c>
      <c r="AW339">
        <v>294.5</v>
      </c>
      <c r="AX339">
        <v>90.001164230822468</v>
      </c>
      <c r="AY339" s="82">
        <f t="shared" si="108"/>
        <v>5.2446239530468119E-4</v>
      </c>
      <c r="AZ339">
        <v>294.5</v>
      </c>
      <c r="BA339">
        <v>14083.596178143427</v>
      </c>
      <c r="BB339" t="s">
        <v>82</v>
      </c>
      <c r="BC339">
        <v>294.5</v>
      </c>
      <c r="BD339">
        <v>89.995498200635865</v>
      </c>
      <c r="BE339" s="82">
        <f t="shared" si="109"/>
        <v>2.3204252220239141E-3</v>
      </c>
      <c r="BF339">
        <v>294.5</v>
      </c>
      <c r="BG339">
        <v>15169.685770597878</v>
      </c>
      <c r="BH339" t="s">
        <v>82</v>
      </c>
      <c r="BI339">
        <v>294.5</v>
      </c>
      <c r="BJ339">
        <v>89.97849596659033</v>
      </c>
      <c r="BK339" s="82">
        <f t="shared" si="110"/>
        <v>4.776785175522491E-3</v>
      </c>
      <c r="BL339">
        <v>294.5</v>
      </c>
      <c r="BM339">
        <v>16575.060330289569</v>
      </c>
      <c r="BN339" t="s">
        <v>82</v>
      </c>
      <c r="BO339">
        <v>294.5</v>
      </c>
      <c r="BP339">
        <v>89.955999538167376</v>
      </c>
      <c r="BQ339" s="82">
        <f t="shared" si="111"/>
        <v>1.6097714490115322E-3</v>
      </c>
      <c r="BR339">
        <v>294.5</v>
      </c>
      <c r="BS339">
        <v>16765.508940316158</v>
      </c>
      <c r="BT339" t="s">
        <v>82</v>
      </c>
      <c r="BU339">
        <v>294.5</v>
      </c>
      <c r="BV339">
        <v>90.001881766902926</v>
      </c>
      <c r="BW339" s="82">
        <f t="shared" si="112"/>
        <v>-2.811978359574141E-2</v>
      </c>
      <c r="BX339">
        <v>294.5</v>
      </c>
      <c r="BY339">
        <v>24529.227942356174</v>
      </c>
      <c r="BZ339" t="s">
        <v>82</v>
      </c>
      <c r="CA339">
        <v>294.5</v>
      </c>
      <c r="CB339">
        <v>90.335062525638378</v>
      </c>
      <c r="CC339" s="82">
        <f t="shared" si="113"/>
        <v>-0.10656277671854752</v>
      </c>
      <c r="CD339">
        <v>294.5</v>
      </c>
      <c r="CE339">
        <v>52846.564392196167</v>
      </c>
      <c r="CF339" t="s">
        <v>82</v>
      </c>
      <c r="CG339">
        <v>294.5</v>
      </c>
      <c r="CH339">
        <v>91.148623659829866</v>
      </c>
      <c r="CI339" s="82">
        <f t="shared" si="114"/>
        <v>-0.17459952237540222</v>
      </c>
      <c r="CJ339">
        <v>294.5</v>
      </c>
      <c r="CK339">
        <v>80517.386027238899</v>
      </c>
      <c r="CL339" t="s">
        <v>82</v>
      </c>
      <c r="CM339">
        <v>294.5</v>
      </c>
      <c r="CN339">
        <v>92.226794967841428</v>
      </c>
      <c r="CO339" s="82">
        <f t="shared" si="115"/>
        <v>-0.19778050073520603</v>
      </c>
      <c r="CP339">
        <v>294.5</v>
      </c>
      <c r="CQ339">
        <v>91047.68371594089</v>
      </c>
      <c r="CR339" t="s">
        <v>82</v>
      </c>
      <c r="CS339">
        <v>294.5</v>
      </c>
      <c r="CT339">
        <v>93.361184164127309</v>
      </c>
      <c r="CU339" s="82">
        <f t="shared" si="116"/>
        <v>-0.20043200773069714</v>
      </c>
      <c r="CV339">
        <v>294.5</v>
      </c>
      <c r="CW339">
        <v>93448.343875242703</v>
      </c>
      <c r="CX339" t="s">
        <v>82</v>
      </c>
      <c r="CY339">
        <v>294.5</v>
      </c>
      <c r="CZ339">
        <v>94.475513094886566</v>
      </c>
      <c r="DA339" s="82">
        <f t="shared" si="117"/>
        <v>-0.1945325577185173</v>
      </c>
      <c r="DB339">
        <v>294.5</v>
      </c>
      <c r="DC339">
        <v>92494.352129679319</v>
      </c>
      <c r="DD339" t="s">
        <v>82</v>
      </c>
      <c r="DG339" s="82">
        <f t="shared" si="118"/>
        <v>0</v>
      </c>
      <c r="DM339" s="82">
        <f t="shared" si="119"/>
        <v>0</v>
      </c>
    </row>
    <row r="340" spans="1:117" x14ac:dyDescent="0.2">
      <c r="A340">
        <v>295.5</v>
      </c>
      <c r="B340">
        <v>89.999989741977018</v>
      </c>
      <c r="C340" s="82">
        <f t="shared" si="100"/>
        <v>5.1229455095835874E-6</v>
      </c>
      <c r="D340">
        <v>295.5</v>
      </c>
      <c r="E340">
        <v>10644.889016525345</v>
      </c>
      <c r="F340" t="s">
        <v>82</v>
      </c>
      <c r="G340">
        <v>295.5</v>
      </c>
      <c r="H340">
        <v>89.999969503916446</v>
      </c>
      <c r="I340" s="82">
        <f t="shared" si="101"/>
        <v>8.3077350296889563E-6</v>
      </c>
      <c r="J340">
        <v>295.5</v>
      </c>
      <c r="K340">
        <v>10926.81995684594</v>
      </c>
      <c r="L340" t="s">
        <v>82</v>
      </c>
      <c r="M340">
        <v>295.5</v>
      </c>
      <c r="N340">
        <v>89.999940826145973</v>
      </c>
      <c r="O340" s="82">
        <f t="shared" si="102"/>
        <v>9.0201485818397487E-6</v>
      </c>
      <c r="P340">
        <v>295.5</v>
      </c>
      <c r="Q340">
        <v>11241.825200267722</v>
      </c>
      <c r="R340" t="s">
        <v>82</v>
      </c>
      <c r="S340">
        <v>295.5</v>
      </c>
      <c r="T340">
        <v>89.999920740268607</v>
      </c>
      <c r="U340" s="82">
        <f t="shared" si="103"/>
        <v>2.178291111931685E-7</v>
      </c>
      <c r="V340">
        <v>295.5</v>
      </c>
      <c r="W340">
        <v>11587.238405498245</v>
      </c>
      <c r="X340" t="s">
        <v>82</v>
      </c>
      <c r="Y340">
        <v>295.5</v>
      </c>
      <c r="Z340">
        <v>89.999961855712328</v>
      </c>
      <c r="AA340" s="82">
        <f t="shared" si="104"/>
        <v>-3.0364410818606302E-5</v>
      </c>
      <c r="AB340">
        <v>295.5</v>
      </c>
      <c r="AC340">
        <v>11977.380921637734</v>
      </c>
      <c r="AD340" t="s">
        <v>82</v>
      </c>
      <c r="AE340">
        <v>295.5</v>
      </c>
      <c r="AF340">
        <v>90.000175051022111</v>
      </c>
      <c r="AG340" s="82">
        <f t="shared" si="105"/>
        <v>-9.5166414908476327E-5</v>
      </c>
      <c r="AH340">
        <v>295.5</v>
      </c>
      <c r="AI340">
        <v>12417.842970188805</v>
      </c>
      <c r="AJ340" t="s">
        <v>82</v>
      </c>
      <c r="AK340">
        <v>295.5</v>
      </c>
      <c r="AL340">
        <v>90.00070030560741</v>
      </c>
      <c r="AM340" s="82">
        <f t="shared" si="106"/>
        <v>-1.7841504926252583E-4</v>
      </c>
      <c r="AN340">
        <v>295.5</v>
      </c>
      <c r="AO340">
        <v>12909.492105461937</v>
      </c>
      <c r="AP340" t="s">
        <v>82</v>
      </c>
      <c r="AQ340">
        <v>295.5</v>
      </c>
      <c r="AR340">
        <v>90.001472416334551</v>
      </c>
      <c r="AS340" s="82">
        <f t="shared" si="107"/>
        <v>-1.6096503682661023E-4</v>
      </c>
      <c r="AT340">
        <v>295.5</v>
      </c>
      <c r="AU340">
        <v>13431.527966753301</v>
      </c>
      <c r="AV340" t="s">
        <v>82</v>
      </c>
      <c r="AW340">
        <v>295.5</v>
      </c>
      <c r="AX340">
        <v>90.001476703186782</v>
      </c>
      <c r="AY340" s="82">
        <f t="shared" si="108"/>
        <v>3.1247236431397596E-4</v>
      </c>
      <c r="AZ340">
        <v>295.5</v>
      </c>
      <c r="BA340">
        <v>14023.486064177017</v>
      </c>
      <c r="BB340" t="s">
        <v>82</v>
      </c>
      <c r="BC340">
        <v>295.5</v>
      </c>
      <c r="BD340">
        <v>89.997337230220111</v>
      </c>
      <c r="BE340" s="82">
        <f t="shared" si="109"/>
        <v>1.8390295842465321E-3</v>
      </c>
      <c r="BF340">
        <v>295.5</v>
      </c>
      <c r="BG340">
        <v>15035.062921000732</v>
      </c>
      <c r="BH340" t="s">
        <v>82</v>
      </c>
      <c r="BI340">
        <v>295.5</v>
      </c>
      <c r="BJ340">
        <v>89.982857871276224</v>
      </c>
      <c r="BK340" s="82">
        <f t="shared" si="110"/>
        <v>4.3619046858935917E-3</v>
      </c>
      <c r="BL340">
        <v>295.5</v>
      </c>
      <c r="BM340">
        <v>16434.305687911554</v>
      </c>
      <c r="BN340" t="s">
        <v>82</v>
      </c>
      <c r="BO340">
        <v>295.5</v>
      </c>
      <c r="BP340">
        <v>89.959210125629511</v>
      </c>
      <c r="BQ340" s="82">
        <f t="shared" si="111"/>
        <v>3.2105874621350949E-3</v>
      </c>
      <c r="BR340">
        <v>295.5</v>
      </c>
      <c r="BS340">
        <v>17112.486446532006</v>
      </c>
      <c r="BT340" t="s">
        <v>82</v>
      </c>
      <c r="BU340">
        <v>295.5</v>
      </c>
      <c r="BV340">
        <v>89.982174826727302</v>
      </c>
      <c r="BW340" s="82">
        <f t="shared" si="112"/>
        <v>-1.9706940175623799E-2</v>
      </c>
      <c r="BX340">
        <v>295.5</v>
      </c>
      <c r="BY340">
        <v>21777.745394413821</v>
      </c>
      <c r="BZ340" t="s">
        <v>82</v>
      </c>
      <c r="CA340">
        <v>295.5</v>
      </c>
      <c r="CB340">
        <v>90.244968491639185</v>
      </c>
      <c r="CC340" s="82">
        <f t="shared" si="113"/>
        <v>-9.0094033999193357E-2</v>
      </c>
      <c r="CD340">
        <v>295.5</v>
      </c>
      <c r="CE340">
        <v>46876.70748588437</v>
      </c>
      <c r="CF340" t="s">
        <v>82</v>
      </c>
      <c r="CG340">
        <v>295.5</v>
      </c>
      <c r="CH340">
        <v>90.982485259644974</v>
      </c>
      <c r="CI340" s="82">
        <f t="shared" si="114"/>
        <v>-0.16613840018489157</v>
      </c>
      <c r="CJ340">
        <v>295.5</v>
      </c>
      <c r="CK340">
        <v>77149.013037436234</v>
      </c>
      <c r="CL340" t="s">
        <v>82</v>
      </c>
      <c r="CM340">
        <v>295.5</v>
      </c>
      <c r="CN340">
        <v>92.032387162197693</v>
      </c>
      <c r="CO340" s="82">
        <f t="shared" si="115"/>
        <v>-0.19440780564373483</v>
      </c>
      <c r="CP340">
        <v>295.5</v>
      </c>
      <c r="CQ340">
        <v>89697.359925599812</v>
      </c>
      <c r="CR340" t="s">
        <v>82</v>
      </c>
      <c r="CS340">
        <v>295.5</v>
      </c>
      <c r="CT340">
        <v>93.161964627961538</v>
      </c>
      <c r="CU340" s="82">
        <f t="shared" si="116"/>
        <v>-0.19921953616577071</v>
      </c>
      <c r="CV340">
        <v>295.5</v>
      </c>
      <c r="CW340">
        <v>92956.551826446695</v>
      </c>
      <c r="CX340" t="s">
        <v>82</v>
      </c>
      <c r="CY340">
        <v>295.5</v>
      </c>
      <c r="CZ340">
        <v>94.28132748460105</v>
      </c>
      <c r="DA340" s="82">
        <f t="shared" si="117"/>
        <v>-0.19418561028551551</v>
      </c>
      <c r="DB340">
        <v>295.5</v>
      </c>
      <c r="DC340">
        <v>92346.484497685626</v>
      </c>
      <c r="DD340" t="s">
        <v>82</v>
      </c>
      <c r="DG340" s="82">
        <f t="shared" si="118"/>
        <v>0</v>
      </c>
      <c r="DM340" s="82">
        <f t="shared" si="119"/>
        <v>0</v>
      </c>
    </row>
    <row r="341" spans="1:117" x14ac:dyDescent="0.2">
      <c r="A341">
        <v>296.5</v>
      </c>
      <c r="B341">
        <v>89.999993840864335</v>
      </c>
      <c r="C341" s="82">
        <f t="shared" si="100"/>
        <v>4.098887316672517E-6</v>
      </c>
      <c r="D341">
        <v>296.5</v>
      </c>
      <c r="E341">
        <v>10639.533840963428</v>
      </c>
      <c r="F341" t="s">
        <v>82</v>
      </c>
      <c r="G341">
        <v>296.5</v>
      </c>
      <c r="H341">
        <v>89.99997681205511</v>
      </c>
      <c r="I341" s="82">
        <f t="shared" si="101"/>
        <v>7.3081386631201894E-6</v>
      </c>
      <c r="J341">
        <v>296.5</v>
      </c>
      <c r="K341">
        <v>10920.928074638954</v>
      </c>
      <c r="L341" t="s">
        <v>82</v>
      </c>
      <c r="M341">
        <v>296.5</v>
      </c>
      <c r="N341">
        <v>89.999949998479792</v>
      </c>
      <c r="O341" s="82">
        <f t="shared" si="102"/>
        <v>9.172333818696643E-6</v>
      </c>
      <c r="P341">
        <v>296.5</v>
      </c>
      <c r="Q341">
        <v>11235.565449583459</v>
      </c>
      <c r="R341" t="s">
        <v>82</v>
      </c>
      <c r="S341">
        <v>296.5</v>
      </c>
      <c r="T341">
        <v>89.999924662510793</v>
      </c>
      <c r="U341" s="82">
        <f t="shared" si="103"/>
        <v>3.9222421861495604E-6</v>
      </c>
      <c r="V341">
        <v>296.5</v>
      </c>
      <c r="W341">
        <v>11581.08540630831</v>
      </c>
      <c r="X341" t="s">
        <v>82</v>
      </c>
      <c r="Y341">
        <v>296.5</v>
      </c>
      <c r="Z341">
        <v>89.999942291956231</v>
      </c>
      <c r="AA341" s="82">
        <f t="shared" si="104"/>
        <v>-1.9563756097795704E-5</v>
      </c>
      <c r="AB341">
        <v>296.5</v>
      </c>
      <c r="AC341">
        <v>11967.58091637703</v>
      </c>
      <c r="AD341" t="s">
        <v>82</v>
      </c>
      <c r="AE341">
        <v>296.5</v>
      </c>
      <c r="AF341">
        <v>90.000099785118422</v>
      </c>
      <c r="AG341" s="82">
        <f t="shared" si="105"/>
        <v>-7.5265903689114566E-5</v>
      </c>
      <c r="AH341">
        <v>296.5</v>
      </c>
      <c r="AI341">
        <v>12405.047244131027</v>
      </c>
      <c r="AJ341" t="s">
        <v>82</v>
      </c>
      <c r="AK341">
        <v>296.5</v>
      </c>
      <c r="AL341">
        <v>90.000541630824287</v>
      </c>
      <c r="AM341" s="82">
        <f t="shared" si="106"/>
        <v>-1.5867478312259209E-4</v>
      </c>
      <c r="AN341">
        <v>296.5</v>
      </c>
      <c r="AO341">
        <v>12895.321900483448</v>
      </c>
      <c r="AP341" t="s">
        <v>82</v>
      </c>
      <c r="AQ341">
        <v>296.5</v>
      </c>
      <c r="AR341">
        <v>90.001289436657729</v>
      </c>
      <c r="AS341" s="82">
        <f t="shared" si="107"/>
        <v>-1.8297967682201488E-4</v>
      </c>
      <c r="AT341">
        <v>296.5</v>
      </c>
      <c r="AU341">
        <v>13425.314794068547</v>
      </c>
      <c r="AV341" t="s">
        <v>82</v>
      </c>
      <c r="AW341">
        <v>296.5</v>
      </c>
      <c r="AX341">
        <v>90.001625680672632</v>
      </c>
      <c r="AY341" s="82">
        <f t="shared" si="108"/>
        <v>1.4897748584985493E-4</v>
      </c>
      <c r="AZ341">
        <v>296.5</v>
      </c>
      <c r="BA341">
        <v>13975.420510861348</v>
      </c>
      <c r="BB341" t="s">
        <v>82</v>
      </c>
      <c r="BC341">
        <v>296.5</v>
      </c>
      <c r="BD341">
        <v>89.99875179842256</v>
      </c>
      <c r="BE341" s="82">
        <f t="shared" si="109"/>
        <v>1.414568202449118E-3</v>
      </c>
      <c r="BF341">
        <v>296.5</v>
      </c>
      <c r="BG341">
        <v>14916.818827554649</v>
      </c>
      <c r="BH341" t="s">
        <v>82</v>
      </c>
      <c r="BI341">
        <v>296.5</v>
      </c>
      <c r="BJ341">
        <v>89.986722686317336</v>
      </c>
      <c r="BK341" s="82">
        <f t="shared" si="110"/>
        <v>3.8648150411120241E-3</v>
      </c>
      <c r="BL341">
        <v>296.5</v>
      </c>
      <c r="BM341">
        <v>16277.950384737884</v>
      </c>
      <c r="BN341" t="s">
        <v>82</v>
      </c>
      <c r="BO341">
        <v>296.5</v>
      </c>
      <c r="BP341">
        <v>89.963387008533743</v>
      </c>
      <c r="BQ341" s="82">
        <f t="shared" si="111"/>
        <v>4.1768829042325706E-3</v>
      </c>
      <c r="BR341">
        <v>296.5</v>
      </c>
      <c r="BS341">
        <v>17302.332890456819</v>
      </c>
      <c r="BT341" t="s">
        <v>82</v>
      </c>
      <c r="BU341">
        <v>296.5</v>
      </c>
      <c r="BV341">
        <v>89.969270333159386</v>
      </c>
      <c r="BW341" s="82">
        <f t="shared" si="112"/>
        <v>-1.290449356791612E-2</v>
      </c>
      <c r="BX341">
        <v>296.5</v>
      </c>
      <c r="BY341">
        <v>19857.728443369393</v>
      </c>
      <c r="BZ341" t="s">
        <v>82</v>
      </c>
      <c r="CA341">
        <v>296.5</v>
      </c>
      <c r="CB341">
        <v>90.170609624765575</v>
      </c>
      <c r="CC341" s="82">
        <f t="shared" si="113"/>
        <v>-7.4358866873609486E-2</v>
      </c>
      <c r="CD341">
        <v>296.5</v>
      </c>
      <c r="CE341">
        <v>41286.176756386871</v>
      </c>
      <c r="CF341" t="s">
        <v>82</v>
      </c>
      <c r="CG341">
        <v>296.5</v>
      </c>
      <c r="CH341">
        <v>90.826026592554172</v>
      </c>
      <c r="CI341" s="82">
        <f t="shared" si="114"/>
        <v>-0.15645866709080281</v>
      </c>
      <c r="CJ341">
        <v>296.5</v>
      </c>
      <c r="CK341">
        <v>73297.480511778718</v>
      </c>
      <c r="CL341" t="s">
        <v>82</v>
      </c>
      <c r="CM341">
        <v>296.5</v>
      </c>
      <c r="CN341">
        <v>91.84186331650443</v>
      </c>
      <c r="CO341" s="82">
        <f t="shared" si="115"/>
        <v>-0.19052384569326364</v>
      </c>
      <c r="CP341">
        <v>296.5</v>
      </c>
      <c r="CQ341">
        <v>88143.655797231608</v>
      </c>
      <c r="CR341" t="s">
        <v>82</v>
      </c>
      <c r="CS341">
        <v>296.5</v>
      </c>
      <c r="CT341">
        <v>92.96415981505173</v>
      </c>
      <c r="CU341" s="82">
        <f t="shared" si="116"/>
        <v>-0.19780481290980845</v>
      </c>
      <c r="CV341">
        <v>296.5</v>
      </c>
      <c r="CW341">
        <v>92384.321939335437</v>
      </c>
      <c r="CX341" t="s">
        <v>82</v>
      </c>
      <c r="CY341">
        <v>296.5</v>
      </c>
      <c r="CZ341">
        <v>94.087563963628</v>
      </c>
      <c r="DA341" s="82">
        <f t="shared" si="117"/>
        <v>-0.19376352097305016</v>
      </c>
      <c r="DB341">
        <v>296.5</v>
      </c>
      <c r="DC341">
        <v>92168.877130433</v>
      </c>
      <c r="DD341" t="s">
        <v>82</v>
      </c>
      <c r="DG341" s="82">
        <f t="shared" si="118"/>
        <v>0</v>
      </c>
      <c r="DM341" s="82">
        <f t="shared" si="119"/>
        <v>0</v>
      </c>
    </row>
    <row r="342" spans="1:117" x14ac:dyDescent="0.2">
      <c r="A342">
        <v>297.5</v>
      </c>
      <c r="B342">
        <v>89.999997022463063</v>
      </c>
      <c r="C342" s="82">
        <f t="shared" si="100"/>
        <v>3.1815987284744551E-6</v>
      </c>
      <c r="D342">
        <v>297.5</v>
      </c>
      <c r="E342">
        <v>10634.269894215468</v>
      </c>
      <c r="F342" t="s">
        <v>82</v>
      </c>
      <c r="G342">
        <v>297.5</v>
      </c>
      <c r="H342">
        <v>89.99998306787694</v>
      </c>
      <c r="I342" s="82">
        <f t="shared" si="101"/>
        <v>6.255821830336572E-6</v>
      </c>
      <c r="J342">
        <v>297.5</v>
      </c>
      <c r="K342">
        <v>10915.106361825197</v>
      </c>
      <c r="L342" t="s">
        <v>82</v>
      </c>
      <c r="M342">
        <v>297.5</v>
      </c>
      <c r="N342">
        <v>89.999958842447029</v>
      </c>
      <c r="O342" s="82">
        <f t="shared" si="102"/>
        <v>8.8439672367712774E-6</v>
      </c>
      <c r="P342">
        <v>297.5</v>
      </c>
      <c r="Q342">
        <v>11229.298071626816</v>
      </c>
      <c r="R342" t="s">
        <v>82</v>
      </c>
      <c r="S342">
        <v>297.5</v>
      </c>
      <c r="T342">
        <v>89.999931009027662</v>
      </c>
      <c r="U342" s="82">
        <f t="shared" si="103"/>
        <v>6.3465168693710439E-6</v>
      </c>
      <c r="V342">
        <v>297.5</v>
      </c>
      <c r="W342">
        <v>11574.75828815828</v>
      </c>
      <c r="X342" t="s">
        <v>82</v>
      </c>
      <c r="Y342">
        <v>297.5</v>
      </c>
      <c r="Z342">
        <v>89.999931263419072</v>
      </c>
      <c r="AA342" s="82">
        <f t="shared" si="104"/>
        <v>-1.102853715906349E-5</v>
      </c>
      <c r="AB342">
        <v>297.5</v>
      </c>
      <c r="AC342">
        <v>11958.382845749114</v>
      </c>
      <c r="AD342" t="s">
        <v>82</v>
      </c>
      <c r="AE342">
        <v>297.5</v>
      </c>
      <c r="AF342">
        <v>90.000042097102551</v>
      </c>
      <c r="AG342" s="82">
        <f t="shared" si="105"/>
        <v>-5.7688015871804055E-5</v>
      </c>
      <c r="AH342">
        <v>297.5</v>
      </c>
      <c r="AI342">
        <v>12392.943795077783</v>
      </c>
      <c r="AJ342" t="s">
        <v>82</v>
      </c>
      <c r="AK342">
        <v>297.5</v>
      </c>
      <c r="AL342">
        <v>90.000404371735513</v>
      </c>
      <c r="AM342" s="82">
        <f t="shared" si="106"/>
        <v>-1.3725908877404436E-4</v>
      </c>
      <c r="AN342">
        <v>297.5</v>
      </c>
      <c r="AO342">
        <v>12881.045237967728</v>
      </c>
      <c r="AP342" t="s">
        <v>82</v>
      </c>
      <c r="AQ342">
        <v>297.5</v>
      </c>
      <c r="AR342">
        <v>90.001099697387673</v>
      </c>
      <c r="AS342" s="82">
        <f t="shared" si="107"/>
        <v>-1.8973927005561109E-4</v>
      </c>
      <c r="AT342">
        <v>297.5</v>
      </c>
      <c r="AU342">
        <v>13415.86970528104</v>
      </c>
      <c r="AV342" t="s">
        <v>82</v>
      </c>
      <c r="AW342">
        <v>297.5</v>
      </c>
      <c r="AX342">
        <v>90.001652932054753</v>
      </c>
      <c r="AY342" s="82">
        <f t="shared" si="108"/>
        <v>2.7251382121562528E-5</v>
      </c>
      <c r="AZ342">
        <v>297.5</v>
      </c>
      <c r="BA342">
        <v>13945.971426604816</v>
      </c>
      <c r="BB342" t="s">
        <v>82</v>
      </c>
      <c r="BC342">
        <v>297.5</v>
      </c>
      <c r="BD342">
        <v>89.999801919910254</v>
      </c>
      <c r="BE342" s="82">
        <f t="shared" si="109"/>
        <v>1.0501214876939002E-3</v>
      </c>
      <c r="BF342">
        <v>297.5</v>
      </c>
      <c r="BG342">
        <v>14815.125971214213</v>
      </c>
      <c r="BH342" t="s">
        <v>82</v>
      </c>
      <c r="BI342">
        <v>297.5</v>
      </c>
      <c r="BJ342">
        <v>89.990056459581723</v>
      </c>
      <c r="BK342" s="82">
        <f t="shared" si="110"/>
        <v>3.3337732643872187E-3</v>
      </c>
      <c r="BL342">
        <v>297.5</v>
      </c>
      <c r="BM342">
        <v>16117.747541573368</v>
      </c>
      <c r="BN342" t="s">
        <v>82</v>
      </c>
      <c r="BO342">
        <v>297.5</v>
      </c>
      <c r="BP342">
        <v>89.96804109372988</v>
      </c>
      <c r="BQ342" s="82">
        <f t="shared" si="111"/>
        <v>4.654085196136748E-3</v>
      </c>
      <c r="BR342">
        <v>297.5</v>
      </c>
      <c r="BS342">
        <v>17371.794932398916</v>
      </c>
      <c r="BT342" t="s">
        <v>82</v>
      </c>
      <c r="BU342">
        <v>297.5</v>
      </c>
      <c r="BV342">
        <v>89.961722814290596</v>
      </c>
      <c r="BW342" s="82">
        <f t="shared" si="112"/>
        <v>-7.5475188687903483E-3</v>
      </c>
      <c r="BX342">
        <v>297.5</v>
      </c>
      <c r="BY342">
        <v>18468.350133926731</v>
      </c>
      <c r="BZ342" t="s">
        <v>82</v>
      </c>
      <c r="CA342">
        <v>297.5</v>
      </c>
      <c r="CB342">
        <v>90.110730818910355</v>
      </c>
      <c r="CC342" s="82">
        <f t="shared" si="113"/>
        <v>-5.9878805855220207E-2</v>
      </c>
      <c r="CD342">
        <v>297.5</v>
      </c>
      <c r="CE342">
        <v>36229.074303468529</v>
      </c>
      <c r="CF342" t="s">
        <v>82</v>
      </c>
      <c r="CG342">
        <v>297.5</v>
      </c>
      <c r="CH342">
        <v>90.680639205527157</v>
      </c>
      <c r="CI342" s="82">
        <f t="shared" si="114"/>
        <v>-0.14538738702701437</v>
      </c>
      <c r="CJ342">
        <v>297.5</v>
      </c>
      <c r="CK342">
        <v>68894.756117337936</v>
      </c>
      <c r="CL342" t="s">
        <v>82</v>
      </c>
      <c r="CM342">
        <v>297.5</v>
      </c>
      <c r="CN342">
        <v>91.655808921400265</v>
      </c>
      <c r="CO342" s="82">
        <f t="shared" si="115"/>
        <v>-0.18605439510416488</v>
      </c>
      <c r="CP342">
        <v>297.5</v>
      </c>
      <c r="CQ342">
        <v>86357.027098100734</v>
      </c>
      <c r="CR342" t="s">
        <v>82</v>
      </c>
      <c r="CS342">
        <v>297.5</v>
      </c>
      <c r="CT342">
        <v>92.768001769273084</v>
      </c>
      <c r="CU342" s="82">
        <f t="shared" si="116"/>
        <v>-0.19615804577864537</v>
      </c>
      <c r="CV342">
        <v>297.5</v>
      </c>
      <c r="CW342">
        <v>91719.753712840073</v>
      </c>
      <c r="CX342" t="s">
        <v>82</v>
      </c>
      <c r="CY342">
        <v>297.5</v>
      </c>
      <c r="CZ342">
        <v>93.89430868217751</v>
      </c>
      <c r="DA342" s="82">
        <f t="shared" si="117"/>
        <v>-0.1932552814504902</v>
      </c>
      <c r="DB342">
        <v>297.5</v>
      </c>
      <c r="DC342">
        <v>91957.122432261196</v>
      </c>
      <c r="DD342" t="s">
        <v>82</v>
      </c>
      <c r="DG342" s="82">
        <f t="shared" si="118"/>
        <v>0</v>
      </c>
      <c r="DM342" s="82">
        <f t="shared" si="119"/>
        <v>0</v>
      </c>
    </row>
    <row r="343" spans="1:117" x14ac:dyDescent="0.2">
      <c r="A343">
        <v>298.5</v>
      </c>
      <c r="B343">
        <v>89.999999406665211</v>
      </c>
      <c r="C343" s="82">
        <f t="shared" si="100"/>
        <v>2.3842021477094022E-6</v>
      </c>
      <c r="D343">
        <v>298.5</v>
      </c>
      <c r="E343">
        <v>10629.098664976244</v>
      </c>
      <c r="F343" t="s">
        <v>82</v>
      </c>
      <c r="G343">
        <v>298.5</v>
      </c>
      <c r="H343">
        <v>89.999988285105971</v>
      </c>
      <c r="I343" s="82">
        <f t="shared" si="101"/>
        <v>5.2172290310181779E-6</v>
      </c>
      <c r="J343">
        <v>298.5</v>
      </c>
      <c r="K343">
        <v>10909.366700388577</v>
      </c>
      <c r="L343" t="s">
        <v>82</v>
      </c>
      <c r="M343">
        <v>298.5</v>
      </c>
      <c r="N343">
        <v>89.999967035663801</v>
      </c>
      <c r="O343" s="82">
        <f t="shared" si="102"/>
        <v>8.1932167717013726E-6</v>
      </c>
      <c r="P343">
        <v>298.5</v>
      </c>
      <c r="Q343">
        <v>11223.054573269175</v>
      </c>
      <c r="R343" t="s">
        <v>82</v>
      </c>
      <c r="S343">
        <v>298.5</v>
      </c>
      <c r="T343">
        <v>89.999938763355161</v>
      </c>
      <c r="U343" s="82">
        <f t="shared" si="103"/>
        <v>7.7543274983327137E-6</v>
      </c>
      <c r="V343">
        <v>298.5</v>
      </c>
      <c r="W343">
        <v>11568.314068011634</v>
      </c>
      <c r="X343" t="s">
        <v>82</v>
      </c>
      <c r="Y343">
        <v>298.5</v>
      </c>
      <c r="Z343">
        <v>89.999926770101283</v>
      </c>
      <c r="AA343" s="82">
        <f t="shared" si="104"/>
        <v>-4.4933177889561193E-6</v>
      </c>
      <c r="AB343">
        <v>298.5</v>
      </c>
      <c r="AC343">
        <v>11949.721072006199</v>
      </c>
      <c r="AD343" t="s">
        <v>82</v>
      </c>
      <c r="AE343">
        <v>298.5</v>
      </c>
      <c r="AF343">
        <v>89.999999518359161</v>
      </c>
      <c r="AG343" s="82">
        <f t="shared" si="105"/>
        <v>-4.2578743389753981E-5</v>
      </c>
      <c r="AH343">
        <v>298.5</v>
      </c>
      <c r="AI343">
        <v>12381.54695375234</v>
      </c>
      <c r="AJ343" t="s">
        <v>82</v>
      </c>
      <c r="AK343">
        <v>298.5</v>
      </c>
      <c r="AL343">
        <v>90.000288688751823</v>
      </c>
      <c r="AM343" s="82">
        <f t="shared" si="106"/>
        <v>-1.1568298369013519E-4</v>
      </c>
      <c r="AN343">
        <v>298.5</v>
      </c>
      <c r="AO343">
        <v>12866.984101603724</v>
      </c>
      <c r="AP343" t="s">
        <v>82</v>
      </c>
      <c r="AQ343">
        <v>298.5</v>
      </c>
      <c r="AR343">
        <v>90.000914229703028</v>
      </c>
      <c r="AS343" s="82">
        <f t="shared" si="107"/>
        <v>-1.8546768464489105E-4</v>
      </c>
      <c r="AT343">
        <v>298.5</v>
      </c>
      <c r="AU343">
        <v>13404.180625391513</v>
      </c>
      <c r="AV343" t="s">
        <v>82</v>
      </c>
      <c r="AW343">
        <v>298.5</v>
      </c>
      <c r="AX343">
        <v>90.00159352745149</v>
      </c>
      <c r="AY343" s="82">
        <f t="shared" si="108"/>
        <v>-5.9404603263146782E-5</v>
      </c>
      <c r="AZ343">
        <v>298.5</v>
      </c>
      <c r="BA343">
        <v>13954.315227514287</v>
      </c>
      <c r="BB343" t="s">
        <v>82</v>
      </c>
      <c r="BC343">
        <v>298.5</v>
      </c>
      <c r="BD343">
        <v>90.000546921882517</v>
      </c>
      <c r="BE343" s="82">
        <f t="shared" si="109"/>
        <v>7.4500197226257114E-4</v>
      </c>
      <c r="BF343">
        <v>298.5</v>
      </c>
      <c r="BG343">
        <v>14729.315521306939</v>
      </c>
      <c r="BH343" t="s">
        <v>82</v>
      </c>
      <c r="BI343">
        <v>298.5</v>
      </c>
      <c r="BJ343">
        <v>89.992860609663495</v>
      </c>
      <c r="BK343" s="82">
        <f t="shared" si="110"/>
        <v>2.8041500817721499E-3</v>
      </c>
      <c r="BL343">
        <v>298.5</v>
      </c>
      <c r="BM343">
        <v>15962.049972576759</v>
      </c>
      <c r="BN343" t="s">
        <v>82</v>
      </c>
      <c r="BO343">
        <v>298.5</v>
      </c>
      <c r="BP343">
        <v>89.97280805188602</v>
      </c>
      <c r="BQ343" s="82">
        <f t="shared" si="111"/>
        <v>4.766958156139367E-3</v>
      </c>
      <c r="BR343">
        <v>298.5</v>
      </c>
      <c r="BS343">
        <v>17352.940425022778</v>
      </c>
      <c r="BT343" t="s">
        <v>82</v>
      </c>
      <c r="BU343">
        <v>298.5</v>
      </c>
      <c r="BV343">
        <v>89.958270238015515</v>
      </c>
      <c r="BW343" s="82">
        <f t="shared" si="112"/>
        <v>-3.4525762750803324E-3</v>
      </c>
      <c r="BX343">
        <v>298.5</v>
      </c>
      <c r="BY343">
        <v>17434.923988119946</v>
      </c>
      <c r="BZ343" t="s">
        <v>82</v>
      </c>
      <c r="CA343">
        <v>298.5</v>
      </c>
      <c r="CB343">
        <v>90.063772946225015</v>
      </c>
      <c r="CC343" s="82">
        <f t="shared" si="113"/>
        <v>-4.6957872685339908E-2</v>
      </c>
      <c r="CD343">
        <v>298.5</v>
      </c>
      <c r="CE343">
        <v>31787.628065434834</v>
      </c>
      <c r="CF343" t="s">
        <v>82</v>
      </c>
      <c r="CG343">
        <v>298.5</v>
      </c>
      <c r="CH343">
        <v>90.547912302095824</v>
      </c>
      <c r="CI343" s="82">
        <f t="shared" si="114"/>
        <v>-0.1327269034313332</v>
      </c>
      <c r="CJ343">
        <v>298.5</v>
      </c>
      <c r="CK343">
        <v>63863.49306665927</v>
      </c>
      <c r="CL343" t="s">
        <v>82</v>
      </c>
      <c r="CM343">
        <v>298.5</v>
      </c>
      <c r="CN343">
        <v>91.474894611567336</v>
      </c>
      <c r="CO343" s="82">
        <f t="shared" si="115"/>
        <v>-0.18091430983292867</v>
      </c>
      <c r="CP343">
        <v>298.5</v>
      </c>
      <c r="CQ343">
        <v>84303.603183047686</v>
      </c>
      <c r="CR343" t="s">
        <v>82</v>
      </c>
      <c r="CS343">
        <v>298.5</v>
      </c>
      <c r="CT343">
        <v>92.573756833612748</v>
      </c>
      <c r="CU343" s="82">
        <f t="shared" si="116"/>
        <v>-0.19424493566033618</v>
      </c>
      <c r="CV343">
        <v>298.5</v>
      </c>
      <c r="CW343">
        <v>90949.148173924594</v>
      </c>
      <c r="CX343" t="s">
        <v>82</v>
      </c>
      <c r="CY343">
        <v>298.5</v>
      </c>
      <c r="CZ343">
        <v>93.701660511157286</v>
      </c>
      <c r="DA343" s="82">
        <f t="shared" si="117"/>
        <v>-0.19264817102022391</v>
      </c>
      <c r="DB343">
        <v>298.5</v>
      </c>
      <c r="DC343">
        <v>91706.127229523976</v>
      </c>
      <c r="DD343" t="s">
        <v>82</v>
      </c>
      <c r="DG343" s="82">
        <f t="shared" si="118"/>
        <v>0</v>
      </c>
      <c r="DM343" s="82">
        <f t="shared" si="119"/>
        <v>0</v>
      </c>
    </row>
    <row r="344" spans="1:117" x14ac:dyDescent="0.2">
      <c r="A344">
        <v>299.5</v>
      </c>
      <c r="B344">
        <v>90.000001117122054</v>
      </c>
      <c r="C344" s="82">
        <f t="shared" si="100"/>
        <v>1.7104568428294442E-6</v>
      </c>
      <c r="D344">
        <v>299.5</v>
      </c>
      <c r="E344">
        <v>10624.019990719838</v>
      </c>
      <c r="F344" t="s">
        <v>82</v>
      </c>
      <c r="G344">
        <v>299.5</v>
      </c>
      <c r="H344">
        <v>89.999992523894434</v>
      </c>
      <c r="I344" s="82">
        <f t="shared" si="101"/>
        <v>4.2387884633399153E-6</v>
      </c>
      <c r="J344">
        <v>299.5</v>
      </c>
      <c r="K344">
        <v>10903.717035887004</v>
      </c>
      <c r="L344" t="s">
        <v>82</v>
      </c>
      <c r="M344">
        <v>299.5</v>
      </c>
      <c r="N344">
        <v>89.999974382807636</v>
      </c>
      <c r="O344" s="82">
        <f t="shared" si="102"/>
        <v>7.3471438355454666E-6</v>
      </c>
      <c r="P344">
        <v>299.5</v>
      </c>
      <c r="Q344">
        <v>11216.859821337817</v>
      </c>
      <c r="R344" t="s">
        <v>82</v>
      </c>
      <c r="S344">
        <v>299.5</v>
      </c>
      <c r="T344">
        <v>89.999947143342823</v>
      </c>
      <c r="U344" s="82">
        <f t="shared" si="103"/>
        <v>8.3799876620105351E-6</v>
      </c>
      <c r="V344">
        <v>299.5</v>
      </c>
      <c r="W344">
        <v>11561.802690103515</v>
      </c>
      <c r="X344" t="s">
        <v>82</v>
      </c>
      <c r="Y344">
        <v>299.5</v>
      </c>
      <c r="Z344">
        <v>89.999927094154131</v>
      </c>
      <c r="AA344" s="82">
        <f t="shared" si="104"/>
        <v>3.2405284855485661E-7</v>
      </c>
      <c r="AB344">
        <v>299.5</v>
      </c>
      <c r="AC344">
        <v>11942.475220722336</v>
      </c>
      <c r="AD344" t="s">
        <v>82</v>
      </c>
      <c r="AE344">
        <v>299.5</v>
      </c>
      <c r="AF344">
        <v>89.999969595101319</v>
      </c>
      <c r="AG344" s="82">
        <f t="shared" si="105"/>
        <v>-2.992325784134664E-5</v>
      </c>
      <c r="AH344">
        <v>299.5</v>
      </c>
      <c r="AI344">
        <v>12370.837950727471</v>
      </c>
      <c r="AJ344" t="s">
        <v>82</v>
      </c>
      <c r="AK344">
        <v>299.5</v>
      </c>
      <c r="AL344">
        <v>90.000193670197433</v>
      </c>
      <c r="AM344" s="82">
        <f t="shared" si="106"/>
        <v>-9.5018554389980636E-5</v>
      </c>
      <c r="AN344">
        <v>299.5</v>
      </c>
      <c r="AO344">
        <v>12853.35943896035</v>
      </c>
      <c r="AP344" t="s">
        <v>82</v>
      </c>
      <c r="AQ344">
        <v>299.5</v>
      </c>
      <c r="AR344">
        <v>90.00074057591435</v>
      </c>
      <c r="AS344" s="82">
        <f t="shared" si="107"/>
        <v>-1.7365378867850723E-4</v>
      </c>
      <c r="AT344">
        <v>299.5</v>
      </c>
      <c r="AU344">
        <v>13391.053680816996</v>
      </c>
      <c r="AV344" t="s">
        <v>82</v>
      </c>
      <c r="AW344">
        <v>299.5</v>
      </c>
      <c r="AX344">
        <v>90.001476175453746</v>
      </c>
      <c r="AY344" s="82">
        <f t="shared" si="108"/>
        <v>-1.1735199774420835E-4</v>
      </c>
      <c r="AZ344">
        <v>299.5</v>
      </c>
      <c r="BA344">
        <v>13956.063899338762</v>
      </c>
      <c r="BB344" t="s">
        <v>82</v>
      </c>
      <c r="BC344">
        <v>299.5</v>
      </c>
      <c r="BD344">
        <v>90.001042837185778</v>
      </c>
      <c r="BE344" s="82">
        <f t="shared" si="109"/>
        <v>4.9591530326154043E-4</v>
      </c>
      <c r="BF344">
        <v>299.5</v>
      </c>
      <c r="BG344">
        <v>14658.169812925444</v>
      </c>
      <c r="BH344" t="s">
        <v>82</v>
      </c>
      <c r="BI344">
        <v>299.5</v>
      </c>
      <c r="BJ344">
        <v>89.995161235011139</v>
      </c>
      <c r="BK344" s="82">
        <f t="shared" si="110"/>
        <v>2.3006253476438587E-3</v>
      </c>
      <c r="BL344">
        <v>299.5</v>
      </c>
      <c r="BM344">
        <v>15816.437152498043</v>
      </c>
      <c r="BN344" t="s">
        <v>82</v>
      </c>
      <c r="BO344">
        <v>299.5</v>
      </c>
      <c r="BP344">
        <v>89.977427976112295</v>
      </c>
      <c r="BQ344" s="82">
        <f t="shared" si="111"/>
        <v>4.6199242262758844E-3</v>
      </c>
      <c r="BR344">
        <v>299.5</v>
      </c>
      <c r="BS344">
        <v>17272.703858962388</v>
      </c>
      <c r="BT344" t="s">
        <v>82</v>
      </c>
      <c r="BU344">
        <v>299.5</v>
      </c>
      <c r="BV344">
        <v>89.957838258371794</v>
      </c>
      <c r="BW344" s="82">
        <f t="shared" si="112"/>
        <v>-4.3197964372154729E-4</v>
      </c>
      <c r="BX344">
        <v>299.5</v>
      </c>
      <c r="BY344">
        <v>17049.121376925621</v>
      </c>
      <c r="BZ344" t="s">
        <v>82</v>
      </c>
      <c r="CA344">
        <v>299.5</v>
      </c>
      <c r="CB344">
        <v>90.028038757764818</v>
      </c>
      <c r="CC344" s="82">
        <f t="shared" si="113"/>
        <v>-3.5734188460196492E-2</v>
      </c>
      <c r="CD344">
        <v>299.5</v>
      </c>
      <c r="CE344">
        <v>27989.619294515862</v>
      </c>
      <c r="CF344" t="s">
        <v>82</v>
      </c>
      <c r="CG344">
        <v>299.5</v>
      </c>
      <c r="CH344">
        <v>90.429661000146524</v>
      </c>
      <c r="CI344" s="82">
        <f t="shared" si="114"/>
        <v>-0.11825130194930011</v>
      </c>
      <c r="CJ344">
        <v>299.5</v>
      </c>
      <c r="CK344">
        <v>58272.40016750311</v>
      </c>
      <c r="CL344" t="s">
        <v>82</v>
      </c>
      <c r="CM344">
        <v>299.5</v>
      </c>
      <c r="CN344">
        <v>91.299888692177376</v>
      </c>
      <c r="CO344" s="82">
        <f t="shared" si="115"/>
        <v>-0.17500591938996024</v>
      </c>
      <c r="CP344">
        <v>299.5</v>
      </c>
      <c r="CQ344">
        <v>81944.559891935976</v>
      </c>
      <c r="CR344" t="s">
        <v>82</v>
      </c>
      <c r="CS344">
        <v>299.5</v>
      </c>
      <c r="CT344">
        <v>92.381730839870642</v>
      </c>
      <c r="CU344" s="82">
        <f t="shared" si="116"/>
        <v>-0.19202599374210649</v>
      </c>
      <c r="CV344">
        <v>299.5</v>
      </c>
      <c r="CW344">
        <v>90056.736020851764</v>
      </c>
      <c r="CX344" t="s">
        <v>82</v>
      </c>
      <c r="CY344">
        <v>299.5</v>
      </c>
      <c r="CZ344">
        <v>93.50973302149032</v>
      </c>
      <c r="DA344" s="82">
        <f t="shared" si="117"/>
        <v>-0.19192748966696627</v>
      </c>
      <c r="DB344">
        <v>299.5</v>
      </c>
      <c r="DC344">
        <v>91410.006045791437</v>
      </c>
      <c r="DD344" t="s">
        <v>82</v>
      </c>
      <c r="DG344" s="82">
        <f t="shared" si="118"/>
        <v>0</v>
      </c>
      <c r="DM344" s="82">
        <f t="shared" si="119"/>
        <v>0</v>
      </c>
    </row>
    <row r="345" spans="1:117" x14ac:dyDescent="0.2">
      <c r="A345">
        <v>300.5</v>
      </c>
      <c r="B345">
        <v>90.00000227448372</v>
      </c>
      <c r="C345" s="82">
        <f t="shared" si="100"/>
        <v>1.1573616660598418E-6</v>
      </c>
      <c r="D345">
        <v>300.5</v>
      </c>
      <c r="E345">
        <v>10619.032507045633</v>
      </c>
      <c r="F345" t="s">
        <v>82</v>
      </c>
      <c r="G345">
        <v>300.5</v>
      </c>
      <c r="H345">
        <v>89.99999587451758</v>
      </c>
      <c r="I345" s="82">
        <f t="shared" si="101"/>
        <v>3.3506231460478375E-6</v>
      </c>
      <c r="J345">
        <v>300.5</v>
      </c>
      <c r="K345">
        <v>10898.162170882339</v>
      </c>
      <c r="L345" t="s">
        <v>82</v>
      </c>
      <c r="M345">
        <v>300.5</v>
      </c>
      <c r="N345">
        <v>89.999980787653911</v>
      </c>
      <c r="O345" s="82">
        <f t="shared" si="102"/>
        <v>6.4048462746768564E-6</v>
      </c>
      <c r="P345">
        <v>300.5</v>
      </c>
      <c r="Q345">
        <v>11210.732850807077</v>
      </c>
      <c r="R345" t="s">
        <v>82</v>
      </c>
      <c r="S345">
        <v>300.5</v>
      </c>
      <c r="T345">
        <v>89.999955569343967</v>
      </c>
      <c r="U345" s="82">
        <f t="shared" si="103"/>
        <v>8.4260011448122896E-6</v>
      </c>
      <c r="V345">
        <v>300.5</v>
      </c>
      <c r="W345">
        <v>11555.266709288024</v>
      </c>
      <c r="X345" t="s">
        <v>82</v>
      </c>
      <c r="Y345">
        <v>300.5</v>
      </c>
      <c r="Z345">
        <v>89.999930798241635</v>
      </c>
      <c r="AA345" s="82">
        <f t="shared" si="104"/>
        <v>3.7040875042748667E-6</v>
      </c>
      <c r="AB345">
        <v>300.5</v>
      </c>
      <c r="AC345">
        <v>11935.99900927115</v>
      </c>
      <c r="AD345" t="s">
        <v>82</v>
      </c>
      <c r="AE345">
        <v>300.5</v>
      </c>
      <c r="AF345">
        <v>89.999950000784438</v>
      </c>
      <c r="AG345" s="82">
        <f t="shared" si="105"/>
        <v>-1.9594316881921259E-5</v>
      </c>
      <c r="AH345">
        <v>300.5</v>
      </c>
      <c r="AI345">
        <v>12360.775800783749</v>
      </c>
      <c r="AJ345" t="s">
        <v>82</v>
      </c>
      <c r="AK345">
        <v>300.5</v>
      </c>
      <c r="AL345">
        <v>90.000117694474682</v>
      </c>
      <c r="AM345" s="82">
        <f t="shared" si="106"/>
        <v>-7.5975722751309149E-5</v>
      </c>
      <c r="AN345">
        <v>300.5</v>
      </c>
      <c r="AO345">
        <v>12840.310823599115</v>
      </c>
      <c r="AP345" t="s">
        <v>82</v>
      </c>
      <c r="AQ345">
        <v>300.5</v>
      </c>
      <c r="AR345">
        <v>90.000583471044308</v>
      </c>
      <c r="AS345" s="82">
        <f t="shared" si="107"/>
        <v>-1.5710487004128026E-4</v>
      </c>
      <c r="AT345">
        <v>300.5</v>
      </c>
      <c r="AU345">
        <v>13377.128814600583</v>
      </c>
      <c r="AV345" t="s">
        <v>82</v>
      </c>
      <c r="AW345">
        <v>300.5</v>
      </c>
      <c r="AX345">
        <v>90.001323761257169</v>
      </c>
      <c r="AY345" s="82">
        <f t="shared" si="108"/>
        <v>-1.5241419657741062E-4</v>
      </c>
      <c r="AZ345">
        <v>300.5</v>
      </c>
      <c r="BA345">
        <v>13952.649709998705</v>
      </c>
      <c r="BB345" t="s">
        <v>82</v>
      </c>
      <c r="BC345">
        <v>300.5</v>
      </c>
      <c r="BD345">
        <v>90.001340734284639</v>
      </c>
      <c r="BE345" s="82">
        <f t="shared" si="109"/>
        <v>2.9789709886074434E-4</v>
      </c>
      <c r="BF345">
        <v>300.5</v>
      </c>
      <c r="BG345">
        <v>14600.149771987955</v>
      </c>
      <c r="BH345" t="s">
        <v>82</v>
      </c>
      <c r="BI345">
        <v>300.5</v>
      </c>
      <c r="BJ345">
        <v>89.997000465125623</v>
      </c>
      <c r="BK345" s="82">
        <f t="shared" si="110"/>
        <v>1.8392301144842804E-3</v>
      </c>
      <c r="BL345">
        <v>300.5</v>
      </c>
      <c r="BM345">
        <v>15684.2942590658</v>
      </c>
      <c r="BN345" t="s">
        <v>82</v>
      </c>
      <c r="BO345">
        <v>300.5</v>
      </c>
      <c r="BP345">
        <v>89.98172622768115</v>
      </c>
      <c r="BQ345" s="82">
        <f t="shared" si="111"/>
        <v>4.2982515688549938E-3</v>
      </c>
      <c r="BR345">
        <v>300.5</v>
      </c>
      <c r="BS345">
        <v>17152.963995420734</v>
      </c>
      <c r="BT345" t="s">
        <v>82</v>
      </c>
      <c r="BU345">
        <v>300.5</v>
      </c>
      <c r="BV345">
        <v>89.959534305418359</v>
      </c>
      <c r="BW345" s="82">
        <f t="shared" si="112"/>
        <v>1.6960470465647859E-3</v>
      </c>
      <c r="BX345">
        <v>300.5</v>
      </c>
      <c r="BY345">
        <v>17534.843236830351</v>
      </c>
      <c r="BZ345" t="s">
        <v>82</v>
      </c>
      <c r="CA345">
        <v>300.5</v>
      </c>
      <c r="CB345">
        <v>90.001814993654818</v>
      </c>
      <c r="CC345" s="82">
        <f t="shared" si="113"/>
        <v>-2.6223764110000047E-2</v>
      </c>
      <c r="CD345">
        <v>300.5</v>
      </c>
      <c r="CE345">
        <v>24823.005196024358</v>
      </c>
      <c r="CF345" t="s">
        <v>82</v>
      </c>
      <c r="CG345">
        <v>300.5</v>
      </c>
      <c r="CH345">
        <v>90.32707494652422</v>
      </c>
      <c r="CI345" s="82">
        <f t="shared" si="114"/>
        <v>-0.10258605362230355</v>
      </c>
      <c r="CJ345">
        <v>300.5</v>
      </c>
      <c r="CK345">
        <v>52440.560027922569</v>
      </c>
      <c r="CL345" t="s">
        <v>82</v>
      </c>
      <c r="CM345">
        <v>300.5</v>
      </c>
      <c r="CN345">
        <v>91.131671510636579</v>
      </c>
      <c r="CO345" s="82">
        <f t="shared" si="115"/>
        <v>-0.1682171815407969</v>
      </c>
      <c r="CP345">
        <v>300.5</v>
      </c>
      <c r="CQ345">
        <v>79235.405909981288</v>
      </c>
      <c r="CR345" t="s">
        <v>82</v>
      </c>
      <c r="CS345">
        <v>300.5</v>
      </c>
      <c r="CT345">
        <v>92.19227508462626</v>
      </c>
      <c r="CU345" s="82">
        <f t="shared" si="116"/>
        <v>-0.18945575524438141</v>
      </c>
      <c r="CV345">
        <v>300.5</v>
      </c>
      <c r="CW345">
        <v>89024.365173790226</v>
      </c>
      <c r="CX345" t="s">
        <v>82</v>
      </c>
      <c r="CY345">
        <v>300.5</v>
      </c>
      <c r="CZ345">
        <v>93.318656772003976</v>
      </c>
      <c r="DA345" s="82">
        <f t="shared" si="117"/>
        <v>-0.19107624948634339</v>
      </c>
      <c r="DB345">
        <v>300.5</v>
      </c>
      <c r="DC345">
        <v>91061.957691075557</v>
      </c>
      <c r="DD345" t="s">
        <v>82</v>
      </c>
      <c r="DG345" s="82">
        <f t="shared" si="118"/>
        <v>0</v>
      </c>
      <c r="DM345" s="82">
        <f t="shared" si="119"/>
        <v>0</v>
      </c>
    </row>
    <row r="346" spans="1:117" x14ac:dyDescent="0.2">
      <c r="A346">
        <v>301.5</v>
      </c>
      <c r="B346">
        <v>90.000002991782665</v>
      </c>
      <c r="C346" s="82">
        <f t="shared" si="100"/>
        <v>7.1729894557392981E-7</v>
      </c>
      <c r="D346">
        <v>301.5</v>
      </c>
      <c r="E346">
        <v>10614.134126023073</v>
      </c>
      <c r="F346" t="s">
        <v>82</v>
      </c>
      <c r="G346">
        <v>301.5</v>
      </c>
      <c r="H346">
        <v>89.999998444436045</v>
      </c>
      <c r="I346" s="82">
        <f t="shared" si="101"/>
        <v>2.5699184647010043E-6</v>
      </c>
      <c r="J346">
        <v>301.5</v>
      </c>
      <c r="K346">
        <v>10892.704478970769</v>
      </c>
      <c r="L346" t="s">
        <v>82</v>
      </c>
      <c r="M346">
        <v>301.5</v>
      </c>
      <c r="N346">
        <v>89.999986228649831</v>
      </c>
      <c r="O346" s="82">
        <f t="shared" si="102"/>
        <v>5.4409959204804181E-6</v>
      </c>
      <c r="P346">
        <v>301.5</v>
      </c>
      <c r="Q346">
        <v>11204.687645137856</v>
      </c>
      <c r="R346" t="s">
        <v>82</v>
      </c>
      <c r="S346">
        <v>301.5</v>
      </c>
      <c r="T346">
        <v>89.999963632173078</v>
      </c>
      <c r="U346" s="82">
        <f t="shared" si="103"/>
        <v>8.0628291101447758E-6</v>
      </c>
      <c r="V346">
        <v>301.5</v>
      </c>
      <c r="W346">
        <v>11548.741429617779</v>
      </c>
      <c r="X346" t="s">
        <v>82</v>
      </c>
      <c r="Y346">
        <v>301.5</v>
      </c>
      <c r="Z346">
        <v>89.999936711066752</v>
      </c>
      <c r="AA346" s="82">
        <f t="shared" si="104"/>
        <v>5.9128251166384871E-6</v>
      </c>
      <c r="AB346">
        <v>301.5</v>
      </c>
      <c r="AC346">
        <v>11929.371887366213</v>
      </c>
      <c r="AD346" t="s">
        <v>82</v>
      </c>
      <c r="AE346">
        <v>301.5</v>
      </c>
      <c r="AF346">
        <v>89.999938609136251</v>
      </c>
      <c r="AG346" s="82">
        <f t="shared" si="105"/>
        <v>-1.1391648186531711E-5</v>
      </c>
      <c r="AH346">
        <v>301.5</v>
      </c>
      <c r="AI346">
        <v>12351.305772806654</v>
      </c>
      <c r="AJ346" t="s">
        <v>82</v>
      </c>
      <c r="AK346">
        <v>301.5</v>
      </c>
      <c r="AL346">
        <v>90.000058718307997</v>
      </c>
      <c r="AM346" s="82">
        <f t="shared" si="106"/>
        <v>-5.8976166684487907E-5</v>
      </c>
      <c r="AN346">
        <v>301.5</v>
      </c>
      <c r="AO346">
        <v>12827.914090572554</v>
      </c>
      <c r="AP346" t="s">
        <v>82</v>
      </c>
      <c r="AQ346">
        <v>301.5</v>
      </c>
      <c r="AR346">
        <v>90.000445454577175</v>
      </c>
      <c r="AS346" s="82">
        <f t="shared" si="107"/>
        <v>-1.3801646713318405E-4</v>
      </c>
      <c r="AT346">
        <v>301.5</v>
      </c>
      <c r="AU346">
        <v>13362.898679367398</v>
      </c>
      <c r="AV346" t="s">
        <v>82</v>
      </c>
      <c r="AW346">
        <v>301.5</v>
      </c>
      <c r="AX346">
        <v>90.001154000257401</v>
      </c>
      <c r="AY346" s="82">
        <f t="shared" si="108"/>
        <v>-1.6976099976773185E-4</v>
      </c>
      <c r="AZ346">
        <v>301.5</v>
      </c>
      <c r="BA346">
        <v>13945.330882128843</v>
      </c>
      <c r="BB346" t="s">
        <v>82</v>
      </c>
      <c r="BC346">
        <v>301.5</v>
      </c>
      <c r="BD346">
        <v>90.001485782588247</v>
      </c>
      <c r="BE346" s="82">
        <f t="shared" si="109"/>
        <v>1.4504830360806409E-4</v>
      </c>
      <c r="BF346">
        <v>301.5</v>
      </c>
      <c r="BG346">
        <v>14553.566748473699</v>
      </c>
      <c r="BH346" t="s">
        <v>82</v>
      </c>
      <c r="BI346">
        <v>301.5</v>
      </c>
      <c r="BJ346">
        <v>89.998429649950864</v>
      </c>
      <c r="BK346" s="82">
        <f t="shared" si="110"/>
        <v>1.4291848252412365E-3</v>
      </c>
      <c r="BL346">
        <v>301.5</v>
      </c>
      <c r="BM346">
        <v>15567.324213834017</v>
      </c>
      <c r="BN346" t="s">
        <v>82</v>
      </c>
      <c r="BO346">
        <v>301.5</v>
      </c>
      <c r="BP346">
        <v>89.98559601706053</v>
      </c>
      <c r="BQ346" s="82">
        <f t="shared" si="111"/>
        <v>3.8697893793795402E-3</v>
      </c>
      <c r="BR346">
        <v>301.5</v>
      </c>
      <c r="BS346">
        <v>17010.923925963561</v>
      </c>
      <c r="BT346" t="s">
        <v>82</v>
      </c>
      <c r="BU346">
        <v>301.5</v>
      </c>
      <c r="BV346">
        <v>89.962634867464374</v>
      </c>
      <c r="BW346" s="82">
        <f t="shared" si="112"/>
        <v>3.100562046014943E-3</v>
      </c>
      <c r="BX346">
        <v>301.5</v>
      </c>
      <c r="BY346">
        <v>17839.271184944424</v>
      </c>
      <c r="BZ346" t="s">
        <v>82</v>
      </c>
      <c r="CA346">
        <v>301.5</v>
      </c>
      <c r="CB346">
        <v>89.983458217326984</v>
      </c>
      <c r="CC346" s="82">
        <f t="shared" si="113"/>
        <v>-1.8356776327834723E-2</v>
      </c>
      <c r="CD346">
        <v>301.5</v>
      </c>
      <c r="CE346">
        <v>22248.029127122365</v>
      </c>
      <c r="CF346" t="s">
        <v>82</v>
      </c>
      <c r="CG346">
        <v>301.5</v>
      </c>
      <c r="CH346">
        <v>90.240236892845715</v>
      </c>
      <c r="CI346" s="82">
        <f t="shared" si="114"/>
        <v>-8.6838053678505389E-2</v>
      </c>
      <c r="CJ346">
        <v>301.5</v>
      </c>
      <c r="CK346">
        <v>46729.050913375497</v>
      </c>
      <c r="CL346" t="s">
        <v>82</v>
      </c>
      <c r="CM346">
        <v>301.5</v>
      </c>
      <c r="CN346">
        <v>90.971251945719033</v>
      </c>
      <c r="CO346" s="82">
        <f t="shared" si="115"/>
        <v>-0.16041956491754661</v>
      </c>
      <c r="CP346">
        <v>301.5</v>
      </c>
      <c r="CQ346">
        <v>76125.174578410049</v>
      </c>
      <c r="CR346" t="s">
        <v>82</v>
      </c>
      <c r="CS346">
        <v>301.5</v>
      </c>
      <c r="CT346">
        <v>92.005793210689632</v>
      </c>
      <c r="CU346" s="82">
        <f t="shared" si="116"/>
        <v>-0.18648187393662852</v>
      </c>
      <c r="CV346">
        <v>301.5</v>
      </c>
      <c r="CW346">
        <v>87831.141277917442</v>
      </c>
      <c r="CX346" t="s">
        <v>82</v>
      </c>
      <c r="CY346">
        <v>301.5</v>
      </c>
      <c r="CZ346">
        <v>93.128581953998193</v>
      </c>
      <c r="DA346" s="82">
        <f t="shared" si="117"/>
        <v>-0.19007481800578319</v>
      </c>
      <c r="DB346">
        <v>301.5</v>
      </c>
      <c r="DC346">
        <v>90654.122623037911</v>
      </c>
      <c r="DD346" t="s">
        <v>82</v>
      </c>
      <c r="DG346" s="82">
        <f t="shared" si="118"/>
        <v>0</v>
      </c>
      <c r="DM346" s="82">
        <f t="shared" si="119"/>
        <v>0</v>
      </c>
    </row>
    <row r="347" spans="1:117" x14ac:dyDescent="0.2">
      <c r="A347">
        <v>302.5</v>
      </c>
      <c r="B347">
        <v>90.000003371528635</v>
      </c>
      <c r="C347" s="82">
        <f t="shared" si="100"/>
        <v>3.797459697807426E-7</v>
      </c>
      <c r="D347">
        <v>302.5</v>
      </c>
      <c r="E347">
        <v>10609.322261723421</v>
      </c>
      <c r="F347" t="s">
        <v>82</v>
      </c>
      <c r="G347">
        <v>302.5</v>
      </c>
      <c r="H347">
        <v>90.000000348353552</v>
      </c>
      <c r="I347" s="82">
        <f t="shared" si="101"/>
        <v>1.9039175072066428E-6</v>
      </c>
      <c r="J347">
        <v>302.5</v>
      </c>
      <c r="K347">
        <v>10887.344466690314</v>
      </c>
      <c r="L347" t="s">
        <v>82</v>
      </c>
      <c r="M347">
        <v>302.5</v>
      </c>
      <c r="N347">
        <v>89.99999073814584</v>
      </c>
      <c r="O347" s="82">
        <f t="shared" si="102"/>
        <v>4.5094960086089486E-6</v>
      </c>
      <c r="P347">
        <v>302.5</v>
      </c>
      <c r="Q347">
        <v>11198.733994691191</v>
      </c>
      <c r="R347" t="s">
        <v>82</v>
      </c>
      <c r="S347">
        <v>302.5</v>
      </c>
      <c r="T347">
        <v>89.999971062425971</v>
      </c>
      <c r="U347" s="82">
        <f t="shared" si="103"/>
        <v>7.4302528929592881E-6</v>
      </c>
      <c r="V347">
        <v>302.5</v>
      </c>
      <c r="W347">
        <v>11542.255376712234</v>
      </c>
      <c r="X347" t="s">
        <v>82</v>
      </c>
      <c r="Y347">
        <v>302.5</v>
      </c>
      <c r="Z347">
        <v>89.999943904514481</v>
      </c>
      <c r="AA347" s="82">
        <f t="shared" si="104"/>
        <v>7.1934477290369614E-6</v>
      </c>
      <c r="AB347">
        <v>302.5</v>
      </c>
      <c r="AC347">
        <v>11922.647836665115</v>
      </c>
      <c r="AD347" t="s">
        <v>82</v>
      </c>
      <c r="AE347">
        <v>302.5</v>
      </c>
      <c r="AF347">
        <v>89.999933536012918</v>
      </c>
      <c r="AG347" s="82">
        <f t="shared" si="105"/>
        <v>-5.0731233329770475E-6</v>
      </c>
      <c r="AH347">
        <v>302.5</v>
      </c>
      <c r="AI347">
        <v>12342.366105216921</v>
      </c>
      <c r="AJ347" t="s">
        <v>82</v>
      </c>
      <c r="AK347">
        <v>302.5</v>
      </c>
      <c r="AL347">
        <v>90.000014499315668</v>
      </c>
      <c r="AM347" s="82">
        <f t="shared" si="106"/>
        <v>-4.4218992329092544E-5</v>
      </c>
      <c r="AN347">
        <v>302.5</v>
      </c>
      <c r="AO347">
        <v>12816.19669112785</v>
      </c>
      <c r="AP347" t="s">
        <v>82</v>
      </c>
      <c r="AQ347">
        <v>302.5</v>
      </c>
      <c r="AR347">
        <v>90.000327404143931</v>
      </c>
      <c r="AS347" s="82">
        <f t="shared" si="107"/>
        <v>-1.1805043324386588E-4</v>
      </c>
      <c r="AT347">
        <v>302.5</v>
      </c>
      <c r="AU347">
        <v>13348.729085985808</v>
      </c>
      <c r="AV347" t="s">
        <v>82</v>
      </c>
      <c r="AW347">
        <v>302.5</v>
      </c>
      <c r="AX347">
        <v>90.000980141623671</v>
      </c>
      <c r="AY347" s="82">
        <f t="shared" si="108"/>
        <v>-1.7385863372965105E-4</v>
      </c>
      <c r="AZ347">
        <v>302.5</v>
      </c>
      <c r="BA347">
        <v>13935.182742168021</v>
      </c>
      <c r="BB347" t="s">
        <v>82</v>
      </c>
      <c r="BC347">
        <v>302.5</v>
      </c>
      <c r="BD347">
        <v>90.001516877253081</v>
      </c>
      <c r="BE347" s="82">
        <f t="shared" si="109"/>
        <v>3.1094664834085961E-5</v>
      </c>
      <c r="BF347">
        <v>302.5</v>
      </c>
      <c r="BG347">
        <v>14521.78997972654</v>
      </c>
      <c r="BH347" t="s">
        <v>82</v>
      </c>
      <c r="BI347">
        <v>302.5</v>
      </c>
      <c r="BJ347">
        <v>89.999504157803912</v>
      </c>
      <c r="BK347" s="82">
        <f t="shared" si="110"/>
        <v>1.0745078530476349E-3</v>
      </c>
      <c r="BL347">
        <v>302.5</v>
      </c>
      <c r="BM347">
        <v>15465.985035020431</v>
      </c>
      <c r="BN347" t="s">
        <v>82</v>
      </c>
      <c r="BO347">
        <v>302.5</v>
      </c>
      <c r="BP347">
        <v>89.988983021342833</v>
      </c>
      <c r="BQ347" s="82">
        <f t="shared" si="111"/>
        <v>3.3870042823025415E-3</v>
      </c>
      <c r="BR347">
        <v>302.5</v>
      </c>
      <c r="BS347">
        <v>16859.649829438691</v>
      </c>
      <c r="BT347" t="s">
        <v>82</v>
      </c>
      <c r="BU347">
        <v>302.5</v>
      </c>
      <c r="BV347">
        <v>89.966568623929376</v>
      </c>
      <c r="BW347" s="82">
        <f t="shared" si="112"/>
        <v>3.9337564650026025E-3</v>
      </c>
      <c r="BX347">
        <v>302.5</v>
      </c>
      <c r="BY347">
        <v>18000.580503425197</v>
      </c>
      <c r="BZ347" t="s">
        <v>82</v>
      </c>
      <c r="CA347">
        <v>302.5</v>
      </c>
      <c r="CB347">
        <v>89.971451321942283</v>
      </c>
      <c r="CC347" s="82">
        <f t="shared" si="113"/>
        <v>-1.2006895384701011E-2</v>
      </c>
      <c r="CD347">
        <v>302.5</v>
      </c>
      <c r="CE347">
        <v>20478.230448705493</v>
      </c>
      <c r="CF347" t="s">
        <v>82</v>
      </c>
      <c r="CG347">
        <v>302.5</v>
      </c>
      <c r="CH347">
        <v>90.16846024887424</v>
      </c>
      <c r="CI347" s="82">
        <f t="shared" si="114"/>
        <v>-7.1776643971475096E-2</v>
      </c>
      <c r="CJ347">
        <v>302.5</v>
      </c>
      <c r="CK347">
        <v>41375.156010853418</v>
      </c>
      <c r="CL347" t="s">
        <v>82</v>
      </c>
      <c r="CM347">
        <v>302.5</v>
      </c>
      <c r="CN347">
        <v>90.819786326307778</v>
      </c>
      <c r="CO347" s="82">
        <f t="shared" si="115"/>
        <v>-0.15146561941125469</v>
      </c>
      <c r="CP347">
        <v>302.5</v>
      </c>
      <c r="CQ347">
        <v>72555.515771698294</v>
      </c>
      <c r="CR347" t="s">
        <v>82</v>
      </c>
      <c r="CS347">
        <v>302.5</v>
      </c>
      <c r="CT347">
        <v>91.822749131391092</v>
      </c>
      <c r="CU347" s="82">
        <f t="shared" si="116"/>
        <v>-0.18304407929853994</v>
      </c>
      <c r="CV347">
        <v>302.5</v>
      </c>
      <c r="CW347">
        <v>86453.014440831757</v>
      </c>
      <c r="CX347" t="s">
        <v>82</v>
      </c>
      <c r="CY347">
        <v>302.5</v>
      </c>
      <c r="CZ347">
        <v>92.9396814481251</v>
      </c>
      <c r="DA347" s="82">
        <f t="shared" si="117"/>
        <v>-0.18890050587309304</v>
      </c>
      <c r="DB347">
        <v>302.5</v>
      </c>
      <c r="DC347">
        <v>90177.418132920691</v>
      </c>
      <c r="DD347" t="s">
        <v>82</v>
      </c>
      <c r="DG347" s="82">
        <f t="shared" si="118"/>
        <v>0</v>
      </c>
      <c r="DM347" s="82">
        <f t="shared" si="119"/>
        <v>0</v>
      </c>
    </row>
    <row r="348" spans="1:117" x14ac:dyDescent="0.2">
      <c r="A348">
        <v>303.5</v>
      </c>
      <c r="B348">
        <v>90.000003504153426</v>
      </c>
      <c r="C348" s="82">
        <f t="shared" si="100"/>
        <v>1.3262479114928283E-7</v>
      </c>
      <c r="D348">
        <v>303.5</v>
      </c>
      <c r="E348">
        <v>10604.59415690009</v>
      </c>
      <c r="F348" t="s">
        <v>82</v>
      </c>
      <c r="G348">
        <v>303.5</v>
      </c>
      <c r="H348">
        <v>90.00000170084445</v>
      </c>
      <c r="I348" s="82">
        <f t="shared" si="101"/>
        <v>1.3524908979434258E-6</v>
      </c>
      <c r="J348">
        <v>303.5</v>
      </c>
      <c r="K348">
        <v>10882.081295779062</v>
      </c>
      <c r="L348" t="s">
        <v>82</v>
      </c>
      <c r="M348">
        <v>303.5</v>
      </c>
      <c r="N348">
        <v>89.99999438515745</v>
      </c>
      <c r="O348" s="82">
        <f t="shared" si="102"/>
        <v>3.6470116100417727E-6</v>
      </c>
      <c r="P348">
        <v>303.5</v>
      </c>
      <c r="Q348">
        <v>11192.878214522018</v>
      </c>
      <c r="R348" t="s">
        <v>82</v>
      </c>
      <c r="S348">
        <v>303.5</v>
      </c>
      <c r="T348">
        <v>89.999977702188104</v>
      </c>
      <c r="U348" s="82">
        <f t="shared" si="103"/>
        <v>6.6397621338865065E-6</v>
      </c>
      <c r="V348">
        <v>303.5</v>
      </c>
      <c r="W348">
        <v>11535.830889581232</v>
      </c>
      <c r="X348" t="s">
        <v>82</v>
      </c>
      <c r="Y348">
        <v>303.5</v>
      </c>
      <c r="Z348">
        <v>89.999951665992128</v>
      </c>
      <c r="AA348" s="82">
        <f t="shared" si="104"/>
        <v>7.7614776472501035E-6</v>
      </c>
      <c r="AB348">
        <v>303.5</v>
      </c>
      <c r="AC348">
        <v>11915.873979637458</v>
      </c>
      <c r="AD348" t="s">
        <v>82</v>
      </c>
      <c r="AE348">
        <v>303.5</v>
      </c>
      <c r="AF348">
        <v>89.999933157298315</v>
      </c>
      <c r="AG348" s="82">
        <f t="shared" si="105"/>
        <v>-3.787146027889321E-7</v>
      </c>
      <c r="AH348">
        <v>303.5</v>
      </c>
      <c r="AI348">
        <v>12334.514046230077</v>
      </c>
      <c r="AJ348" t="s">
        <v>82</v>
      </c>
      <c r="AK348">
        <v>303.5</v>
      </c>
      <c r="AL348">
        <v>89.999982761866477</v>
      </c>
      <c r="AM348" s="82">
        <f t="shared" si="106"/>
        <v>-3.1737449191382439E-5</v>
      </c>
      <c r="AN348">
        <v>303.5</v>
      </c>
      <c r="AO348">
        <v>12805.150935590353</v>
      </c>
      <c r="AP348" t="s">
        <v>82</v>
      </c>
      <c r="AQ348">
        <v>303.5</v>
      </c>
      <c r="AR348">
        <v>90.000228989068717</v>
      </c>
      <c r="AS348" s="82">
        <f t="shared" si="107"/>
        <v>-9.8415075214575154E-5</v>
      </c>
      <c r="AT348">
        <v>303.5</v>
      </c>
      <c r="AU348">
        <v>13334.879455082029</v>
      </c>
      <c r="AV348" t="s">
        <v>82</v>
      </c>
      <c r="AW348">
        <v>303.5</v>
      </c>
      <c r="AX348">
        <v>90.00081167356042</v>
      </c>
      <c r="AY348" s="82">
        <f t="shared" si="108"/>
        <v>-1.6846806325077068E-4</v>
      </c>
      <c r="AZ348">
        <v>303.5</v>
      </c>
      <c r="BA348">
        <v>13923.100651984092</v>
      </c>
      <c r="BB348" t="s">
        <v>82</v>
      </c>
      <c r="BC348">
        <v>303.5</v>
      </c>
      <c r="BD348">
        <v>90.00146667365641</v>
      </c>
      <c r="BE348" s="82">
        <f t="shared" si="109"/>
        <v>-5.0203596671849482E-5</v>
      </c>
      <c r="BF348">
        <v>303.5</v>
      </c>
      <c r="BG348">
        <v>14529.124352676914</v>
      </c>
      <c r="BH348" t="s">
        <v>82</v>
      </c>
      <c r="BI348">
        <v>303.5</v>
      </c>
      <c r="BJ348">
        <v>90.000279545089427</v>
      </c>
      <c r="BK348" s="82">
        <f t="shared" si="110"/>
        <v>7.7538728551473923E-4</v>
      </c>
      <c r="BL348">
        <v>303.5</v>
      </c>
      <c r="BM348">
        <v>15379.852581847006</v>
      </c>
      <c r="BN348" t="s">
        <v>82</v>
      </c>
      <c r="BO348">
        <v>303.5</v>
      </c>
      <c r="BP348">
        <v>89.991872152227472</v>
      </c>
      <c r="BQ348" s="82">
        <f t="shared" si="111"/>
        <v>2.8891308846397123E-3</v>
      </c>
      <c r="BR348">
        <v>303.5</v>
      </c>
      <c r="BS348">
        <v>16708.674911213668</v>
      </c>
      <c r="BT348" t="s">
        <v>82</v>
      </c>
      <c r="BU348">
        <v>303.5</v>
      </c>
      <c r="BV348">
        <v>89.970897479727157</v>
      </c>
      <c r="BW348" s="82">
        <f t="shared" si="112"/>
        <v>4.3288557977803066E-3</v>
      </c>
      <c r="BX348">
        <v>303.5</v>
      </c>
      <c r="BY348">
        <v>18053.105674864211</v>
      </c>
      <c r="BZ348" t="s">
        <v>82</v>
      </c>
      <c r="CA348">
        <v>303.5</v>
      </c>
      <c r="CB348">
        <v>89.964436934313625</v>
      </c>
      <c r="CC348" s="82">
        <f t="shared" si="113"/>
        <v>-7.0143876286579143E-3</v>
      </c>
      <c r="CD348">
        <v>303.5</v>
      </c>
      <c r="CE348">
        <v>19173.959215636001</v>
      </c>
      <c r="CF348" t="s">
        <v>82</v>
      </c>
      <c r="CG348">
        <v>303.5</v>
      </c>
      <c r="CH348">
        <v>90.110555628681979</v>
      </c>
      <c r="CI348" s="82">
        <f t="shared" si="114"/>
        <v>-5.7904620192260836E-2</v>
      </c>
      <c r="CJ348">
        <v>303.5</v>
      </c>
      <c r="CK348">
        <v>36527.289765964524</v>
      </c>
      <c r="CL348" t="s">
        <v>82</v>
      </c>
      <c r="CM348">
        <v>303.5</v>
      </c>
      <c r="CN348">
        <v>90.678600137991452</v>
      </c>
      <c r="CO348" s="82">
        <f t="shared" si="115"/>
        <v>-0.14118618831632546</v>
      </c>
      <c r="CP348">
        <v>303.5</v>
      </c>
      <c r="CQ348">
        <v>68459.690265412341</v>
      </c>
      <c r="CR348" t="s">
        <v>82</v>
      </c>
      <c r="CS348">
        <v>303.5</v>
      </c>
      <c r="CT348">
        <v>91.643676155857392</v>
      </c>
      <c r="CU348" s="82">
        <f t="shared" si="116"/>
        <v>-0.17907297553369972</v>
      </c>
      <c r="CV348">
        <v>303.5</v>
      </c>
      <c r="CW348">
        <v>84862.304585727106</v>
      </c>
      <c r="CX348" t="s">
        <v>82</v>
      </c>
      <c r="CY348">
        <v>303.5</v>
      </c>
      <c r="CZ348">
        <v>92.752154357901262</v>
      </c>
      <c r="DA348" s="82">
        <f t="shared" si="117"/>
        <v>-0.1875270902238384</v>
      </c>
      <c r="DB348">
        <v>303.5</v>
      </c>
      <c r="DC348">
        <v>89621.348042781101</v>
      </c>
      <c r="DD348" t="s">
        <v>82</v>
      </c>
      <c r="DG348" s="82">
        <f t="shared" si="118"/>
        <v>0</v>
      </c>
      <c r="DM348" s="82">
        <f t="shared" si="119"/>
        <v>0</v>
      </c>
    </row>
    <row r="349" spans="1:117" x14ac:dyDescent="0.2">
      <c r="A349">
        <v>304.5</v>
      </c>
      <c r="B349">
        <v>90.000003467445211</v>
      </c>
      <c r="C349" s="82">
        <f t="shared" si="100"/>
        <v>-3.6708215134240163E-8</v>
      </c>
      <c r="D349">
        <v>304.5</v>
      </c>
      <c r="E349">
        <v>10599.983534675657</v>
      </c>
      <c r="F349" t="s">
        <v>82</v>
      </c>
      <c r="G349">
        <v>304.5</v>
      </c>
      <c r="H349">
        <v>90.000002611103639</v>
      </c>
      <c r="I349" s="82">
        <f t="shared" si="101"/>
        <v>9.1025918891318724E-7</v>
      </c>
      <c r="J349">
        <v>304.5</v>
      </c>
      <c r="K349">
        <v>10876.913208725093</v>
      </c>
      <c r="L349" t="s">
        <v>82</v>
      </c>
      <c r="M349">
        <v>304.5</v>
      </c>
      <c r="N349">
        <v>89.999997261431815</v>
      </c>
      <c r="O349" s="82">
        <f t="shared" si="102"/>
        <v>2.8762743653487632E-6</v>
      </c>
      <c r="P349">
        <v>304.5</v>
      </c>
      <c r="Q349">
        <v>11187.123853546125</v>
      </c>
      <c r="R349" t="s">
        <v>82</v>
      </c>
      <c r="S349">
        <v>304.5</v>
      </c>
      <c r="T349">
        <v>89.999983479758669</v>
      </c>
      <c r="U349" s="82">
        <f t="shared" si="103"/>
        <v>5.777570564191592E-6</v>
      </c>
      <c r="V349">
        <v>304.5</v>
      </c>
      <c r="W349">
        <v>11529.484924741555</v>
      </c>
      <c r="X349" t="s">
        <v>82</v>
      </c>
      <c r="Y349">
        <v>304.5</v>
      </c>
      <c r="Z349">
        <v>89.999959468651667</v>
      </c>
      <c r="AA349" s="82">
        <f t="shared" si="104"/>
        <v>7.8026595389246722E-6</v>
      </c>
      <c r="AB349">
        <v>304.5</v>
      </c>
      <c r="AC349">
        <v>11909.090353960297</v>
      </c>
      <c r="AD349" t="s">
        <v>82</v>
      </c>
      <c r="AE349">
        <v>304.5</v>
      </c>
      <c r="AF349">
        <v>89.999936109107651</v>
      </c>
      <c r="AG349" s="82">
        <f t="shared" si="105"/>
        <v>2.9518093356273312E-6</v>
      </c>
      <c r="AH349">
        <v>304.5</v>
      </c>
      <c r="AI349">
        <v>12327.782841683449</v>
      </c>
      <c r="AJ349" t="s">
        <v>82</v>
      </c>
      <c r="AK349">
        <v>304.5</v>
      </c>
      <c r="AL349">
        <v>89.999961315173792</v>
      </c>
      <c r="AM349" s="82">
        <f t="shared" si="106"/>
        <v>-2.1446692684889967E-5</v>
      </c>
      <c r="AN349">
        <v>304.5</v>
      </c>
      <c r="AO349">
        <v>12794.744742079642</v>
      </c>
      <c r="AP349" t="s">
        <v>82</v>
      </c>
      <c r="AQ349">
        <v>304.5</v>
      </c>
      <c r="AR349">
        <v>90.000149046097007</v>
      </c>
      <c r="AS349" s="82">
        <f t="shared" si="107"/>
        <v>-7.9942971709101585E-5</v>
      </c>
      <c r="AT349">
        <v>304.5</v>
      </c>
      <c r="AU349">
        <v>13321.522259274123</v>
      </c>
      <c r="AV349" t="s">
        <v>82</v>
      </c>
      <c r="AW349">
        <v>304.5</v>
      </c>
      <c r="AX349">
        <v>90.000654996287707</v>
      </c>
      <c r="AY349" s="82">
        <f t="shared" si="108"/>
        <v>-1.5667727271306831E-4</v>
      </c>
      <c r="AZ349">
        <v>304.5</v>
      </c>
      <c r="BA349">
        <v>13909.810775795275</v>
      </c>
      <c r="BB349" t="s">
        <v>82</v>
      </c>
      <c r="BC349">
        <v>304.5</v>
      </c>
      <c r="BD349">
        <v>90.001361907265292</v>
      </c>
      <c r="BE349" s="82">
        <f t="shared" si="109"/>
        <v>-1.0476639111800523E-4</v>
      </c>
      <c r="BF349">
        <v>304.5</v>
      </c>
      <c r="BG349">
        <v>14530.211797796088</v>
      </c>
      <c r="BH349" t="s">
        <v>82</v>
      </c>
      <c r="BI349">
        <v>304.5</v>
      </c>
      <c r="BJ349">
        <v>90.000808867178947</v>
      </c>
      <c r="BK349" s="82">
        <f t="shared" si="110"/>
        <v>5.293220895197237E-4</v>
      </c>
      <c r="BL349">
        <v>304.5</v>
      </c>
      <c r="BM349">
        <v>15307.913065945409</v>
      </c>
      <c r="BN349" t="s">
        <v>82</v>
      </c>
      <c r="BO349">
        <v>304.5</v>
      </c>
      <c r="BP349">
        <v>89.994276452657871</v>
      </c>
      <c r="BQ349" s="82">
        <f t="shared" si="111"/>
        <v>2.4043004303990756E-3</v>
      </c>
      <c r="BR349">
        <v>304.5</v>
      </c>
      <c r="BS349">
        <v>16564.607316137659</v>
      </c>
      <c r="BT349" t="s">
        <v>82</v>
      </c>
      <c r="BU349">
        <v>304.5</v>
      </c>
      <c r="BV349">
        <v>89.97529703148453</v>
      </c>
      <c r="BW349" s="82">
        <f t="shared" si="112"/>
        <v>4.3995517573733878E-3</v>
      </c>
      <c r="BX349">
        <v>304.5</v>
      </c>
      <c r="BY349">
        <v>18026.44010991259</v>
      </c>
      <c r="BZ349" t="s">
        <v>82</v>
      </c>
      <c r="CA349">
        <v>304.5</v>
      </c>
      <c r="CB349">
        <v>89.961233144186778</v>
      </c>
      <c r="CC349" s="82">
        <f t="shared" si="113"/>
        <v>-3.203790126846684E-3</v>
      </c>
      <c r="CD349">
        <v>304.5</v>
      </c>
      <c r="CE349">
        <v>18202.421812517023</v>
      </c>
      <c r="CF349" t="s">
        <v>82</v>
      </c>
      <c r="CG349">
        <v>304.5</v>
      </c>
      <c r="CH349">
        <v>90.065040010378667</v>
      </c>
      <c r="CI349" s="82">
        <f t="shared" si="114"/>
        <v>-4.5515618303312522E-2</v>
      </c>
      <c r="CJ349">
        <v>304.5</v>
      </c>
      <c r="CK349">
        <v>32264.753786982255</v>
      </c>
      <c r="CL349" t="s">
        <v>82</v>
      </c>
      <c r="CM349">
        <v>304.5</v>
      </c>
      <c r="CN349">
        <v>90.549212928438919</v>
      </c>
      <c r="CO349" s="82">
        <f t="shared" si="115"/>
        <v>-0.12938720955253302</v>
      </c>
      <c r="CP349">
        <v>304.5</v>
      </c>
      <c r="CQ349">
        <v>63761.489516164875</v>
      </c>
      <c r="CR349" t="s">
        <v>82</v>
      </c>
      <c r="CS349">
        <v>304.5</v>
      </c>
      <c r="CT349">
        <v>91.469187497476383</v>
      </c>
      <c r="CU349" s="82">
        <f t="shared" si="116"/>
        <v>-0.17448865838100858</v>
      </c>
      <c r="CV349">
        <v>304.5</v>
      </c>
      <c r="CW349">
        <v>83027.156387998868</v>
      </c>
      <c r="CX349" t="s">
        <v>82</v>
      </c>
      <c r="CY349">
        <v>304.5</v>
      </c>
      <c r="CZ349">
        <v>92.566230094197024</v>
      </c>
      <c r="DA349" s="82">
        <f t="shared" si="117"/>
        <v>-0.18592426370423709</v>
      </c>
      <c r="DB349">
        <v>304.5</v>
      </c>
      <c r="DC349">
        <v>88973.782560284249</v>
      </c>
      <c r="DD349" t="s">
        <v>82</v>
      </c>
      <c r="DG349" s="82">
        <f t="shared" si="118"/>
        <v>0</v>
      </c>
      <c r="DM349" s="82">
        <f t="shared" si="119"/>
        <v>0</v>
      </c>
    </row>
    <row r="350" spans="1:117" x14ac:dyDescent="0.2">
      <c r="A350">
        <v>305.5</v>
      </c>
      <c r="B350">
        <v>90.000003326686738</v>
      </c>
      <c r="C350" s="82">
        <f t="shared" si="100"/>
        <v>-1.407584733215117E-7</v>
      </c>
      <c r="D350">
        <v>305.5</v>
      </c>
      <c r="E350">
        <v>10595.446418706415</v>
      </c>
      <c r="F350" t="s">
        <v>82</v>
      </c>
      <c r="G350">
        <v>305.5</v>
      </c>
      <c r="H350">
        <v>90.000003179455334</v>
      </c>
      <c r="I350" s="82">
        <f t="shared" si="101"/>
        <v>5.683516945964584E-7</v>
      </c>
      <c r="J350">
        <v>305.5</v>
      </c>
      <c r="K350">
        <v>10871.837843565527</v>
      </c>
      <c r="L350" t="s">
        <v>82</v>
      </c>
      <c r="M350">
        <v>305.5</v>
      </c>
      <c r="N350">
        <v>89.999999470470669</v>
      </c>
      <c r="O350" s="82">
        <f t="shared" si="102"/>
        <v>2.2090388540618733E-6</v>
      </c>
      <c r="P350">
        <v>305.5</v>
      </c>
      <c r="Q350">
        <v>11181.472320594481</v>
      </c>
      <c r="R350" t="s">
        <v>82</v>
      </c>
      <c r="S350">
        <v>305.5</v>
      </c>
      <c r="T350">
        <v>89.99998838767219</v>
      </c>
      <c r="U350" s="82">
        <f t="shared" si="103"/>
        <v>4.9079135209240121E-6</v>
      </c>
      <c r="V350">
        <v>305.5</v>
      </c>
      <c r="W350">
        <v>11523.229766070939</v>
      </c>
      <c r="X350" t="s">
        <v>82</v>
      </c>
      <c r="Y350">
        <v>305.5</v>
      </c>
      <c r="Z350">
        <v>89.999966941537465</v>
      </c>
      <c r="AA350" s="82">
        <f t="shared" si="104"/>
        <v>7.4728857981654073E-6</v>
      </c>
      <c r="AB350">
        <v>305.5</v>
      </c>
      <c r="AC350">
        <v>11902.33007359281</v>
      </c>
      <c r="AD350" t="s">
        <v>82</v>
      </c>
      <c r="AE350">
        <v>305.5</v>
      </c>
      <c r="AF350">
        <v>89.999941275480253</v>
      </c>
      <c r="AG350" s="82">
        <f t="shared" si="105"/>
        <v>5.1663726026163204E-6</v>
      </c>
      <c r="AH350">
        <v>305.5</v>
      </c>
      <c r="AI350">
        <v>12320.913606599013</v>
      </c>
      <c r="AJ350" t="s">
        <v>82</v>
      </c>
      <c r="AK350">
        <v>305.5</v>
      </c>
      <c r="AL350">
        <v>89.999948132181132</v>
      </c>
      <c r="AM350" s="82">
        <f t="shared" si="106"/>
        <v>-1.3182992660176751E-5</v>
      </c>
      <c r="AN350">
        <v>305.5</v>
      </c>
      <c r="AO350">
        <v>12784.930519604099</v>
      </c>
      <c r="AP350" t="s">
        <v>82</v>
      </c>
      <c r="AQ350">
        <v>305.5</v>
      </c>
      <c r="AR350">
        <v>90.000085882656975</v>
      </c>
      <c r="AS350" s="82">
        <f t="shared" si="107"/>
        <v>-6.3163440032099061E-5</v>
      </c>
      <c r="AT350">
        <v>305.5</v>
      </c>
      <c r="AU350">
        <v>13308.760801690982</v>
      </c>
      <c r="AV350" t="s">
        <v>82</v>
      </c>
      <c r="AW350">
        <v>305.5</v>
      </c>
      <c r="AX350">
        <v>90.000514040466356</v>
      </c>
      <c r="AY350" s="82">
        <f t="shared" si="108"/>
        <v>-1.4095582135098539E-4</v>
      </c>
      <c r="AZ350">
        <v>305.5</v>
      </c>
      <c r="BA350">
        <v>13895.885958090259</v>
      </c>
      <c r="BB350" t="s">
        <v>82</v>
      </c>
      <c r="BC350">
        <v>305.5</v>
      </c>
      <c r="BD350">
        <v>90.001223898253599</v>
      </c>
      <c r="BE350" s="82">
        <f t="shared" si="109"/>
        <v>-1.3800901169247481E-4</v>
      </c>
      <c r="BF350">
        <v>305.5</v>
      </c>
      <c r="BG350">
        <v>14526.410760161227</v>
      </c>
      <c r="BH350" t="s">
        <v>82</v>
      </c>
      <c r="BI350">
        <v>305.5</v>
      </c>
      <c r="BJ350">
        <v>90.001140915104656</v>
      </c>
      <c r="BK350" s="82">
        <f t="shared" si="110"/>
        <v>3.3204792570984409E-4</v>
      </c>
      <c r="BL350">
        <v>305.5</v>
      </c>
      <c r="BM350">
        <v>15248.792804292954</v>
      </c>
      <c r="BN350" t="s">
        <v>82</v>
      </c>
      <c r="BO350">
        <v>305.5</v>
      </c>
      <c r="BP350">
        <v>89.996228006192624</v>
      </c>
      <c r="BQ350" s="82">
        <f t="shared" si="111"/>
        <v>1.9515535347522928E-3</v>
      </c>
      <c r="BR350">
        <v>305.5</v>
      </c>
      <c r="BS350">
        <v>16431.70372376985</v>
      </c>
      <c r="BT350" t="s">
        <v>82</v>
      </c>
      <c r="BU350">
        <v>305.5</v>
      </c>
      <c r="BV350">
        <v>89.979537560352369</v>
      </c>
      <c r="BW350" s="82">
        <f t="shared" si="112"/>
        <v>4.2405288678395436E-3</v>
      </c>
      <c r="BX350">
        <v>305.5</v>
      </c>
      <c r="BY350">
        <v>17945.224994477863</v>
      </c>
      <c r="BZ350" t="s">
        <v>82</v>
      </c>
      <c r="CA350">
        <v>305.5</v>
      </c>
      <c r="CB350">
        <v>89.960836175027765</v>
      </c>
      <c r="CC350" s="82">
        <f t="shared" si="113"/>
        <v>-3.9696915901288321E-4</v>
      </c>
      <c r="CD350">
        <v>305.5</v>
      </c>
      <c r="CE350">
        <v>17840.893155469777</v>
      </c>
      <c r="CF350" t="s">
        <v>82</v>
      </c>
      <c r="CG350">
        <v>305.5</v>
      </c>
      <c r="CH350">
        <v>90.030296122241651</v>
      </c>
      <c r="CI350" s="82">
        <f t="shared" si="114"/>
        <v>-3.4743888137015233E-2</v>
      </c>
      <c r="CJ350">
        <v>305.5</v>
      </c>
      <c r="CK350">
        <v>28614.58286147804</v>
      </c>
      <c r="CL350" t="s">
        <v>82</v>
      </c>
      <c r="CM350">
        <v>305.5</v>
      </c>
      <c r="CN350">
        <v>90.433366883003316</v>
      </c>
      <c r="CO350" s="82">
        <f t="shared" si="115"/>
        <v>-0.11584604543560317</v>
      </c>
      <c r="CP350">
        <v>305.5</v>
      </c>
      <c r="CQ350">
        <v>58489.779499260898</v>
      </c>
      <c r="CR350" t="s">
        <v>82</v>
      </c>
      <c r="CS350">
        <v>305.5</v>
      </c>
      <c r="CT350">
        <v>91.299988375411544</v>
      </c>
      <c r="CU350" s="82">
        <f t="shared" si="116"/>
        <v>-0.169199122064839</v>
      </c>
      <c r="CV350">
        <v>305.5</v>
      </c>
      <c r="CW350">
        <v>80910.914860941179</v>
      </c>
      <c r="CX350" t="s">
        <v>82</v>
      </c>
      <c r="CY350">
        <v>305.5</v>
      </c>
      <c r="CZ350">
        <v>92.382173096657667</v>
      </c>
      <c r="DA350" s="82">
        <f t="shared" si="117"/>
        <v>-0.18405699753935778</v>
      </c>
      <c r="DB350">
        <v>305.5</v>
      </c>
      <c r="DC350">
        <v>88220.704224266869</v>
      </c>
      <c r="DD350" t="s">
        <v>82</v>
      </c>
      <c r="DG350" s="82">
        <f t="shared" si="118"/>
        <v>0</v>
      </c>
      <c r="DM350" s="82">
        <f t="shared" si="119"/>
        <v>0</v>
      </c>
    </row>
    <row r="351" spans="1:117" x14ac:dyDescent="0.2">
      <c r="A351">
        <v>306.5</v>
      </c>
      <c r="B351">
        <v>90.000003135247368</v>
      </c>
      <c r="C351" s="82">
        <f t="shared" si="100"/>
        <v>-1.9143936924592708E-7</v>
      </c>
      <c r="D351">
        <v>306.5</v>
      </c>
      <c r="E351">
        <v>10590.965241654092</v>
      </c>
      <c r="F351" t="s">
        <v>82</v>
      </c>
      <c r="G351">
        <v>306.5</v>
      </c>
      <c r="H351">
        <v>90.000003495182369</v>
      </c>
      <c r="I351" s="82">
        <f t="shared" si="101"/>
        <v>3.1572703562687821E-7</v>
      </c>
      <c r="J351">
        <v>306.5</v>
      </c>
      <c r="K351">
        <v>10866.852510914276</v>
      </c>
      <c r="L351" t="s">
        <v>82</v>
      </c>
      <c r="M351">
        <v>306.5</v>
      </c>
      <c r="N351">
        <v>90.000001119132776</v>
      </c>
      <c r="O351" s="82">
        <f t="shared" si="102"/>
        <v>1.6486621063904749E-6</v>
      </c>
      <c r="P351">
        <v>306.5</v>
      </c>
      <c r="Q351">
        <v>11175.923445022869</v>
      </c>
      <c r="R351" t="s">
        <v>82</v>
      </c>
      <c r="S351">
        <v>306.5</v>
      </c>
      <c r="T351">
        <v>89.999992464050095</v>
      </c>
      <c r="U351" s="82">
        <f t="shared" si="103"/>
        <v>4.0763779054486804E-6</v>
      </c>
      <c r="V351">
        <v>306.5</v>
      </c>
      <c r="W351">
        <v>11517.073763264299</v>
      </c>
      <c r="X351" t="s">
        <v>82</v>
      </c>
      <c r="Y351">
        <v>306.5</v>
      </c>
      <c r="Z351">
        <v>89.999973841044564</v>
      </c>
      <c r="AA351" s="82">
        <f t="shared" si="104"/>
        <v>6.8995070989785745E-6</v>
      </c>
      <c r="AB351">
        <v>306.5</v>
      </c>
      <c r="AC351">
        <v>11895.619788678103</v>
      </c>
      <c r="AD351" t="s">
        <v>82</v>
      </c>
      <c r="AE351">
        <v>306.5</v>
      </c>
      <c r="AF351">
        <v>89.999947767848809</v>
      </c>
      <c r="AG351" s="82">
        <f t="shared" si="105"/>
        <v>6.4923685556550481E-6</v>
      </c>
      <c r="AH351">
        <v>306.5</v>
      </c>
      <c r="AI351">
        <v>12313.958138498976</v>
      </c>
      <c r="AJ351" t="s">
        <v>82</v>
      </c>
      <c r="AK351">
        <v>306.5</v>
      </c>
      <c r="AL351">
        <v>89.999941397144298</v>
      </c>
      <c r="AM351" s="82">
        <f t="shared" si="106"/>
        <v>-6.7350368340157729E-6</v>
      </c>
      <c r="AN351">
        <v>306.5</v>
      </c>
      <c r="AO351">
        <v>12775.652076522407</v>
      </c>
      <c r="AP351" t="s">
        <v>82</v>
      </c>
      <c r="AQ351">
        <v>306.5</v>
      </c>
      <c r="AR351">
        <v>90.000037514800226</v>
      </c>
      <c r="AS351" s="82">
        <f t="shared" si="107"/>
        <v>-4.8367856749109706E-5</v>
      </c>
      <c r="AT351">
        <v>306.5</v>
      </c>
      <c r="AU351">
        <v>13296.645051314956</v>
      </c>
      <c r="AV351" t="s">
        <v>82</v>
      </c>
      <c r="AW351">
        <v>306.5</v>
      </c>
      <c r="AX351">
        <v>90.000390817974491</v>
      </c>
      <c r="AY351" s="82">
        <f t="shared" si="108"/>
        <v>-1.2322249186524914E-4</v>
      </c>
      <c r="AZ351">
        <v>306.5</v>
      </c>
      <c r="BA351">
        <v>13881.764210260711</v>
      </c>
      <c r="BB351" t="s">
        <v>82</v>
      </c>
      <c r="BC351">
        <v>306.5</v>
      </c>
      <c r="BD351">
        <v>90.001069161612207</v>
      </c>
      <c r="BE351" s="82">
        <f t="shared" si="109"/>
        <v>-1.5473664139165066E-4</v>
      </c>
      <c r="BF351">
        <v>306.5</v>
      </c>
      <c r="BG351">
        <v>14518.913592156423</v>
      </c>
      <c r="BH351" t="s">
        <v>82</v>
      </c>
      <c r="BI351">
        <v>306.5</v>
      </c>
      <c r="BJ351">
        <v>90.001319183565514</v>
      </c>
      <c r="BK351" s="82">
        <f t="shared" si="110"/>
        <v>1.7826846085711168E-4</v>
      </c>
      <c r="BL351">
        <v>306.5</v>
      </c>
      <c r="BM351">
        <v>15200.933829110993</v>
      </c>
      <c r="BN351" t="s">
        <v>82</v>
      </c>
      <c r="BO351">
        <v>306.5</v>
      </c>
      <c r="BP351">
        <v>89.997770682956542</v>
      </c>
      <c r="BQ351" s="82">
        <f t="shared" si="111"/>
        <v>1.5426767639183936E-3</v>
      </c>
      <c r="BR351">
        <v>306.5</v>
      </c>
      <c r="BS351">
        <v>16312.38559630075</v>
      </c>
      <c r="BT351" t="s">
        <v>82</v>
      </c>
      <c r="BU351">
        <v>306.5</v>
      </c>
      <c r="BV351">
        <v>89.983466290558539</v>
      </c>
      <c r="BW351" s="82">
        <f t="shared" si="112"/>
        <v>3.9287302061694618E-3</v>
      </c>
      <c r="BX351">
        <v>306.5</v>
      </c>
      <c r="BY351">
        <v>17829.342190592339</v>
      </c>
      <c r="BZ351" t="s">
        <v>82</v>
      </c>
      <c r="CA351">
        <v>306.5</v>
      </c>
      <c r="CB351">
        <v>89.962413829116713</v>
      </c>
      <c r="CC351" s="82">
        <f t="shared" si="113"/>
        <v>1.5776540889476109E-3</v>
      </c>
      <c r="CD351">
        <v>306.5</v>
      </c>
      <c r="CE351">
        <v>18295.833560923766</v>
      </c>
      <c r="CF351" t="s">
        <v>82</v>
      </c>
      <c r="CG351">
        <v>306.5</v>
      </c>
      <c r="CH351">
        <v>90.004689676097726</v>
      </c>
      <c r="CI351" s="82">
        <f t="shared" si="114"/>
        <v>-2.5606446143925155E-2</v>
      </c>
      <c r="CJ351">
        <v>306.5</v>
      </c>
      <c r="CK351">
        <v>25565.692786008218</v>
      </c>
      <c r="CL351" t="s">
        <v>82</v>
      </c>
      <c r="CM351">
        <v>306.5</v>
      </c>
      <c r="CN351">
        <v>90.332406107138951</v>
      </c>
      <c r="CO351" s="82">
        <f t="shared" si="115"/>
        <v>-0.10096077586436536</v>
      </c>
      <c r="CP351">
        <v>306.5</v>
      </c>
      <c r="CQ351">
        <v>52921.421018972345</v>
      </c>
      <c r="CR351" t="s">
        <v>82</v>
      </c>
      <c r="CS351">
        <v>306.5</v>
      </c>
      <c r="CT351">
        <v>91.136889950895437</v>
      </c>
      <c r="CU351" s="82">
        <f t="shared" si="116"/>
        <v>-0.16309842451610734</v>
      </c>
      <c r="CV351">
        <v>306.5</v>
      </c>
      <c r="CW351">
        <v>78471.410726537724</v>
      </c>
      <c r="CX351" t="s">
        <v>82</v>
      </c>
      <c r="CY351">
        <v>306.5</v>
      </c>
      <c r="CZ351">
        <v>92.200288291471082</v>
      </c>
      <c r="DA351" s="82">
        <f t="shared" si="117"/>
        <v>-0.18188480518658423</v>
      </c>
      <c r="DB351">
        <v>306.5</v>
      </c>
      <c r="DC351">
        <v>87345.914329611027</v>
      </c>
      <c r="DD351" t="s">
        <v>82</v>
      </c>
      <c r="DG351" s="82">
        <f t="shared" si="118"/>
        <v>0</v>
      </c>
      <c r="DM351" s="82">
        <f t="shared" si="119"/>
        <v>0</v>
      </c>
    </row>
    <row r="352" spans="1:117" x14ac:dyDescent="0.2">
      <c r="A352">
        <v>307.5</v>
      </c>
      <c r="B352">
        <v>90.000002935418451</v>
      </c>
      <c r="C352" s="82">
        <f t="shared" si="100"/>
        <v>-1.9982891785730317E-7</v>
      </c>
      <c r="D352">
        <v>307.5</v>
      </c>
      <c r="E352">
        <v>10586.542060550031</v>
      </c>
      <c r="F352" t="s">
        <v>82</v>
      </c>
      <c r="G352">
        <v>307.5</v>
      </c>
      <c r="H352">
        <v>90.000003635398571</v>
      </c>
      <c r="I352" s="82">
        <f t="shared" si="101"/>
        <v>1.4021620131643431E-7</v>
      </c>
      <c r="J352">
        <v>307.5</v>
      </c>
      <c r="K352">
        <v>10861.95435564053</v>
      </c>
      <c r="L352" t="s">
        <v>82</v>
      </c>
      <c r="M352">
        <v>307.5</v>
      </c>
      <c r="N352">
        <v>90.00000231139299</v>
      </c>
      <c r="O352" s="82">
        <f t="shared" si="102"/>
        <v>1.1922602141112293E-6</v>
      </c>
      <c r="P352">
        <v>307.5</v>
      </c>
      <c r="Q352">
        <v>11170.475843008207</v>
      </c>
      <c r="R352" t="s">
        <v>82</v>
      </c>
      <c r="S352">
        <v>307.5</v>
      </c>
      <c r="T352">
        <v>89.999995777148925</v>
      </c>
      <c r="U352" s="82">
        <f t="shared" si="103"/>
        <v>3.3130988299490127E-6</v>
      </c>
      <c r="V352">
        <v>307.5</v>
      </c>
      <c r="W352">
        <v>11511.022132253775</v>
      </c>
      <c r="X352" t="s">
        <v>82</v>
      </c>
      <c r="Y352">
        <v>307.5</v>
      </c>
      <c r="Z352">
        <v>89.999980024621848</v>
      </c>
      <c r="AA352" s="82">
        <f t="shared" si="104"/>
        <v>6.1835772839913261E-6</v>
      </c>
      <c r="AB352">
        <v>307.5</v>
      </c>
      <c r="AC352">
        <v>11888.980230916528</v>
      </c>
      <c r="AD352" t="s">
        <v>82</v>
      </c>
      <c r="AE352">
        <v>307.5</v>
      </c>
      <c r="AF352">
        <v>89.99995489963915</v>
      </c>
      <c r="AG352" s="82">
        <f t="shared" si="105"/>
        <v>7.1317903405088146E-6</v>
      </c>
      <c r="AH352">
        <v>307.5</v>
      </c>
      <c r="AI352">
        <v>12306.961825124657</v>
      </c>
      <c r="AJ352" t="s">
        <v>82</v>
      </c>
      <c r="AK352">
        <v>307.5</v>
      </c>
      <c r="AL352">
        <v>89.999939528864303</v>
      </c>
      <c r="AM352" s="82">
        <f t="shared" si="106"/>
        <v>-1.8682799947100648E-6</v>
      </c>
      <c r="AN352">
        <v>307.5</v>
      </c>
      <c r="AO352">
        <v>12766.84984937809</v>
      </c>
      <c r="AP352" t="s">
        <v>82</v>
      </c>
      <c r="AQ352">
        <v>307.5</v>
      </c>
      <c r="AR352">
        <v>90.000001847956526</v>
      </c>
      <c r="AS352" s="82">
        <f t="shared" si="107"/>
        <v>-3.566684370071016E-5</v>
      </c>
      <c r="AT352">
        <v>307.5</v>
      </c>
      <c r="AU352">
        <v>13285.185179509463</v>
      </c>
      <c r="AV352" t="s">
        <v>82</v>
      </c>
      <c r="AW352">
        <v>307.5</v>
      </c>
      <c r="AX352">
        <v>90.000285899118339</v>
      </c>
      <c r="AY352" s="82">
        <f t="shared" si="108"/>
        <v>-1.0491885615238061E-4</v>
      </c>
      <c r="AZ352">
        <v>307.5</v>
      </c>
      <c r="BA352">
        <v>13867.768221868533</v>
      </c>
      <c r="BB352" t="s">
        <v>82</v>
      </c>
      <c r="BC352">
        <v>307.5</v>
      </c>
      <c r="BD352">
        <v>90.000910062253624</v>
      </c>
      <c r="BE352" s="82">
        <f t="shared" si="109"/>
        <v>-1.5909935858360313E-4</v>
      </c>
      <c r="BF352">
        <v>307.5</v>
      </c>
      <c r="BG352">
        <v>14508.738925432597</v>
      </c>
      <c r="BH352" t="s">
        <v>82</v>
      </c>
      <c r="BI352">
        <v>307.5</v>
      </c>
      <c r="BJ352">
        <v>90.001381399505391</v>
      </c>
      <c r="BK352" s="82">
        <f t="shared" si="110"/>
        <v>6.2215939877319215E-5</v>
      </c>
      <c r="BL352">
        <v>307.5</v>
      </c>
      <c r="BM352">
        <v>15162.723839096947</v>
      </c>
      <c r="BN352" t="s">
        <v>82</v>
      </c>
      <c r="BO352">
        <v>307.5</v>
      </c>
      <c r="BP352">
        <v>89.998954512200697</v>
      </c>
      <c r="BQ352" s="82">
        <f t="shared" si="111"/>
        <v>1.1838292441552767E-3</v>
      </c>
      <c r="BR352">
        <v>307.5</v>
      </c>
      <c r="BS352">
        <v>16207.6878475542</v>
      </c>
      <c r="BT352" t="s">
        <v>82</v>
      </c>
      <c r="BU352">
        <v>307.5</v>
      </c>
      <c r="BV352">
        <v>89.986991369751152</v>
      </c>
      <c r="BW352" s="82">
        <f t="shared" si="112"/>
        <v>3.5250791926131342E-3</v>
      </c>
      <c r="BX352">
        <v>307.5</v>
      </c>
      <c r="BY352">
        <v>17694.335804104529</v>
      </c>
      <c r="BZ352" t="s">
        <v>82</v>
      </c>
      <c r="CA352">
        <v>307.5</v>
      </c>
      <c r="CB352">
        <v>89.965292813223712</v>
      </c>
      <c r="CC352" s="82">
        <f t="shared" si="113"/>
        <v>2.8789841069993827E-3</v>
      </c>
      <c r="CD352">
        <v>307.5</v>
      </c>
      <c r="CE352">
        <v>18579.848991540392</v>
      </c>
      <c r="CF352" t="s">
        <v>82</v>
      </c>
      <c r="CG352">
        <v>307.5</v>
      </c>
      <c r="CH352">
        <v>89.986651739422257</v>
      </c>
      <c r="CI352" s="82">
        <f t="shared" si="114"/>
        <v>-1.8037936675469268E-2</v>
      </c>
      <c r="CJ352">
        <v>307.5</v>
      </c>
      <c r="CK352">
        <v>23080.60390929582</v>
      </c>
      <c r="CL352" t="s">
        <v>82</v>
      </c>
      <c r="CM352">
        <v>307.5</v>
      </c>
      <c r="CN352">
        <v>90.246556679967071</v>
      </c>
      <c r="CO352" s="82">
        <f t="shared" si="115"/>
        <v>-8.5849427171879711E-2</v>
      </c>
      <c r="CP352">
        <v>307.5</v>
      </c>
      <c r="CQ352">
        <v>47420.608623760942</v>
      </c>
      <c r="CR352" t="s">
        <v>82</v>
      </c>
      <c r="CS352">
        <v>307.5</v>
      </c>
      <c r="CT352">
        <v>90.9808253767049</v>
      </c>
      <c r="CU352" s="82">
        <f t="shared" si="116"/>
        <v>-0.15606457419053754</v>
      </c>
      <c r="CV352">
        <v>307.5</v>
      </c>
      <c r="CW352">
        <v>75660.146327278257</v>
      </c>
      <c r="CX352" t="s">
        <v>82</v>
      </c>
      <c r="CY352">
        <v>307.5</v>
      </c>
      <c r="CZ352">
        <v>92.020927400369317</v>
      </c>
      <c r="DA352" s="82">
        <f t="shared" si="117"/>
        <v>-0.17936089110176567</v>
      </c>
      <c r="DB352">
        <v>307.5</v>
      </c>
      <c r="DC352">
        <v>86330.693966957959</v>
      </c>
      <c r="DD352" t="s">
        <v>82</v>
      </c>
      <c r="DG352" s="82">
        <f t="shared" si="118"/>
        <v>0</v>
      </c>
      <c r="DM352" s="82">
        <f t="shared" si="119"/>
        <v>0</v>
      </c>
    </row>
    <row r="353" spans="1:117" x14ac:dyDescent="0.2">
      <c r="A353">
        <v>308.5</v>
      </c>
      <c r="B353">
        <v>90.000002759339807</v>
      </c>
      <c r="C353" s="82">
        <f t="shared" si="100"/>
        <v>-1.7607864322144451E-7</v>
      </c>
      <c r="D353">
        <v>308.5</v>
      </c>
      <c r="E353">
        <v>10582.1786900226</v>
      </c>
      <c r="F353" t="s">
        <v>82</v>
      </c>
      <c r="G353">
        <v>308.5</v>
      </c>
      <c r="H353">
        <v>90.000003664615477</v>
      </c>
      <c r="I353" s="82">
        <f t="shared" si="101"/>
        <v>2.9216906227702566E-8</v>
      </c>
      <c r="J353">
        <v>308.5</v>
      </c>
      <c r="K353">
        <v>10857.140603802858</v>
      </c>
      <c r="L353" t="s">
        <v>82</v>
      </c>
      <c r="M353">
        <v>308.5</v>
      </c>
      <c r="N353">
        <v>90.000003143904053</v>
      </c>
      <c r="O353" s="82">
        <f t="shared" si="102"/>
        <v>8.325110627538379E-7</v>
      </c>
      <c r="P353">
        <v>308.5</v>
      </c>
      <c r="Q353">
        <v>11165.127352682626</v>
      </c>
      <c r="R353" t="s">
        <v>82</v>
      </c>
      <c r="S353">
        <v>308.5</v>
      </c>
      <c r="T353">
        <v>89.999998412843638</v>
      </c>
      <c r="U353" s="82">
        <f t="shared" si="103"/>
        <v>2.6356947131489505E-6</v>
      </c>
      <c r="V353">
        <v>308.5</v>
      </c>
      <c r="W353">
        <v>11505.077500701878</v>
      </c>
      <c r="X353" t="s">
        <v>82</v>
      </c>
      <c r="Y353">
        <v>308.5</v>
      </c>
      <c r="Z353">
        <v>89.99998542726793</v>
      </c>
      <c r="AA353" s="82">
        <f t="shared" si="104"/>
        <v>5.4026460816203326E-6</v>
      </c>
      <c r="AB353">
        <v>308.5</v>
      </c>
      <c r="AC353">
        <v>11882.426969666634</v>
      </c>
      <c r="AD353" t="s">
        <v>82</v>
      </c>
      <c r="AE353">
        <v>308.5</v>
      </c>
      <c r="AF353">
        <v>89.99996215860881</v>
      </c>
      <c r="AG353" s="82">
        <f t="shared" si="105"/>
        <v>7.2589696600289244E-6</v>
      </c>
      <c r="AH353">
        <v>308.5</v>
      </c>
      <c r="AI353">
        <v>12299.963193554304</v>
      </c>
      <c r="AJ353" t="s">
        <v>82</v>
      </c>
      <c r="AK353">
        <v>308.5</v>
      </c>
      <c r="AL353">
        <v>89.9999411857128</v>
      </c>
      <c r="AM353" s="82">
        <f t="shared" si="106"/>
        <v>1.6568484966228425E-6</v>
      </c>
      <c r="AN353">
        <v>308.5</v>
      </c>
      <c r="AO353">
        <v>12759.881834361528</v>
      </c>
      <c r="AP353" t="s">
        <v>82</v>
      </c>
      <c r="AQ353">
        <v>308.5</v>
      </c>
      <c r="AR353">
        <v>89.999976808914624</v>
      </c>
      <c r="AS353" s="82">
        <f t="shared" si="107"/>
        <v>-2.5039041901209202E-5</v>
      </c>
      <c r="AT353">
        <v>308.5</v>
      </c>
      <c r="AU353">
        <v>13274.363085439745</v>
      </c>
      <c r="AV353" t="s">
        <v>82</v>
      </c>
      <c r="AW353">
        <v>308.5</v>
      </c>
      <c r="AX353">
        <v>90.000198815543939</v>
      </c>
      <c r="AY353" s="82">
        <f t="shared" si="108"/>
        <v>-8.7083574399571262E-5</v>
      </c>
      <c r="AZ353">
        <v>308.5</v>
      </c>
      <c r="BA353">
        <v>13854.124539364348</v>
      </c>
      <c r="BB353" t="s">
        <v>82</v>
      </c>
      <c r="BC353">
        <v>308.5</v>
      </c>
      <c r="BD353">
        <v>90.000755470530535</v>
      </c>
      <c r="BE353" s="82">
        <f t="shared" si="109"/>
        <v>-1.5459172308851521E-4</v>
      </c>
      <c r="BF353">
        <v>308.5</v>
      </c>
      <c r="BG353">
        <v>14496.73486788154</v>
      </c>
      <c r="BH353" t="s">
        <v>82</v>
      </c>
      <c r="BI353">
        <v>308.5</v>
      </c>
      <c r="BJ353">
        <v>90.00135946525586</v>
      </c>
      <c r="BK353" s="82">
        <f t="shared" si="110"/>
        <v>-2.1934249531341266E-5</v>
      </c>
      <c r="BL353">
        <v>308.5</v>
      </c>
      <c r="BM353">
        <v>15160.133811312036</v>
      </c>
      <c r="BN353" t="s">
        <v>82</v>
      </c>
      <c r="BO353">
        <v>308.5</v>
      </c>
      <c r="BP353">
        <v>89.999831457863166</v>
      </c>
      <c r="BQ353" s="82">
        <f t="shared" si="111"/>
        <v>8.7694566246909744E-4</v>
      </c>
      <c r="BR353">
        <v>308.5</v>
      </c>
      <c r="BS353">
        <v>16117.636480669575</v>
      </c>
      <c r="BT353" t="s">
        <v>82</v>
      </c>
      <c r="BU353">
        <v>308.5</v>
      </c>
      <c r="BV353">
        <v>89.990067808080113</v>
      </c>
      <c r="BW353" s="82">
        <f t="shared" si="112"/>
        <v>3.0764383289607622E-3</v>
      </c>
      <c r="BX353">
        <v>308.5</v>
      </c>
      <c r="BY353">
        <v>17551.949075052296</v>
      </c>
      <c r="BZ353" t="s">
        <v>82</v>
      </c>
      <c r="CA353">
        <v>308.5</v>
      </c>
      <c r="CB353">
        <v>89.968942398245076</v>
      </c>
      <c r="CC353" s="82">
        <f t="shared" si="113"/>
        <v>3.6495850213640324E-3</v>
      </c>
      <c r="CD353">
        <v>308.5</v>
      </c>
      <c r="CE353">
        <v>18729.513320479746</v>
      </c>
      <c r="CF353" t="s">
        <v>82</v>
      </c>
      <c r="CG353">
        <v>308.5</v>
      </c>
      <c r="CH353">
        <v>89.974732963974191</v>
      </c>
      <c r="CI353" s="82">
        <f t="shared" si="114"/>
        <v>-1.1918775448066299E-2</v>
      </c>
      <c r="CJ353">
        <v>308.5</v>
      </c>
      <c r="CK353">
        <v>21343.373007318267</v>
      </c>
      <c r="CL353" t="s">
        <v>82</v>
      </c>
      <c r="CM353">
        <v>308.5</v>
      </c>
      <c r="CN353">
        <v>90.175261580044761</v>
      </c>
      <c r="CO353" s="82">
        <f t="shared" si="115"/>
        <v>-7.1295099922309646E-2</v>
      </c>
      <c r="CP353">
        <v>308.5</v>
      </c>
      <c r="CQ353">
        <v>42231.147574813614</v>
      </c>
      <c r="CR353" t="s">
        <v>82</v>
      </c>
      <c r="CS353">
        <v>308.5</v>
      </c>
      <c r="CT353">
        <v>90.832868280523243</v>
      </c>
      <c r="CU353" s="82">
        <f t="shared" si="116"/>
        <v>-0.14795709618165631</v>
      </c>
      <c r="CV353">
        <v>308.5</v>
      </c>
      <c r="CW353">
        <v>72421.372837069881</v>
      </c>
      <c r="CX353" t="s">
        <v>82</v>
      </c>
      <c r="CY353">
        <v>308.5</v>
      </c>
      <c r="CZ353">
        <v>91.844496233740117</v>
      </c>
      <c r="DA353" s="82">
        <f t="shared" si="117"/>
        <v>-0.17643116662920022</v>
      </c>
      <c r="DB353">
        <v>308.5</v>
      </c>
      <c r="DC353">
        <v>85153.412669190788</v>
      </c>
      <c r="DD353" t="s">
        <v>82</v>
      </c>
      <c r="DG353" s="82">
        <f t="shared" si="118"/>
        <v>0</v>
      </c>
      <c r="DM353" s="82">
        <f t="shared" si="119"/>
        <v>0</v>
      </c>
    </row>
    <row r="354" spans="1:117" x14ac:dyDescent="0.2">
      <c r="A354">
        <v>309.5</v>
      </c>
      <c r="B354">
        <v>90.00000262987102</v>
      </c>
      <c r="C354" s="82">
        <f t="shared" si="100"/>
        <v>-1.2946878769071191E-7</v>
      </c>
      <c r="D354">
        <v>309.5</v>
      </c>
      <c r="E354">
        <v>10577.876792862788</v>
      </c>
      <c r="F354" t="s">
        <v>82</v>
      </c>
      <c r="G354">
        <v>309.5</v>
      </c>
      <c r="H354">
        <v>90.000003634789778</v>
      </c>
      <c r="I354" s="82">
        <f t="shared" si="101"/>
        <v>-2.982569924370182E-8</v>
      </c>
      <c r="J354">
        <v>309.5</v>
      </c>
      <c r="K354">
        <v>10852.424835064203</v>
      </c>
      <c r="L354" t="s">
        <v>82</v>
      </c>
      <c r="M354">
        <v>309.5</v>
      </c>
      <c r="N354">
        <v>90.000003702937718</v>
      </c>
      <c r="O354" s="82">
        <f t="shared" si="102"/>
        <v>5.5903366558140988E-7</v>
      </c>
      <c r="P354">
        <v>309.5</v>
      </c>
      <c r="Q354">
        <v>11159.875225564465</v>
      </c>
      <c r="R354" t="s">
        <v>82</v>
      </c>
      <c r="S354">
        <v>309.5</v>
      </c>
      <c r="T354">
        <v>90.000000464720472</v>
      </c>
      <c r="U354" s="82">
        <f t="shared" si="103"/>
        <v>2.0518768337751681E-6</v>
      </c>
      <c r="V354">
        <v>309.5</v>
      </c>
      <c r="W354">
        <v>11499.240515434192</v>
      </c>
      <c r="X354" t="s">
        <v>82</v>
      </c>
      <c r="Y354">
        <v>309.5</v>
      </c>
      <c r="Z354">
        <v>89.999990041042665</v>
      </c>
      <c r="AA354" s="82">
        <f t="shared" si="104"/>
        <v>4.6137747347074765E-6</v>
      </c>
      <c r="AB354">
        <v>309.5</v>
      </c>
      <c r="AC354">
        <v>11875.971107048188</v>
      </c>
      <c r="AD354" t="s">
        <v>82</v>
      </c>
      <c r="AE354">
        <v>309.5</v>
      </c>
      <c r="AF354">
        <v>89.99996917886979</v>
      </c>
      <c r="AG354" s="82">
        <f t="shared" si="105"/>
        <v>7.0202609805392058E-6</v>
      </c>
      <c r="AH354">
        <v>309.5</v>
      </c>
      <c r="AI354">
        <v>12292.994197169512</v>
      </c>
      <c r="AJ354" t="s">
        <v>82</v>
      </c>
      <c r="AK354">
        <v>309.5</v>
      </c>
      <c r="AL354">
        <v>89.999945257529973</v>
      </c>
      <c r="AM354" s="82">
        <f t="shared" si="106"/>
        <v>4.0718171732123665E-6</v>
      </c>
      <c r="AN354">
        <v>309.5</v>
      </c>
      <c r="AO354">
        <v>12752.830403653485</v>
      </c>
      <c r="AP354" t="s">
        <v>82</v>
      </c>
      <c r="AQ354">
        <v>309.5</v>
      </c>
      <c r="AR354">
        <v>89.999960437244141</v>
      </c>
      <c r="AS354" s="82">
        <f t="shared" si="107"/>
        <v>-1.637167048329502E-5</v>
      </c>
      <c r="AT354">
        <v>309.5</v>
      </c>
      <c r="AU354">
        <v>13264.141689394317</v>
      </c>
      <c r="AV354" t="s">
        <v>82</v>
      </c>
      <c r="AW354">
        <v>309.5</v>
      </c>
      <c r="AX354">
        <v>90.000128391884175</v>
      </c>
      <c r="AY354" s="82">
        <f t="shared" si="108"/>
        <v>-7.0423659764173863E-5</v>
      </c>
      <c r="AZ354">
        <v>309.5</v>
      </c>
      <c r="BA354">
        <v>13840.981681561563</v>
      </c>
      <c r="BB354" t="s">
        <v>82</v>
      </c>
      <c r="BC354">
        <v>309.5</v>
      </c>
      <c r="BD354">
        <v>90.000611386964607</v>
      </c>
      <c r="BE354" s="82">
        <f t="shared" si="109"/>
        <v>-1.4408356592809923E-4</v>
      </c>
      <c r="BF354">
        <v>309.5</v>
      </c>
      <c r="BG354">
        <v>14483.589557205418</v>
      </c>
      <c r="BH354" t="s">
        <v>82</v>
      </c>
      <c r="BI354">
        <v>309.5</v>
      </c>
      <c r="BJ354">
        <v>90.001279694453359</v>
      </c>
      <c r="BK354" s="82">
        <f t="shared" si="110"/>
        <v>-7.9770802500434002E-5</v>
      </c>
      <c r="BL354">
        <v>309.5</v>
      </c>
      <c r="BM354">
        <v>15162.18347331772</v>
      </c>
      <c r="BN354" t="s">
        <v>82</v>
      </c>
      <c r="BO354">
        <v>309.5</v>
      </c>
      <c r="BP354">
        <v>90.00045237445535</v>
      </c>
      <c r="BQ354" s="82">
        <f t="shared" si="111"/>
        <v>6.2091659218310724E-4</v>
      </c>
      <c r="BR354">
        <v>309.5</v>
      </c>
      <c r="BS354">
        <v>16041.558140533782</v>
      </c>
      <c r="BT354" t="s">
        <v>82</v>
      </c>
      <c r="BU354">
        <v>309.5</v>
      </c>
      <c r="BV354">
        <v>89.99268544887984</v>
      </c>
      <c r="BW354" s="82">
        <f t="shared" si="112"/>
        <v>2.617640799726928E-3</v>
      </c>
      <c r="BX354">
        <v>309.5</v>
      </c>
      <c r="BY354">
        <v>17410.701567064491</v>
      </c>
      <c r="BZ354" t="s">
        <v>82</v>
      </c>
      <c r="CA354">
        <v>309.5</v>
      </c>
      <c r="CB354">
        <v>89.972956295598664</v>
      </c>
      <c r="CC354" s="82">
        <f t="shared" si="113"/>
        <v>4.0138973535874811E-3</v>
      </c>
      <c r="CD354">
        <v>309.5</v>
      </c>
      <c r="CE354">
        <v>18777.364394558226</v>
      </c>
      <c r="CF354" t="s">
        <v>82</v>
      </c>
      <c r="CG354">
        <v>309.5</v>
      </c>
      <c r="CH354">
        <v>89.967635672710145</v>
      </c>
      <c r="CI354" s="82">
        <f t="shared" si="114"/>
        <v>-7.0972912640456798E-3</v>
      </c>
      <c r="CJ354">
        <v>309.5</v>
      </c>
      <c r="CK354">
        <v>20071.378492159743</v>
      </c>
      <c r="CL354" t="s">
        <v>82</v>
      </c>
      <c r="CM354">
        <v>309.5</v>
      </c>
      <c r="CN354">
        <v>90.117446494811205</v>
      </c>
      <c r="CO354" s="82">
        <f t="shared" si="115"/>
        <v>-5.7815085233556829E-2</v>
      </c>
      <c r="CP354">
        <v>309.5</v>
      </c>
      <c r="CQ354">
        <v>37506.778723126103</v>
      </c>
      <c r="CR354" t="s">
        <v>82</v>
      </c>
      <c r="CS354">
        <v>309.5</v>
      </c>
      <c r="CT354">
        <v>90.694254051509887</v>
      </c>
      <c r="CU354" s="82">
        <f t="shared" si="116"/>
        <v>-0.13861422901335629</v>
      </c>
      <c r="CV354">
        <v>309.5</v>
      </c>
      <c r="CW354">
        <v>68691.056136198036</v>
      </c>
      <c r="CX354" t="s">
        <v>82</v>
      </c>
      <c r="CY354">
        <v>309.5</v>
      </c>
      <c r="CZ354">
        <v>91.671463121480798</v>
      </c>
      <c r="DA354" s="82">
        <f t="shared" si="117"/>
        <v>-0.1730331122593185</v>
      </c>
      <c r="DB354">
        <v>309.5</v>
      </c>
      <c r="DC354">
        <v>83789.076898126019</v>
      </c>
      <c r="DD354" t="s">
        <v>82</v>
      </c>
      <c r="DG354" s="82">
        <f t="shared" si="118"/>
        <v>0</v>
      </c>
      <c r="DM354" s="82">
        <f t="shared" si="119"/>
        <v>0</v>
      </c>
    </row>
    <row r="355" spans="1:117" x14ac:dyDescent="0.2">
      <c r="A355">
        <v>310.5</v>
      </c>
      <c r="B355">
        <v>90.000002561316023</v>
      </c>
      <c r="C355" s="82">
        <f t="shared" si="100"/>
        <v>-6.8554996346392727E-8</v>
      </c>
      <c r="D355">
        <v>310.5</v>
      </c>
      <c r="E355">
        <v>10573.63791537464</v>
      </c>
      <c r="F355" t="s">
        <v>82</v>
      </c>
      <c r="G355">
        <v>310.5</v>
      </c>
      <c r="H355">
        <v>90.00000358562923</v>
      </c>
      <c r="I355" s="82">
        <f t="shared" si="101"/>
        <v>-4.9160547632709495E-8</v>
      </c>
      <c r="J355">
        <v>310.5</v>
      </c>
      <c r="K355">
        <v>10847.773378580514</v>
      </c>
      <c r="L355" t="s">
        <v>82</v>
      </c>
      <c r="M355">
        <v>310.5</v>
      </c>
      <c r="N355">
        <v>90.000004062416792</v>
      </c>
      <c r="O355" s="82">
        <f t="shared" si="102"/>
        <v>3.5947907406352897E-7</v>
      </c>
      <c r="P355">
        <v>310.5</v>
      </c>
      <c r="Q355">
        <v>11154.716406446898</v>
      </c>
      <c r="R355" t="s">
        <v>82</v>
      </c>
      <c r="S355">
        <v>310.5</v>
      </c>
      <c r="T355">
        <v>90.000002026406435</v>
      </c>
      <c r="U355" s="82">
        <f t="shared" si="103"/>
        <v>1.5616859627698432E-6</v>
      </c>
      <c r="V355">
        <v>310.5</v>
      </c>
      <c r="W355">
        <v>11493.510281733035</v>
      </c>
      <c r="X355" t="s">
        <v>82</v>
      </c>
      <c r="Y355">
        <v>310.5</v>
      </c>
      <c r="Z355">
        <v>89.999993897611631</v>
      </c>
      <c r="AA355" s="82">
        <f t="shared" si="104"/>
        <v>3.8565689663982994E-6</v>
      </c>
      <c r="AB355">
        <v>310.5</v>
      </c>
      <c r="AC355">
        <v>11869.619975828275</v>
      </c>
      <c r="AD355" t="s">
        <v>82</v>
      </c>
      <c r="AE355">
        <v>310.5</v>
      </c>
      <c r="AF355">
        <v>89.999975713929004</v>
      </c>
      <c r="AG355" s="82">
        <f t="shared" si="105"/>
        <v>6.5350592137747299E-6</v>
      </c>
      <c r="AH355">
        <v>310.5</v>
      </c>
      <c r="AI355">
        <v>12286.080383648183</v>
      </c>
      <c r="AJ355" t="s">
        <v>82</v>
      </c>
      <c r="AK355">
        <v>310.5</v>
      </c>
      <c r="AL355">
        <v>89.999950848634114</v>
      </c>
      <c r="AM355" s="82">
        <f t="shared" si="106"/>
        <v>5.5911041414447027E-6</v>
      </c>
      <c r="AN355">
        <v>310.5</v>
      </c>
      <c r="AO355">
        <v>12745.693557593977</v>
      </c>
      <c r="AP355" t="s">
        <v>82</v>
      </c>
      <c r="AQ355">
        <v>310.5</v>
      </c>
      <c r="AR355">
        <v>89.999950943835131</v>
      </c>
      <c r="AS355" s="82">
        <f t="shared" si="107"/>
        <v>-9.4934090100196045E-6</v>
      </c>
      <c r="AT355">
        <v>310.5</v>
      </c>
      <c r="AU355">
        <v>13254.472515934091</v>
      </c>
      <c r="AV355" t="s">
        <v>82</v>
      </c>
      <c r="AW355">
        <v>310.5</v>
      </c>
      <c r="AX355">
        <v>90.000073011648851</v>
      </c>
      <c r="AY355" s="82">
        <f t="shared" si="108"/>
        <v>-5.5380235323809757E-5</v>
      </c>
      <c r="AZ355">
        <v>310.5</v>
      </c>
      <c r="BA355">
        <v>13828.426410869364</v>
      </c>
      <c r="BB355" t="s">
        <v>82</v>
      </c>
      <c r="BC355">
        <v>310.5</v>
      </c>
      <c r="BD355">
        <v>90.000481515715464</v>
      </c>
      <c r="BE355" s="82">
        <f t="shared" si="109"/>
        <v>-1.2987124914332071E-4</v>
      </c>
      <c r="BF355">
        <v>310.5</v>
      </c>
      <c r="BG355">
        <v>14469.846273173145</v>
      </c>
      <c r="BH355" t="s">
        <v>82</v>
      </c>
      <c r="BI355">
        <v>310.5</v>
      </c>
      <c r="BJ355">
        <v>90.001163241629399</v>
      </c>
      <c r="BK355" s="82">
        <f t="shared" si="110"/>
        <v>-1.1645282395988943E-4</v>
      </c>
      <c r="BL355">
        <v>310.5</v>
      </c>
      <c r="BM355">
        <v>15159.28269295998</v>
      </c>
      <c r="BN355" t="s">
        <v>82</v>
      </c>
      <c r="BO355">
        <v>310.5</v>
      </c>
      <c r="BP355">
        <v>90.00086493190679</v>
      </c>
      <c r="BQ355" s="82">
        <f t="shared" si="111"/>
        <v>4.1255745144042066E-4</v>
      </c>
      <c r="BR355">
        <v>310.5</v>
      </c>
      <c r="BS355">
        <v>15978.327270762435</v>
      </c>
      <c r="BT355" t="s">
        <v>82</v>
      </c>
      <c r="BU355">
        <v>310.5</v>
      </c>
      <c r="BV355">
        <v>89.994858925794944</v>
      </c>
      <c r="BW355" s="82">
        <f t="shared" si="112"/>
        <v>2.1734769151038336E-3</v>
      </c>
      <c r="BX355">
        <v>310.5</v>
      </c>
      <c r="BY355">
        <v>17276.458059091445</v>
      </c>
      <c r="BZ355" t="s">
        <v>82</v>
      </c>
      <c r="CA355">
        <v>310.5</v>
      </c>
      <c r="CB355">
        <v>89.977034146633315</v>
      </c>
      <c r="CC355" s="82">
        <f t="shared" si="113"/>
        <v>4.0778510346513031E-3</v>
      </c>
      <c r="CD355">
        <v>310.5</v>
      </c>
      <c r="CE355">
        <v>18751.263607325232</v>
      </c>
      <c r="CF355" t="s">
        <v>82</v>
      </c>
      <c r="CG355">
        <v>310.5</v>
      </c>
      <c r="CH355">
        <v>89.964229025287139</v>
      </c>
      <c r="CI355" s="82">
        <f t="shared" si="114"/>
        <v>-3.406647423005893E-3</v>
      </c>
      <c r="CJ355">
        <v>310.5</v>
      </c>
      <c r="CK355">
        <v>19118.760888912569</v>
      </c>
      <c r="CL355" t="s">
        <v>82</v>
      </c>
      <c r="CM355">
        <v>310.5</v>
      </c>
      <c r="CN355">
        <v>90.071728409023763</v>
      </c>
      <c r="CO355" s="82">
        <f t="shared" si="115"/>
        <v>-4.5718085787441964E-2</v>
      </c>
      <c r="CP355">
        <v>310.5</v>
      </c>
      <c r="CQ355">
        <v>33332.262707052367</v>
      </c>
      <c r="CR355" t="s">
        <v>82</v>
      </c>
      <c r="CS355">
        <v>310.5</v>
      </c>
      <c r="CT355">
        <v>90.566404355418911</v>
      </c>
      <c r="CU355" s="82">
        <f t="shared" si="116"/>
        <v>-0.12784969609097629</v>
      </c>
      <c r="CV355">
        <v>310.5</v>
      </c>
      <c r="CW355">
        <v>64395.741598423003</v>
      </c>
      <c r="CX355" t="s">
        <v>82</v>
      </c>
      <c r="CY355">
        <v>310.5</v>
      </c>
      <c r="CZ355">
        <v>91.502368659213147</v>
      </c>
      <c r="DA355" s="82">
        <f t="shared" si="117"/>
        <v>-0.16909446226765112</v>
      </c>
      <c r="DB355">
        <v>310.5</v>
      </c>
      <c r="DC355">
        <v>82208.809473109257</v>
      </c>
      <c r="DD355" t="s">
        <v>82</v>
      </c>
      <c r="DG355" s="82">
        <f t="shared" si="118"/>
        <v>0</v>
      </c>
      <c r="DM355" s="82">
        <f t="shared" si="119"/>
        <v>0</v>
      </c>
    </row>
    <row r="356" spans="1:117" x14ac:dyDescent="0.2">
      <c r="A356">
        <v>311.5</v>
      </c>
      <c r="B356">
        <v>90.000002559953927</v>
      </c>
      <c r="C356" s="82">
        <f t="shared" si="100"/>
        <v>-1.3620962135973969E-9</v>
      </c>
      <c r="D356">
        <v>311.5</v>
      </c>
      <c r="E356">
        <v>10569.476422701884</v>
      </c>
      <c r="F356" t="s">
        <v>82</v>
      </c>
      <c r="G356">
        <v>311.5</v>
      </c>
      <c r="H356">
        <v>90.000003544987678</v>
      </c>
      <c r="I356" s="82">
        <f t="shared" si="101"/>
        <v>-4.0641552345732634E-8</v>
      </c>
      <c r="J356">
        <v>311.5</v>
      </c>
      <c r="K356">
        <v>10843.188549707329</v>
      </c>
      <c r="L356" t="s">
        <v>82</v>
      </c>
      <c r="M356">
        <v>311.5</v>
      </c>
      <c r="N356">
        <v>90.000004282720653</v>
      </c>
      <c r="O356" s="82">
        <f t="shared" si="102"/>
        <v>2.2030386048754735E-7</v>
      </c>
      <c r="P356">
        <v>311.5</v>
      </c>
      <c r="Q356">
        <v>11149.647643616163</v>
      </c>
      <c r="R356" t="s">
        <v>82</v>
      </c>
      <c r="S356">
        <v>311.5</v>
      </c>
      <c r="T356">
        <v>90.000003185788401</v>
      </c>
      <c r="U356" s="82">
        <f t="shared" si="103"/>
        <v>1.1593819664312832E-6</v>
      </c>
      <c r="V356">
        <v>311.5</v>
      </c>
      <c r="W356">
        <v>11487.884778190848</v>
      </c>
      <c r="X356" t="s">
        <v>82</v>
      </c>
      <c r="Y356">
        <v>311.5</v>
      </c>
      <c r="Z356">
        <v>89.999997053706267</v>
      </c>
      <c r="AA356" s="82">
        <f t="shared" si="104"/>
        <v>3.1560946354147745E-6</v>
      </c>
      <c r="AB356">
        <v>311.5</v>
      </c>
      <c r="AC356">
        <v>11863.377826453125</v>
      </c>
      <c r="AD356" t="s">
        <v>82</v>
      </c>
      <c r="AE356">
        <v>311.5</v>
      </c>
      <c r="AF356">
        <v>89.999981611696654</v>
      </c>
      <c r="AG356" s="82">
        <f t="shared" si="105"/>
        <v>5.8977676502536269E-6</v>
      </c>
      <c r="AH356">
        <v>311.5</v>
      </c>
      <c r="AI356">
        <v>12279.24160500252</v>
      </c>
      <c r="AJ356" t="s">
        <v>82</v>
      </c>
      <c r="AK356">
        <v>311.5</v>
      </c>
      <c r="AL356">
        <v>89.999957255345151</v>
      </c>
      <c r="AM356" s="82">
        <f t="shared" si="106"/>
        <v>6.4067110372434399E-6</v>
      </c>
      <c r="AN356">
        <v>311.5</v>
      </c>
      <c r="AO356">
        <v>12738.515573765686</v>
      </c>
      <c r="AP356" t="s">
        <v>82</v>
      </c>
      <c r="AQ356">
        <v>311.5</v>
      </c>
      <c r="AR356">
        <v>89.999946743525769</v>
      </c>
      <c r="AS356" s="82">
        <f t="shared" si="107"/>
        <v>-4.2003093625453403E-6</v>
      </c>
      <c r="AT356">
        <v>311.5</v>
      </c>
      <c r="AU356">
        <v>13245.301430312033</v>
      </c>
      <c r="AV356" t="s">
        <v>82</v>
      </c>
      <c r="AW356">
        <v>311.5</v>
      </c>
      <c r="AX356">
        <v>90.00003082431121</v>
      </c>
      <c r="AY356" s="82">
        <f t="shared" si="108"/>
        <v>-4.2187337641053091E-5</v>
      </c>
      <c r="AZ356">
        <v>311.5</v>
      </c>
      <c r="BA356">
        <v>13816.498326997531</v>
      </c>
      <c r="BB356" t="s">
        <v>82</v>
      </c>
      <c r="BC356">
        <v>311.5</v>
      </c>
      <c r="BD356">
        <v>90.000367774943356</v>
      </c>
      <c r="BE356" s="82">
        <f t="shared" si="109"/>
        <v>-1.1374077210746236E-4</v>
      </c>
      <c r="BF356">
        <v>311.5</v>
      </c>
      <c r="BG356">
        <v>14455.921111143172</v>
      </c>
      <c r="BH356" t="s">
        <v>82</v>
      </c>
      <c r="BI356">
        <v>311.5</v>
      </c>
      <c r="BJ356">
        <v>90.001026646943188</v>
      </c>
      <c r="BK356" s="82">
        <f t="shared" si="110"/>
        <v>-1.365946862108558E-4</v>
      </c>
      <c r="BL356">
        <v>311.5</v>
      </c>
      <c r="BM356">
        <v>15152.601191655527</v>
      </c>
      <c r="BN356" t="s">
        <v>82</v>
      </c>
      <c r="BO356">
        <v>311.5</v>
      </c>
      <c r="BP356">
        <v>90.001112315731959</v>
      </c>
      <c r="BQ356" s="82">
        <f t="shared" si="111"/>
        <v>2.4738382516886759E-4</v>
      </c>
      <c r="BR356">
        <v>311.5</v>
      </c>
      <c r="BS356">
        <v>15926.558178815136</v>
      </c>
      <c r="BT356" t="s">
        <v>82</v>
      </c>
      <c r="BU356">
        <v>311.5</v>
      </c>
      <c r="BV356">
        <v>89.996619481037271</v>
      </c>
      <c r="BW356" s="82">
        <f t="shared" si="112"/>
        <v>1.7605552423276549E-3</v>
      </c>
      <c r="BX356">
        <v>311.5</v>
      </c>
      <c r="BY356">
        <v>17152.957727566572</v>
      </c>
      <c r="BZ356" t="s">
        <v>82</v>
      </c>
      <c r="CA356">
        <v>311.5</v>
      </c>
      <c r="CB356">
        <v>89.980963616433968</v>
      </c>
      <c r="CC356" s="82">
        <f t="shared" si="113"/>
        <v>3.9294698006528961E-3</v>
      </c>
      <c r="CD356">
        <v>311.5</v>
      </c>
      <c r="CE356">
        <v>18674.311513499168</v>
      </c>
      <c r="CF356" t="s">
        <v>82</v>
      </c>
      <c r="CG356">
        <v>311.5</v>
      </c>
      <c r="CH356">
        <v>89.963551692687801</v>
      </c>
      <c r="CI356" s="82">
        <f t="shared" si="114"/>
        <v>-6.7733259933788759E-4</v>
      </c>
      <c r="CJ356">
        <v>311.5</v>
      </c>
      <c r="CK356">
        <v>18596.120410574433</v>
      </c>
      <c r="CL356" t="s">
        <v>82</v>
      </c>
      <c r="CM356">
        <v>311.5</v>
      </c>
      <c r="CN356">
        <v>90.036575088169997</v>
      </c>
      <c r="CO356" s="82">
        <f t="shared" si="115"/>
        <v>-3.515332085376599E-2</v>
      </c>
      <c r="CP356">
        <v>311.5</v>
      </c>
      <c r="CQ356">
        <v>29740.058529229078</v>
      </c>
      <c r="CR356" t="s">
        <v>82</v>
      </c>
      <c r="CS356">
        <v>311.5</v>
      </c>
      <c r="CT356">
        <v>90.450955368019237</v>
      </c>
      <c r="CU356" s="82">
        <f t="shared" si="116"/>
        <v>-0.1154489873996738</v>
      </c>
      <c r="CV356">
        <v>311.5</v>
      </c>
      <c r="CW356">
        <v>59491.362301856825</v>
      </c>
      <c r="CX356" t="s">
        <v>82</v>
      </c>
      <c r="CY356">
        <v>311.5</v>
      </c>
      <c r="CZ356">
        <v>91.337836975247654</v>
      </c>
      <c r="DA356" s="82">
        <f t="shared" si="117"/>
        <v>-0.16453168396549245</v>
      </c>
      <c r="DB356">
        <v>311.5</v>
      </c>
      <c r="DC356">
        <v>80379.249710767006</v>
      </c>
      <c r="DD356" t="s">
        <v>82</v>
      </c>
      <c r="DG356" s="82">
        <f t="shared" si="118"/>
        <v>0</v>
      </c>
      <c r="DM356" s="82">
        <f t="shared" si="119"/>
        <v>0</v>
      </c>
    </row>
    <row r="357" spans="1:117" x14ac:dyDescent="0.2">
      <c r="A357">
        <v>312.5</v>
      </c>
      <c r="B357">
        <v>90.000002624290715</v>
      </c>
      <c r="C357" s="82">
        <f t="shared" si="100"/>
        <v>6.4336788341279316E-8</v>
      </c>
      <c r="D357">
        <v>312.5</v>
      </c>
      <c r="E357">
        <v>10565.39294582918</v>
      </c>
      <c r="F357" t="s">
        <v>82</v>
      </c>
      <c r="G357">
        <v>312.5</v>
      </c>
      <c r="H357">
        <v>90.000003529235428</v>
      </c>
      <c r="I357" s="82">
        <f t="shared" si="101"/>
        <v>-1.5752249282741104E-8</v>
      </c>
      <c r="J357">
        <v>312.5</v>
      </c>
      <c r="K357">
        <v>10838.672608836168</v>
      </c>
      <c r="L357" t="s">
        <v>82</v>
      </c>
      <c r="M357">
        <v>312.5</v>
      </c>
      <c r="N357">
        <v>90.000004410012778</v>
      </c>
      <c r="O357" s="82">
        <f t="shared" si="102"/>
        <v>1.2729212528483913E-7</v>
      </c>
      <c r="P357">
        <v>312.5</v>
      </c>
      <c r="Q357">
        <v>11144.665559516099</v>
      </c>
      <c r="R357" t="s">
        <v>82</v>
      </c>
      <c r="S357">
        <v>312.5</v>
      </c>
      <c r="T357">
        <v>90.000004020744356</v>
      </c>
      <c r="U357" s="82">
        <f t="shared" si="103"/>
        <v>8.3495595504246012E-7</v>
      </c>
      <c r="V357">
        <v>312.5</v>
      </c>
      <c r="W357">
        <v>11482.36117672173</v>
      </c>
      <c r="X357" t="s">
        <v>82</v>
      </c>
      <c r="Y357">
        <v>312.5</v>
      </c>
      <c r="Z357">
        <v>89.999999579239869</v>
      </c>
      <c r="AA357" s="82">
        <f t="shared" si="104"/>
        <v>2.5255336026930308E-6</v>
      </c>
      <c r="AB357">
        <v>312.5</v>
      </c>
      <c r="AC357">
        <v>11857.246378899352</v>
      </c>
      <c r="AD357" t="s">
        <v>82</v>
      </c>
      <c r="AE357">
        <v>312.5</v>
      </c>
      <c r="AF357">
        <v>89.999986791968851</v>
      </c>
      <c r="AG357" s="82">
        <f t="shared" si="105"/>
        <v>5.1802721969806953E-6</v>
      </c>
      <c r="AH357">
        <v>312.5</v>
      </c>
      <c r="AI357">
        <v>12272.492579735937</v>
      </c>
      <c r="AJ357" t="s">
        <v>82</v>
      </c>
      <c r="AK357">
        <v>312.5</v>
      </c>
      <c r="AL357">
        <v>89.999963940619324</v>
      </c>
      <c r="AM357" s="82">
        <f t="shared" si="106"/>
        <v>6.6852741724687803E-6</v>
      </c>
      <c r="AN357">
        <v>312.5</v>
      </c>
      <c r="AO357">
        <v>12731.334337466988</v>
      </c>
      <c r="AP357" t="s">
        <v>82</v>
      </c>
      <c r="AQ357">
        <v>312.5</v>
      </c>
      <c r="AR357">
        <v>89.999946467903229</v>
      </c>
      <c r="AS357" s="82">
        <f t="shared" si="107"/>
        <v>-2.7562253990254248E-7</v>
      </c>
      <c r="AT357">
        <v>312.5</v>
      </c>
      <c r="AU357">
        <v>13237.135329997716</v>
      </c>
      <c r="AV357" t="s">
        <v>82</v>
      </c>
      <c r="AW357">
        <v>312.5</v>
      </c>
      <c r="AX357">
        <v>89.999999901265284</v>
      </c>
      <c r="AY357" s="82">
        <f t="shared" si="108"/>
        <v>-3.092304592655637E-5</v>
      </c>
      <c r="AZ357">
        <v>312.5</v>
      </c>
      <c r="BA357">
        <v>13805.20208224795</v>
      </c>
      <c r="BB357" t="s">
        <v>82</v>
      </c>
      <c r="BC357">
        <v>312.5</v>
      </c>
      <c r="BD357">
        <v>90.00027073868533</v>
      </c>
      <c r="BE357" s="82">
        <f t="shared" si="109"/>
        <v>-9.703625802615079E-5</v>
      </c>
      <c r="BF357">
        <v>312.5</v>
      </c>
      <c r="BG357">
        <v>14442.121298211965</v>
      </c>
      <c r="BH357" t="s">
        <v>82</v>
      </c>
      <c r="BI357">
        <v>312.5</v>
      </c>
      <c r="BJ357">
        <v>90.000882435680396</v>
      </c>
      <c r="BK357" s="82">
        <f t="shared" si="110"/>
        <v>-1.4421126279273722E-4</v>
      </c>
      <c r="BL357">
        <v>312.5</v>
      </c>
      <c r="BM357">
        <v>15143.145546714959</v>
      </c>
      <c r="BN357" t="s">
        <v>82</v>
      </c>
      <c r="BO357">
        <v>312.5</v>
      </c>
      <c r="BP357">
        <v>90.001232530602422</v>
      </c>
      <c r="BQ357" s="82">
        <f t="shared" si="111"/>
        <v>1.2021487046354196E-4</v>
      </c>
      <c r="BR357">
        <v>312.5</v>
      </c>
      <c r="BS357">
        <v>15884.750188231323</v>
      </c>
      <c r="BT357" t="s">
        <v>82</v>
      </c>
      <c r="BU357">
        <v>312.5</v>
      </c>
      <c r="BV357">
        <v>89.998008469319117</v>
      </c>
      <c r="BW357" s="82">
        <f t="shared" si="112"/>
        <v>1.3889882818460819E-3</v>
      </c>
      <c r="BX357">
        <v>312.5</v>
      </c>
      <c r="BY357">
        <v>17042.287123259008</v>
      </c>
      <c r="BZ357" t="s">
        <v>82</v>
      </c>
      <c r="CA357">
        <v>312.5</v>
      </c>
      <c r="CB357">
        <v>89.984603754388914</v>
      </c>
      <c r="CC357" s="82">
        <f t="shared" si="113"/>
        <v>3.6401379549459989E-3</v>
      </c>
      <c r="CD357">
        <v>312.5</v>
      </c>
      <c r="CE357">
        <v>18565.093639159761</v>
      </c>
      <c r="CF357" t="s">
        <v>82</v>
      </c>
      <c r="CG357">
        <v>312.5</v>
      </c>
      <c r="CH357">
        <v>89.964805713033982</v>
      </c>
      <c r="CI357" s="82">
        <f t="shared" si="114"/>
        <v>1.2540203461810506E-3</v>
      </c>
      <c r="CJ357">
        <v>312.5</v>
      </c>
      <c r="CK357">
        <v>19047.250328662893</v>
      </c>
      <c r="CL357" t="s">
        <v>82</v>
      </c>
      <c r="CM357">
        <v>312.5</v>
      </c>
      <c r="CN357">
        <v>90.01042292207508</v>
      </c>
      <c r="CO357" s="82">
        <f t="shared" si="115"/>
        <v>-2.6152166094917106E-2</v>
      </c>
      <c r="CP357">
        <v>312.5</v>
      </c>
      <c r="CQ357">
        <v>26724.365214845042</v>
      </c>
      <c r="CR357" t="s">
        <v>82</v>
      </c>
      <c r="CS357">
        <v>312.5</v>
      </c>
      <c r="CT357">
        <v>90.349564300257683</v>
      </c>
      <c r="CU357" s="82">
        <f t="shared" si="116"/>
        <v>-0.10139106776155415</v>
      </c>
      <c r="CV357">
        <v>312.5</v>
      </c>
      <c r="CW357">
        <v>54183.86280153862</v>
      </c>
      <c r="CX357" t="s">
        <v>82</v>
      </c>
      <c r="CY357">
        <v>312.5</v>
      </c>
      <c r="CZ357">
        <v>91.178588755793584</v>
      </c>
      <c r="DA357" s="82">
        <f t="shared" si="117"/>
        <v>-0.15924821945407075</v>
      </c>
      <c r="DB357">
        <v>312.5</v>
      </c>
      <c r="DC357">
        <v>78261.863680235401</v>
      </c>
      <c r="DD357" t="s">
        <v>82</v>
      </c>
      <c r="DG357" s="82">
        <f t="shared" si="118"/>
        <v>0</v>
      </c>
      <c r="DM357" s="82">
        <f t="shared" si="119"/>
        <v>0</v>
      </c>
    </row>
    <row r="358" spans="1:117" x14ac:dyDescent="0.2">
      <c r="A358">
        <v>313.5</v>
      </c>
      <c r="B358">
        <v>90.000002745057486</v>
      </c>
      <c r="C358" s="82">
        <f t="shared" si="100"/>
        <v>1.2076677080585796E-7</v>
      </c>
      <c r="D358">
        <v>313.5</v>
      </c>
      <c r="E358">
        <v>10561.371347365302</v>
      </c>
      <c r="F358" t="s">
        <v>82</v>
      </c>
      <c r="G358">
        <v>313.5</v>
      </c>
      <c r="H358">
        <v>90.000003543518261</v>
      </c>
      <c r="I358" s="82">
        <f t="shared" si="101"/>
        <v>1.4282832694334502E-8</v>
      </c>
      <c r="J358">
        <v>313.5</v>
      </c>
      <c r="K358">
        <v>10834.238892315414</v>
      </c>
      <c r="L358" t="s">
        <v>82</v>
      </c>
      <c r="M358">
        <v>313.5</v>
      </c>
      <c r="N358">
        <v>90.000004475913457</v>
      </c>
      <c r="O358" s="82">
        <f t="shared" si="102"/>
        <v>6.5900678691832582E-8</v>
      </c>
      <c r="P358">
        <v>313.5</v>
      </c>
      <c r="Q358">
        <v>11139.76675648142</v>
      </c>
      <c r="R358" t="s">
        <v>82</v>
      </c>
      <c r="S358">
        <v>313.5</v>
      </c>
      <c r="T358">
        <v>90.000004596089298</v>
      </c>
      <c r="U358" s="82">
        <f t="shared" si="103"/>
        <v>5.753449414669376E-7</v>
      </c>
      <c r="V358">
        <v>313.5</v>
      </c>
      <c r="W358">
        <v>11476.936054052509</v>
      </c>
      <c r="X358" t="s">
        <v>82</v>
      </c>
      <c r="Y358">
        <v>313.5</v>
      </c>
      <c r="Z358">
        <v>90.000001547801816</v>
      </c>
      <c r="AA358" s="82">
        <f t="shared" si="104"/>
        <v>1.9685619463416515E-6</v>
      </c>
      <c r="AB358">
        <v>313.5</v>
      </c>
      <c r="AC358">
        <v>11851.225407951031</v>
      </c>
      <c r="AD358" t="s">
        <v>82</v>
      </c>
      <c r="AE358">
        <v>313.5</v>
      </c>
      <c r="AF358">
        <v>89.999991226673757</v>
      </c>
      <c r="AG358" s="82">
        <f t="shared" si="105"/>
        <v>4.4347049055204479E-6</v>
      </c>
      <c r="AH358">
        <v>313.5</v>
      </c>
      <c r="AI358">
        <v>12265.843603133533</v>
      </c>
      <c r="AJ358" t="s">
        <v>82</v>
      </c>
      <c r="AK358">
        <v>313.5</v>
      </c>
      <c r="AL358">
        <v>89.999970507838796</v>
      </c>
      <c r="AM358" s="82">
        <f t="shared" si="106"/>
        <v>6.5672194722310451E-6</v>
      </c>
      <c r="AN358">
        <v>313.5</v>
      </c>
      <c r="AO358">
        <v>12724.181263211682</v>
      </c>
      <c r="AP358" t="s">
        <v>82</v>
      </c>
      <c r="AQ358">
        <v>313.5</v>
      </c>
      <c r="AR358">
        <v>89.999948963544199</v>
      </c>
      <c r="AS358" s="82">
        <f t="shared" si="107"/>
        <v>2.4956409703236204E-6</v>
      </c>
      <c r="AT358">
        <v>313.5</v>
      </c>
      <c r="AU358">
        <v>13229.958567787266</v>
      </c>
      <c r="AV358" t="s">
        <v>82</v>
      </c>
      <c r="AW358">
        <v>313.5</v>
      </c>
      <c r="AX358">
        <v>89.999978348479019</v>
      </c>
      <c r="AY358" s="82">
        <f t="shared" si="108"/>
        <v>-2.1552786265033319E-5</v>
      </c>
      <c r="AZ358">
        <v>313.5</v>
      </c>
      <c r="BA358">
        <v>13794.517859248235</v>
      </c>
      <c r="BB358" t="s">
        <v>82</v>
      </c>
      <c r="BC358">
        <v>313.5</v>
      </c>
      <c r="BD358">
        <v>90.000190009771146</v>
      </c>
      <c r="BE358" s="82">
        <f t="shared" si="109"/>
        <v>-8.0728914184646783E-5</v>
      </c>
      <c r="BF358">
        <v>313.5</v>
      </c>
      <c r="BG358">
        <v>14428.663428499054</v>
      </c>
      <c r="BH358" t="s">
        <v>82</v>
      </c>
      <c r="BI358">
        <v>313.5</v>
      </c>
      <c r="BJ358">
        <v>90.00073972762317</v>
      </c>
      <c r="BK358" s="82">
        <f t="shared" si="110"/>
        <v>-1.4270805722560453E-4</v>
      </c>
      <c r="BL358">
        <v>313.5</v>
      </c>
      <c r="BM358">
        <v>15131.760161598235</v>
      </c>
      <c r="BN358" t="s">
        <v>82</v>
      </c>
      <c r="BO358">
        <v>313.5</v>
      </c>
      <c r="BP358">
        <v>90.001258158566927</v>
      </c>
      <c r="BQ358" s="82">
        <f t="shared" si="111"/>
        <v>2.5627964504337797E-5</v>
      </c>
      <c r="BR358">
        <v>313.5</v>
      </c>
      <c r="BS358">
        <v>15855.825866544761</v>
      </c>
      <c r="BT358" t="s">
        <v>82</v>
      </c>
      <c r="BU358">
        <v>313.5</v>
      </c>
      <c r="BV358">
        <v>89.999072345399114</v>
      </c>
      <c r="BW358" s="82">
        <f t="shared" si="112"/>
        <v>1.063876079996362E-3</v>
      </c>
      <c r="BX358">
        <v>313.5</v>
      </c>
      <c r="BY358">
        <v>16945.288358233316</v>
      </c>
      <c r="BZ358" t="s">
        <v>82</v>
      </c>
      <c r="CA358">
        <v>313.5</v>
      </c>
      <c r="CB358">
        <v>89.987870023353949</v>
      </c>
      <c r="CC358" s="82">
        <f t="shared" si="113"/>
        <v>3.266268965035124E-3</v>
      </c>
      <c r="CD358">
        <v>313.5</v>
      </c>
      <c r="CE358">
        <v>18438.112123013183</v>
      </c>
      <c r="CF358" t="s">
        <v>82</v>
      </c>
      <c r="CG358">
        <v>313.5</v>
      </c>
      <c r="CH358">
        <v>89.967344499857035</v>
      </c>
      <c r="CI358" s="82">
        <f t="shared" si="114"/>
        <v>2.5387868230524191E-3</v>
      </c>
      <c r="CJ358">
        <v>313.5</v>
      </c>
      <c r="CK358">
        <v>19332.330447774388</v>
      </c>
      <c r="CL358" t="s">
        <v>82</v>
      </c>
      <c r="CM358">
        <v>313.5</v>
      </c>
      <c r="CN358">
        <v>89.991760279313596</v>
      </c>
      <c r="CO358" s="82">
        <f t="shared" si="115"/>
        <v>-1.8662642761483994E-2</v>
      </c>
      <c r="CP358">
        <v>313.5</v>
      </c>
      <c r="CQ358">
        <v>24252.769446899834</v>
      </c>
      <c r="CR358" t="s">
        <v>82</v>
      </c>
      <c r="CS358">
        <v>313.5</v>
      </c>
      <c r="CT358">
        <v>90.262711808520322</v>
      </c>
      <c r="CU358" s="82">
        <f t="shared" si="116"/>
        <v>-8.6852491737360538E-2</v>
      </c>
      <c r="CV358">
        <v>313.5</v>
      </c>
      <c r="CW358">
        <v>48855.751152555727</v>
      </c>
      <c r="CX358" t="s">
        <v>82</v>
      </c>
      <c r="CY358">
        <v>313.5</v>
      </c>
      <c r="CZ358">
        <v>91.025456302994542</v>
      </c>
      <c r="DA358" s="82">
        <f t="shared" si="117"/>
        <v>-0.15313245279904208</v>
      </c>
      <c r="DB358">
        <v>313.5</v>
      </c>
      <c r="DC358">
        <v>75812.152689993949</v>
      </c>
      <c r="DD358" t="s">
        <v>82</v>
      </c>
      <c r="DG358" s="82">
        <f t="shared" si="118"/>
        <v>0</v>
      </c>
      <c r="DM358" s="82">
        <f t="shared" si="119"/>
        <v>0</v>
      </c>
    </row>
    <row r="359" spans="1:117" x14ac:dyDescent="0.2">
      <c r="A359">
        <v>314.5</v>
      </c>
      <c r="B359">
        <v>90.000002904936949</v>
      </c>
      <c r="C359" s="82">
        <f t="shared" si="100"/>
        <v>1.598794625579103E-7</v>
      </c>
      <c r="D359">
        <v>314.5</v>
      </c>
      <c r="E359">
        <v>10557.40977746681</v>
      </c>
      <c r="F359" t="s">
        <v>82</v>
      </c>
      <c r="G359">
        <v>314.5</v>
      </c>
      <c r="H359">
        <v>90.000003581841213</v>
      </c>
      <c r="I359" s="82">
        <f t="shared" si="101"/>
        <v>3.8322951922964421E-8</v>
      </c>
      <c r="J359">
        <v>314.5</v>
      </c>
      <c r="K359">
        <v>10829.87382458719</v>
      </c>
      <c r="L359" t="s">
        <v>82</v>
      </c>
      <c r="M359">
        <v>314.5</v>
      </c>
      <c r="N359">
        <v>90.00000449734253</v>
      </c>
      <c r="O359" s="82">
        <f t="shared" si="102"/>
        <v>2.1429073626677564E-8</v>
      </c>
      <c r="P359">
        <v>314.5</v>
      </c>
      <c r="Q359">
        <v>11134.94782795924</v>
      </c>
      <c r="R359" t="s">
        <v>82</v>
      </c>
      <c r="S359">
        <v>314.5</v>
      </c>
      <c r="T359">
        <v>90.0000049614559</v>
      </c>
      <c r="U359" s="82">
        <f t="shared" si="103"/>
        <v>3.6536660275032773E-7</v>
      </c>
      <c r="V359">
        <v>314.5</v>
      </c>
      <c r="W359">
        <v>11471.605593428674</v>
      </c>
      <c r="X359" t="s">
        <v>82</v>
      </c>
      <c r="Y359">
        <v>314.5</v>
      </c>
      <c r="Z359">
        <v>90.000003029212593</v>
      </c>
      <c r="AA359" s="82">
        <f t="shared" si="104"/>
        <v>1.4814107771599083E-6</v>
      </c>
      <c r="AB359">
        <v>314.5</v>
      </c>
      <c r="AC359">
        <v>11845.313123621549</v>
      </c>
      <c r="AD359" t="s">
        <v>82</v>
      </c>
      <c r="AE359">
        <v>314.5</v>
      </c>
      <c r="AF359">
        <v>89.999994922940317</v>
      </c>
      <c r="AG359" s="82">
        <f t="shared" si="105"/>
        <v>3.6962665603823552E-6</v>
      </c>
      <c r="AH359">
        <v>314.5</v>
      </c>
      <c r="AI359">
        <v>12259.301197842398</v>
      </c>
      <c r="AJ359" t="s">
        <v>82</v>
      </c>
      <c r="AK359">
        <v>314.5</v>
      </c>
      <c r="AL359">
        <v>89.999976675163083</v>
      </c>
      <c r="AM359" s="82">
        <f t="shared" si="106"/>
        <v>6.1673242868209854E-6</v>
      </c>
      <c r="AN359">
        <v>314.5</v>
      </c>
      <c r="AO359">
        <v>12717.081563764574</v>
      </c>
      <c r="AP359" t="s">
        <v>82</v>
      </c>
      <c r="AQ359">
        <v>314.5</v>
      </c>
      <c r="AR359">
        <v>89.999953280034177</v>
      </c>
      <c r="AS359" s="82">
        <f t="shared" si="107"/>
        <v>4.3164899778957988E-6</v>
      </c>
      <c r="AT359">
        <v>314.5</v>
      </c>
      <c r="AU359">
        <v>13222.686146570713</v>
      </c>
      <c r="AV359" t="s">
        <v>82</v>
      </c>
      <c r="AW359">
        <v>314.5</v>
      </c>
      <c r="AX359">
        <v>89.99996438336737</v>
      </c>
      <c r="AY359" s="82">
        <f t="shared" si="108"/>
        <v>-1.3965111648417405E-5</v>
      </c>
      <c r="AZ359">
        <v>314.5</v>
      </c>
      <c r="BA359">
        <v>13784.409640370815</v>
      </c>
      <c r="BB359" t="s">
        <v>82</v>
      </c>
      <c r="BC359">
        <v>314.5</v>
      </c>
      <c r="BD359">
        <v>90.000124526696794</v>
      </c>
      <c r="BE359" s="82">
        <f t="shared" si="109"/>
        <v>-6.5483074351391224E-5</v>
      </c>
      <c r="BF359">
        <v>314.5</v>
      </c>
      <c r="BG359">
        <v>14415.690451762317</v>
      </c>
      <c r="BH359" t="s">
        <v>82</v>
      </c>
      <c r="BI359">
        <v>314.5</v>
      </c>
      <c r="BJ359">
        <v>90.000604824492214</v>
      </c>
      <c r="BK359" s="82">
        <f t="shared" si="110"/>
        <v>-1.349031309558768E-4</v>
      </c>
      <c r="BL359">
        <v>314.5</v>
      </c>
      <c r="BM359">
        <v>15119.135673247461</v>
      </c>
      <c r="BN359" t="s">
        <v>82</v>
      </c>
      <c r="BO359">
        <v>314.5</v>
      </c>
      <c r="BP359">
        <v>90.001216446493643</v>
      </c>
      <c r="BQ359" s="82">
        <f t="shared" si="111"/>
        <v>-4.1712073283406426E-5</v>
      </c>
      <c r="BR359">
        <v>314.5</v>
      </c>
      <c r="BS359">
        <v>15860.456824466426</v>
      </c>
      <c r="BT359" t="s">
        <v>82</v>
      </c>
      <c r="BU359">
        <v>314.5</v>
      </c>
      <c r="BV359">
        <v>89.999858924069983</v>
      </c>
      <c r="BW359" s="82">
        <f t="shared" si="112"/>
        <v>7.8657867086917577E-4</v>
      </c>
      <c r="BX359">
        <v>314.5</v>
      </c>
      <c r="BY359">
        <v>16861.901757495711</v>
      </c>
      <c r="BZ359" t="s">
        <v>82</v>
      </c>
      <c r="CA359">
        <v>314.5</v>
      </c>
      <c r="CB359">
        <v>89.990721198710062</v>
      </c>
      <c r="CC359" s="82">
        <f t="shared" si="113"/>
        <v>2.8511753561133446E-3</v>
      </c>
      <c r="CD359">
        <v>314.5</v>
      </c>
      <c r="CE359">
        <v>18304.308469081352</v>
      </c>
      <c r="CF359" t="s">
        <v>82</v>
      </c>
      <c r="CG359">
        <v>314.5</v>
      </c>
      <c r="CH359">
        <v>89.970657346322056</v>
      </c>
      <c r="CI359" s="82">
        <f t="shared" si="114"/>
        <v>3.3128464650218348E-3</v>
      </c>
      <c r="CJ359">
        <v>314.5</v>
      </c>
      <c r="CK359">
        <v>19486.770903433771</v>
      </c>
      <c r="CL359" t="s">
        <v>82</v>
      </c>
      <c r="CM359">
        <v>314.5</v>
      </c>
      <c r="CN359">
        <v>89.979182966879449</v>
      </c>
      <c r="CO359" s="82">
        <f t="shared" si="115"/>
        <v>-1.2577312434146393E-2</v>
      </c>
      <c r="CP359">
        <v>314.5</v>
      </c>
      <c r="CQ359">
        <v>22443.763626739219</v>
      </c>
      <c r="CR359" t="s">
        <v>82</v>
      </c>
      <c r="CS359">
        <v>314.5</v>
      </c>
      <c r="CT359">
        <v>90.190043536611057</v>
      </c>
      <c r="CU359" s="82">
        <f t="shared" si="116"/>
        <v>-7.2668271909265059E-2</v>
      </c>
      <c r="CV359">
        <v>314.5</v>
      </c>
      <c r="CW359">
        <v>43771.074155991962</v>
      </c>
      <c r="CX359" t="s">
        <v>82</v>
      </c>
      <c r="CY359">
        <v>314.5</v>
      </c>
      <c r="CZ359">
        <v>90.87940094329403</v>
      </c>
      <c r="DA359" s="82">
        <f t="shared" si="117"/>
        <v>-0.14605535970051164</v>
      </c>
      <c r="DB359">
        <v>314.5</v>
      </c>
      <c r="DC359">
        <v>72978.748654715484</v>
      </c>
      <c r="DD359" t="s">
        <v>82</v>
      </c>
      <c r="DG359" s="82">
        <f t="shared" si="118"/>
        <v>0</v>
      </c>
      <c r="DM359" s="82">
        <f t="shared" si="119"/>
        <v>0</v>
      </c>
    </row>
    <row r="360" spans="1:117" x14ac:dyDescent="0.2">
      <c r="A360">
        <v>315.5</v>
      </c>
      <c r="B360">
        <v>90.000003078046404</v>
      </c>
      <c r="C360" s="82">
        <f t="shared" si="100"/>
        <v>1.7310945565895963E-7</v>
      </c>
      <c r="D360">
        <v>315.5</v>
      </c>
      <c r="E360">
        <v>10553.5062747516</v>
      </c>
      <c r="F360" t="s">
        <v>82</v>
      </c>
      <c r="G360">
        <v>315.5</v>
      </c>
      <c r="H360">
        <v>90.000003626980671</v>
      </c>
      <c r="I360" s="82">
        <f t="shared" si="101"/>
        <v>4.5139458393350651E-8</v>
      </c>
      <c r="J360">
        <v>315.5</v>
      </c>
      <c r="K360">
        <v>10825.574532028309</v>
      </c>
      <c r="L360" t="s">
        <v>82</v>
      </c>
      <c r="M360">
        <v>315.5</v>
      </c>
      <c r="N360">
        <v>90.000004476443792</v>
      </c>
      <c r="O360" s="82">
        <f t="shared" si="102"/>
        <v>-2.089873873956094E-8</v>
      </c>
      <c r="P360">
        <v>315.5</v>
      </c>
      <c r="Q360">
        <v>11130.226533691713</v>
      </c>
      <c r="R360" t="s">
        <v>82</v>
      </c>
      <c r="S360">
        <v>315.5</v>
      </c>
      <c r="T360">
        <v>90.000005149863924</v>
      </c>
      <c r="U360" s="82">
        <f t="shared" si="103"/>
        <v>1.8840802340491791E-7</v>
      </c>
      <c r="V360">
        <v>315.5</v>
      </c>
      <c r="W360">
        <v>11466.365741932148</v>
      </c>
      <c r="X360" t="s">
        <v>82</v>
      </c>
      <c r="Y360">
        <v>315.5</v>
      </c>
      <c r="Z360">
        <v>90.000004083836629</v>
      </c>
      <c r="AA360" s="82">
        <f t="shared" si="104"/>
        <v>1.054624036100904E-6</v>
      </c>
      <c r="AB360">
        <v>315.5</v>
      </c>
      <c r="AC360">
        <v>11839.506621201555</v>
      </c>
      <c r="AD360" t="s">
        <v>82</v>
      </c>
      <c r="AE360">
        <v>315.5</v>
      </c>
      <c r="AF360">
        <v>89.999997908903723</v>
      </c>
      <c r="AG360" s="82">
        <f t="shared" si="105"/>
        <v>2.9859634054218986E-6</v>
      </c>
      <c r="AH360">
        <v>315.5</v>
      </c>
      <c r="AI360">
        <v>12252.868814786987</v>
      </c>
      <c r="AJ360" t="s">
        <v>82</v>
      </c>
      <c r="AK360">
        <v>315.5</v>
      </c>
      <c r="AL360">
        <v>89.999982251469604</v>
      </c>
      <c r="AM360" s="82">
        <f t="shared" si="106"/>
        <v>5.57630652053831E-6</v>
      </c>
      <c r="AN360">
        <v>315.5</v>
      </c>
      <c r="AO360">
        <v>12710.054789564225</v>
      </c>
      <c r="AP360" t="s">
        <v>82</v>
      </c>
      <c r="AQ360">
        <v>315.5</v>
      </c>
      <c r="AR360">
        <v>89.999958651363301</v>
      </c>
      <c r="AS360" s="82">
        <f t="shared" si="107"/>
        <v>5.3713291237045269E-6</v>
      </c>
      <c r="AT360">
        <v>315.5</v>
      </c>
      <c r="AU360">
        <v>13215.361839256204</v>
      </c>
      <c r="AV360" t="s">
        <v>82</v>
      </c>
      <c r="AW360">
        <v>315.5</v>
      </c>
      <c r="AX360">
        <v>89.99995638289775</v>
      </c>
      <c r="AY360" s="82">
        <f t="shared" si="108"/>
        <v>-8.0004696201285697E-6</v>
      </c>
      <c r="AZ360">
        <v>315.5</v>
      </c>
      <c r="BA360">
        <v>13774.832028857289</v>
      </c>
      <c r="BB360" t="s">
        <v>82</v>
      </c>
      <c r="BC360">
        <v>315.5</v>
      </c>
      <c r="BD360">
        <v>90.000072809663962</v>
      </c>
      <c r="BE360" s="82">
        <f t="shared" si="109"/>
        <v>-5.1717032832243603E-5</v>
      </c>
      <c r="BF360">
        <v>315.5</v>
      </c>
      <c r="BG360">
        <v>14403.287077425641</v>
      </c>
      <c r="BH360" t="s">
        <v>82</v>
      </c>
      <c r="BI360">
        <v>315.5</v>
      </c>
      <c r="BJ360">
        <v>90.000481754154492</v>
      </c>
      <c r="BK360" s="82">
        <f t="shared" si="110"/>
        <v>-1.2307033772174236E-4</v>
      </c>
      <c r="BL360">
        <v>315.5</v>
      </c>
      <c r="BM360">
        <v>15105.822354601598</v>
      </c>
      <c r="BN360" t="s">
        <v>82</v>
      </c>
      <c r="BO360">
        <v>315.5</v>
      </c>
      <c r="BP360">
        <v>90.001129619471683</v>
      </c>
      <c r="BQ360" s="82">
        <f t="shared" si="111"/>
        <v>-8.6827021959834383E-5</v>
      </c>
      <c r="BR360">
        <v>315.5</v>
      </c>
      <c r="BS360">
        <v>15859.760546018311</v>
      </c>
      <c r="BT360" t="s">
        <v>82</v>
      </c>
      <c r="BU360">
        <v>315.5</v>
      </c>
      <c r="BV360">
        <v>90.000414705094869</v>
      </c>
      <c r="BW360" s="82">
        <f t="shared" si="112"/>
        <v>5.557810248859596E-4</v>
      </c>
      <c r="BX360">
        <v>315.5</v>
      </c>
      <c r="BY360">
        <v>16791.446041836876</v>
      </c>
      <c r="BZ360" t="s">
        <v>82</v>
      </c>
      <c r="CA360">
        <v>315.5</v>
      </c>
      <c r="CB360">
        <v>89.993148189276582</v>
      </c>
      <c r="CC360" s="82">
        <f t="shared" si="113"/>
        <v>2.4269905665192937E-3</v>
      </c>
      <c r="CD360">
        <v>315.5</v>
      </c>
      <c r="CE360">
        <v>18171.613486816608</v>
      </c>
      <c r="CF360" t="s">
        <v>82</v>
      </c>
      <c r="CG360">
        <v>315.5</v>
      </c>
      <c r="CH360">
        <v>89.974352221633254</v>
      </c>
      <c r="CI360" s="82">
        <f t="shared" si="114"/>
        <v>3.6948753111971655E-3</v>
      </c>
      <c r="CJ360">
        <v>315.5</v>
      </c>
      <c r="CK360">
        <v>19541.956709571568</v>
      </c>
      <c r="CL360" t="s">
        <v>82</v>
      </c>
      <c r="CM360">
        <v>315.5</v>
      </c>
      <c r="CN360">
        <v>89.971427692407516</v>
      </c>
      <c r="CO360" s="82">
        <f t="shared" si="115"/>
        <v>-7.7552744719326938E-3</v>
      </c>
      <c r="CP360">
        <v>315.5</v>
      </c>
      <c r="CQ360">
        <v>21156.990538937953</v>
      </c>
      <c r="CR360" t="s">
        <v>82</v>
      </c>
      <c r="CS360">
        <v>315.5</v>
      </c>
      <c r="CT360">
        <v>90.130643885686354</v>
      </c>
      <c r="CU360" s="82">
        <f t="shared" si="116"/>
        <v>-5.9399650924703451E-2</v>
      </c>
      <c r="CV360">
        <v>315.5</v>
      </c>
      <c r="CW360">
        <v>39098.626085366603</v>
      </c>
      <c r="CX360" t="s">
        <v>82</v>
      </c>
      <c r="CY360">
        <v>315.5</v>
      </c>
      <c r="CZ360">
        <v>90.741533153236333</v>
      </c>
      <c r="DA360" s="82">
        <f t="shared" si="117"/>
        <v>-0.13786779005769745</v>
      </c>
      <c r="DB360">
        <v>315.5</v>
      </c>
      <c r="DC360">
        <v>69702.387401523214</v>
      </c>
      <c r="DD360" t="s">
        <v>82</v>
      </c>
      <c r="DG360" s="82">
        <f t="shared" si="118"/>
        <v>0</v>
      </c>
      <c r="DM360" s="82">
        <f t="shared" si="119"/>
        <v>0</v>
      </c>
    </row>
    <row r="361" spans="1:117" x14ac:dyDescent="0.2">
      <c r="A361">
        <v>316.5</v>
      </c>
      <c r="B361">
        <v>90.000003229241585</v>
      </c>
      <c r="C361" s="82">
        <f t="shared" si="100"/>
        <v>1.5119518081974093E-7</v>
      </c>
      <c r="D361">
        <v>316.5</v>
      </c>
      <c r="E361">
        <v>10549.658706325379</v>
      </c>
      <c r="F361" t="s">
        <v>82</v>
      </c>
      <c r="G361">
        <v>316.5</v>
      </c>
      <c r="H361">
        <v>90.000003650224599</v>
      </c>
      <c r="I361" s="82">
        <f t="shared" si="101"/>
        <v>2.3243927671501297E-8</v>
      </c>
      <c r="J361">
        <v>316.5</v>
      </c>
      <c r="K361">
        <v>10821.341765689464</v>
      </c>
      <c r="L361" t="s">
        <v>82</v>
      </c>
      <c r="M361">
        <v>316.5</v>
      </c>
      <c r="N361">
        <v>90.000004400542608</v>
      </c>
      <c r="O361" s="82">
        <f t="shared" si="102"/>
        <v>-7.5901184004578681E-8</v>
      </c>
      <c r="P361">
        <v>316.5</v>
      </c>
      <c r="Q361">
        <v>11125.587168473547</v>
      </c>
      <c r="R361" t="s">
        <v>82</v>
      </c>
      <c r="S361">
        <v>316.5</v>
      </c>
      <c r="T361">
        <v>90.000005176835217</v>
      </c>
      <c r="U361" s="82">
        <f t="shared" si="103"/>
        <v>2.697129275475163E-8</v>
      </c>
      <c r="V361">
        <v>316.5</v>
      </c>
      <c r="W361">
        <v>11461.237150941586</v>
      </c>
      <c r="X361" t="s">
        <v>82</v>
      </c>
      <c r="Y361">
        <v>316.5</v>
      </c>
      <c r="Z361">
        <v>90.000004758369641</v>
      </c>
      <c r="AA361" s="82">
        <f t="shared" si="104"/>
        <v>6.7453301255682163E-7</v>
      </c>
      <c r="AB361">
        <v>316.5</v>
      </c>
      <c r="AC361">
        <v>11833.802149379404</v>
      </c>
      <c r="AD361" t="s">
        <v>82</v>
      </c>
      <c r="AE361">
        <v>316.5</v>
      </c>
      <c r="AF361">
        <v>90.000000222092538</v>
      </c>
      <c r="AG361" s="82">
        <f t="shared" si="105"/>
        <v>2.3131888156058267E-6</v>
      </c>
      <c r="AH361">
        <v>316.5</v>
      </c>
      <c r="AI361">
        <v>12246.547364519458</v>
      </c>
      <c r="AJ361" t="s">
        <v>82</v>
      </c>
      <c r="AK361">
        <v>316.5</v>
      </c>
      <c r="AL361">
        <v>89.999987114529418</v>
      </c>
      <c r="AM361" s="82">
        <f t="shared" si="106"/>
        <v>4.8630598143972747E-6</v>
      </c>
      <c r="AN361">
        <v>316.5</v>
      </c>
      <c r="AO361">
        <v>12703.115375138737</v>
      </c>
      <c r="AP361" t="s">
        <v>82</v>
      </c>
      <c r="AQ361">
        <v>316.5</v>
      </c>
      <c r="AR361">
        <v>89.999964473525651</v>
      </c>
      <c r="AS361" s="82">
        <f t="shared" si="107"/>
        <v>5.8221623504550735E-6</v>
      </c>
      <c r="AT361">
        <v>316.5</v>
      </c>
      <c r="AU361">
        <v>13208.023587501808</v>
      </c>
      <c r="AV361" t="s">
        <v>82</v>
      </c>
      <c r="AW361">
        <v>316.5</v>
      </c>
      <c r="AX361">
        <v>89.999952909215722</v>
      </c>
      <c r="AY361" s="82">
        <f t="shared" si="108"/>
        <v>-3.4736820282432745E-6</v>
      </c>
      <c r="AZ361">
        <v>316.5</v>
      </c>
      <c r="BA361">
        <v>13765.73519504768</v>
      </c>
      <c r="BB361" t="s">
        <v>82</v>
      </c>
      <c r="BC361">
        <v>316.5</v>
      </c>
      <c r="BD361">
        <v>90.000033152319332</v>
      </c>
      <c r="BE361" s="82">
        <f t="shared" si="109"/>
        <v>-3.9657344629517866E-5</v>
      </c>
      <c r="BF361">
        <v>316.5</v>
      </c>
      <c r="BG361">
        <v>14391.493372212881</v>
      </c>
      <c r="BH361" t="s">
        <v>82</v>
      </c>
      <c r="BI361">
        <v>316.5</v>
      </c>
      <c r="BJ361">
        <v>90.000372758868394</v>
      </c>
      <c r="BK361" s="82">
        <f t="shared" si="110"/>
        <v>-1.0899528609797926E-4</v>
      </c>
      <c r="BL361">
        <v>316.5</v>
      </c>
      <c r="BM361">
        <v>15092.246101348772</v>
      </c>
      <c r="BN361" t="s">
        <v>82</v>
      </c>
      <c r="BO361">
        <v>316.5</v>
      </c>
      <c r="BP361">
        <v>90.001015337368727</v>
      </c>
      <c r="BQ361" s="82">
        <f t="shared" si="111"/>
        <v>-1.1428210295605368E-4</v>
      </c>
      <c r="BR361">
        <v>316.5</v>
      </c>
      <c r="BS361">
        <v>15854.921447828583</v>
      </c>
      <c r="BT361" t="s">
        <v>82</v>
      </c>
      <c r="BU361">
        <v>316.5</v>
      </c>
      <c r="BV361">
        <v>90.000783067887369</v>
      </c>
      <c r="BW361" s="82">
        <f t="shared" si="112"/>
        <v>3.6836279249996551E-4</v>
      </c>
      <c r="BX361">
        <v>316.5</v>
      </c>
      <c r="BY361">
        <v>16732.84138995393</v>
      </c>
      <c r="BZ361" t="s">
        <v>82</v>
      </c>
      <c r="CA361">
        <v>316.5</v>
      </c>
      <c r="CB361">
        <v>89.995164725590641</v>
      </c>
      <c r="CC361" s="82">
        <f t="shared" si="113"/>
        <v>2.0165363140591808E-3</v>
      </c>
      <c r="CD361">
        <v>316.5</v>
      </c>
      <c r="CE361">
        <v>18045.483011565313</v>
      </c>
      <c r="CF361" t="s">
        <v>82</v>
      </c>
      <c r="CG361">
        <v>316.5</v>
      </c>
      <c r="CH361">
        <v>89.978138190257511</v>
      </c>
      <c r="CI361" s="82">
        <f t="shared" si="114"/>
        <v>3.7859686242569524E-3</v>
      </c>
      <c r="CJ361">
        <v>316.5</v>
      </c>
      <c r="CK361">
        <v>19524.724805494687</v>
      </c>
      <c r="CL361" t="s">
        <v>82</v>
      </c>
      <c r="CM361">
        <v>316.5</v>
      </c>
      <c r="CN361">
        <v>89.967388663801401</v>
      </c>
      <c r="CO361" s="82">
        <f t="shared" si="115"/>
        <v>-4.0390286061153802E-3</v>
      </c>
      <c r="CP361">
        <v>316.5</v>
      </c>
      <c r="CQ361">
        <v>20184.714894552457</v>
      </c>
      <c r="CR361" t="s">
        <v>82</v>
      </c>
      <c r="CS361">
        <v>316.5</v>
      </c>
      <c r="CT361">
        <v>90.08325106968374</v>
      </c>
      <c r="CU361" s="82">
        <f t="shared" si="116"/>
        <v>-4.7392816002613358E-2</v>
      </c>
      <c r="CV361">
        <v>316.5</v>
      </c>
      <c r="CW361">
        <v>34935.958035866075</v>
      </c>
      <c r="CX361" t="s">
        <v>82</v>
      </c>
      <c r="CY361">
        <v>316.5</v>
      </c>
      <c r="CZ361">
        <v>90.613135827095888</v>
      </c>
      <c r="DA361" s="82">
        <f t="shared" si="117"/>
        <v>-0.12839732614044408</v>
      </c>
      <c r="DB361">
        <v>316.5</v>
      </c>
      <c r="DC361">
        <v>65914.75803760995</v>
      </c>
      <c r="DD361" t="s">
        <v>82</v>
      </c>
      <c r="DG361" s="82">
        <f t="shared" si="118"/>
        <v>0</v>
      </c>
      <c r="DM361" s="82">
        <f t="shared" si="119"/>
        <v>0</v>
      </c>
    </row>
    <row r="362" spans="1:117" x14ac:dyDescent="0.2">
      <c r="A362">
        <v>317.5</v>
      </c>
      <c r="B362">
        <v>90.000003313306536</v>
      </c>
      <c r="C362" s="82">
        <f t="shared" si="100"/>
        <v>8.4064950556239637E-8</v>
      </c>
      <c r="D362">
        <v>317.5</v>
      </c>
      <c r="E362">
        <v>10545.864794296069</v>
      </c>
      <c r="F362" t="s">
        <v>82</v>
      </c>
      <c r="G362">
        <v>317.5</v>
      </c>
      <c r="H362">
        <v>90.000003611021725</v>
      </c>
      <c r="I362" s="82">
        <f t="shared" si="101"/>
        <v>-3.9202873836075014E-8</v>
      </c>
      <c r="J362">
        <v>317.5</v>
      </c>
      <c r="K362">
        <v>10817.203659164074</v>
      </c>
      <c r="L362" t="s">
        <v>82</v>
      </c>
      <c r="M362">
        <v>317.5</v>
      </c>
      <c r="N362">
        <v>90.00000424210026</v>
      </c>
      <c r="O362" s="82">
        <f t="shared" si="102"/>
        <v>-1.5844234724227135E-7</v>
      </c>
      <c r="P362">
        <v>317.5</v>
      </c>
      <c r="Q362">
        <v>11121.032673647487</v>
      </c>
      <c r="R362" t="s">
        <v>82</v>
      </c>
      <c r="S362">
        <v>317.5</v>
      </c>
      <c r="T362">
        <v>90.000005039925554</v>
      </c>
      <c r="U362" s="82">
        <f t="shared" si="103"/>
        <v>-1.3690966227386525E-7</v>
      </c>
      <c r="V362">
        <v>317.5</v>
      </c>
      <c r="W362">
        <v>11456.244570775256</v>
      </c>
      <c r="X362" t="s">
        <v>82</v>
      </c>
      <c r="Y362">
        <v>317.5</v>
      </c>
      <c r="Z362">
        <v>90.000005082879014</v>
      </c>
      <c r="AA362" s="82">
        <f t="shared" si="104"/>
        <v>3.2450937226258247E-7</v>
      </c>
      <c r="AB362">
        <v>317.5</v>
      </c>
      <c r="AC362">
        <v>11828.195400595025</v>
      </c>
      <c r="AD362" t="s">
        <v>82</v>
      </c>
      <c r="AE362">
        <v>317.5</v>
      </c>
      <c r="AF362">
        <v>90.000001900204637</v>
      </c>
      <c r="AG362" s="82">
        <f t="shared" si="105"/>
        <v>1.6781120990572163E-6</v>
      </c>
      <c r="AH362">
        <v>317.5</v>
      </c>
      <c r="AI362">
        <v>12240.335829355909</v>
      </c>
      <c r="AJ362" t="s">
        <v>82</v>
      </c>
      <c r="AK362">
        <v>317.5</v>
      </c>
      <c r="AL362">
        <v>89.999991191806927</v>
      </c>
      <c r="AM362" s="82">
        <f t="shared" si="106"/>
        <v>4.0772775093955715E-6</v>
      </c>
      <c r="AN362">
        <v>317.5</v>
      </c>
      <c r="AO362">
        <v>12696.273355443138</v>
      </c>
      <c r="AP362" t="s">
        <v>82</v>
      </c>
      <c r="AQ362">
        <v>317.5</v>
      </c>
      <c r="AR362">
        <v>89.999970280539742</v>
      </c>
      <c r="AS362" s="82">
        <f t="shared" si="107"/>
        <v>5.8070140909194379E-6</v>
      </c>
      <c r="AT362">
        <v>317.5</v>
      </c>
      <c r="AU362">
        <v>13200.70317205585</v>
      </c>
      <c r="AV362" t="s">
        <v>82</v>
      </c>
      <c r="AW362">
        <v>317.5</v>
      </c>
      <c r="AX362">
        <v>89.999952718319392</v>
      </c>
      <c r="AY362" s="82">
        <f t="shared" si="108"/>
        <v>-1.9089632985469507E-7</v>
      </c>
      <c r="AZ362">
        <v>317.5</v>
      </c>
      <c r="BA362">
        <v>13757.547141259472</v>
      </c>
      <c r="BB362" t="s">
        <v>82</v>
      </c>
      <c r="BC362">
        <v>317.5</v>
      </c>
      <c r="BD362">
        <v>90.000003766399104</v>
      </c>
      <c r="BE362" s="82">
        <f t="shared" si="109"/>
        <v>-2.9385920228719442E-5</v>
      </c>
      <c r="BF362">
        <v>317.5</v>
      </c>
      <c r="BG362">
        <v>14380.316319553767</v>
      </c>
      <c r="BH362" t="s">
        <v>82</v>
      </c>
      <c r="BI362">
        <v>317.5</v>
      </c>
      <c r="BJ362">
        <v>90.000278721254247</v>
      </c>
      <c r="BK362" s="82">
        <f t="shared" si="110"/>
        <v>-9.4037614147168824E-5</v>
      </c>
      <c r="BL362">
        <v>317.5</v>
      </c>
      <c r="BM362">
        <v>15078.725709150774</v>
      </c>
      <c r="BN362" t="s">
        <v>82</v>
      </c>
      <c r="BO362">
        <v>317.5</v>
      </c>
      <c r="BP362">
        <v>90.000887229874678</v>
      </c>
      <c r="BQ362" s="82">
        <f t="shared" si="111"/>
        <v>-1.2810749404934541E-4</v>
      </c>
      <c r="BR362">
        <v>317.5</v>
      </c>
      <c r="BS362">
        <v>15846.973398372922</v>
      </c>
      <c r="BT362" t="s">
        <v>82</v>
      </c>
      <c r="BU362">
        <v>317.5</v>
      </c>
      <c r="BV362">
        <v>90.001003158632599</v>
      </c>
      <c r="BW362" s="82">
        <f t="shared" si="112"/>
        <v>2.2009074523055006E-4</v>
      </c>
      <c r="BX362">
        <v>317.5</v>
      </c>
      <c r="BY362">
        <v>16684.782613915115</v>
      </c>
      <c r="BZ362" t="s">
        <v>82</v>
      </c>
      <c r="CA362">
        <v>317.5</v>
      </c>
      <c r="CB362">
        <v>89.996799789319681</v>
      </c>
      <c r="CC362" s="82">
        <f t="shared" si="113"/>
        <v>1.6350637290400982E-3</v>
      </c>
      <c r="CD362">
        <v>317.5</v>
      </c>
      <c r="CE362">
        <v>17929.393310139261</v>
      </c>
      <c r="CF362" t="s">
        <v>82</v>
      </c>
      <c r="CG362">
        <v>317.5</v>
      </c>
      <c r="CH362">
        <v>89.981808397969516</v>
      </c>
      <c r="CI362" s="82">
        <f t="shared" si="114"/>
        <v>3.6702077120054355E-3</v>
      </c>
      <c r="CJ362">
        <v>317.5</v>
      </c>
      <c r="CK362">
        <v>19457.327150606096</v>
      </c>
      <c r="CL362" t="s">
        <v>82</v>
      </c>
      <c r="CM362">
        <v>317.5</v>
      </c>
      <c r="CN362">
        <v>89.966121689676044</v>
      </c>
      <c r="CO362" s="82">
        <f t="shared" si="115"/>
        <v>-1.2669741253574784E-3</v>
      </c>
      <c r="CP362">
        <v>317.5</v>
      </c>
      <c r="CQ362">
        <v>19473.932572661139</v>
      </c>
      <c r="CR362" t="s">
        <v>82</v>
      </c>
      <c r="CS362">
        <v>317.5</v>
      </c>
      <c r="CT362">
        <v>90.04642266309672</v>
      </c>
      <c r="CU362" s="82">
        <f t="shared" si="116"/>
        <v>-3.6828406587019913E-2</v>
      </c>
      <c r="CV362">
        <v>317.5</v>
      </c>
      <c r="CW362">
        <v>31326.261096185943</v>
      </c>
      <c r="CX362" t="s">
        <v>82</v>
      </c>
      <c r="CY362">
        <v>317.5</v>
      </c>
      <c r="CZ362">
        <v>90.495691176988785</v>
      </c>
      <c r="DA362" s="82">
        <f t="shared" si="117"/>
        <v>-0.11744465010710314</v>
      </c>
      <c r="DB362">
        <v>317.5</v>
      </c>
      <c r="DC362">
        <v>61537.246363776205</v>
      </c>
      <c r="DD362" t="s">
        <v>82</v>
      </c>
      <c r="DG362" s="82">
        <f t="shared" si="118"/>
        <v>0</v>
      </c>
      <c r="DM362" s="82">
        <f t="shared" si="119"/>
        <v>0</v>
      </c>
    </row>
    <row r="363" spans="1:117" x14ac:dyDescent="0.2">
      <c r="A363">
        <v>318.5</v>
      </c>
      <c r="B363">
        <v>90.000003274144262</v>
      </c>
      <c r="C363" s="82">
        <f t="shared" si="100"/>
        <v>-3.9162273424153682E-8</v>
      </c>
      <c r="D363">
        <v>318.5</v>
      </c>
      <c r="E363">
        <v>10542.177097140893</v>
      </c>
      <c r="F363" t="s">
        <v>82</v>
      </c>
      <c r="G363">
        <v>318.5</v>
      </c>
      <c r="H363">
        <v>90.000003456585674</v>
      </c>
      <c r="I363" s="82">
        <f t="shared" si="101"/>
        <v>-1.5443605150267103E-7</v>
      </c>
      <c r="J363">
        <v>318.5</v>
      </c>
      <c r="K363">
        <v>10813.148187880026</v>
      </c>
      <c r="L363" t="s">
        <v>82</v>
      </c>
      <c r="M363">
        <v>318.5</v>
      </c>
      <c r="N363">
        <v>90.000003958745808</v>
      </c>
      <c r="O363" s="82">
        <f t="shared" si="102"/>
        <v>-2.8335445279026317E-7</v>
      </c>
      <c r="P363">
        <v>318.5</v>
      </c>
      <c r="Q363">
        <v>11116.566096533048</v>
      </c>
      <c r="R363" t="s">
        <v>82</v>
      </c>
      <c r="S363">
        <v>318.5</v>
      </c>
      <c r="T363">
        <v>90.000004718619579</v>
      </c>
      <c r="U363" s="82">
        <f t="shared" si="103"/>
        <v>-3.2130597560353635E-7</v>
      </c>
      <c r="V363">
        <v>318.5</v>
      </c>
      <c r="W363">
        <v>11451.3431174587</v>
      </c>
      <c r="X363" t="s">
        <v>82</v>
      </c>
      <c r="Y363">
        <v>318.5</v>
      </c>
      <c r="Z363">
        <v>90.000005068920629</v>
      </c>
      <c r="AA363" s="82">
        <f t="shared" si="104"/>
        <v>-1.3958384670331725E-8</v>
      </c>
      <c r="AB363">
        <v>318.5</v>
      </c>
      <c r="AC363">
        <v>11822.768975172479</v>
      </c>
      <c r="AD363" t="s">
        <v>82</v>
      </c>
      <c r="AE363">
        <v>318.5</v>
      </c>
      <c r="AF363">
        <v>90.000002974030323</v>
      </c>
      <c r="AG363" s="82">
        <f t="shared" si="105"/>
        <v>1.0738256861486661E-6</v>
      </c>
      <c r="AH363">
        <v>318.5</v>
      </c>
      <c r="AI363">
        <v>12234.231719237554</v>
      </c>
      <c r="AJ363" t="s">
        <v>82</v>
      </c>
      <c r="AK363">
        <v>318.5</v>
      </c>
      <c r="AL363">
        <v>89.999994444064498</v>
      </c>
      <c r="AM363" s="82">
        <f t="shared" si="106"/>
        <v>3.2522575708071599E-6</v>
      </c>
      <c r="AN363">
        <v>318.5</v>
      </c>
      <c r="AO363">
        <v>12689.535085848838</v>
      </c>
      <c r="AP363" t="s">
        <v>82</v>
      </c>
      <c r="AQ363">
        <v>318.5</v>
      </c>
      <c r="AR363">
        <v>89.999975720560286</v>
      </c>
      <c r="AS363" s="82">
        <f t="shared" si="107"/>
        <v>5.4400205442561855E-6</v>
      </c>
      <c r="AT363">
        <v>318.5</v>
      </c>
      <c r="AU363">
        <v>13193.426466763056</v>
      </c>
      <c r="AV363" t="s">
        <v>82</v>
      </c>
      <c r="AW363">
        <v>318.5</v>
      </c>
      <c r="AX363">
        <v>89.999954756488506</v>
      </c>
      <c r="AY363" s="82">
        <f t="shared" si="108"/>
        <v>2.0381691143711578E-6</v>
      </c>
      <c r="AZ363">
        <v>318.5</v>
      </c>
      <c r="BA363">
        <v>13750.19023808456</v>
      </c>
      <c r="BB363" t="s">
        <v>82</v>
      </c>
      <c r="BC363">
        <v>318.5</v>
      </c>
      <c r="BD363">
        <v>89.999982886596527</v>
      </c>
      <c r="BE363" s="82">
        <f t="shared" si="109"/>
        <v>-2.0879802576700968E-5</v>
      </c>
      <c r="BF363">
        <v>318.5</v>
      </c>
      <c r="BG363">
        <v>14369.739525876414</v>
      </c>
      <c r="BH363" t="s">
        <v>82</v>
      </c>
      <c r="BI363">
        <v>318.5</v>
      </c>
      <c r="BJ363">
        <v>90.000199526604831</v>
      </c>
      <c r="BK363" s="82">
        <f t="shared" si="110"/>
        <v>-7.919464941608112E-5</v>
      </c>
      <c r="BL363">
        <v>318.5</v>
      </c>
      <c r="BM363">
        <v>15065.489850500499</v>
      </c>
      <c r="BN363" t="s">
        <v>82</v>
      </c>
      <c r="BO363">
        <v>318.5</v>
      </c>
      <c r="BP363">
        <v>90.000755461180034</v>
      </c>
      <c r="BQ363" s="82">
        <f t="shared" si="111"/>
        <v>-1.3176869464359697E-4</v>
      </c>
      <c r="BR363">
        <v>318.5</v>
      </c>
      <c r="BS363">
        <v>15836.795593321962</v>
      </c>
      <c r="BT363" t="s">
        <v>82</v>
      </c>
      <c r="BU363">
        <v>318.5</v>
      </c>
      <c r="BV363">
        <v>90.001109313343051</v>
      </c>
      <c r="BW363" s="82">
        <f t="shared" si="112"/>
        <v>1.0615471045127833E-4</v>
      </c>
      <c r="BX363">
        <v>318.5</v>
      </c>
      <c r="BY363">
        <v>16645.869733275897</v>
      </c>
      <c r="BZ363" t="s">
        <v>82</v>
      </c>
      <c r="CA363">
        <v>318.5</v>
      </c>
      <c r="CB363">
        <v>89.998091613664783</v>
      </c>
      <c r="CC363" s="82">
        <f t="shared" si="113"/>
        <v>1.2918243451025546E-3</v>
      </c>
      <c r="CD363">
        <v>318.5</v>
      </c>
      <c r="CE363">
        <v>17825.281843662429</v>
      </c>
      <c r="CF363" t="s">
        <v>82</v>
      </c>
      <c r="CG363">
        <v>318.5</v>
      </c>
      <c r="CH363">
        <v>89.985224255053438</v>
      </c>
      <c r="CI363" s="82">
        <f t="shared" si="114"/>
        <v>3.4158570839224467E-3</v>
      </c>
      <c r="CJ363">
        <v>318.5</v>
      </c>
      <c r="CK363">
        <v>19357.685670749743</v>
      </c>
      <c r="CL363" t="s">
        <v>82</v>
      </c>
      <c r="CM363">
        <v>318.5</v>
      </c>
      <c r="CN363">
        <v>89.966839402456401</v>
      </c>
      <c r="CO363" s="82">
        <f t="shared" si="115"/>
        <v>7.1771278035726027E-4</v>
      </c>
      <c r="CP363">
        <v>318.5</v>
      </c>
      <c r="CQ363">
        <v>19785.55498293932</v>
      </c>
      <c r="CR363" t="s">
        <v>82</v>
      </c>
      <c r="CS363">
        <v>318.5</v>
      </c>
      <c r="CT363">
        <v>90.018659007861061</v>
      </c>
      <c r="CU363" s="82">
        <f t="shared" si="116"/>
        <v>-2.7763655235659712E-2</v>
      </c>
      <c r="CV363">
        <v>318.5</v>
      </c>
      <c r="CW363">
        <v>28272.635366422943</v>
      </c>
      <c r="CX363" t="s">
        <v>82</v>
      </c>
      <c r="CY363">
        <v>318.5</v>
      </c>
      <c r="CZ363">
        <v>90.39091183259653</v>
      </c>
      <c r="DA363" s="82">
        <f t="shared" si="117"/>
        <v>-0.10477934439225578</v>
      </c>
      <c r="DB363">
        <v>318.5</v>
      </c>
      <c r="DC363">
        <v>56642.651187229967</v>
      </c>
      <c r="DD363" t="s">
        <v>82</v>
      </c>
      <c r="DG363" s="82">
        <f t="shared" si="118"/>
        <v>0</v>
      </c>
      <c r="DM363" s="82">
        <f t="shared" si="119"/>
        <v>0</v>
      </c>
    </row>
    <row r="364" spans="1:117" x14ac:dyDescent="0.2">
      <c r="A364">
        <v>319.5</v>
      </c>
      <c r="B364">
        <v>90.000003044116454</v>
      </c>
      <c r="C364" s="82">
        <f t="shared" si="100"/>
        <v>-2.3002780835668091E-7</v>
      </c>
      <c r="D364">
        <v>319.5</v>
      </c>
      <c r="E364">
        <v>10538.577248472637</v>
      </c>
      <c r="F364" t="s">
        <v>82</v>
      </c>
      <c r="G364">
        <v>319.5</v>
      </c>
      <c r="H364">
        <v>90.00000312163624</v>
      </c>
      <c r="I364" s="82">
        <f t="shared" si="101"/>
        <v>-3.3494943352252449E-7</v>
      </c>
      <c r="J364">
        <v>319.5</v>
      </c>
      <c r="K364">
        <v>10809.177790429461</v>
      </c>
      <c r="L364" t="s">
        <v>82</v>
      </c>
      <c r="M364">
        <v>319.5</v>
      </c>
      <c r="N364">
        <v>90.000003493451018</v>
      </c>
      <c r="O364" s="82">
        <f t="shared" si="102"/>
        <v>-4.652947893646342E-7</v>
      </c>
      <c r="P364">
        <v>319.5</v>
      </c>
      <c r="Q364">
        <v>11112.190412181701</v>
      </c>
      <c r="R364" t="s">
        <v>82</v>
      </c>
      <c r="S364">
        <v>319.5</v>
      </c>
      <c r="T364">
        <v>90.000004174595375</v>
      </c>
      <c r="U364" s="82">
        <f t="shared" si="103"/>
        <v>-5.4402420346377767E-7</v>
      </c>
      <c r="V364">
        <v>319.5</v>
      </c>
      <c r="W364">
        <v>11446.536559153605</v>
      </c>
      <c r="X364" t="s">
        <v>82</v>
      </c>
      <c r="Y364">
        <v>319.5</v>
      </c>
      <c r="Z364">
        <v>90.000004708595071</v>
      </c>
      <c r="AA364" s="82">
        <f t="shared" si="104"/>
        <v>-3.6032555783549469E-7</v>
      </c>
      <c r="AB364">
        <v>319.5</v>
      </c>
      <c r="AC364">
        <v>11817.511380347578</v>
      </c>
      <c r="AD364" t="s">
        <v>82</v>
      </c>
      <c r="AE364">
        <v>319.5</v>
      </c>
      <c r="AF364">
        <v>90.000003462370074</v>
      </c>
      <c r="AG364" s="82">
        <f t="shared" si="105"/>
        <v>4.8833975085926795E-7</v>
      </c>
      <c r="AH364">
        <v>319.5</v>
      </c>
      <c r="AI364">
        <v>12228.231584698055</v>
      </c>
      <c r="AJ364" t="s">
        <v>82</v>
      </c>
      <c r="AK364">
        <v>319.5</v>
      </c>
      <c r="AL364">
        <v>89.999996851859137</v>
      </c>
      <c r="AM364" s="82">
        <f t="shared" si="106"/>
        <v>2.407794639225358E-6</v>
      </c>
      <c r="AN364">
        <v>319.5</v>
      </c>
      <c r="AO364">
        <v>12682.903919150294</v>
      </c>
      <c r="AP364" t="s">
        <v>82</v>
      </c>
      <c r="AQ364">
        <v>319.5</v>
      </c>
      <c r="AR364">
        <v>89.999980533304822</v>
      </c>
      <c r="AS364" s="82">
        <f t="shared" si="107"/>
        <v>4.8127445353429721E-6</v>
      </c>
      <c r="AT364">
        <v>319.5</v>
      </c>
      <c r="AU364">
        <v>13186.213886078822</v>
      </c>
      <c r="AV364" t="s">
        <v>82</v>
      </c>
      <c r="AW364">
        <v>319.5</v>
      </c>
      <c r="AX364">
        <v>89.999958148437244</v>
      </c>
      <c r="AY364" s="82">
        <f t="shared" si="108"/>
        <v>3.3919487378852864E-6</v>
      </c>
      <c r="AZ364">
        <v>319.5</v>
      </c>
      <c r="BA364">
        <v>13742.759311805812</v>
      </c>
      <c r="BB364" t="s">
        <v>82</v>
      </c>
      <c r="BC364">
        <v>319.5</v>
      </c>
      <c r="BD364">
        <v>89.999968842723945</v>
      </c>
      <c r="BE364" s="82">
        <f t="shared" si="109"/>
        <v>-1.4043872582192307E-5</v>
      </c>
      <c r="BF364">
        <v>319.5</v>
      </c>
      <c r="BG364">
        <v>14359.730994310947</v>
      </c>
      <c r="BH364" t="s">
        <v>82</v>
      </c>
      <c r="BI364">
        <v>319.5</v>
      </c>
      <c r="BJ364">
        <v>90.000134363638509</v>
      </c>
      <c r="BK364" s="82">
        <f t="shared" si="110"/>
        <v>-6.516296632241847E-5</v>
      </c>
      <c r="BL364">
        <v>319.5</v>
      </c>
      <c r="BM364">
        <v>15052.693409570835</v>
      </c>
      <c r="BN364" t="s">
        <v>82</v>
      </c>
      <c r="BO364">
        <v>319.5</v>
      </c>
      <c r="BP364">
        <v>90.000627288782496</v>
      </c>
      <c r="BQ364" s="82">
        <f t="shared" si="111"/>
        <v>-1.2817239753815102E-4</v>
      </c>
      <c r="BR364">
        <v>319.5</v>
      </c>
      <c r="BS364">
        <v>15825.117161169836</v>
      </c>
      <c r="BT364" t="s">
        <v>82</v>
      </c>
      <c r="BU364">
        <v>319.5</v>
      </c>
      <c r="BV364">
        <v>90.001130882267262</v>
      </c>
      <c r="BW364" s="82">
        <f t="shared" si="112"/>
        <v>2.1568924211123885E-5</v>
      </c>
      <c r="BX364">
        <v>319.5</v>
      </c>
      <c r="BY364">
        <v>16619.453968686532</v>
      </c>
      <c r="BZ364" t="s">
        <v>82</v>
      </c>
      <c r="CA364">
        <v>319.5</v>
      </c>
      <c r="CB364">
        <v>89.999083061912799</v>
      </c>
      <c r="CC364" s="82">
        <f t="shared" si="113"/>
        <v>9.9144824801555842E-4</v>
      </c>
      <c r="CD364">
        <v>319.5</v>
      </c>
      <c r="CE364">
        <v>17733.927223912149</v>
      </c>
      <c r="CF364" t="s">
        <v>82</v>
      </c>
      <c r="CG364">
        <v>319.5</v>
      </c>
      <c r="CH364">
        <v>89.988301199130731</v>
      </c>
      <c r="CI364" s="82">
        <f t="shared" si="114"/>
        <v>3.0769440772928647E-3</v>
      </c>
      <c r="CJ364">
        <v>319.5</v>
      </c>
      <c r="CK364">
        <v>19239.81264855116</v>
      </c>
      <c r="CL364" t="s">
        <v>82</v>
      </c>
      <c r="CM364">
        <v>319.5</v>
      </c>
      <c r="CN364">
        <v>89.968900540341437</v>
      </c>
      <c r="CO364" s="82">
        <f t="shared" si="115"/>
        <v>2.0611378850361461E-3</v>
      </c>
      <c r="CP364">
        <v>319.5</v>
      </c>
      <c r="CQ364">
        <v>20090.769373471423</v>
      </c>
      <c r="CR364" t="s">
        <v>82</v>
      </c>
      <c r="CS364">
        <v>319.5</v>
      </c>
      <c r="CT364">
        <v>89.998491578238699</v>
      </c>
      <c r="CU364" s="82">
        <f t="shared" si="116"/>
        <v>-2.016742962236151E-2</v>
      </c>
      <c r="CV364">
        <v>319.5</v>
      </c>
      <c r="CW364">
        <v>25749.952277413518</v>
      </c>
      <c r="CX364" t="s">
        <v>82</v>
      </c>
      <c r="CY364">
        <v>319.5</v>
      </c>
      <c r="CZ364">
        <v>90.299855102576473</v>
      </c>
      <c r="DA364" s="82">
        <f t="shared" si="117"/>
        <v>-9.1056730020056875E-2</v>
      </c>
      <c r="DB364">
        <v>319.5</v>
      </c>
      <c r="DC364">
        <v>51532.312113282089</v>
      </c>
      <c r="DD364" t="s">
        <v>82</v>
      </c>
      <c r="DG364" s="82">
        <f t="shared" si="118"/>
        <v>0</v>
      </c>
      <c r="DM364" s="82">
        <f t="shared" si="119"/>
        <v>0</v>
      </c>
    </row>
    <row r="365" spans="1:117" x14ac:dyDescent="0.2">
      <c r="A365">
        <v>320.5</v>
      </c>
      <c r="B365">
        <v>90.00000254368112</v>
      </c>
      <c r="C365" s="82">
        <f t="shared" si="100"/>
        <v>-5.0043533406096685E-7</v>
      </c>
      <c r="D365">
        <v>320.5</v>
      </c>
      <c r="E365">
        <v>10535.058345246274</v>
      </c>
      <c r="F365" t="s">
        <v>82</v>
      </c>
      <c r="G365">
        <v>320.5</v>
      </c>
      <c r="H365">
        <v>90.000002528403257</v>
      </c>
      <c r="I365" s="82">
        <f t="shared" si="101"/>
        <v>-5.9323298273739056E-7</v>
      </c>
      <c r="J365">
        <v>320.5</v>
      </c>
      <c r="K365">
        <v>10805.294896927697</v>
      </c>
      <c r="L365" t="s">
        <v>82</v>
      </c>
      <c r="M365">
        <v>320.5</v>
      </c>
      <c r="N365">
        <v>90.000002774978284</v>
      </c>
      <c r="O365" s="82">
        <f t="shared" si="102"/>
        <v>-7.1847273375169607E-7</v>
      </c>
      <c r="P365">
        <v>320.5</v>
      </c>
      <c r="Q365">
        <v>11107.908440119794</v>
      </c>
      <c r="R365" t="s">
        <v>82</v>
      </c>
      <c r="S365">
        <v>320.5</v>
      </c>
      <c r="T365">
        <v>90.000003352445972</v>
      </c>
      <c r="U365" s="82">
        <f t="shared" si="103"/>
        <v>-8.2214940277935966E-7</v>
      </c>
      <c r="V365">
        <v>320.5</v>
      </c>
      <c r="W365">
        <v>11441.828416879338</v>
      </c>
      <c r="X365" t="s">
        <v>82</v>
      </c>
      <c r="Y365">
        <v>320.5</v>
      </c>
      <c r="Z365">
        <v>90.000003974542935</v>
      </c>
      <c r="AA365" s="82">
        <f t="shared" si="104"/>
        <v>-7.3405213640853617E-7</v>
      </c>
      <c r="AB365">
        <v>320.5</v>
      </c>
      <c r="AC365">
        <v>11812.354512115713</v>
      </c>
      <c r="AD365" t="s">
        <v>82</v>
      </c>
      <c r="AE365">
        <v>320.5</v>
      </c>
      <c r="AF365">
        <v>90.000003368768844</v>
      </c>
      <c r="AG365" s="82">
        <f t="shared" si="105"/>
        <v>-9.3601229878004233E-8</v>
      </c>
      <c r="AH365">
        <v>320.5</v>
      </c>
      <c r="AI365">
        <v>12222.518826454727</v>
      </c>
      <c r="AJ365" t="s">
        <v>82</v>
      </c>
      <c r="AK365">
        <v>320.5</v>
      </c>
      <c r="AL365">
        <v>89.999998404883058</v>
      </c>
      <c r="AM365" s="82">
        <f t="shared" si="106"/>
        <v>1.5530239210193031E-6</v>
      </c>
      <c r="AN365">
        <v>320.5</v>
      </c>
      <c r="AO365">
        <v>12676.380927706688</v>
      </c>
      <c r="AP365" t="s">
        <v>82</v>
      </c>
      <c r="AQ365">
        <v>320.5</v>
      </c>
      <c r="AR365">
        <v>89.99998452969902</v>
      </c>
      <c r="AS365" s="82">
        <f t="shared" si="107"/>
        <v>3.9963941986798091E-6</v>
      </c>
      <c r="AT365">
        <v>320.5</v>
      </c>
      <c r="AU365">
        <v>13179.081073579151</v>
      </c>
      <c r="AV365" t="s">
        <v>82</v>
      </c>
      <c r="AW365">
        <v>320.5</v>
      </c>
      <c r="AX365">
        <v>89.999962180417413</v>
      </c>
      <c r="AY365" s="82">
        <f t="shared" si="108"/>
        <v>4.031980168406335E-6</v>
      </c>
      <c r="AZ365">
        <v>320.5</v>
      </c>
      <c r="BA365">
        <v>13735.293621168306</v>
      </c>
      <c r="BB365" t="s">
        <v>82</v>
      </c>
      <c r="BC365">
        <v>320.5</v>
      </c>
      <c r="BD365">
        <v>89.999960105758035</v>
      </c>
      <c r="BE365" s="82">
        <f t="shared" si="109"/>
        <v>-8.7369659098612829E-6</v>
      </c>
      <c r="BF365">
        <v>320.5</v>
      </c>
      <c r="BG365">
        <v>14350.24930976848</v>
      </c>
      <c r="BH365" t="s">
        <v>82</v>
      </c>
      <c r="BI365">
        <v>320.5</v>
      </c>
      <c r="BJ365">
        <v>90.000081968144059</v>
      </c>
      <c r="BK365" s="82">
        <f t="shared" si="110"/>
        <v>-5.2395494449797297E-5</v>
      </c>
      <c r="BL365">
        <v>320.5</v>
      </c>
      <c r="BM365">
        <v>15040.432130783787</v>
      </c>
      <c r="BN365" t="s">
        <v>82</v>
      </c>
      <c r="BO365">
        <v>320.5</v>
      </c>
      <c r="BP365">
        <v>90.000507591913021</v>
      </c>
      <c r="BQ365" s="82">
        <f t="shared" si="111"/>
        <v>-1.1969686947566061E-4</v>
      </c>
      <c r="BR365">
        <v>320.5</v>
      </c>
      <c r="BS365">
        <v>15812.527523976336</v>
      </c>
      <c r="BT365" t="s">
        <v>82</v>
      </c>
      <c r="BU365">
        <v>320.5</v>
      </c>
      <c r="BV365">
        <v>90.001092342803261</v>
      </c>
      <c r="BW365" s="82">
        <f t="shared" si="112"/>
        <v>-3.8539464000564294E-5</v>
      </c>
      <c r="BX365">
        <v>320.5</v>
      </c>
      <c r="BY365">
        <v>16622.773694309373</v>
      </c>
      <c r="BZ365" t="s">
        <v>82</v>
      </c>
      <c r="CA365">
        <v>320.5</v>
      </c>
      <c r="CB365">
        <v>89.999818184707081</v>
      </c>
      <c r="CC365" s="82">
        <f t="shared" si="113"/>
        <v>7.35122794282006E-4</v>
      </c>
      <c r="CD365">
        <v>320.5</v>
      </c>
      <c r="CE365">
        <v>17655.267739324579</v>
      </c>
      <c r="CF365" t="s">
        <v>82</v>
      </c>
      <c r="CG365">
        <v>320.5</v>
      </c>
      <c r="CH365">
        <v>89.990996229517336</v>
      </c>
      <c r="CI365" s="82">
        <f t="shared" si="114"/>
        <v>2.6950303866044578E-3</v>
      </c>
      <c r="CJ365">
        <v>320.5</v>
      </c>
      <c r="CK365">
        <v>19114.311738266744</v>
      </c>
      <c r="CL365" t="s">
        <v>82</v>
      </c>
      <c r="CM365">
        <v>320.5</v>
      </c>
      <c r="CN365">
        <v>89.971795609713851</v>
      </c>
      <c r="CO365" s="82">
        <f t="shared" si="115"/>
        <v>2.8950693724141274E-3</v>
      </c>
      <c r="CP365">
        <v>320.5</v>
      </c>
      <c r="CQ365">
        <v>20264.23496843558</v>
      </c>
      <c r="CR365" t="s">
        <v>82</v>
      </c>
      <c r="CS365">
        <v>320.5</v>
      </c>
      <c r="CT365">
        <v>89.984542882114511</v>
      </c>
      <c r="CU365" s="82">
        <f t="shared" si="116"/>
        <v>-1.3948696124188587E-2</v>
      </c>
      <c r="CV365">
        <v>320.5</v>
      </c>
      <c r="CW365">
        <v>23777.236483308196</v>
      </c>
      <c r="CX365" t="s">
        <v>82</v>
      </c>
      <c r="CY365">
        <v>320.5</v>
      </c>
      <c r="CZ365">
        <v>90.222606169869493</v>
      </c>
      <c r="DA365" s="82">
        <f t="shared" si="117"/>
        <v>-7.724893270697919E-2</v>
      </c>
      <c r="DB365">
        <v>320.5</v>
      </c>
      <c r="DC365">
        <v>46522.034848780371</v>
      </c>
      <c r="DD365" t="s">
        <v>82</v>
      </c>
      <c r="DG365" s="82">
        <f t="shared" si="118"/>
        <v>0</v>
      </c>
      <c r="DM365" s="82">
        <f t="shared" si="119"/>
        <v>0</v>
      </c>
    </row>
    <row r="366" spans="1:117" x14ac:dyDescent="0.2">
      <c r="A366">
        <v>321.5</v>
      </c>
      <c r="B366">
        <v>90.000001681586397</v>
      </c>
      <c r="C366" s="82">
        <f t="shared" si="100"/>
        <v>-8.620947227200304E-7</v>
      </c>
      <c r="D366">
        <v>321.5</v>
      </c>
      <c r="E366">
        <v>10531.622486273865</v>
      </c>
      <c r="F366" t="s">
        <v>82</v>
      </c>
      <c r="G366">
        <v>321.5</v>
      </c>
      <c r="H366">
        <v>90.000001587121801</v>
      </c>
      <c r="I366" s="82">
        <f t="shared" si="101"/>
        <v>-9.4128145633476379E-7</v>
      </c>
      <c r="J366">
        <v>321.5</v>
      </c>
      <c r="K366">
        <v>10801.501727845431</v>
      </c>
      <c r="L366" t="s">
        <v>82</v>
      </c>
      <c r="M366">
        <v>321.5</v>
      </c>
      <c r="N366">
        <v>90.000001718823384</v>
      </c>
      <c r="O366" s="82">
        <f t="shared" si="102"/>
        <v>-1.0561549004250992E-6</v>
      </c>
      <c r="P366">
        <v>321.5</v>
      </c>
      <c r="Q366">
        <v>11103.722715001768</v>
      </c>
      <c r="R366" t="s">
        <v>82</v>
      </c>
      <c r="S366">
        <v>321.5</v>
      </c>
      <c r="T366">
        <v>90.000002180955846</v>
      </c>
      <c r="U366" s="82">
        <f t="shared" si="103"/>
        <v>-1.1714901262394051E-6</v>
      </c>
      <c r="V366">
        <v>321.5</v>
      </c>
      <c r="W366">
        <v>11437.221848822663</v>
      </c>
      <c r="X366" t="s">
        <v>82</v>
      </c>
      <c r="Y366">
        <v>321.5</v>
      </c>
      <c r="Z366">
        <v>90.00000282085162</v>
      </c>
      <c r="AA366" s="82">
        <f t="shared" si="104"/>
        <v>-1.1536913149257089E-6</v>
      </c>
      <c r="AB366">
        <v>321.5</v>
      </c>
      <c r="AC366">
        <v>11807.302232350105</v>
      </c>
      <c r="AD366" t="s">
        <v>82</v>
      </c>
      <c r="AE366">
        <v>321.5</v>
      </c>
      <c r="AF366">
        <v>90.000002679992647</v>
      </c>
      <c r="AG366" s="82">
        <f t="shared" si="105"/>
        <v>-6.8877619696650072E-7</v>
      </c>
      <c r="AH366">
        <v>321.5</v>
      </c>
      <c r="AI366">
        <v>12217.006554103571</v>
      </c>
      <c r="AJ366" t="s">
        <v>82</v>
      </c>
      <c r="AK366">
        <v>321.5</v>
      </c>
      <c r="AL366">
        <v>89.999999094130402</v>
      </c>
      <c r="AM366" s="82">
        <f t="shared" si="106"/>
        <v>6.8924734364372853E-7</v>
      </c>
      <c r="AN366">
        <v>321.5</v>
      </c>
      <c r="AO366">
        <v>12669.965613917882</v>
      </c>
      <c r="AP366" t="s">
        <v>82</v>
      </c>
      <c r="AQ366">
        <v>321.5</v>
      </c>
      <c r="AR366">
        <v>89.999987574306502</v>
      </c>
      <c r="AS366" s="82">
        <f t="shared" si="107"/>
        <v>3.0446074816836699E-6</v>
      </c>
      <c r="AT366">
        <v>321.5</v>
      </c>
      <c r="AU366">
        <v>13172.039550874515</v>
      </c>
      <c r="AV366" t="s">
        <v>82</v>
      </c>
      <c r="AW366">
        <v>321.5</v>
      </c>
      <c r="AX366">
        <v>89.999966280901162</v>
      </c>
      <c r="AY366" s="82">
        <f t="shared" si="108"/>
        <v>4.1004837498803681E-6</v>
      </c>
      <c r="AZ366">
        <v>321.5</v>
      </c>
      <c r="BA366">
        <v>13727.827341983968</v>
      </c>
      <c r="BB366" t="s">
        <v>82</v>
      </c>
      <c r="BC366">
        <v>321.5</v>
      </c>
      <c r="BD366">
        <v>89.99995531371475</v>
      </c>
      <c r="BE366" s="82">
        <f t="shared" si="109"/>
        <v>-4.7920432848513883E-6</v>
      </c>
      <c r="BF366">
        <v>321.5</v>
      </c>
      <c r="BG366">
        <v>14341.248244423183</v>
      </c>
      <c r="BH366" t="s">
        <v>82</v>
      </c>
      <c r="BI366">
        <v>321.5</v>
      </c>
      <c r="BJ366">
        <v>90.000040815422736</v>
      </c>
      <c r="BK366" s="82">
        <f t="shared" si="110"/>
        <v>-4.1152721323101105E-5</v>
      </c>
      <c r="BL366">
        <v>321.5</v>
      </c>
      <c r="BM366">
        <v>15028.755733972203</v>
      </c>
      <c r="BN366" t="s">
        <v>82</v>
      </c>
      <c r="BO366">
        <v>321.5</v>
      </c>
      <c r="BP366">
        <v>90.000399353993487</v>
      </c>
      <c r="BQ366" s="82">
        <f t="shared" si="111"/>
        <v>-1.0823791953384898E-4</v>
      </c>
      <c r="BR366">
        <v>321.5</v>
      </c>
      <c r="BS366">
        <v>15799.490289964317</v>
      </c>
      <c r="BT366" t="s">
        <v>82</v>
      </c>
      <c r="BU366">
        <v>321.5</v>
      </c>
      <c r="BV366">
        <v>90.001013608500045</v>
      </c>
      <c r="BW366" s="82">
        <f t="shared" si="112"/>
        <v>-7.8734303215810542E-5</v>
      </c>
      <c r="BX366">
        <v>321.5</v>
      </c>
      <c r="BY366">
        <v>16621.279337167907</v>
      </c>
      <c r="BZ366" t="s">
        <v>82</v>
      </c>
      <c r="CA366">
        <v>321.5</v>
      </c>
      <c r="CB366">
        <v>90.000339761349323</v>
      </c>
      <c r="CC366" s="82">
        <f t="shared" si="113"/>
        <v>5.2157664224239397E-4</v>
      </c>
      <c r="CD366">
        <v>321.5</v>
      </c>
      <c r="CE366">
        <v>17588.661717833449</v>
      </c>
      <c r="CF366" t="s">
        <v>82</v>
      </c>
      <c r="CG366">
        <v>321.5</v>
      </c>
      <c r="CH366">
        <v>89.993297263484536</v>
      </c>
      <c r="CI366" s="82">
        <f t="shared" si="114"/>
        <v>2.3010339671998281E-3</v>
      </c>
      <c r="CJ366">
        <v>321.5</v>
      </c>
      <c r="CK366">
        <v>18988.902159217898</v>
      </c>
      <c r="CL366" t="s">
        <v>82</v>
      </c>
      <c r="CM366">
        <v>321.5</v>
      </c>
      <c r="CN366">
        <v>89.975130713317881</v>
      </c>
      <c r="CO366" s="82">
        <f t="shared" si="115"/>
        <v>3.3351036040301096E-3</v>
      </c>
      <c r="CP366">
        <v>321.5</v>
      </c>
      <c r="CQ366">
        <v>20336.825454205598</v>
      </c>
      <c r="CR366" t="s">
        <v>82</v>
      </c>
      <c r="CS366">
        <v>321.5</v>
      </c>
      <c r="CT366">
        <v>89.975563805755584</v>
      </c>
      <c r="CU366" s="82">
        <f t="shared" si="116"/>
        <v>-8.9790763589263634E-3</v>
      </c>
      <c r="CV366">
        <v>321.5</v>
      </c>
      <c r="CW366">
        <v>22434.542467759569</v>
      </c>
      <c r="CX366" t="s">
        <v>82</v>
      </c>
      <c r="CY366">
        <v>321.5</v>
      </c>
      <c r="CZ366">
        <v>90.158577424527152</v>
      </c>
      <c r="DA366" s="82">
        <f t="shared" si="117"/>
        <v>-6.4028745342341153E-2</v>
      </c>
      <c r="DB366">
        <v>321.5</v>
      </c>
      <c r="DC366">
        <v>41818.295360498829</v>
      </c>
      <c r="DD366" t="s">
        <v>82</v>
      </c>
      <c r="DG366" s="82">
        <f t="shared" si="118"/>
        <v>0</v>
      </c>
      <c r="DM366" s="82">
        <f t="shared" si="119"/>
        <v>0</v>
      </c>
    </row>
    <row r="367" spans="1:117" x14ac:dyDescent="0.2">
      <c r="A367">
        <v>322.5</v>
      </c>
      <c r="B367">
        <v>90.000000355828845</v>
      </c>
      <c r="C367" s="82">
        <f t="shared" si="100"/>
        <v>-1.3257575517400255E-6</v>
      </c>
      <c r="D367">
        <v>322.5</v>
      </c>
      <c r="E367">
        <v>10528.271490318375</v>
      </c>
      <c r="F367" t="s">
        <v>82</v>
      </c>
      <c r="G367">
        <v>322.5</v>
      </c>
      <c r="H367">
        <v>90.000000197276208</v>
      </c>
      <c r="I367" s="82">
        <f t="shared" si="101"/>
        <v>-1.3898455932803699E-6</v>
      </c>
      <c r="J367">
        <v>322.5</v>
      </c>
      <c r="K367">
        <v>10797.800137858078</v>
      </c>
      <c r="L367" t="s">
        <v>82</v>
      </c>
      <c r="M367">
        <v>322.5</v>
      </c>
      <c r="N367">
        <v>90.000000228852073</v>
      </c>
      <c r="O367" s="82">
        <f t="shared" si="102"/>
        <v>-1.4899713107752177E-6</v>
      </c>
      <c r="P367">
        <v>322.5</v>
      </c>
      <c r="Q367">
        <v>11099.635326619484</v>
      </c>
      <c r="R367" t="s">
        <v>82</v>
      </c>
      <c r="S367">
        <v>322.5</v>
      </c>
      <c r="T367">
        <v>90.000000575153635</v>
      </c>
      <c r="U367" s="82">
        <f t="shared" si="103"/>
        <v>-1.6058022112019898E-6</v>
      </c>
      <c r="V367">
        <v>322.5</v>
      </c>
      <c r="W367">
        <v>11432.719400316726</v>
      </c>
      <c r="X367" t="s">
        <v>82</v>
      </c>
      <c r="Y367">
        <v>322.5</v>
      </c>
      <c r="Z367">
        <v>90.000001185023393</v>
      </c>
      <c r="AA367" s="82">
        <f t="shared" si="104"/>
        <v>-1.6358282266537572E-6</v>
      </c>
      <c r="AB367">
        <v>322.5</v>
      </c>
      <c r="AC367">
        <v>11802.357855326123</v>
      </c>
      <c r="AD367" t="s">
        <v>82</v>
      </c>
      <c r="AE367">
        <v>322.5</v>
      </c>
      <c r="AF367">
        <v>90.000001366223188</v>
      </c>
      <c r="AG367" s="82">
        <f t="shared" si="105"/>
        <v>-1.3137694594433924E-6</v>
      </c>
      <c r="AH367">
        <v>322.5</v>
      </c>
      <c r="AI367">
        <v>12211.60364768002</v>
      </c>
      <c r="AJ367" t="s">
        <v>82</v>
      </c>
      <c r="AK367">
        <v>322.5</v>
      </c>
      <c r="AL367">
        <v>89.999998906825581</v>
      </c>
      <c r="AM367" s="82">
        <f t="shared" si="106"/>
        <v>-1.8730482054252207E-7</v>
      </c>
      <c r="AN367">
        <v>322.5</v>
      </c>
      <c r="AO367">
        <v>12663.969086241497</v>
      </c>
      <c r="AP367" t="s">
        <v>82</v>
      </c>
      <c r="AQ367">
        <v>322.5</v>
      </c>
      <c r="AR367">
        <v>89.999989571010445</v>
      </c>
      <c r="AS367" s="82">
        <f t="shared" si="107"/>
        <v>1.9967039435186962E-6</v>
      </c>
      <c r="AT367">
        <v>322.5</v>
      </c>
      <c r="AU367">
        <v>13165.097724332854</v>
      </c>
      <c r="AV367" t="s">
        <v>82</v>
      </c>
      <c r="AW367">
        <v>322.5</v>
      </c>
      <c r="AX367">
        <v>89.99997000087933</v>
      </c>
      <c r="AY367" s="82">
        <f t="shared" si="108"/>
        <v>3.7199781672825338E-6</v>
      </c>
      <c r="AZ367">
        <v>322.5</v>
      </c>
      <c r="BA367">
        <v>13720.389628958437</v>
      </c>
      <c r="BB367" t="s">
        <v>82</v>
      </c>
      <c r="BC367">
        <v>322.5</v>
      </c>
      <c r="BD367">
        <v>89.999953282589374</v>
      </c>
      <c r="BE367" s="82">
        <f t="shared" si="109"/>
        <v>-2.0311253763338755E-6</v>
      </c>
      <c r="BF367">
        <v>322.5</v>
      </c>
      <c r="BG367">
        <v>14332.680144914075</v>
      </c>
      <c r="BH367" t="s">
        <v>82</v>
      </c>
      <c r="BI367">
        <v>322.5</v>
      </c>
      <c r="BJ367">
        <v>90.000009268208444</v>
      </c>
      <c r="BK367" s="82">
        <f t="shared" si="110"/>
        <v>-3.1547214291549608E-5</v>
      </c>
      <c r="BL367">
        <v>322.5</v>
      </c>
      <c r="BM367">
        <v>15017.679039234996</v>
      </c>
      <c r="BN367" t="s">
        <v>82</v>
      </c>
      <c r="BO367">
        <v>322.5</v>
      </c>
      <c r="BP367">
        <v>90.000304090439755</v>
      </c>
      <c r="BQ367" s="82">
        <f t="shared" si="111"/>
        <v>-9.5263553731683714E-5</v>
      </c>
      <c r="BR367">
        <v>322.5</v>
      </c>
      <c r="BS367">
        <v>15786.358769726752</v>
      </c>
      <c r="BT367" t="s">
        <v>82</v>
      </c>
      <c r="BU367">
        <v>322.5</v>
      </c>
      <c r="BV367">
        <v>90.000910460402551</v>
      </c>
      <c r="BW367" s="82">
        <f t="shared" si="112"/>
        <v>-1.031480974944543E-4</v>
      </c>
      <c r="BX367">
        <v>322.5</v>
      </c>
      <c r="BY367">
        <v>16616.058489888208</v>
      </c>
      <c r="BZ367" t="s">
        <v>82</v>
      </c>
      <c r="CA367">
        <v>322.5</v>
      </c>
      <c r="CB367">
        <v>90.000687643080639</v>
      </c>
      <c r="CC367" s="82">
        <f t="shared" si="113"/>
        <v>3.4788173131516942E-4</v>
      </c>
      <c r="CD367">
        <v>322.5</v>
      </c>
      <c r="CE367">
        <v>17533.095196298676</v>
      </c>
      <c r="CF367" t="s">
        <v>82</v>
      </c>
      <c r="CG367">
        <v>322.5</v>
      </c>
      <c r="CH367">
        <v>89.995214264008908</v>
      </c>
      <c r="CI367" s="82">
        <f t="shared" si="114"/>
        <v>1.9170005243722699E-3</v>
      </c>
      <c r="CJ367">
        <v>322.5</v>
      </c>
      <c r="CK367">
        <v>18868.928521551672</v>
      </c>
      <c r="CL367" t="s">
        <v>82</v>
      </c>
      <c r="CM367">
        <v>322.5</v>
      </c>
      <c r="CN367">
        <v>89.978610872991041</v>
      </c>
      <c r="CO367" s="82">
        <f t="shared" si="115"/>
        <v>3.4801596731597328E-3</v>
      </c>
      <c r="CP367">
        <v>322.5</v>
      </c>
      <c r="CQ367">
        <v>20335.043352644359</v>
      </c>
      <c r="CR367" t="s">
        <v>82</v>
      </c>
      <c r="CS367">
        <v>322.5</v>
      </c>
      <c r="CT367">
        <v>89.970453564924895</v>
      </c>
      <c r="CU367" s="82">
        <f t="shared" si="116"/>
        <v>-5.1102408306888947E-3</v>
      </c>
      <c r="CV367">
        <v>322.5</v>
      </c>
      <c r="CW367">
        <v>21407.718130059573</v>
      </c>
      <c r="CX367" t="s">
        <v>82</v>
      </c>
      <c r="CY367">
        <v>322.5</v>
      </c>
      <c r="CZ367">
        <v>90.106744157392512</v>
      </c>
      <c r="DA367" s="82">
        <f t="shared" si="117"/>
        <v>-5.1833267134639982E-2</v>
      </c>
      <c r="DB367">
        <v>322.5</v>
      </c>
      <c r="DC367">
        <v>37549.178183238029</v>
      </c>
      <c r="DD367" t="s">
        <v>82</v>
      </c>
      <c r="DG367" s="82">
        <f t="shared" si="118"/>
        <v>0</v>
      </c>
      <c r="DM367" s="82">
        <f t="shared" si="119"/>
        <v>0</v>
      </c>
    </row>
    <row r="368" spans="1:117" x14ac:dyDescent="0.2">
      <c r="A368">
        <v>323.5</v>
      </c>
      <c r="B368">
        <v>89.999998455720785</v>
      </c>
      <c r="C368" s="82">
        <f t="shared" si="100"/>
        <v>-1.9001080602265574E-6</v>
      </c>
      <c r="D368">
        <v>323.5</v>
      </c>
      <c r="E368">
        <v>10525.006608464048</v>
      </c>
      <c r="F368" t="s">
        <v>82</v>
      </c>
      <c r="G368">
        <v>323.5</v>
      </c>
      <c r="H368">
        <v>89.999998249877351</v>
      </c>
      <c r="I368" s="82">
        <f t="shared" si="101"/>
        <v>-1.9473988572826784E-6</v>
      </c>
      <c r="J368">
        <v>323.5</v>
      </c>
      <c r="K368">
        <v>10794.191352988253</v>
      </c>
      <c r="L368" t="s">
        <v>82</v>
      </c>
      <c r="M368">
        <v>323.5</v>
      </c>
      <c r="N368">
        <v>89.999998199939711</v>
      </c>
      <c r="O368" s="82">
        <f t="shared" si="102"/>
        <v>-2.0289123625616412E-6</v>
      </c>
      <c r="P368">
        <v>323.5</v>
      </c>
      <c r="Q368">
        <v>11095.647584751132</v>
      </c>
      <c r="R368" t="s">
        <v>82</v>
      </c>
      <c r="S368">
        <v>323.5</v>
      </c>
      <c r="T368">
        <v>89.999998439366124</v>
      </c>
      <c r="U368" s="82">
        <f t="shared" si="103"/>
        <v>-2.1357875112926195E-6</v>
      </c>
      <c r="V368">
        <v>323.5</v>
      </c>
      <c r="W368">
        <v>11428.322827846818</v>
      </c>
      <c r="X368" t="s">
        <v>82</v>
      </c>
      <c r="Y368">
        <v>323.5</v>
      </c>
      <c r="Z368">
        <v>89.9999989911271</v>
      </c>
      <c r="AA368" s="82">
        <f t="shared" si="104"/>
        <v>-2.1938962930789785E-6</v>
      </c>
      <c r="AB368">
        <v>323.5</v>
      </c>
      <c r="AC368">
        <v>11797.5237829175</v>
      </c>
      <c r="AD368" t="s">
        <v>82</v>
      </c>
      <c r="AE368">
        <v>323.5</v>
      </c>
      <c r="AF368">
        <v>89.999999382989131</v>
      </c>
      <c r="AG368" s="82">
        <f t="shared" si="105"/>
        <v>-1.9832340569791995E-6</v>
      </c>
      <c r="AH368">
        <v>323.5</v>
      </c>
      <c r="AI368">
        <v>12206.312999816813</v>
      </c>
      <c r="AJ368" t="s">
        <v>82</v>
      </c>
      <c r="AK368">
        <v>323.5</v>
      </c>
      <c r="AL368">
        <v>89.999997824094706</v>
      </c>
      <c r="AM368" s="82">
        <f t="shared" si="106"/>
        <v>-1.0827308756233833E-6</v>
      </c>
      <c r="AN368">
        <v>323.5</v>
      </c>
      <c r="AO368">
        <v>12658.211118910827</v>
      </c>
      <c r="AP368" t="s">
        <v>82</v>
      </c>
      <c r="AQ368">
        <v>323.5</v>
      </c>
      <c r="AR368">
        <v>89.999990452172781</v>
      </c>
      <c r="AS368" s="82">
        <f t="shared" si="107"/>
        <v>8.8116233598611871E-7</v>
      </c>
      <c r="AT368">
        <v>323.5</v>
      </c>
      <c r="AU368">
        <v>13158.261666013466</v>
      </c>
      <c r="AV368" t="s">
        <v>82</v>
      </c>
      <c r="AW368">
        <v>323.5</v>
      </c>
      <c r="AX368">
        <v>89.99997299541279</v>
      </c>
      <c r="AY368" s="82">
        <f t="shared" si="108"/>
        <v>2.9945334603098672E-6</v>
      </c>
      <c r="AZ368">
        <v>323.5</v>
      </c>
      <c r="BA368">
        <v>13713.005236336088</v>
      </c>
      <c r="BB368" t="s">
        <v>82</v>
      </c>
      <c r="BC368">
        <v>323.5</v>
      </c>
      <c r="BD368">
        <v>89.999953006879466</v>
      </c>
      <c r="BE368" s="82">
        <f t="shared" si="109"/>
        <v>-2.7570990823733155E-7</v>
      </c>
      <c r="BF368">
        <v>323.5</v>
      </c>
      <c r="BG368">
        <v>14324.596185980114</v>
      </c>
      <c r="BH368" t="s">
        <v>82</v>
      </c>
      <c r="BI368">
        <v>323.5</v>
      </c>
      <c r="BJ368">
        <v>89.999985686952584</v>
      </c>
      <c r="BK368" s="82">
        <f t="shared" si="110"/>
        <v>-2.3581255859994599E-5</v>
      </c>
      <c r="BL368">
        <v>323.5</v>
      </c>
      <c r="BM368">
        <v>15007.19128213144</v>
      </c>
      <c r="BN368" t="s">
        <v>82</v>
      </c>
      <c r="BO368">
        <v>323.5</v>
      </c>
      <c r="BP368">
        <v>90.000222218462014</v>
      </c>
      <c r="BQ368" s="82">
        <f t="shared" si="111"/>
        <v>-8.1871977741343471E-5</v>
      </c>
      <c r="BR368">
        <v>323.5</v>
      </c>
      <c r="BS368">
        <v>15773.39209834722</v>
      </c>
      <c r="BT368" t="s">
        <v>82</v>
      </c>
      <c r="BU368">
        <v>323.5</v>
      </c>
      <c r="BV368">
        <v>90.000795043577128</v>
      </c>
      <c r="BW368" s="82">
        <f t="shared" si="112"/>
        <v>-1.1541682542315357E-4</v>
      </c>
      <c r="BX368">
        <v>323.5</v>
      </c>
      <c r="BY368">
        <v>16608.057292025838</v>
      </c>
      <c r="BZ368" t="s">
        <v>82</v>
      </c>
      <c r="CA368">
        <v>323.5</v>
      </c>
      <c r="CB368">
        <v>90.00089773364742</v>
      </c>
      <c r="CC368" s="82">
        <f t="shared" si="113"/>
        <v>2.1009056678167326E-4</v>
      </c>
      <c r="CD368">
        <v>323.5</v>
      </c>
      <c r="CE368">
        <v>17487.343074282631</v>
      </c>
      <c r="CF368" t="s">
        <v>82</v>
      </c>
      <c r="CG368">
        <v>323.5</v>
      </c>
      <c r="CH368">
        <v>89.996772020927736</v>
      </c>
      <c r="CI368" s="82">
        <f t="shared" si="114"/>
        <v>1.5577569188280904E-3</v>
      </c>
      <c r="CJ368">
        <v>323.5</v>
      </c>
      <c r="CK368">
        <v>18757.832552006996</v>
      </c>
      <c r="CL368" t="s">
        <v>82</v>
      </c>
      <c r="CM368">
        <v>323.5</v>
      </c>
      <c r="CN368">
        <v>89.982023795986294</v>
      </c>
      <c r="CO368" s="82">
        <f t="shared" si="115"/>
        <v>3.412922995252643E-3</v>
      </c>
      <c r="CP368">
        <v>323.5</v>
      </c>
      <c r="CQ368">
        <v>20280.978438221675</v>
      </c>
      <c r="CR368" t="s">
        <v>82</v>
      </c>
      <c r="CS368">
        <v>323.5</v>
      </c>
      <c r="CT368">
        <v>89.968266665212965</v>
      </c>
      <c r="CU368" s="82">
        <f t="shared" si="116"/>
        <v>-2.1868997119298683E-3</v>
      </c>
      <c r="CV368">
        <v>323.5</v>
      </c>
      <c r="CW368">
        <v>20645.586246300194</v>
      </c>
      <c r="CX368" t="s">
        <v>82</v>
      </c>
      <c r="CY368">
        <v>323.5</v>
      </c>
      <c r="CZ368">
        <v>90.065828587296664</v>
      </c>
      <c r="DA368" s="82">
        <f t="shared" si="117"/>
        <v>-4.0915570095847897E-2</v>
      </c>
      <c r="DB368">
        <v>323.5</v>
      </c>
      <c r="DC368">
        <v>33782.119803728892</v>
      </c>
      <c r="DD368" t="s">
        <v>82</v>
      </c>
      <c r="DG368" s="82">
        <f t="shared" si="118"/>
        <v>0</v>
      </c>
      <c r="DM368" s="82">
        <f t="shared" si="119"/>
        <v>0</v>
      </c>
    </row>
    <row r="369" spans="1:117" x14ac:dyDescent="0.2">
      <c r="A369">
        <v>324.5</v>
      </c>
      <c r="B369">
        <v>89.999995865386325</v>
      </c>
      <c r="C369" s="82">
        <f t="shared" si="100"/>
        <v>-2.5903344607058898E-6</v>
      </c>
      <c r="D369">
        <v>324.5</v>
      </c>
      <c r="E369">
        <v>10521.828195658007</v>
      </c>
      <c r="F369" t="s">
        <v>82</v>
      </c>
      <c r="G369">
        <v>324.5</v>
      </c>
      <c r="H369">
        <v>89.999995631133189</v>
      </c>
      <c r="I369" s="82">
        <f t="shared" si="101"/>
        <v>-2.6187441619640595E-6</v>
      </c>
      <c r="J369">
        <v>324.5</v>
      </c>
      <c r="K369">
        <v>10790.675640519175</v>
      </c>
      <c r="L369" t="s">
        <v>82</v>
      </c>
      <c r="M369">
        <v>324.5</v>
      </c>
      <c r="N369">
        <v>89.999995521943688</v>
      </c>
      <c r="O369" s="82">
        <f t="shared" si="102"/>
        <v>-2.6779960222711452E-6</v>
      </c>
      <c r="P369">
        <v>324.5</v>
      </c>
      <c r="Q369">
        <v>11091.759821673813</v>
      </c>
      <c r="R369" t="s">
        <v>82</v>
      </c>
      <c r="S369">
        <v>324.5</v>
      </c>
      <c r="T369">
        <v>89.99999567159054</v>
      </c>
      <c r="U369" s="82">
        <f t="shared" si="103"/>
        <v>-2.767775583834009E-6</v>
      </c>
      <c r="V369">
        <v>324.5</v>
      </c>
      <c r="W369">
        <v>11424.032691208486</v>
      </c>
      <c r="X369" t="s">
        <v>82</v>
      </c>
      <c r="Y369">
        <v>324.5</v>
      </c>
      <c r="Z369">
        <v>89.999996154392647</v>
      </c>
      <c r="AA369" s="82">
        <f t="shared" si="104"/>
        <v>-2.8367344526714078E-6</v>
      </c>
      <c r="AB369">
        <v>324.5</v>
      </c>
      <c r="AC369">
        <v>11792.80113068886</v>
      </c>
      <c r="AD369" t="s">
        <v>82</v>
      </c>
      <c r="AE369">
        <v>324.5</v>
      </c>
      <c r="AF369">
        <v>89.999996674999309</v>
      </c>
      <c r="AG369" s="82">
        <f t="shared" si="105"/>
        <v>-2.7079898217152731E-6</v>
      </c>
      <c r="AH369">
        <v>324.5</v>
      </c>
      <c r="AI369">
        <v>12201.136279171309</v>
      </c>
      <c r="AJ369" t="s">
        <v>82</v>
      </c>
      <c r="AK369">
        <v>324.5</v>
      </c>
      <c r="AL369">
        <v>89.999995821393085</v>
      </c>
      <c r="AM369" s="82">
        <f t="shared" si="106"/>
        <v>-2.0027016205403925E-6</v>
      </c>
      <c r="AN369">
        <v>324.5</v>
      </c>
      <c r="AO369">
        <v>12652.568953614962</v>
      </c>
      <c r="AP369" t="s">
        <v>82</v>
      </c>
      <c r="AQ369">
        <v>324.5</v>
      </c>
      <c r="AR369">
        <v>89.99999017150023</v>
      </c>
      <c r="AS369" s="82">
        <f t="shared" si="107"/>
        <v>-2.8067255186670081E-7</v>
      </c>
      <c r="AT369">
        <v>324.5</v>
      </c>
      <c r="AU369">
        <v>13151.978041347571</v>
      </c>
      <c r="AV369" t="s">
        <v>82</v>
      </c>
      <c r="AW369">
        <v>324.5</v>
      </c>
      <c r="AX369">
        <v>89.999975007632941</v>
      </c>
      <c r="AY369" s="82">
        <f t="shared" si="108"/>
        <v>2.0122201505046178E-6</v>
      </c>
      <c r="AZ369">
        <v>324.5</v>
      </c>
      <c r="BA369">
        <v>13705.695093698589</v>
      </c>
      <c r="BB369" t="s">
        <v>82</v>
      </c>
      <c r="BC369">
        <v>324.5</v>
      </c>
      <c r="BD369">
        <v>89.999953653488149</v>
      </c>
      <c r="BE369" s="82">
        <f t="shared" si="109"/>
        <v>6.4660868304144969E-7</v>
      </c>
      <c r="BF369">
        <v>324.5</v>
      </c>
      <c r="BG369">
        <v>14317.065884816233</v>
      </c>
      <c r="BH369" t="s">
        <v>82</v>
      </c>
      <c r="BI369">
        <v>324.5</v>
      </c>
      <c r="BJ369">
        <v>89.999968509218021</v>
      </c>
      <c r="BK369" s="82">
        <f t="shared" si="110"/>
        <v>-1.7177734562778824E-5</v>
      </c>
      <c r="BL369">
        <v>324.5</v>
      </c>
      <c r="BM369">
        <v>14997.263649545774</v>
      </c>
      <c r="BN369" t="s">
        <v>82</v>
      </c>
      <c r="BO369">
        <v>324.5</v>
      </c>
      <c r="BP369">
        <v>90.000153369332409</v>
      </c>
      <c r="BQ369" s="82">
        <f t="shared" si="111"/>
        <v>-6.8849129604586778E-5</v>
      </c>
      <c r="BR369">
        <v>324.5</v>
      </c>
      <c r="BS369">
        <v>15760.770666559316</v>
      </c>
      <c r="BT369" t="s">
        <v>82</v>
      </c>
      <c r="BU369">
        <v>324.5</v>
      </c>
      <c r="BV369">
        <v>90.000676385834126</v>
      </c>
      <c r="BW369" s="82">
        <f t="shared" si="112"/>
        <v>-1.1865774300190424E-4</v>
      </c>
      <c r="BX369">
        <v>324.5</v>
      </c>
      <c r="BY369">
        <v>16598.07790766062</v>
      </c>
      <c r="BZ369" t="s">
        <v>82</v>
      </c>
      <c r="CA369">
        <v>324.5</v>
      </c>
      <c r="CB369">
        <v>90.001001462434388</v>
      </c>
      <c r="CC369" s="82">
        <f t="shared" si="113"/>
        <v>1.0372878696784937E-4</v>
      </c>
      <c r="CD369">
        <v>324.5</v>
      </c>
      <c r="CE369">
        <v>17450.090920676423</v>
      </c>
      <c r="CF369" t="s">
        <v>82</v>
      </c>
      <c r="CG369">
        <v>324.5</v>
      </c>
      <c r="CH369">
        <v>89.998004426132567</v>
      </c>
      <c r="CI369" s="82">
        <f t="shared" si="114"/>
        <v>1.2324052048313661E-3</v>
      </c>
      <c r="CJ369">
        <v>324.5</v>
      </c>
      <c r="CK369">
        <v>18657.57388248272</v>
      </c>
      <c r="CL369" t="s">
        <v>82</v>
      </c>
      <c r="CM369">
        <v>324.5</v>
      </c>
      <c r="CN369">
        <v>89.985224725559107</v>
      </c>
      <c r="CO369" s="82">
        <f t="shared" si="115"/>
        <v>3.2009295728130382E-3</v>
      </c>
      <c r="CP369">
        <v>324.5</v>
      </c>
      <c r="CQ369">
        <v>20192.54595491894</v>
      </c>
      <c r="CR369" t="s">
        <v>82</v>
      </c>
      <c r="CS369">
        <v>324.5</v>
      </c>
      <c r="CT369">
        <v>89.968210539260937</v>
      </c>
      <c r="CU369" s="82">
        <f t="shared" si="116"/>
        <v>-5.612595202819648E-5</v>
      </c>
      <c r="CV369">
        <v>324.5</v>
      </c>
      <c r="CW369">
        <v>20503.229434245492</v>
      </c>
      <c r="CX369" t="s">
        <v>82</v>
      </c>
      <c r="CY369">
        <v>324.5</v>
      </c>
      <c r="CZ369">
        <v>90.034439403445191</v>
      </c>
      <c r="DA369" s="82">
        <f t="shared" si="117"/>
        <v>-3.138918385147349E-2</v>
      </c>
      <c r="DB369">
        <v>324.5</v>
      </c>
      <c r="DC369">
        <v>30539.061321787383</v>
      </c>
      <c r="DD369" t="s">
        <v>82</v>
      </c>
      <c r="DG369" s="82">
        <f t="shared" si="118"/>
        <v>0</v>
      </c>
      <c r="DM369" s="82">
        <f t="shared" si="119"/>
        <v>0</v>
      </c>
    </row>
    <row r="370" spans="1:117" x14ac:dyDescent="0.2">
      <c r="A370">
        <v>325.5</v>
      </c>
      <c r="B370">
        <v>89.999992469067692</v>
      </c>
      <c r="C370" s="82">
        <f t="shared" si="100"/>
        <v>-3.3963186325536299E-6</v>
      </c>
      <c r="D370">
        <v>325.5</v>
      </c>
      <c r="E370">
        <v>10518.735294062257</v>
      </c>
      <c r="F370" t="s">
        <v>82</v>
      </c>
      <c r="G370">
        <v>325.5</v>
      </c>
      <c r="H370">
        <v>89.99999222787207</v>
      </c>
      <c r="I370" s="82">
        <f t="shared" si="101"/>
        <v>-3.4032611182510664E-6</v>
      </c>
      <c r="J370">
        <v>325.5</v>
      </c>
      <c r="K370">
        <v>10787.251904373214</v>
      </c>
      <c r="L370" t="s">
        <v>82</v>
      </c>
      <c r="M370">
        <v>325.5</v>
      </c>
      <c r="N370">
        <v>89.999992085360546</v>
      </c>
      <c r="O370" s="82">
        <f t="shared" si="102"/>
        <v>-3.4365831425020588E-6</v>
      </c>
      <c r="P370">
        <v>325.5</v>
      </c>
      <c r="Q370">
        <v>11087.970841759556</v>
      </c>
      <c r="R370" t="s">
        <v>82</v>
      </c>
      <c r="S370">
        <v>325.5</v>
      </c>
      <c r="T370">
        <v>89.999992169512197</v>
      </c>
      <c r="U370" s="82">
        <f t="shared" si="103"/>
        <v>-3.5020783428763025E-6</v>
      </c>
      <c r="V370">
        <v>325.5</v>
      </c>
      <c r="W370">
        <v>11419.847940638585</v>
      </c>
      <c r="X370" t="s">
        <v>82</v>
      </c>
      <c r="Y370">
        <v>325.5</v>
      </c>
      <c r="Z370">
        <v>89.999992587523508</v>
      </c>
      <c r="AA370" s="82">
        <f t="shared" si="104"/>
        <v>-3.5668691396040231E-6</v>
      </c>
      <c r="AB370">
        <v>325.5</v>
      </c>
      <c r="AC370">
        <v>11788.189353703407</v>
      </c>
      <c r="AD370" t="s">
        <v>82</v>
      </c>
      <c r="AE370">
        <v>325.5</v>
      </c>
      <c r="AF370">
        <v>89.99999318200166</v>
      </c>
      <c r="AG370" s="82">
        <f t="shared" si="105"/>
        <v>-3.4929976493458526E-6</v>
      </c>
      <c r="AH370">
        <v>325.5</v>
      </c>
      <c r="AI370">
        <v>12196.073512946497</v>
      </c>
      <c r="AJ370" t="s">
        <v>82</v>
      </c>
      <c r="AK370">
        <v>325.5</v>
      </c>
      <c r="AL370">
        <v>89.999992871769209</v>
      </c>
      <c r="AM370" s="82">
        <f t="shared" si="106"/>
        <v>-2.9496238767023897E-6</v>
      </c>
      <c r="AN370">
        <v>325.5</v>
      </c>
      <c r="AO370">
        <v>12647.042260350472</v>
      </c>
      <c r="AP370" t="s">
        <v>82</v>
      </c>
      <c r="AQ370">
        <v>325.5</v>
      </c>
      <c r="AR370">
        <v>89.999988700718262</v>
      </c>
      <c r="AS370" s="82">
        <f t="shared" si="107"/>
        <v>-1.470781967327639E-6</v>
      </c>
      <c r="AT370">
        <v>325.5</v>
      </c>
      <c r="AU370">
        <v>13145.970140903071</v>
      </c>
      <c r="AV370" t="s">
        <v>82</v>
      </c>
      <c r="AW370">
        <v>325.5</v>
      </c>
      <c r="AX370">
        <v>89.999975856111192</v>
      </c>
      <c r="AY370" s="82">
        <f t="shared" si="108"/>
        <v>8.4847825121414644E-7</v>
      </c>
      <c r="AZ370">
        <v>325.5</v>
      </c>
      <c r="BA370">
        <v>13698.477466390894</v>
      </c>
      <c r="BB370" t="s">
        <v>82</v>
      </c>
      <c r="BC370">
        <v>325.5</v>
      </c>
      <c r="BD370">
        <v>89.999954552172255</v>
      </c>
      <c r="BE370" s="82">
        <f t="shared" si="109"/>
        <v>8.9868410668714205E-7</v>
      </c>
      <c r="BF370">
        <v>325.5</v>
      </c>
      <c r="BG370">
        <v>14309.521012606507</v>
      </c>
      <c r="BH370" t="s">
        <v>82</v>
      </c>
      <c r="BI370">
        <v>325.5</v>
      </c>
      <c r="BJ370">
        <v>89.999956304532944</v>
      </c>
      <c r="BK370" s="82">
        <f t="shared" si="110"/>
        <v>-1.2204685077676913E-5</v>
      </c>
      <c r="BL370">
        <v>325.5</v>
      </c>
      <c r="BM370">
        <v>14987.855117977098</v>
      </c>
      <c r="BN370" t="s">
        <v>82</v>
      </c>
      <c r="BO370">
        <v>325.5</v>
      </c>
      <c r="BP370">
        <v>90.000096646311178</v>
      </c>
      <c r="BQ370" s="82">
        <f t="shared" si="111"/>
        <v>-5.6723021231164239E-5</v>
      </c>
      <c r="BR370">
        <v>325.5</v>
      </c>
      <c r="BS370">
        <v>15748.610558692772</v>
      </c>
      <c r="BT370" t="s">
        <v>82</v>
      </c>
      <c r="BU370">
        <v>325.5</v>
      </c>
      <c r="BV370">
        <v>90.000560907751165</v>
      </c>
      <c r="BW370" s="82">
        <f t="shared" si="112"/>
        <v>-1.1547808296086259E-4</v>
      </c>
      <c r="BX370">
        <v>325.5</v>
      </c>
      <c r="BY370">
        <v>16586.783633523726</v>
      </c>
      <c r="BZ370" t="s">
        <v>82</v>
      </c>
      <c r="CA370">
        <v>325.5</v>
      </c>
      <c r="CB370">
        <v>90.001025626297562</v>
      </c>
      <c r="CC370" s="82">
        <f t="shared" si="113"/>
        <v>2.4163863173498612E-5</v>
      </c>
      <c r="CD370">
        <v>325.5</v>
      </c>
      <c r="CE370">
        <v>17422.569150277785</v>
      </c>
      <c r="CF370" t="s">
        <v>82</v>
      </c>
      <c r="CG370">
        <v>325.5</v>
      </c>
      <c r="CH370">
        <v>89.998950062299087</v>
      </c>
      <c r="CI370" s="82">
        <f t="shared" si="114"/>
        <v>9.4563616652010296E-4</v>
      </c>
      <c r="CJ370">
        <v>325.5</v>
      </c>
      <c r="CK370">
        <v>18568.994161310082</v>
      </c>
      <c r="CL370" t="s">
        <v>82</v>
      </c>
      <c r="CM370">
        <v>325.5</v>
      </c>
      <c r="CN370">
        <v>89.988122772031872</v>
      </c>
      <c r="CO370" s="82">
        <f t="shared" si="115"/>
        <v>2.8980464727652588E-3</v>
      </c>
      <c r="CP370">
        <v>325.5</v>
      </c>
      <c r="CQ370">
        <v>20083.886556967922</v>
      </c>
      <c r="CR370" t="s">
        <v>82</v>
      </c>
      <c r="CS370">
        <v>325.5</v>
      </c>
      <c r="CT370">
        <v>89.969636844582126</v>
      </c>
      <c r="CU370" s="82">
        <f t="shared" si="116"/>
        <v>1.4263053211891474E-3</v>
      </c>
      <c r="CV370">
        <v>325.5</v>
      </c>
      <c r="CW370">
        <v>20851.138050002344</v>
      </c>
      <c r="CX370" t="s">
        <v>82</v>
      </c>
      <c r="CY370">
        <v>325.5</v>
      </c>
      <c r="CZ370">
        <v>90.011173872781697</v>
      </c>
      <c r="DA370" s="82">
        <f t="shared" si="117"/>
        <v>-2.3265530663493905E-2</v>
      </c>
      <c r="DB370">
        <v>325.5</v>
      </c>
      <c r="DC370">
        <v>27809.155701987042</v>
      </c>
      <c r="DD370" t="s">
        <v>82</v>
      </c>
      <c r="DG370" s="82">
        <f t="shared" si="118"/>
        <v>0</v>
      </c>
      <c r="DM370" s="82">
        <f t="shared" si="119"/>
        <v>0</v>
      </c>
    </row>
    <row r="371" spans="1:117" x14ac:dyDescent="0.2">
      <c r="A371">
        <v>326.5</v>
      </c>
      <c r="B371">
        <v>89.999988158664664</v>
      </c>
      <c r="C371" s="82">
        <f t="shared" si="100"/>
        <v>-4.3104030282847816E-6</v>
      </c>
      <c r="D371">
        <v>326.5</v>
      </c>
      <c r="E371">
        <v>10515.725139372467</v>
      </c>
      <c r="F371" t="s">
        <v>82</v>
      </c>
      <c r="G371">
        <v>326.5</v>
      </c>
      <c r="H371">
        <v>89.999987935144915</v>
      </c>
      <c r="I371" s="82">
        <f t="shared" si="101"/>
        <v>-4.2927271550752266E-6</v>
      </c>
      <c r="J371">
        <v>326.5</v>
      </c>
      <c r="K371">
        <v>10783.917155620406</v>
      </c>
      <c r="L371" t="s">
        <v>82</v>
      </c>
      <c r="M371">
        <v>326.5</v>
      </c>
      <c r="N371">
        <v>89.999987789098356</v>
      </c>
      <c r="O371" s="82">
        <f t="shared" si="102"/>
        <v>-4.2962621904507614E-6</v>
      </c>
      <c r="P371">
        <v>326.5</v>
      </c>
      <c r="Q371">
        <v>11084.277543987659</v>
      </c>
      <c r="R371" t="s">
        <v>82</v>
      </c>
      <c r="S371">
        <v>326.5</v>
      </c>
      <c r="T371">
        <v>89.999987838564394</v>
      </c>
      <c r="U371" s="82">
        <f t="shared" si="103"/>
        <v>-4.3309478030550963E-6</v>
      </c>
      <c r="V371">
        <v>326.5</v>
      </c>
      <c r="W371">
        <v>11415.76550793</v>
      </c>
      <c r="X371" t="s">
        <v>82</v>
      </c>
      <c r="Y371">
        <v>326.5</v>
      </c>
      <c r="Z371">
        <v>89.999988209054379</v>
      </c>
      <c r="AA371" s="82">
        <f t="shared" si="104"/>
        <v>-4.3784691285964072E-6</v>
      </c>
      <c r="AB371">
        <v>326.5</v>
      </c>
      <c r="AC371">
        <v>11783.685628111123</v>
      </c>
      <c r="AD371" t="s">
        <v>82</v>
      </c>
      <c r="AE371">
        <v>326.5</v>
      </c>
      <c r="AF371">
        <v>89.999988846944731</v>
      </c>
      <c r="AG371" s="82">
        <f t="shared" si="105"/>
        <v>-4.3350569285394158E-6</v>
      </c>
      <c r="AH371">
        <v>326.5</v>
      </c>
      <c r="AI371">
        <v>12191.122481973776</v>
      </c>
      <c r="AJ371" t="s">
        <v>82</v>
      </c>
      <c r="AK371">
        <v>326.5</v>
      </c>
      <c r="AL371">
        <v>89.99998895205762</v>
      </c>
      <c r="AM371" s="82">
        <f t="shared" si="106"/>
        <v>-3.9197115881961508E-6</v>
      </c>
      <c r="AN371">
        <v>326.5</v>
      </c>
      <c r="AO371">
        <v>12641.628746430073</v>
      </c>
      <c r="AP371" t="s">
        <v>82</v>
      </c>
      <c r="AQ371">
        <v>326.5</v>
      </c>
      <c r="AR371">
        <v>89.999986030210394</v>
      </c>
      <c r="AS371" s="82">
        <f t="shared" si="107"/>
        <v>-2.6705078681743544E-6</v>
      </c>
      <c r="AT371">
        <v>326.5</v>
      </c>
      <c r="AU371">
        <v>13140.080928746551</v>
      </c>
      <c r="AV371" t="s">
        <v>82</v>
      </c>
      <c r="AW371">
        <v>326.5</v>
      </c>
      <c r="AX371">
        <v>89.999975426304388</v>
      </c>
      <c r="AY371" s="82">
        <f t="shared" si="108"/>
        <v>-4.2980680348136957E-7</v>
      </c>
      <c r="AZ371">
        <v>326.5</v>
      </c>
      <c r="BA371">
        <v>13691.934373335745</v>
      </c>
      <c r="BB371" t="s">
        <v>82</v>
      </c>
      <c r="BC371">
        <v>326.5</v>
      </c>
      <c r="BD371">
        <v>89.999955185082513</v>
      </c>
      <c r="BE371" s="82">
        <f t="shared" si="109"/>
        <v>6.3291025753642316E-7</v>
      </c>
      <c r="BF371">
        <v>326.5</v>
      </c>
      <c r="BG371">
        <v>14302.000486508266</v>
      </c>
      <c r="BH371" t="s">
        <v>82</v>
      </c>
      <c r="BI371">
        <v>326.5</v>
      </c>
      <c r="BJ371">
        <v>89.999947810452568</v>
      </c>
      <c r="BK371" s="82">
        <f t="shared" si="110"/>
        <v>-8.494080375953672E-6</v>
      </c>
      <c r="BL371">
        <v>326.5</v>
      </c>
      <c r="BM371">
        <v>14978.916872893551</v>
      </c>
      <c r="BN371" t="s">
        <v>82</v>
      </c>
      <c r="BO371">
        <v>326.5</v>
      </c>
      <c r="BP371">
        <v>90.000050833120639</v>
      </c>
      <c r="BQ371" s="82">
        <f t="shared" si="111"/>
        <v>-4.5813190538979143E-5</v>
      </c>
      <c r="BR371">
        <v>326.5</v>
      </c>
      <c r="BS371">
        <v>15736.976447454914</v>
      </c>
      <c r="BT371" t="s">
        <v>82</v>
      </c>
      <c r="BU371">
        <v>326.5</v>
      </c>
      <c r="BV371">
        <v>90.000452902881577</v>
      </c>
      <c r="BW371" s="82">
        <f t="shared" si="112"/>
        <v>-1.0800486958828515E-4</v>
      </c>
      <c r="BX371">
        <v>326.5</v>
      </c>
      <c r="BY371">
        <v>16574.7090340629</v>
      </c>
      <c r="BZ371" t="s">
        <v>82</v>
      </c>
      <c r="CA371">
        <v>326.5</v>
      </c>
      <c r="CB371">
        <v>90.000992496632293</v>
      </c>
      <c r="CC371" s="82">
        <f t="shared" si="113"/>
        <v>-3.3129665268916142E-5</v>
      </c>
      <c r="CD371">
        <v>326.5</v>
      </c>
      <c r="CE371">
        <v>17425.840904373868</v>
      </c>
      <c r="CF371" t="s">
        <v>82</v>
      </c>
      <c r="CG371">
        <v>326.5</v>
      </c>
      <c r="CH371">
        <v>89.999648918753209</v>
      </c>
      <c r="CI371" s="82">
        <f t="shared" si="114"/>
        <v>6.9885645412171016E-4</v>
      </c>
      <c r="CJ371">
        <v>326.5</v>
      </c>
      <c r="CK371">
        <v>18492.124026443067</v>
      </c>
      <c r="CL371" t="s">
        <v>82</v>
      </c>
      <c r="CM371">
        <v>326.5</v>
      </c>
      <c r="CN371">
        <v>89.990668932126169</v>
      </c>
      <c r="CO371" s="82">
        <f t="shared" si="115"/>
        <v>2.5461600942975338E-3</v>
      </c>
      <c r="CP371">
        <v>326.5</v>
      </c>
      <c r="CQ371">
        <v>19965.847667960337</v>
      </c>
      <c r="CR371" t="s">
        <v>82</v>
      </c>
      <c r="CS371">
        <v>326.5</v>
      </c>
      <c r="CT371">
        <v>89.972028789268208</v>
      </c>
      <c r="CU371" s="82">
        <f t="shared" si="116"/>
        <v>2.3919446860816151E-3</v>
      </c>
      <c r="CV371">
        <v>326.5</v>
      </c>
      <c r="CW371">
        <v>21064.512200501049</v>
      </c>
      <c r="CX371" t="s">
        <v>82</v>
      </c>
      <c r="CY371">
        <v>326.5</v>
      </c>
      <c r="CZ371">
        <v>89.994689132555763</v>
      </c>
      <c r="DA371" s="82">
        <f t="shared" si="117"/>
        <v>-1.6484740225934047E-2</v>
      </c>
      <c r="DB371">
        <v>326.5</v>
      </c>
      <c r="DC371">
        <v>25559.255232250529</v>
      </c>
      <c r="DD371" t="s">
        <v>82</v>
      </c>
      <c r="DG371" s="82">
        <f t="shared" si="118"/>
        <v>0</v>
      </c>
      <c r="DM371" s="82">
        <f t="shared" si="119"/>
        <v>0</v>
      </c>
    </row>
    <row r="372" spans="1:117" x14ac:dyDescent="0.2">
      <c r="A372">
        <v>327.5</v>
      </c>
      <c r="B372">
        <v>89.999982843918659</v>
      </c>
      <c r="C372" s="82">
        <f t="shared" si="100"/>
        <v>-5.3147460050695372E-6</v>
      </c>
      <c r="D372">
        <v>327.5</v>
      </c>
      <c r="E372">
        <v>10512.792627606288</v>
      </c>
      <c r="F372" t="s">
        <v>82</v>
      </c>
      <c r="G372">
        <v>327.5</v>
      </c>
      <c r="H372">
        <v>89.999982666403653</v>
      </c>
      <c r="I372" s="82">
        <f t="shared" si="101"/>
        <v>-5.2687412619434326E-6</v>
      </c>
      <c r="J372">
        <v>327.5</v>
      </c>
      <c r="K372">
        <v>10780.665980857975</v>
      </c>
      <c r="L372" t="s">
        <v>82</v>
      </c>
      <c r="M372">
        <v>327.5</v>
      </c>
      <c r="N372">
        <v>89.999982550740455</v>
      </c>
      <c r="O372" s="82">
        <f t="shared" si="102"/>
        <v>-5.2383579003389968E-6</v>
      </c>
      <c r="P372">
        <v>327.5</v>
      </c>
      <c r="Q372">
        <v>11080.674243383779</v>
      </c>
      <c r="R372" t="s">
        <v>82</v>
      </c>
      <c r="S372">
        <v>327.5</v>
      </c>
      <c r="T372">
        <v>89.999982602420843</v>
      </c>
      <c r="U372" s="82">
        <f t="shared" si="103"/>
        <v>-5.2361435507464194E-6</v>
      </c>
      <c r="V372">
        <v>327.5</v>
      </c>
      <c r="W372">
        <v>11411.779584417525</v>
      </c>
      <c r="X372" t="s">
        <v>82</v>
      </c>
      <c r="Y372">
        <v>327.5</v>
      </c>
      <c r="Z372">
        <v>89.99998295412064</v>
      </c>
      <c r="AA372" s="82">
        <f t="shared" si="104"/>
        <v>-5.2549337397067575E-6</v>
      </c>
      <c r="AB372">
        <v>327.5</v>
      </c>
      <c r="AC372">
        <v>11779.284366509903</v>
      </c>
      <c r="AD372" t="s">
        <v>82</v>
      </c>
      <c r="AE372">
        <v>327.5</v>
      </c>
      <c r="AF372">
        <v>89.999983626693236</v>
      </c>
      <c r="AG372" s="82">
        <f t="shared" si="105"/>
        <v>-5.2202514950749901E-6</v>
      </c>
      <c r="AH372">
        <v>327.5</v>
      </c>
      <c r="AI372">
        <v>12186.278051773457</v>
      </c>
      <c r="AJ372" t="s">
        <v>82</v>
      </c>
      <c r="AK372">
        <v>327.5</v>
      </c>
      <c r="AL372">
        <v>89.999984052156549</v>
      </c>
      <c r="AM372" s="82">
        <f t="shared" si="106"/>
        <v>-4.8999010715533586E-6</v>
      </c>
      <c r="AN372">
        <v>327.5</v>
      </c>
      <c r="AO372">
        <v>12636.32348762929</v>
      </c>
      <c r="AP372" t="s">
        <v>82</v>
      </c>
      <c r="AQ372">
        <v>327.5</v>
      </c>
      <c r="AR372">
        <v>89.999982173667874</v>
      </c>
      <c r="AS372" s="82">
        <f t="shared" si="107"/>
        <v>-3.8565425199976744E-6</v>
      </c>
      <c r="AT372">
        <v>327.5</v>
      </c>
      <c r="AU372">
        <v>13134.303269833785</v>
      </c>
      <c r="AV372" t="s">
        <v>82</v>
      </c>
      <c r="AW372">
        <v>327.5</v>
      </c>
      <c r="AX372">
        <v>89.999973666504175</v>
      </c>
      <c r="AY372" s="82">
        <f t="shared" si="108"/>
        <v>-1.7598002131080648E-6</v>
      </c>
      <c r="AZ372">
        <v>327.5</v>
      </c>
      <c r="BA372">
        <v>13685.634559846945</v>
      </c>
      <c r="BB372" t="s">
        <v>82</v>
      </c>
      <c r="BC372">
        <v>327.5</v>
      </c>
      <c r="BD372">
        <v>89.9999551774102</v>
      </c>
      <c r="BE372" s="82">
        <f t="shared" si="109"/>
        <v>-7.672312563045125E-9</v>
      </c>
      <c r="BF372">
        <v>327.5</v>
      </c>
      <c r="BG372">
        <v>14294.777182717016</v>
      </c>
      <c r="BH372" t="s">
        <v>82</v>
      </c>
      <c r="BI372">
        <v>327.5</v>
      </c>
      <c r="BJ372">
        <v>89.999941954898603</v>
      </c>
      <c r="BK372" s="82">
        <f t="shared" si="110"/>
        <v>-5.8555539652616062E-6</v>
      </c>
      <c r="BL372">
        <v>327.5</v>
      </c>
      <c r="BM372">
        <v>14970.395369871363</v>
      </c>
      <c r="BN372" t="s">
        <v>82</v>
      </c>
      <c r="BO372">
        <v>327.5</v>
      </c>
      <c r="BP372">
        <v>90.000014558889333</v>
      </c>
      <c r="BQ372" s="82">
        <f t="shared" si="111"/>
        <v>-3.6274231305810645E-5</v>
      </c>
      <c r="BR372">
        <v>327.5</v>
      </c>
      <c r="BS372">
        <v>15725.892723557979</v>
      </c>
      <c r="BT372" t="s">
        <v>82</v>
      </c>
      <c r="BU372">
        <v>327.5</v>
      </c>
      <c r="BV372">
        <v>90.000354974986166</v>
      </c>
      <c r="BW372" s="82">
        <f t="shared" si="112"/>
        <v>-9.792789541052116E-5</v>
      </c>
      <c r="BX372">
        <v>327.5</v>
      </c>
      <c r="BY372">
        <v>16562.272970927352</v>
      </c>
      <c r="BZ372" t="s">
        <v>82</v>
      </c>
      <c r="CA372">
        <v>327.5</v>
      </c>
      <c r="CB372">
        <v>90.000920107481321</v>
      </c>
      <c r="CC372" s="82">
        <f t="shared" si="113"/>
        <v>-7.2389150972185234E-5</v>
      </c>
      <c r="CD372">
        <v>327.5</v>
      </c>
      <c r="CE372">
        <v>17424.733875460428</v>
      </c>
      <c r="CF372" t="s">
        <v>82</v>
      </c>
      <c r="CG372">
        <v>327.5</v>
      </c>
      <c r="CH372">
        <v>90.000140052873405</v>
      </c>
      <c r="CI372" s="82">
        <f t="shared" si="114"/>
        <v>4.9113412019607949E-4</v>
      </c>
      <c r="CJ372">
        <v>327.5</v>
      </c>
      <c r="CK372">
        <v>18426.436174155828</v>
      </c>
      <c r="CL372" t="s">
        <v>82</v>
      </c>
      <c r="CM372">
        <v>327.5</v>
      </c>
      <c r="CN372">
        <v>89.992845863486068</v>
      </c>
      <c r="CO372" s="82">
        <f t="shared" si="115"/>
        <v>2.1769313598980489E-3</v>
      </c>
      <c r="CP372">
        <v>327.5</v>
      </c>
      <c r="CQ372">
        <v>19846.49117470258</v>
      </c>
      <c r="CR372" t="s">
        <v>82</v>
      </c>
      <c r="CS372">
        <v>327.5</v>
      </c>
      <c r="CT372">
        <v>89.974986311579329</v>
      </c>
      <c r="CU372" s="82">
        <f t="shared" si="116"/>
        <v>2.957522311120897E-3</v>
      </c>
      <c r="CV372">
        <v>327.5</v>
      </c>
      <c r="CW372">
        <v>21174.878045466008</v>
      </c>
      <c r="CX372" t="s">
        <v>82</v>
      </c>
      <c r="CY372">
        <v>327.5</v>
      </c>
      <c r="CZ372">
        <v>89.983748672113791</v>
      </c>
      <c r="DA372" s="82">
        <f t="shared" si="117"/>
        <v>-1.0940460441972277E-2</v>
      </c>
      <c r="DB372">
        <v>327.5</v>
      </c>
      <c r="DC372">
        <v>23936.662095467604</v>
      </c>
      <c r="DD372" t="s">
        <v>82</v>
      </c>
      <c r="DG372" s="82">
        <f t="shared" si="118"/>
        <v>0</v>
      </c>
      <c r="DM372" s="82">
        <f t="shared" si="119"/>
        <v>0</v>
      </c>
    </row>
    <row r="373" spans="1:117" x14ac:dyDescent="0.2">
      <c r="A373">
        <v>328.5</v>
      </c>
      <c r="B373">
        <v>89.999976465681797</v>
      </c>
      <c r="C373" s="82">
        <f t="shared" si="100"/>
        <v>-6.3782368613374274E-6</v>
      </c>
      <c r="D373">
        <v>328.5</v>
      </c>
      <c r="E373">
        <v>10509.929581325527</v>
      </c>
      <c r="F373" t="s">
        <v>82</v>
      </c>
      <c r="G373">
        <v>328.5</v>
      </c>
      <c r="H373">
        <v>89.99997636670426</v>
      </c>
      <c r="I373" s="82">
        <f t="shared" si="101"/>
        <v>-6.2996993932529222E-6</v>
      </c>
      <c r="J373">
        <v>328.5</v>
      </c>
      <c r="K373">
        <v>10777.489843699826</v>
      </c>
      <c r="L373" t="s">
        <v>82</v>
      </c>
      <c r="M373">
        <v>328.5</v>
      </c>
      <c r="N373">
        <v>89.999976319755902</v>
      </c>
      <c r="O373" s="82">
        <f t="shared" si="102"/>
        <v>-6.2309845532126928E-6</v>
      </c>
      <c r="P373">
        <v>328.5</v>
      </c>
      <c r="Q373">
        <v>11077.152032376203</v>
      </c>
      <c r="R373" t="s">
        <v>82</v>
      </c>
      <c r="S373">
        <v>328.5</v>
      </c>
      <c r="T373">
        <v>89.999976416311171</v>
      </c>
      <c r="U373" s="82">
        <f t="shared" si="103"/>
        <v>-6.1861096725124298E-6</v>
      </c>
      <c r="V373">
        <v>328.5</v>
      </c>
      <c r="W373">
        <v>11407.881066925091</v>
      </c>
      <c r="X373" t="s">
        <v>82</v>
      </c>
      <c r="Y373">
        <v>328.5</v>
      </c>
      <c r="Z373">
        <v>89.999976787991031</v>
      </c>
      <c r="AA373" s="82">
        <f t="shared" si="104"/>
        <v>-6.1661296086867878E-6</v>
      </c>
      <c r="AB373">
        <v>328.5</v>
      </c>
      <c r="AC373">
        <v>11774.976491628326</v>
      </c>
      <c r="AD373" t="s">
        <v>82</v>
      </c>
      <c r="AE373">
        <v>328.5</v>
      </c>
      <c r="AF373">
        <v>89.999977505596661</v>
      </c>
      <c r="AG373" s="82">
        <f t="shared" si="105"/>
        <v>-6.1210965753843993E-6</v>
      </c>
      <c r="AH373">
        <v>328.5</v>
      </c>
      <c r="AI373">
        <v>12181.531464048594</v>
      </c>
      <c r="AJ373" t="s">
        <v>82</v>
      </c>
      <c r="AK373">
        <v>328.5</v>
      </c>
      <c r="AL373">
        <v>89.999978187581135</v>
      </c>
      <c r="AM373" s="82">
        <f t="shared" si="106"/>
        <v>-5.8645754137387485E-6</v>
      </c>
      <c r="AN373">
        <v>328.5</v>
      </c>
      <c r="AO373">
        <v>12631.118075746583</v>
      </c>
      <c r="AP373" t="s">
        <v>82</v>
      </c>
      <c r="AQ373">
        <v>328.5</v>
      </c>
      <c r="AR373">
        <v>89.999977176875731</v>
      </c>
      <c r="AS373" s="82">
        <f t="shared" si="107"/>
        <v>-4.9967921427196416E-6</v>
      </c>
      <c r="AT373">
        <v>328.5</v>
      </c>
      <c r="AU373">
        <v>13128.627244168805</v>
      </c>
      <c r="AV373" t="s">
        <v>82</v>
      </c>
      <c r="AW373">
        <v>328.5</v>
      </c>
      <c r="AX373">
        <v>89.99997058866515</v>
      </c>
      <c r="AY373" s="82">
        <f t="shared" si="108"/>
        <v>-3.0778390254226906E-6</v>
      </c>
      <c r="AZ373">
        <v>328.5</v>
      </c>
      <c r="BA373">
        <v>13679.452481500746</v>
      </c>
      <c r="BB373" t="s">
        <v>82</v>
      </c>
      <c r="BC373">
        <v>328.5</v>
      </c>
      <c r="BD373">
        <v>89.999954290700373</v>
      </c>
      <c r="BE373" s="82">
        <f t="shared" si="109"/>
        <v>-8.8670982734129211E-7</v>
      </c>
      <c r="BF373">
        <v>328.5</v>
      </c>
      <c r="BG373">
        <v>14287.906028022746</v>
      </c>
      <c r="BH373" t="s">
        <v>82</v>
      </c>
      <c r="BI373">
        <v>328.5</v>
      </c>
      <c r="BJ373">
        <v>89.999937869139956</v>
      </c>
      <c r="BK373" s="82">
        <f t="shared" si="110"/>
        <v>-4.0857586469655871E-6</v>
      </c>
      <c r="BL373">
        <v>328.5</v>
      </c>
      <c r="BM373">
        <v>14962.23445768831</v>
      </c>
      <c r="BN373" t="s">
        <v>82</v>
      </c>
      <c r="BO373">
        <v>328.5</v>
      </c>
      <c r="BP373">
        <v>89.999986425797033</v>
      </c>
      <c r="BQ373" s="82">
        <f t="shared" si="111"/>
        <v>-2.8133092300208773E-5</v>
      </c>
      <c r="BR373">
        <v>328.5</v>
      </c>
      <c r="BS373">
        <v>15715.35300163747</v>
      </c>
      <c r="BT373" t="s">
        <v>82</v>
      </c>
      <c r="BU373">
        <v>328.5</v>
      </c>
      <c r="BV373">
        <v>90.000268425247143</v>
      </c>
      <c r="BW373" s="82">
        <f t="shared" si="112"/>
        <v>-8.6549739023666916E-5</v>
      </c>
      <c r="BX373">
        <v>328.5</v>
      </c>
      <c r="BY373">
        <v>16549.793005303916</v>
      </c>
      <c r="BZ373" t="s">
        <v>82</v>
      </c>
      <c r="CA373">
        <v>328.5</v>
      </c>
      <c r="CB373">
        <v>90.000822658002548</v>
      </c>
      <c r="CC373" s="82">
        <f t="shared" si="113"/>
        <v>-9.7449478772659859E-5</v>
      </c>
      <c r="CD373">
        <v>328.5</v>
      </c>
      <c r="CE373">
        <v>17420.27082275776</v>
      </c>
      <c r="CF373" t="s">
        <v>82</v>
      </c>
      <c r="CG373">
        <v>328.5</v>
      </c>
      <c r="CH373">
        <v>90.000460027668737</v>
      </c>
      <c r="CI373" s="82">
        <f t="shared" si="114"/>
        <v>3.1997479533174555E-4</v>
      </c>
      <c r="CJ373">
        <v>328.5</v>
      </c>
      <c r="CK373">
        <v>18371.049140077466</v>
      </c>
      <c r="CL373" t="s">
        <v>82</v>
      </c>
      <c r="CM373">
        <v>328.5</v>
      </c>
      <c r="CN373">
        <v>89.994659380055779</v>
      </c>
      <c r="CO373" s="82">
        <f t="shared" si="115"/>
        <v>1.8135165697117372E-3</v>
      </c>
      <c r="CP373">
        <v>328.5</v>
      </c>
      <c r="CQ373">
        <v>19731.59067263619</v>
      </c>
      <c r="CR373" t="s">
        <v>82</v>
      </c>
      <c r="CS373">
        <v>328.5</v>
      </c>
      <c r="CT373">
        <v>89.978210475326307</v>
      </c>
      <c r="CU373" s="82">
        <f t="shared" si="116"/>
        <v>3.2241637469780926E-3</v>
      </c>
      <c r="CV373">
        <v>328.5</v>
      </c>
      <c r="CW373">
        <v>21209.642291971319</v>
      </c>
      <c r="CX373" t="s">
        <v>82</v>
      </c>
      <c r="CY373">
        <v>328.5</v>
      </c>
      <c r="CZ373">
        <v>89.977249290760369</v>
      </c>
      <c r="DA373" s="82">
        <f t="shared" si="117"/>
        <v>-6.4993813534215406E-3</v>
      </c>
      <c r="DB373">
        <v>328.5</v>
      </c>
      <c r="DC373">
        <v>22730.643366797904</v>
      </c>
      <c r="DD373" t="s">
        <v>82</v>
      </c>
      <c r="DG373" s="82">
        <f t="shared" si="118"/>
        <v>0</v>
      </c>
      <c r="DM373" s="82">
        <f t="shared" si="119"/>
        <v>0</v>
      </c>
    </row>
    <row r="374" spans="1:117" x14ac:dyDescent="0.2">
      <c r="A374">
        <v>329.5</v>
      </c>
      <c r="B374">
        <v>89.999969012618678</v>
      </c>
      <c r="C374" s="82">
        <f t="shared" si="100"/>
        <v>-7.4530631195557362E-6</v>
      </c>
      <c r="D374">
        <v>329.5</v>
      </c>
      <c r="E374">
        <v>10507.124075036398</v>
      </c>
      <c r="F374" t="s">
        <v>82</v>
      </c>
      <c r="G374">
        <v>329.5</v>
      </c>
      <c r="H374">
        <v>89.999969029265159</v>
      </c>
      <c r="I374" s="82">
        <f t="shared" si="101"/>
        <v>-7.337439100751908E-6</v>
      </c>
      <c r="J374">
        <v>329.5</v>
      </c>
      <c r="K374">
        <v>10774.376315273075</v>
      </c>
      <c r="L374" t="s">
        <v>82</v>
      </c>
      <c r="M374">
        <v>329.5</v>
      </c>
      <c r="N374">
        <v>89.999969093965788</v>
      </c>
      <c r="O374" s="82">
        <f t="shared" si="102"/>
        <v>-7.2257901138073066E-6</v>
      </c>
      <c r="P374">
        <v>329.5</v>
      </c>
      <c r="Q374">
        <v>11073.698045922536</v>
      </c>
      <c r="R374" t="s">
        <v>82</v>
      </c>
      <c r="S374">
        <v>329.5</v>
      </c>
      <c r="T374">
        <v>89.999969283518126</v>
      </c>
      <c r="U374" s="82">
        <f t="shared" si="103"/>
        <v>-7.1327930442066645E-6</v>
      </c>
      <c r="V374">
        <v>329.5</v>
      </c>
      <c r="W374">
        <v>11404.056730351267</v>
      </c>
      <c r="X374" t="s">
        <v>82</v>
      </c>
      <c r="Y374">
        <v>329.5</v>
      </c>
      <c r="Z374">
        <v>89.999969722687894</v>
      </c>
      <c r="AA374" s="82">
        <f t="shared" si="104"/>
        <v>-7.0653031372103214E-6</v>
      </c>
      <c r="AB374">
        <v>329.5</v>
      </c>
      <c r="AC374">
        <v>11770.748640100595</v>
      </c>
      <c r="AD374" t="s">
        <v>82</v>
      </c>
      <c r="AE374">
        <v>329.5</v>
      </c>
      <c r="AF374">
        <v>89.999970512168858</v>
      </c>
      <c r="AG374" s="82">
        <f t="shared" si="105"/>
        <v>-6.9934278030814312E-6</v>
      </c>
      <c r="AH374">
        <v>329.5</v>
      </c>
      <c r="AI374">
        <v>12176.869654431206</v>
      </c>
      <c r="AJ374" t="s">
        <v>82</v>
      </c>
      <c r="AK374">
        <v>329.5</v>
      </c>
      <c r="AL374">
        <v>89.999971415415104</v>
      </c>
      <c r="AM374" s="82">
        <f t="shared" si="106"/>
        <v>-6.7721660315100962E-6</v>
      </c>
      <c r="AN374">
        <v>329.5</v>
      </c>
      <c r="AO374">
        <v>12625.99973463982</v>
      </c>
      <c r="AP374" t="s">
        <v>82</v>
      </c>
      <c r="AQ374">
        <v>329.5</v>
      </c>
      <c r="AR374">
        <v>89.999971130657471</v>
      </c>
      <c r="AS374" s="82">
        <f t="shared" si="107"/>
        <v>-6.0462182602805115E-6</v>
      </c>
      <c r="AT374">
        <v>329.5</v>
      </c>
      <c r="AU374">
        <v>13123.039186008427</v>
      </c>
      <c r="AV374" t="s">
        <v>82</v>
      </c>
      <c r="AW374">
        <v>329.5</v>
      </c>
      <c r="AX374">
        <v>89.999966274238346</v>
      </c>
      <c r="AY374" s="82">
        <f t="shared" si="108"/>
        <v>-4.3144268033756816E-6</v>
      </c>
      <c r="AZ374">
        <v>329.5</v>
      </c>
      <c r="BA374">
        <v>13673.368626536709</v>
      </c>
      <c r="BB374" t="s">
        <v>82</v>
      </c>
      <c r="BC374">
        <v>329.5</v>
      </c>
      <c r="BD374">
        <v>89.999952419919964</v>
      </c>
      <c r="BE374" s="82">
        <f t="shared" si="109"/>
        <v>-1.8707804088080593E-6</v>
      </c>
      <c r="BF374">
        <v>329.5</v>
      </c>
      <c r="BG374">
        <v>14281.186250551862</v>
      </c>
      <c r="BH374" t="s">
        <v>82</v>
      </c>
      <c r="BI374">
        <v>329.5</v>
      </c>
      <c r="BJ374">
        <v>89.99993489502414</v>
      </c>
      <c r="BK374" s="82">
        <f t="shared" si="110"/>
        <v>-2.9741158158458347E-6</v>
      </c>
      <c r="BL374">
        <v>329.5</v>
      </c>
      <c r="BM374">
        <v>14954.376445245869</v>
      </c>
      <c r="BN374" t="s">
        <v>82</v>
      </c>
      <c r="BO374">
        <v>329.5</v>
      </c>
      <c r="BP374">
        <v>89.999965105706124</v>
      </c>
      <c r="BQ374" s="82">
        <f t="shared" si="111"/>
        <v>-2.1320090908716338E-5</v>
      </c>
      <c r="BR374">
        <v>329.5</v>
      </c>
      <c r="BS374">
        <v>15705.327787056982</v>
      </c>
      <c r="BT374" t="s">
        <v>82</v>
      </c>
      <c r="BU374">
        <v>329.5</v>
      </c>
      <c r="BV374">
        <v>90.000193587088461</v>
      </c>
      <c r="BW374" s="82">
        <f t="shared" si="112"/>
        <v>-7.4838158681700406E-5</v>
      </c>
      <c r="BX374">
        <v>329.5</v>
      </c>
      <c r="BY374">
        <v>16537.499922676587</v>
      </c>
      <c r="BZ374" t="s">
        <v>82</v>
      </c>
      <c r="CA374">
        <v>329.5</v>
      </c>
      <c r="CB374">
        <v>90.000710978025609</v>
      </c>
      <c r="CC374" s="82">
        <f t="shared" si="113"/>
        <v>-1.1167997693917187E-4</v>
      </c>
      <c r="CD374">
        <v>329.5</v>
      </c>
      <c r="CE374">
        <v>17413.339101387974</v>
      </c>
      <c r="CF374" t="s">
        <v>82</v>
      </c>
      <c r="CG374">
        <v>329.5</v>
      </c>
      <c r="CH374">
        <v>90.000641972750799</v>
      </c>
      <c r="CI374" s="82">
        <f t="shared" si="114"/>
        <v>1.819450820619295E-4</v>
      </c>
      <c r="CJ374">
        <v>329.5</v>
      </c>
      <c r="CK374">
        <v>18324.888099979526</v>
      </c>
      <c r="CL374" t="s">
        <v>82</v>
      </c>
      <c r="CM374">
        <v>329.5</v>
      </c>
      <c r="CN374">
        <v>89.996131564812174</v>
      </c>
      <c r="CO374" s="82">
        <f t="shared" si="115"/>
        <v>1.4721847563947676E-3</v>
      </c>
      <c r="CP374">
        <v>329.5</v>
      </c>
      <c r="CQ374">
        <v>19625.095168316831</v>
      </c>
      <c r="CR374" t="s">
        <v>82</v>
      </c>
      <c r="CS374">
        <v>329.5</v>
      </c>
      <c r="CT374">
        <v>89.981488053375102</v>
      </c>
      <c r="CU374" s="82">
        <f t="shared" si="116"/>
        <v>3.2775780487952488E-3</v>
      </c>
      <c r="CV374">
        <v>329.5</v>
      </c>
      <c r="CW374">
        <v>21191.985196420836</v>
      </c>
      <c r="CX374" t="s">
        <v>82</v>
      </c>
      <c r="CY374">
        <v>329.5</v>
      </c>
      <c r="CZ374">
        <v>89.97423306480961</v>
      </c>
      <c r="DA374" s="82">
        <f t="shared" si="117"/>
        <v>-3.0162259507591216E-3</v>
      </c>
      <c r="DB374">
        <v>329.5</v>
      </c>
      <c r="DC374">
        <v>21797.596110033097</v>
      </c>
      <c r="DD374" t="s">
        <v>82</v>
      </c>
      <c r="DG374" s="82">
        <f t="shared" si="118"/>
        <v>0</v>
      </c>
      <c r="DM374" s="82">
        <f t="shared" si="119"/>
        <v>0</v>
      </c>
    </row>
    <row r="375" spans="1:117" x14ac:dyDescent="0.2">
      <c r="A375">
        <v>332.5</v>
      </c>
      <c r="B375">
        <v>89.999943599838303</v>
      </c>
      <c r="C375" s="82">
        <f t="shared" si="100"/>
        <v>-2.5412780374267641E-5</v>
      </c>
      <c r="D375">
        <v>332.5</v>
      </c>
      <c r="E375">
        <v>10498.651610596591</v>
      </c>
      <c r="F375" t="s">
        <v>82</v>
      </c>
      <c r="G375">
        <v>332.5</v>
      </c>
      <c r="H375">
        <v>89.999944088672692</v>
      </c>
      <c r="I375" s="82">
        <f t="shared" si="101"/>
        <v>-2.494059246771485E-5</v>
      </c>
      <c r="J375">
        <v>332.5</v>
      </c>
      <c r="K375">
        <v>10764.981196108574</v>
      </c>
      <c r="L375" t="s">
        <v>82</v>
      </c>
      <c r="M375">
        <v>332.5</v>
      </c>
      <c r="N375">
        <v>89.999944630940135</v>
      </c>
      <c r="O375" s="82">
        <f t="shared" si="102"/>
        <v>-2.4463025653176373E-5</v>
      </c>
      <c r="P375">
        <v>332.5</v>
      </c>
      <c r="Q375">
        <v>11063.284526165337</v>
      </c>
      <c r="R375" t="s">
        <v>82</v>
      </c>
      <c r="S375">
        <v>332.5</v>
      </c>
      <c r="T375">
        <v>89.999945259016144</v>
      </c>
      <c r="U375" s="82">
        <f t="shared" si="103"/>
        <v>-2.4024501982466973E-5</v>
      </c>
      <c r="V375">
        <v>332.5</v>
      </c>
      <c r="W375">
        <v>11392.535974642235</v>
      </c>
      <c r="X375" t="s">
        <v>82</v>
      </c>
      <c r="Y375">
        <v>332.5</v>
      </c>
      <c r="Z375">
        <v>89.999946065566846</v>
      </c>
      <c r="AA375" s="82">
        <f t="shared" si="104"/>
        <v>-2.3657121047904184E-5</v>
      </c>
      <c r="AB375">
        <v>332.5</v>
      </c>
      <c r="AC375">
        <v>11758.018998167438</v>
      </c>
      <c r="AD375" t="s">
        <v>82</v>
      </c>
      <c r="AE375">
        <v>332.5</v>
      </c>
      <c r="AF375">
        <v>89.999947192911293</v>
      </c>
      <c r="AG375" s="82">
        <f t="shared" si="105"/>
        <v>-2.3319257564935469E-5</v>
      </c>
      <c r="AH375">
        <v>332.5</v>
      </c>
      <c r="AI375">
        <v>12162.829472916976</v>
      </c>
      <c r="AJ375" t="s">
        <v>82</v>
      </c>
      <c r="AK375">
        <v>332.5</v>
      </c>
      <c r="AL375">
        <v>89.999948730585245</v>
      </c>
      <c r="AM375" s="82">
        <f t="shared" si="106"/>
        <v>-2.2684829858121702E-5</v>
      </c>
      <c r="AN375">
        <v>332.5</v>
      </c>
      <c r="AO375">
        <v>12610.55837141367</v>
      </c>
      <c r="AP375" t="s">
        <v>82</v>
      </c>
      <c r="AQ375">
        <v>332.5</v>
      </c>
      <c r="AR375">
        <v>89.999950302638013</v>
      </c>
      <c r="AS375" s="82">
        <f t="shared" si="107"/>
        <v>-2.0828019458463132E-5</v>
      </c>
      <c r="AT375">
        <v>332.5</v>
      </c>
      <c r="AU375">
        <v>13106.130760193171</v>
      </c>
      <c r="AV375" t="s">
        <v>82</v>
      </c>
      <c r="AW375">
        <v>332.5</v>
      </c>
      <c r="AX375">
        <v>89.99995010672113</v>
      </c>
      <c r="AY375" s="82">
        <f t="shared" si="108"/>
        <v>-1.6167517216558736E-5</v>
      </c>
      <c r="AZ375">
        <v>332.5</v>
      </c>
      <c r="BA375">
        <v>13654.947775261615</v>
      </c>
      <c r="BB375" t="s">
        <v>82</v>
      </c>
      <c r="BC375">
        <v>332.5</v>
      </c>
      <c r="BD375">
        <v>89.99994394529682</v>
      </c>
      <c r="BE375" s="82">
        <f t="shared" si="109"/>
        <v>-8.4746231436838571E-6</v>
      </c>
      <c r="BF375">
        <v>332.5</v>
      </c>
      <c r="BG375">
        <v>14261.104162722058</v>
      </c>
      <c r="BH375" t="s">
        <v>82</v>
      </c>
      <c r="BI375">
        <v>332.5</v>
      </c>
      <c r="BJ375">
        <v>89.999927977984157</v>
      </c>
      <c r="BK375" s="82">
        <f t="shared" si="110"/>
        <v>-6.9170399825679851E-6</v>
      </c>
      <c r="BL375">
        <v>332.5</v>
      </c>
      <c r="BM375">
        <v>14931.902648447282</v>
      </c>
      <c r="BN375" t="s">
        <v>82</v>
      </c>
      <c r="BO375">
        <v>332.5</v>
      </c>
      <c r="BP375">
        <v>89.999918023440713</v>
      </c>
      <c r="BQ375" s="82">
        <f t="shared" si="111"/>
        <v>-4.7082265410836044E-5</v>
      </c>
      <c r="BR375">
        <v>332.5</v>
      </c>
      <c r="BS375">
        <v>15678.29989758274</v>
      </c>
      <c r="BT375" t="s">
        <v>82</v>
      </c>
      <c r="BU375">
        <v>332.5</v>
      </c>
      <c r="BV375">
        <v>90.00000315452678</v>
      </c>
      <c r="BW375" s="82">
        <f t="shared" si="112"/>
        <v>-1.9043256168060907E-4</v>
      </c>
      <c r="BX375">
        <v>332.5</v>
      </c>
      <c r="BY375">
        <v>16503.001977945965</v>
      </c>
      <c r="BZ375" t="s">
        <v>82</v>
      </c>
      <c r="CA375">
        <v>332.5</v>
      </c>
      <c r="CB375">
        <v>90.000357100455844</v>
      </c>
      <c r="CC375" s="82">
        <f t="shared" si="113"/>
        <v>-3.5387756976490437E-4</v>
      </c>
      <c r="CD375">
        <v>332.5</v>
      </c>
      <c r="CE375">
        <v>17377.911115631712</v>
      </c>
      <c r="CF375" t="s">
        <v>82</v>
      </c>
      <c r="CG375">
        <v>332.5</v>
      </c>
      <c r="CH375">
        <v>90.000861459274049</v>
      </c>
      <c r="CI375" s="82">
        <f t="shared" si="114"/>
        <v>2.1948652324965678E-4</v>
      </c>
      <c r="CJ375">
        <v>332.5</v>
      </c>
      <c r="CK375">
        <v>18259.557750445158</v>
      </c>
      <c r="CL375" t="s">
        <v>82</v>
      </c>
      <c r="CM375">
        <v>332.5</v>
      </c>
      <c r="CN375">
        <v>89.999622927617594</v>
      </c>
      <c r="CO375" s="82">
        <f t="shared" si="115"/>
        <v>3.4913628054198398E-3</v>
      </c>
      <c r="CP375">
        <v>332.5</v>
      </c>
      <c r="CQ375">
        <v>19408.02886850289</v>
      </c>
      <c r="CR375" t="s">
        <v>82</v>
      </c>
      <c r="CS375">
        <v>332.5</v>
      </c>
      <c r="CT375">
        <v>89.991054747504066</v>
      </c>
      <c r="CU375" s="82">
        <f t="shared" si="116"/>
        <v>9.5666941289636043E-3</v>
      </c>
      <c r="CV375">
        <v>332.5</v>
      </c>
      <c r="CW375">
        <v>20889.317185674478</v>
      </c>
      <c r="CX375" t="s">
        <v>82</v>
      </c>
      <c r="CY375">
        <v>332.5</v>
      </c>
      <c r="CZ375">
        <v>89.973198209594131</v>
      </c>
      <c r="DA375" s="82">
        <f t="shared" si="117"/>
        <v>-1.0348552154795243E-3</v>
      </c>
      <c r="DB375">
        <v>332.5</v>
      </c>
      <c r="DC375">
        <v>21640.527363943376</v>
      </c>
      <c r="DD375" t="s">
        <v>82</v>
      </c>
      <c r="DG375" s="82">
        <f t="shared" si="118"/>
        <v>0</v>
      </c>
      <c r="DM375" s="82">
        <f t="shared" si="119"/>
        <v>0</v>
      </c>
    </row>
    <row r="376" spans="1:117" x14ac:dyDescent="0.2">
      <c r="A376">
        <v>337.5</v>
      </c>
      <c r="B376">
        <v>89.999887030608164</v>
      </c>
      <c r="C376" s="82">
        <f t="shared" si="100"/>
        <v>-5.6569230139302817E-5</v>
      </c>
      <c r="D376">
        <v>337.5</v>
      </c>
      <c r="E376">
        <v>10483.463921113393</v>
      </c>
      <c r="F376" t="s">
        <v>82</v>
      </c>
      <c r="G376">
        <v>337.5</v>
      </c>
      <c r="H376">
        <v>89.999889688329361</v>
      </c>
      <c r="I376" s="82">
        <f t="shared" si="101"/>
        <v>-5.4400343330485157E-5</v>
      </c>
      <c r="J376">
        <v>337.5</v>
      </c>
      <c r="K376">
        <v>10748.546801365568</v>
      </c>
      <c r="L376" t="s">
        <v>82</v>
      </c>
      <c r="M376">
        <v>337.5</v>
      </c>
      <c r="N376">
        <v>89.999892539093054</v>
      </c>
      <c r="O376" s="82">
        <f t="shared" si="102"/>
        <v>-5.2091847081214837E-5</v>
      </c>
      <c r="P376">
        <v>337.5</v>
      </c>
      <c r="Q376">
        <v>11045.491118536262</v>
      </c>
      <c r="R376" t="s">
        <v>82</v>
      </c>
      <c r="S376">
        <v>337.5</v>
      </c>
      <c r="T376">
        <v>89.999895559937258</v>
      </c>
      <c r="U376" s="82">
        <f t="shared" si="103"/>
        <v>-4.9699078886078496E-5</v>
      </c>
      <c r="V376">
        <v>337.5</v>
      </c>
      <c r="W376">
        <v>11373.279763096112</v>
      </c>
      <c r="X376" t="s">
        <v>82</v>
      </c>
      <c r="Y376">
        <v>337.5</v>
      </c>
      <c r="Z376">
        <v>89.999898808552004</v>
      </c>
      <c r="AA376" s="82">
        <f t="shared" si="104"/>
        <v>-4.7257014841761702E-5</v>
      </c>
      <c r="AB376">
        <v>337.5</v>
      </c>
      <c r="AC376">
        <v>11737.174565214056</v>
      </c>
      <c r="AD376" t="s">
        <v>82</v>
      </c>
      <c r="AE376">
        <v>337.5</v>
      </c>
      <c r="AF376">
        <v>89.999902364243155</v>
      </c>
      <c r="AG376" s="82">
        <f t="shared" si="105"/>
        <v>-4.482866813759756E-5</v>
      </c>
      <c r="AH376">
        <v>337.5</v>
      </c>
      <c r="AI376">
        <v>12140.261778647313</v>
      </c>
      <c r="AJ376" t="s">
        <v>82</v>
      </c>
      <c r="AK376">
        <v>337.5</v>
      </c>
      <c r="AL376">
        <v>89.999906362857118</v>
      </c>
      <c r="AM376" s="82">
        <f t="shared" si="106"/>
        <v>-4.2367728127601367E-5</v>
      </c>
      <c r="AN376">
        <v>337.5</v>
      </c>
      <c r="AO376">
        <v>12586.137254288597</v>
      </c>
      <c r="AP376" t="s">
        <v>82</v>
      </c>
      <c r="AQ376">
        <v>337.5</v>
      </c>
      <c r="AR376">
        <v>89.999910906878213</v>
      </c>
      <c r="AS376" s="82">
        <f t="shared" si="107"/>
        <v>-3.9395759799276675E-5</v>
      </c>
      <c r="AT376">
        <v>337.5</v>
      </c>
      <c r="AU376">
        <v>13079.776169180355</v>
      </c>
      <c r="AV376" t="s">
        <v>82</v>
      </c>
      <c r="AW376">
        <v>337.5</v>
      </c>
      <c r="AX376">
        <v>89.999915651879277</v>
      </c>
      <c r="AY376" s="82">
        <f t="shared" si="108"/>
        <v>-3.4454841852493701E-5</v>
      </c>
      <c r="AZ376">
        <v>337.5</v>
      </c>
      <c r="BA376">
        <v>13626.723665061247</v>
      </c>
      <c r="BB376" t="s">
        <v>82</v>
      </c>
      <c r="BC376">
        <v>337.5</v>
      </c>
      <c r="BD376">
        <v>89.999918827153152</v>
      </c>
      <c r="BE376" s="82">
        <f t="shared" si="109"/>
        <v>-2.5118143668123594E-5</v>
      </c>
      <c r="BF376">
        <v>337.5</v>
      </c>
      <c r="BG376">
        <v>14231.254756797027</v>
      </c>
      <c r="BH376" t="s">
        <v>82</v>
      </c>
      <c r="BI376">
        <v>337.5</v>
      </c>
      <c r="BJ376">
        <v>89.999916318571934</v>
      </c>
      <c r="BK376" s="82">
        <f t="shared" si="110"/>
        <v>-1.165941222325273E-5</v>
      </c>
      <c r="BL376">
        <v>337.5</v>
      </c>
      <c r="BM376">
        <v>14900.31133742175</v>
      </c>
      <c r="BN376" t="s">
        <v>82</v>
      </c>
      <c r="BO376">
        <v>337.5</v>
      </c>
      <c r="BP376">
        <v>89.999905656327243</v>
      </c>
      <c r="BQ376" s="82">
        <f t="shared" si="111"/>
        <v>-1.2367113470190816E-5</v>
      </c>
      <c r="BR376">
        <v>337.5</v>
      </c>
      <c r="BS376">
        <v>15642.150083781302</v>
      </c>
      <c r="BT376" t="s">
        <v>82</v>
      </c>
      <c r="BU376">
        <v>337.5</v>
      </c>
      <c r="BV376">
        <v>89.999909883334411</v>
      </c>
      <c r="BW376" s="82">
        <f t="shared" si="112"/>
        <v>-9.3271192369570599E-5</v>
      </c>
      <c r="BX376">
        <v>337.5</v>
      </c>
      <c r="BY376">
        <v>16452.149222347281</v>
      </c>
      <c r="BZ376" t="s">
        <v>82</v>
      </c>
      <c r="CA376">
        <v>337.5</v>
      </c>
      <c r="CB376">
        <v>90.000027682469195</v>
      </c>
      <c r="CC376" s="82">
        <f t="shared" si="113"/>
        <v>-3.2941798664865019E-4</v>
      </c>
      <c r="CD376">
        <v>337.5</v>
      </c>
      <c r="CE376">
        <v>17317.505586151176</v>
      </c>
      <c r="CF376" t="s">
        <v>82</v>
      </c>
      <c r="CG376">
        <v>337.5</v>
      </c>
      <c r="CH376">
        <v>90.000404313010847</v>
      </c>
      <c r="CI376" s="82">
        <f t="shared" si="114"/>
        <v>-4.5714626320148E-4</v>
      </c>
      <c r="CJ376">
        <v>337.5</v>
      </c>
      <c r="CK376">
        <v>18229.277778075073</v>
      </c>
      <c r="CL376" t="s">
        <v>82</v>
      </c>
      <c r="CM376">
        <v>337.5</v>
      </c>
      <c r="CN376">
        <v>90.000704655418076</v>
      </c>
      <c r="CO376" s="82">
        <f t="shared" si="115"/>
        <v>1.0817278004822128E-3</v>
      </c>
      <c r="CP376">
        <v>337.5</v>
      </c>
      <c r="CQ376">
        <v>19184.326128194847</v>
      </c>
      <c r="CR376" t="s">
        <v>82</v>
      </c>
      <c r="CS376">
        <v>337.5</v>
      </c>
      <c r="CT376">
        <v>89.998452827975726</v>
      </c>
      <c r="CU376" s="82">
        <f t="shared" si="116"/>
        <v>7.3980804716597959E-3</v>
      </c>
      <c r="CV376">
        <v>337.5</v>
      </c>
      <c r="CW376">
        <v>20426.266776383349</v>
      </c>
      <c r="CX376" t="s">
        <v>82</v>
      </c>
      <c r="CY376">
        <v>337.5</v>
      </c>
      <c r="CZ376">
        <v>89.987767035155954</v>
      </c>
      <c r="DA376" s="82">
        <f t="shared" si="117"/>
        <v>1.4568825561823928E-2</v>
      </c>
      <c r="DB376">
        <v>337.5</v>
      </c>
      <c r="DC376">
        <v>21904.866257548943</v>
      </c>
      <c r="DD376" t="s">
        <v>82</v>
      </c>
      <c r="DG376" s="82">
        <f t="shared" si="118"/>
        <v>0</v>
      </c>
      <c r="DM376" s="82">
        <f t="shared" si="119"/>
        <v>0</v>
      </c>
    </row>
    <row r="377" spans="1:117" x14ac:dyDescent="0.2">
      <c r="A377">
        <v>342.5</v>
      </c>
      <c r="B377">
        <v>89.999946042788778</v>
      </c>
      <c r="C377" s="82">
        <f t="shared" si="100"/>
        <v>5.9012180614104182E-5</v>
      </c>
      <c r="D377">
        <v>342.5</v>
      </c>
      <c r="E377">
        <v>10484.083078877198</v>
      </c>
      <c r="F377" t="s">
        <v>82</v>
      </c>
      <c r="G377">
        <v>342.5</v>
      </c>
      <c r="H377">
        <v>89.999951933768287</v>
      </c>
      <c r="I377" s="82">
        <f t="shared" si="101"/>
        <v>6.2245438925856433E-5</v>
      </c>
      <c r="J377">
        <v>342.5</v>
      </c>
      <c r="K377">
        <v>10748.369750642938</v>
      </c>
      <c r="L377" t="s">
        <v>82</v>
      </c>
      <c r="M377">
        <v>342.5</v>
      </c>
      <c r="N377">
        <v>89.999958203701695</v>
      </c>
      <c r="O377" s="82">
        <f t="shared" si="102"/>
        <v>6.5664608641213817E-5</v>
      </c>
      <c r="P377">
        <v>342.5</v>
      </c>
      <c r="Q377">
        <v>11044.389906016986</v>
      </c>
      <c r="R377" t="s">
        <v>82</v>
      </c>
      <c r="S377">
        <v>342.5</v>
      </c>
      <c r="T377">
        <v>89.999964778104669</v>
      </c>
      <c r="U377" s="82">
        <f t="shared" si="103"/>
        <v>6.9218167411122522E-5</v>
      </c>
      <c r="V377">
        <v>342.5</v>
      </c>
      <c r="W377">
        <v>11371.128505546782</v>
      </c>
      <c r="X377" t="s">
        <v>82</v>
      </c>
      <c r="Y377">
        <v>342.5</v>
      </c>
      <c r="Z377">
        <v>89.999971715389577</v>
      </c>
      <c r="AA377" s="82">
        <f t="shared" si="104"/>
        <v>7.2906837573327721E-5</v>
      </c>
      <c r="AB377">
        <v>342.5</v>
      </c>
      <c r="AC377">
        <v>11733.830948494178</v>
      </c>
      <c r="AD377" t="s">
        <v>82</v>
      </c>
      <c r="AE377">
        <v>342.5</v>
      </c>
      <c r="AF377">
        <v>89.999979039730405</v>
      </c>
      <c r="AG377" s="82">
        <f t="shared" si="105"/>
        <v>7.667548725009965E-5</v>
      </c>
      <c r="AH377">
        <v>342.5</v>
      </c>
      <c r="AI377">
        <v>12135.574273994245</v>
      </c>
      <c r="AJ377" t="s">
        <v>82</v>
      </c>
      <c r="AK377">
        <v>342.5</v>
      </c>
      <c r="AL377">
        <v>89.9999868201933</v>
      </c>
      <c r="AM377" s="82">
        <f t="shared" si="106"/>
        <v>8.0457336181893879E-5</v>
      </c>
      <c r="AN377">
        <v>342.5</v>
      </c>
      <c r="AO377">
        <v>12579.94085848734</v>
      </c>
      <c r="AP377" t="s">
        <v>82</v>
      </c>
      <c r="AQ377">
        <v>342.5</v>
      </c>
      <c r="AR377">
        <v>89.999995192429864</v>
      </c>
      <c r="AS377" s="82">
        <f t="shared" si="107"/>
        <v>8.4285551650964408E-5</v>
      </c>
      <c r="AT377">
        <v>342.5</v>
      </c>
      <c r="AU377">
        <v>13071.876944980315</v>
      </c>
      <c r="AV377" t="s">
        <v>82</v>
      </c>
      <c r="AW377">
        <v>342.5</v>
      </c>
      <c r="AX377">
        <v>90.00000425267811</v>
      </c>
      <c r="AY377" s="82">
        <f t="shared" si="108"/>
        <v>8.8600798832771943E-5</v>
      </c>
      <c r="AZ377">
        <v>342.5</v>
      </c>
      <c r="BA377">
        <v>13616.873027980477</v>
      </c>
      <c r="BB377" t="s">
        <v>82</v>
      </c>
      <c r="BC377">
        <v>342.5</v>
      </c>
      <c r="BD377">
        <v>90.000013604612434</v>
      </c>
      <c r="BE377" s="82">
        <f t="shared" si="109"/>
        <v>9.4777459281658594E-5</v>
      </c>
      <c r="BF377">
        <v>342.5</v>
      </c>
      <c r="BG377">
        <v>14219.136385446211</v>
      </c>
      <c r="BH377" t="s">
        <v>82</v>
      </c>
      <c r="BI377">
        <v>342.5</v>
      </c>
      <c r="BJ377">
        <v>90.000021407677409</v>
      </c>
      <c r="BK377" s="82">
        <f t="shared" si="110"/>
        <v>1.0508910547457617E-4</v>
      </c>
      <c r="BL377">
        <v>342.5</v>
      </c>
      <c r="BM377">
        <v>14885.627148462418</v>
      </c>
      <c r="BN377" t="s">
        <v>82</v>
      </c>
      <c r="BO377">
        <v>342.5</v>
      </c>
      <c r="BP377">
        <v>90.000023670971899</v>
      </c>
      <c r="BQ377" s="82">
        <f t="shared" si="111"/>
        <v>1.1801464465577283E-4</v>
      </c>
      <c r="BR377">
        <v>342.5</v>
      </c>
      <c r="BS377">
        <v>15625.128866597201</v>
      </c>
      <c r="BT377" t="s">
        <v>82</v>
      </c>
      <c r="BU377">
        <v>342.5</v>
      </c>
      <c r="BV377">
        <v>90.000019993832268</v>
      </c>
      <c r="BW377" s="82">
        <f t="shared" si="112"/>
        <v>1.1011049785736304E-4</v>
      </c>
      <c r="BX377">
        <v>342.5</v>
      </c>
      <c r="BY377">
        <v>16434.80124337706</v>
      </c>
      <c r="BZ377" t="s">
        <v>82</v>
      </c>
      <c r="CA377">
        <v>342.5</v>
      </c>
      <c r="CB377">
        <v>90.000041968334955</v>
      </c>
      <c r="CC377" s="82">
        <f t="shared" si="113"/>
        <v>1.4285865759688932E-5</v>
      </c>
      <c r="CD377">
        <v>342.5</v>
      </c>
      <c r="CE377">
        <v>17285.498194991465</v>
      </c>
      <c r="CF377" t="s">
        <v>82</v>
      </c>
      <c r="CG377">
        <v>342.5</v>
      </c>
      <c r="CH377">
        <v>90.000195538248164</v>
      </c>
      <c r="CI377" s="82">
        <f t="shared" si="114"/>
        <v>-2.0877476268310602E-4</v>
      </c>
      <c r="CJ377">
        <v>342.5</v>
      </c>
      <c r="CK377">
        <v>18174.30172409186</v>
      </c>
      <c r="CL377" t="s">
        <v>82</v>
      </c>
      <c r="CM377">
        <v>342.5</v>
      </c>
      <c r="CN377">
        <v>90.000574258502326</v>
      </c>
      <c r="CO377" s="82">
        <f t="shared" si="115"/>
        <v>-1.3039691575045254E-4</v>
      </c>
      <c r="CP377">
        <v>342.5</v>
      </c>
      <c r="CQ377">
        <v>19114.165814077456</v>
      </c>
      <c r="CR377" t="s">
        <v>82</v>
      </c>
      <c r="CS377">
        <v>342.5</v>
      </c>
      <c r="CT377">
        <v>90.000551648410564</v>
      </c>
      <c r="CU377" s="82">
        <f t="shared" si="116"/>
        <v>2.0988204348384443E-3</v>
      </c>
      <c r="CV377">
        <v>342.5</v>
      </c>
      <c r="CW377">
        <v>20177.042380561379</v>
      </c>
      <c r="CX377" t="s">
        <v>82</v>
      </c>
      <c r="CY377">
        <v>342.5</v>
      </c>
      <c r="CZ377">
        <v>89.996879462362998</v>
      </c>
      <c r="DA377" s="82">
        <f t="shared" si="117"/>
        <v>9.1124272070430834E-3</v>
      </c>
      <c r="DB377">
        <v>342.5</v>
      </c>
      <c r="DC377">
        <v>21528.522945931665</v>
      </c>
      <c r="DD377" t="s">
        <v>82</v>
      </c>
      <c r="DG377" s="82">
        <f t="shared" si="118"/>
        <v>0</v>
      </c>
      <c r="DM377" s="82">
        <f t="shared" si="119"/>
        <v>0</v>
      </c>
    </row>
    <row r="378" spans="1:117" x14ac:dyDescent="0.2">
      <c r="A378">
        <v>347.5</v>
      </c>
      <c r="B378">
        <v>90.000498047178411</v>
      </c>
      <c r="C378" s="82">
        <f t="shared" si="100"/>
        <v>5.5200438963254328E-4</v>
      </c>
      <c r="D378">
        <v>347.5</v>
      </c>
      <c r="E378">
        <v>10505.468521106892</v>
      </c>
      <c r="F378" t="s">
        <v>82</v>
      </c>
      <c r="G378">
        <v>347.5</v>
      </c>
      <c r="H378">
        <v>90.00050402584759</v>
      </c>
      <c r="I378" s="82">
        <f t="shared" si="101"/>
        <v>5.5209207930317916E-4</v>
      </c>
      <c r="J378">
        <v>347.5</v>
      </c>
      <c r="K378">
        <v>10769.473836736837</v>
      </c>
      <c r="L378" t="s">
        <v>82</v>
      </c>
      <c r="M378">
        <v>347.5</v>
      </c>
      <c r="N378">
        <v>90.00051027962688</v>
      </c>
      <c r="O378" s="82">
        <f t="shared" si="102"/>
        <v>5.5207592518513593E-4</v>
      </c>
      <c r="P378">
        <v>347.5</v>
      </c>
      <c r="Q378">
        <v>11065.05328065223</v>
      </c>
      <c r="R378" t="s">
        <v>82</v>
      </c>
      <c r="S378">
        <v>347.5</v>
      </c>
      <c r="T378">
        <v>90.000516711841016</v>
      </c>
      <c r="U378" s="82">
        <f t="shared" si="103"/>
        <v>5.5193373634665477E-4</v>
      </c>
      <c r="V378">
        <v>347.5</v>
      </c>
      <c r="W378">
        <v>11391.180612589582</v>
      </c>
      <c r="X378" t="s">
        <v>82</v>
      </c>
      <c r="Y378">
        <v>347.5</v>
      </c>
      <c r="Z378">
        <v>90.000523349405313</v>
      </c>
      <c r="AA378" s="82">
        <f t="shared" si="104"/>
        <v>5.5163401573565807E-4</v>
      </c>
      <c r="AB378">
        <v>347.5</v>
      </c>
      <c r="AC378">
        <v>11753.081585318932</v>
      </c>
      <c r="AD378" t="s">
        <v>82</v>
      </c>
      <c r="AE378">
        <v>347.5</v>
      </c>
      <c r="AF378">
        <v>90.000530166529998</v>
      </c>
      <c r="AG378" s="82">
        <f t="shared" si="105"/>
        <v>5.5112679959279376E-4</v>
      </c>
      <c r="AH378">
        <v>347.5</v>
      </c>
      <c r="AI378">
        <v>12153.817791635844</v>
      </c>
      <c r="AJ378" t="s">
        <v>82</v>
      </c>
      <c r="AK378">
        <v>347.5</v>
      </c>
      <c r="AL378">
        <v>90.000537152334488</v>
      </c>
      <c r="AM378" s="82">
        <f t="shared" si="106"/>
        <v>5.5033214118793694E-4</v>
      </c>
      <c r="AN378">
        <v>347.5</v>
      </c>
      <c r="AO378">
        <v>12596.956025928996</v>
      </c>
      <c r="AP378" t="s">
        <v>82</v>
      </c>
      <c r="AQ378">
        <v>347.5</v>
      </c>
      <c r="AR378">
        <v>90.00054434123706</v>
      </c>
      <c r="AS378" s="82">
        <f t="shared" si="107"/>
        <v>5.4914880719536541E-4</v>
      </c>
      <c r="AT378">
        <v>347.5</v>
      </c>
      <c r="AU378">
        <v>13087.420996239107</v>
      </c>
      <c r="AV378" t="s">
        <v>82</v>
      </c>
      <c r="AW378">
        <v>347.5</v>
      </c>
      <c r="AX378">
        <v>90.00055180716825</v>
      </c>
      <c r="AY378" s="82">
        <f t="shared" si="108"/>
        <v>5.4755449014010082E-4</v>
      </c>
      <c r="AZ378">
        <v>347.5</v>
      </c>
      <c r="BA378">
        <v>13630.669205526363</v>
      </c>
      <c r="BB378" t="s">
        <v>82</v>
      </c>
      <c r="BC378">
        <v>347.5</v>
      </c>
      <c r="BD378">
        <v>90.000559539935111</v>
      </c>
      <c r="BE378" s="82">
        <f t="shared" si="109"/>
        <v>5.4593532267688261E-4</v>
      </c>
      <c r="BF378">
        <v>347.5</v>
      </c>
      <c r="BG378">
        <v>14230.855419387981</v>
      </c>
      <c r="BH378" t="s">
        <v>82</v>
      </c>
      <c r="BI378">
        <v>347.5</v>
      </c>
      <c r="BJ378">
        <v>90.000567037622687</v>
      </c>
      <c r="BK378" s="82">
        <f t="shared" si="110"/>
        <v>5.4562994527884712E-4</v>
      </c>
      <c r="BL378">
        <v>347.5</v>
      </c>
      <c r="BM378">
        <v>14894.864542096226</v>
      </c>
      <c r="BN378" t="s">
        <v>82</v>
      </c>
      <c r="BO378">
        <v>347.5</v>
      </c>
      <c r="BP378">
        <v>90.000572229119115</v>
      </c>
      <c r="BQ378" s="82">
        <f t="shared" si="111"/>
        <v>5.485581472157719E-4</v>
      </c>
      <c r="BR378">
        <v>347.5</v>
      </c>
      <c r="BS378">
        <v>15631.525832004267</v>
      </c>
      <c r="BT378" t="s">
        <v>82</v>
      </c>
      <c r="BU378">
        <v>347.5</v>
      </c>
      <c r="BV378">
        <v>90.000571101839</v>
      </c>
      <c r="BW378" s="82">
        <f t="shared" si="112"/>
        <v>5.5110800673219273E-4</v>
      </c>
      <c r="BX378">
        <v>347.5</v>
      </c>
      <c r="BY378">
        <v>16438.705562726653</v>
      </c>
      <c r="BZ378" t="s">
        <v>82</v>
      </c>
      <c r="CA378">
        <v>347.5</v>
      </c>
      <c r="CB378">
        <v>90.000566925797344</v>
      </c>
      <c r="CC378" s="82">
        <f t="shared" si="113"/>
        <v>5.2495746238889751E-4</v>
      </c>
      <c r="CD378">
        <v>347.5</v>
      </c>
      <c r="CE378">
        <v>17289.108243265364</v>
      </c>
      <c r="CF378" t="s">
        <v>82</v>
      </c>
      <c r="CG378">
        <v>347.5</v>
      </c>
      <c r="CH378">
        <v>90.000600579806687</v>
      </c>
      <c r="CI378" s="82">
        <f t="shared" si="114"/>
        <v>4.0504155852261192E-4</v>
      </c>
      <c r="CJ378">
        <v>347.5</v>
      </c>
      <c r="CK378">
        <v>18180.10366722419</v>
      </c>
      <c r="CL378" t="s">
        <v>82</v>
      </c>
      <c r="CM378">
        <v>347.5</v>
      </c>
      <c r="CN378">
        <v>90.000780661709754</v>
      </c>
      <c r="CO378" s="82">
        <f t="shared" si="115"/>
        <v>2.0640320742870699E-4</v>
      </c>
      <c r="CP378">
        <v>347.5</v>
      </c>
      <c r="CQ378">
        <v>19110.600350822893</v>
      </c>
      <c r="CR378" t="s">
        <v>82</v>
      </c>
      <c r="CS378">
        <v>347.5</v>
      </c>
      <c r="CT378">
        <v>90.001113526384358</v>
      </c>
      <c r="CU378" s="82">
        <f t="shared" si="116"/>
        <v>5.6187797379436688E-4</v>
      </c>
      <c r="CV378">
        <v>347.5</v>
      </c>
      <c r="CW378">
        <v>20100.630202013737</v>
      </c>
      <c r="CX378" t="s">
        <v>82</v>
      </c>
      <c r="CY378">
        <v>347.5</v>
      </c>
      <c r="CZ378">
        <v>90.00054534361486</v>
      </c>
      <c r="DA378" s="82">
        <f t="shared" si="117"/>
        <v>3.6658812518624018E-3</v>
      </c>
      <c r="DB378">
        <v>347.5</v>
      </c>
      <c r="DC378">
        <v>21262.68535368242</v>
      </c>
      <c r="DD378" t="s">
        <v>82</v>
      </c>
      <c r="DG378" s="82">
        <f t="shared" si="118"/>
        <v>0</v>
      </c>
      <c r="DM378" s="82">
        <f t="shared" si="119"/>
        <v>0</v>
      </c>
    </row>
    <row r="379" spans="1:117" x14ac:dyDescent="0.2">
      <c r="A379">
        <v>352.5</v>
      </c>
      <c r="B379">
        <v>90.002114816086035</v>
      </c>
      <c r="C379" s="82">
        <f t="shared" si="100"/>
        <v>1.6167689076240777E-3</v>
      </c>
      <c r="D379">
        <v>352.5</v>
      </c>
      <c r="E379">
        <v>10535.075930624962</v>
      </c>
      <c r="F379" t="s">
        <v>82</v>
      </c>
      <c r="G379">
        <v>352.5</v>
      </c>
      <c r="H379">
        <v>90.002106433732223</v>
      </c>
      <c r="I379" s="82">
        <f t="shared" si="101"/>
        <v>1.6024078846328393E-3</v>
      </c>
      <c r="J379">
        <v>352.5</v>
      </c>
      <c r="K379">
        <v>10798.628541888702</v>
      </c>
      <c r="L379" t="s">
        <v>82</v>
      </c>
      <c r="M379">
        <v>352.5</v>
      </c>
      <c r="N379">
        <v>90.002097139673168</v>
      </c>
      <c r="O379" s="82">
        <f t="shared" si="102"/>
        <v>1.5868600462880522E-3</v>
      </c>
      <c r="P379">
        <v>352.5</v>
      </c>
      <c r="Q379">
        <v>11093.536641940049</v>
      </c>
      <c r="R379" t="s">
        <v>82</v>
      </c>
      <c r="S379">
        <v>352.5</v>
      </c>
      <c r="T379">
        <v>90.002086961358842</v>
      </c>
      <c r="U379" s="82">
        <f t="shared" si="103"/>
        <v>1.5702495178260278E-3</v>
      </c>
      <c r="V379">
        <v>352.5</v>
      </c>
      <c r="W379">
        <v>11418.760927661504</v>
      </c>
      <c r="X379" t="s">
        <v>82</v>
      </c>
      <c r="Y379">
        <v>352.5</v>
      </c>
      <c r="Z379">
        <v>90.002075723547961</v>
      </c>
      <c r="AA379" s="82">
        <f t="shared" si="104"/>
        <v>1.55237414264775E-3</v>
      </c>
      <c r="AB379">
        <v>352.5</v>
      </c>
      <c r="AC379">
        <v>11779.501128450722</v>
      </c>
      <c r="AD379" t="s">
        <v>82</v>
      </c>
      <c r="AE379">
        <v>352.5</v>
      </c>
      <c r="AF379">
        <v>90.002063312310398</v>
      </c>
      <c r="AG379" s="82">
        <f t="shared" si="105"/>
        <v>1.5331457803995363E-3</v>
      </c>
      <c r="AH379">
        <v>352.5</v>
      </c>
      <c r="AI379">
        <v>12178.799030970562</v>
      </c>
      <c r="AJ379" t="s">
        <v>82</v>
      </c>
      <c r="AK379">
        <v>352.5</v>
      </c>
      <c r="AL379">
        <v>90.002049593474084</v>
      </c>
      <c r="AM379" s="82">
        <f t="shared" si="106"/>
        <v>1.5124411395959214E-3</v>
      </c>
      <c r="AN379">
        <v>352.5</v>
      </c>
      <c r="AO379">
        <v>12620.202309036402</v>
      </c>
      <c r="AP379" t="s">
        <v>82</v>
      </c>
      <c r="AQ379">
        <v>352.5</v>
      </c>
      <c r="AR379">
        <v>90.002034396288721</v>
      </c>
      <c r="AS379" s="82">
        <f t="shared" si="107"/>
        <v>1.490055051661443E-3</v>
      </c>
      <c r="AT379">
        <v>352.5</v>
      </c>
      <c r="AU379">
        <v>13108.612852509985</v>
      </c>
      <c r="AV379" t="s">
        <v>82</v>
      </c>
      <c r="AW379">
        <v>352.5</v>
      </c>
      <c r="AX379">
        <v>90.002017559061215</v>
      </c>
      <c r="AY379" s="82">
        <f t="shared" si="108"/>
        <v>1.4657518929652724E-3</v>
      </c>
      <c r="AZ379">
        <v>352.5</v>
      </c>
      <c r="BA379">
        <v>13649.460543797719</v>
      </c>
      <c r="BB379" t="s">
        <v>82</v>
      </c>
      <c r="BC379">
        <v>352.5</v>
      </c>
      <c r="BD379">
        <v>90.001998993513652</v>
      </c>
      <c r="BE379" s="82">
        <f t="shared" si="109"/>
        <v>1.4394535785413609E-3</v>
      </c>
      <c r="BF379">
        <v>352.5</v>
      </c>
      <c r="BG379">
        <v>14246.870211576608</v>
      </c>
      <c r="BH379" t="s">
        <v>82</v>
      </c>
      <c r="BI379">
        <v>352.5</v>
      </c>
      <c r="BJ379">
        <v>90.00197844570431</v>
      </c>
      <c r="BK379" s="82">
        <f t="shared" si="110"/>
        <v>1.411408081622767E-3</v>
      </c>
      <c r="BL379">
        <v>352.5</v>
      </c>
      <c r="BM379">
        <v>14907.66286462091</v>
      </c>
      <c r="BN379" t="s">
        <v>82</v>
      </c>
      <c r="BO379">
        <v>352.5</v>
      </c>
      <c r="BP379">
        <v>90.001954990466587</v>
      </c>
      <c r="BQ379" s="82">
        <f t="shared" si="111"/>
        <v>1.3827613474717282E-3</v>
      </c>
      <c r="BR379">
        <v>352.5</v>
      </c>
      <c r="BS379">
        <v>15640.590958590221</v>
      </c>
      <c r="BT379" t="s">
        <v>82</v>
      </c>
      <c r="BU379">
        <v>352.5</v>
      </c>
      <c r="BV379">
        <v>90.001926340274792</v>
      </c>
      <c r="BW379" s="82">
        <f t="shared" si="112"/>
        <v>1.3552384357922165E-3</v>
      </c>
      <c r="BX379">
        <v>352.5</v>
      </c>
      <c r="BY379">
        <v>16443.679871821565</v>
      </c>
      <c r="BZ379" t="s">
        <v>82</v>
      </c>
      <c r="CA379">
        <v>352.5</v>
      </c>
      <c r="CB379">
        <v>90.001890368906828</v>
      </c>
      <c r="CC379" s="82">
        <f t="shared" si="113"/>
        <v>1.3234431094844012E-3</v>
      </c>
      <c r="CD379">
        <v>352.5</v>
      </c>
      <c r="CE379">
        <v>17290.606048832011</v>
      </c>
      <c r="CF379" t="s">
        <v>82</v>
      </c>
      <c r="CG379">
        <v>352.5</v>
      </c>
      <c r="CH379">
        <v>90.001854980256169</v>
      </c>
      <c r="CI379" s="82">
        <f t="shared" si="114"/>
        <v>1.2544004494827732E-3</v>
      </c>
      <c r="CJ379">
        <v>352.5</v>
      </c>
      <c r="CK379">
        <v>18180.385107448306</v>
      </c>
      <c r="CL379" t="s">
        <v>82</v>
      </c>
      <c r="CM379">
        <v>352.5</v>
      </c>
      <c r="CN379">
        <v>90.001870915167615</v>
      </c>
      <c r="CO379" s="82">
        <f t="shared" si="115"/>
        <v>1.0902534578605128E-3</v>
      </c>
      <c r="CP379">
        <v>352.5</v>
      </c>
      <c r="CQ379">
        <v>19110.508608096839</v>
      </c>
      <c r="CR379" t="s">
        <v>82</v>
      </c>
      <c r="CS379">
        <v>352.5</v>
      </c>
      <c r="CT379">
        <v>90.002039239039959</v>
      </c>
      <c r="CU379" s="82">
        <f t="shared" si="116"/>
        <v>9.2571265560081883E-4</v>
      </c>
      <c r="CV379">
        <v>352.5</v>
      </c>
      <c r="CW379">
        <v>20081.261993340155</v>
      </c>
      <c r="CX379" t="s">
        <v>82</v>
      </c>
      <c r="CY379">
        <v>352.5</v>
      </c>
      <c r="CZ379">
        <v>90.002224115773785</v>
      </c>
      <c r="DA379" s="82">
        <f t="shared" si="117"/>
        <v>1.6787721589253124E-3</v>
      </c>
      <c r="DB379">
        <v>352.5</v>
      </c>
      <c r="DC379">
        <v>21145.81679600654</v>
      </c>
      <c r="DD379" t="s">
        <v>82</v>
      </c>
      <c r="DG379" s="82">
        <f t="shared" si="118"/>
        <v>0</v>
      </c>
      <c r="DM379" s="82">
        <f t="shared" si="119"/>
        <v>0</v>
      </c>
    </row>
    <row r="380" spans="1:117" x14ac:dyDescent="0.2">
      <c r="A380">
        <v>357.5</v>
      </c>
      <c r="B380">
        <v>90.004550140939017</v>
      </c>
      <c r="C380" s="82">
        <f t="shared" si="100"/>
        <v>2.4353248529820348E-3</v>
      </c>
      <c r="D380">
        <v>357.5</v>
      </c>
      <c r="E380">
        <v>10472.528255117963</v>
      </c>
      <c r="F380" t="s">
        <v>82</v>
      </c>
      <c r="G380">
        <v>357.5</v>
      </c>
      <c r="H380">
        <v>90.004498450519364</v>
      </c>
      <c r="I380" s="82">
        <f t="shared" si="101"/>
        <v>2.3920167871409603E-3</v>
      </c>
      <c r="J380">
        <v>357.5</v>
      </c>
      <c r="K380">
        <v>10732.288540610118</v>
      </c>
      <c r="L380" t="s">
        <v>82</v>
      </c>
      <c r="M380">
        <v>357.5</v>
      </c>
      <c r="N380">
        <v>90.00444262070917</v>
      </c>
      <c r="O380" s="82">
        <f t="shared" si="102"/>
        <v>2.3454810360021838E-3</v>
      </c>
      <c r="P380">
        <v>357.5</v>
      </c>
      <c r="Q380">
        <v>11023.174611523653</v>
      </c>
      <c r="R380" t="s">
        <v>82</v>
      </c>
      <c r="S380">
        <v>357.5</v>
      </c>
      <c r="T380">
        <v>90.004383117252331</v>
      </c>
      <c r="U380" s="82">
        <f t="shared" si="103"/>
        <v>2.2961558934895265E-3</v>
      </c>
      <c r="V380">
        <v>357.5</v>
      </c>
      <c r="W380">
        <v>11344.198943246518</v>
      </c>
      <c r="X380" t="s">
        <v>82</v>
      </c>
      <c r="Y380">
        <v>357.5</v>
      </c>
      <c r="Z380">
        <v>90.004319239127582</v>
      </c>
      <c r="AA380" s="82">
        <f t="shared" si="104"/>
        <v>2.2435155796216577E-3</v>
      </c>
      <c r="AB380">
        <v>357.5</v>
      </c>
      <c r="AC380">
        <v>11700.53088143947</v>
      </c>
      <c r="AD380" t="s">
        <v>82</v>
      </c>
      <c r="AE380">
        <v>357.5</v>
      </c>
      <c r="AF380">
        <v>90.004250713045678</v>
      </c>
      <c r="AG380" s="82">
        <f t="shared" si="105"/>
        <v>2.1874007352806757E-3</v>
      </c>
      <c r="AH380">
        <v>357.5</v>
      </c>
      <c r="AI380">
        <v>12095.214852265037</v>
      </c>
      <c r="AJ380" t="s">
        <v>82</v>
      </c>
      <c r="AK380">
        <v>357.5</v>
      </c>
      <c r="AL380">
        <v>90.004177189729901</v>
      </c>
      <c r="AM380" s="82">
        <f t="shared" si="106"/>
        <v>2.1275962558178207E-3</v>
      </c>
      <c r="AN380">
        <v>357.5</v>
      </c>
      <c r="AO380">
        <v>12531.797975803</v>
      </c>
      <c r="AP380" t="s">
        <v>82</v>
      </c>
      <c r="AQ380">
        <v>357.5</v>
      </c>
      <c r="AR380">
        <v>90.004098119294937</v>
      </c>
      <c r="AS380" s="82">
        <f t="shared" si="107"/>
        <v>2.0637230062163781E-3</v>
      </c>
      <c r="AT380">
        <v>357.5</v>
      </c>
      <c r="AU380">
        <v>13015.170899966379</v>
      </c>
      <c r="AV380" t="s">
        <v>82</v>
      </c>
      <c r="AW380">
        <v>357.5</v>
      </c>
      <c r="AX380">
        <v>90.004012914678569</v>
      </c>
      <c r="AY380" s="82">
        <f t="shared" si="108"/>
        <v>1.9953556173533116E-3</v>
      </c>
      <c r="AZ380">
        <v>357.5</v>
      </c>
      <c r="BA380">
        <v>13550.751991264346</v>
      </c>
      <c r="BB380" t="s">
        <v>82</v>
      </c>
      <c r="BC380">
        <v>357.5</v>
      </c>
      <c r="BD380">
        <v>90.003921254345627</v>
      </c>
      <c r="BE380" s="82">
        <f t="shared" si="109"/>
        <v>1.9222608319751089E-3</v>
      </c>
      <c r="BF380">
        <v>357.5</v>
      </c>
      <c r="BG380">
        <v>14142.667872951275</v>
      </c>
      <c r="BH380" t="s">
        <v>82</v>
      </c>
      <c r="BI380">
        <v>357.5</v>
      </c>
      <c r="BJ380">
        <v>90.003822467393533</v>
      </c>
      <c r="BK380" s="82">
        <f t="shared" si="110"/>
        <v>1.844021689223041E-3</v>
      </c>
      <c r="BL380">
        <v>357.5</v>
      </c>
      <c r="BM380">
        <v>14806.030084225156</v>
      </c>
      <c r="BN380" t="s">
        <v>82</v>
      </c>
      <c r="BO380">
        <v>357.5</v>
      </c>
      <c r="BP380">
        <v>90.003715543305049</v>
      </c>
      <c r="BQ380" s="82">
        <f t="shared" si="111"/>
        <v>1.7605528384621039E-3</v>
      </c>
      <c r="BR380">
        <v>357.5</v>
      </c>
      <c r="BS380">
        <v>15544.376797301611</v>
      </c>
      <c r="BT380" t="s">
        <v>82</v>
      </c>
      <c r="BU380">
        <v>357.5</v>
      </c>
      <c r="BV380">
        <v>90.003600325349638</v>
      </c>
      <c r="BW380" s="82">
        <f t="shared" si="112"/>
        <v>1.6739850748450635E-3</v>
      </c>
      <c r="BX380">
        <v>357.5</v>
      </c>
      <c r="BY380">
        <v>16353.500416452745</v>
      </c>
      <c r="BZ380" t="s">
        <v>82</v>
      </c>
      <c r="CA380">
        <v>357.5</v>
      </c>
      <c r="CB380">
        <v>90.003478369688267</v>
      </c>
      <c r="CC380" s="82">
        <f t="shared" si="113"/>
        <v>1.5880007814388364E-3</v>
      </c>
      <c r="CD380">
        <v>357.5</v>
      </c>
      <c r="CE380">
        <v>17206.923365941937</v>
      </c>
      <c r="CF380" t="s">
        <v>82</v>
      </c>
      <c r="CG380">
        <v>357.5</v>
      </c>
      <c r="CH380">
        <v>90.003348006313416</v>
      </c>
      <c r="CI380" s="82">
        <f t="shared" si="114"/>
        <v>1.4930260572469933E-3</v>
      </c>
      <c r="CJ380">
        <v>357.5</v>
      </c>
      <c r="CK380">
        <v>18105.113141912476</v>
      </c>
      <c r="CL380" t="s">
        <v>82</v>
      </c>
      <c r="CM380">
        <v>357.5</v>
      </c>
      <c r="CN380">
        <v>90.003222831481693</v>
      </c>
      <c r="CO380" s="82">
        <f t="shared" si="115"/>
        <v>1.351916314078494E-3</v>
      </c>
      <c r="CP380">
        <v>357.5</v>
      </c>
      <c r="CQ380">
        <v>19049.786231417907</v>
      </c>
      <c r="CR380" t="s">
        <v>82</v>
      </c>
      <c r="CS380">
        <v>357.5</v>
      </c>
      <c r="CT380">
        <v>90.003162965127359</v>
      </c>
      <c r="CU380" s="82">
        <f t="shared" si="116"/>
        <v>1.1237260873997457E-3</v>
      </c>
      <c r="CV380">
        <v>357.5</v>
      </c>
      <c r="CW380">
        <v>20042.13360436157</v>
      </c>
      <c r="CX380" t="s">
        <v>82</v>
      </c>
      <c r="CY380">
        <v>357.5</v>
      </c>
      <c r="CZ380">
        <v>90.003246887829235</v>
      </c>
      <c r="DA380" s="82">
        <f t="shared" si="117"/>
        <v>1.02277205544965E-3</v>
      </c>
      <c r="DB380">
        <v>357.5</v>
      </c>
      <c r="DC380">
        <v>21095.91624744287</v>
      </c>
      <c r="DD380" t="s">
        <v>82</v>
      </c>
      <c r="DG380" s="82">
        <f t="shared" si="118"/>
        <v>0</v>
      </c>
      <c r="DM380" s="82">
        <f t="shared" si="119"/>
        <v>0</v>
      </c>
    </row>
    <row r="381" spans="1:117" x14ac:dyDescent="0.2">
      <c r="A381">
        <v>362.5</v>
      </c>
      <c r="B381">
        <v>90.003441896953788</v>
      </c>
      <c r="C381" s="82">
        <f t="shared" si="100"/>
        <v>-1.1082439852287962E-3</v>
      </c>
      <c r="D381">
        <v>362.5</v>
      </c>
      <c r="E381">
        <v>10851.92493080339</v>
      </c>
      <c r="F381" t="s">
        <v>82</v>
      </c>
      <c r="G381">
        <v>362.5</v>
      </c>
      <c r="H381">
        <v>90.003323777337869</v>
      </c>
      <c r="I381" s="82">
        <f t="shared" si="101"/>
        <v>-1.1746731814952227E-3</v>
      </c>
      <c r="J381">
        <v>362.5</v>
      </c>
      <c r="K381">
        <v>11128.159438838669</v>
      </c>
      <c r="L381" t="s">
        <v>82</v>
      </c>
      <c r="M381">
        <v>362.5</v>
      </c>
      <c r="N381">
        <v>90.003196769275078</v>
      </c>
      <c r="O381" s="82">
        <f t="shared" si="102"/>
        <v>-1.2458514340920601E-3</v>
      </c>
      <c r="P381">
        <v>362.5</v>
      </c>
      <c r="Q381">
        <v>11436.057099541038</v>
      </c>
      <c r="R381" t="s">
        <v>82</v>
      </c>
      <c r="S381">
        <v>362.5</v>
      </c>
      <c r="T381">
        <v>90.003062048433947</v>
      </c>
      <c r="U381" s="82">
        <f t="shared" si="103"/>
        <v>-1.3210688183846742E-3</v>
      </c>
      <c r="V381">
        <v>362.5</v>
      </c>
      <c r="W381">
        <v>11774.361964165437</v>
      </c>
      <c r="X381" t="s">
        <v>82</v>
      </c>
      <c r="Y381">
        <v>362.5</v>
      </c>
      <c r="Z381">
        <v>90.002918154540311</v>
      </c>
      <c r="AA381" s="82">
        <f t="shared" si="104"/>
        <v>-1.4010845872718392E-3</v>
      </c>
      <c r="AB381">
        <v>362.5</v>
      </c>
      <c r="AC381">
        <v>12148.324139427048</v>
      </c>
      <c r="AD381" t="s">
        <v>82</v>
      </c>
      <c r="AE381">
        <v>362.5</v>
      </c>
      <c r="AF381">
        <v>90.002764623608599</v>
      </c>
      <c r="AG381" s="82">
        <f t="shared" si="105"/>
        <v>-1.4860894370798405E-3</v>
      </c>
      <c r="AH381">
        <v>362.5</v>
      </c>
      <c r="AI381">
        <v>12560.930815914315</v>
      </c>
      <c r="AJ381" t="s">
        <v>82</v>
      </c>
      <c r="AK381">
        <v>362.5</v>
      </c>
      <c r="AL381">
        <v>90.002600844111086</v>
      </c>
      <c r="AM381" s="82">
        <f t="shared" si="106"/>
        <v>-1.5763456188153668E-3</v>
      </c>
      <c r="AN381">
        <v>362.5</v>
      </c>
      <c r="AO381">
        <v>13015.688502983912</v>
      </c>
      <c r="AP381" t="s">
        <v>82</v>
      </c>
      <c r="AQ381">
        <v>362.5</v>
      </c>
      <c r="AR381">
        <v>90.002425781015802</v>
      </c>
      <c r="AS381" s="82">
        <f t="shared" si="107"/>
        <v>-1.6723382791354879E-3</v>
      </c>
      <c r="AT381">
        <v>362.5</v>
      </c>
      <c r="AU381">
        <v>13517.490599367244</v>
      </c>
      <c r="AV381" t="s">
        <v>82</v>
      </c>
      <c r="AW381">
        <v>362.5</v>
      </c>
      <c r="AX381">
        <v>90.002238329245628</v>
      </c>
      <c r="AY381" s="82">
        <f t="shared" si="108"/>
        <v>-1.774585432940512E-3</v>
      </c>
      <c r="AZ381">
        <v>362.5</v>
      </c>
      <c r="BA381">
        <v>14071.758956332127</v>
      </c>
      <c r="BB381" t="s">
        <v>82</v>
      </c>
      <c r="BC381">
        <v>362.5</v>
      </c>
      <c r="BD381">
        <v>90.002037944463495</v>
      </c>
      <c r="BE381" s="82">
        <f t="shared" si="109"/>
        <v>-1.8833098821318117E-3</v>
      </c>
      <c r="BF381">
        <v>362.5</v>
      </c>
      <c r="BG381">
        <v>14682.568905294425</v>
      </c>
      <c r="BH381" t="s">
        <v>82</v>
      </c>
      <c r="BI381">
        <v>362.5</v>
      </c>
      <c r="BJ381">
        <v>90.001823307476911</v>
      </c>
      <c r="BK381" s="82">
        <f t="shared" si="110"/>
        <v>-1.9991599166218066E-3</v>
      </c>
      <c r="BL381">
        <v>362.5</v>
      </c>
      <c r="BM381">
        <v>15356.733774343365</v>
      </c>
      <c r="BN381" t="s">
        <v>82</v>
      </c>
      <c r="BO381">
        <v>362.5</v>
      </c>
      <c r="BP381">
        <v>90.001592691808611</v>
      </c>
      <c r="BQ381" s="82">
        <f t="shared" si="111"/>
        <v>-2.1228514964377609E-3</v>
      </c>
      <c r="BR381">
        <v>362.5</v>
      </c>
      <c r="BS381">
        <v>16102.972137112562</v>
      </c>
      <c r="BT381" t="s">
        <v>82</v>
      </c>
      <c r="BU381">
        <v>362.5</v>
      </c>
      <c r="BV381">
        <v>90.001347646019127</v>
      </c>
      <c r="BW381" s="82">
        <f t="shared" si="112"/>
        <v>-2.252679330510432E-3</v>
      </c>
      <c r="BX381">
        <v>362.5</v>
      </c>
      <c r="BY381">
        <v>16919.031047870132</v>
      </c>
      <c r="BZ381" t="s">
        <v>82</v>
      </c>
      <c r="CA381">
        <v>362.5</v>
      </c>
      <c r="CB381">
        <v>90.001095741406488</v>
      </c>
      <c r="CC381" s="82">
        <f t="shared" si="113"/>
        <v>-2.3826282817793754E-3</v>
      </c>
      <c r="CD381">
        <v>362.5</v>
      </c>
      <c r="CE381">
        <v>17778.232263045338</v>
      </c>
      <c r="CF381" t="s">
        <v>82</v>
      </c>
      <c r="CG381">
        <v>362.5</v>
      </c>
      <c r="CH381">
        <v>90.000834816589204</v>
      </c>
      <c r="CI381" s="82">
        <f t="shared" si="114"/>
        <v>-2.5131897242118839E-3</v>
      </c>
      <c r="CJ381">
        <v>362.5</v>
      </c>
      <c r="CK381">
        <v>18680.846984698605</v>
      </c>
      <c r="CL381" t="s">
        <v>82</v>
      </c>
      <c r="CM381">
        <v>362.5</v>
      </c>
      <c r="CN381">
        <v>90.000565230260591</v>
      </c>
      <c r="CO381" s="82">
        <f t="shared" si="115"/>
        <v>-2.6576012211023681E-3</v>
      </c>
      <c r="CP381">
        <v>362.5</v>
      </c>
      <c r="CQ381">
        <v>19627.671660751643</v>
      </c>
      <c r="CR381" t="s">
        <v>82</v>
      </c>
      <c r="CS381">
        <v>362.5</v>
      </c>
      <c r="CT381">
        <v>90.000307938715622</v>
      </c>
      <c r="CU381" s="82">
        <f t="shared" si="116"/>
        <v>-2.8550264117370716E-3</v>
      </c>
      <c r="CV381">
        <v>362.5</v>
      </c>
      <c r="CW381">
        <v>20619.258973796383</v>
      </c>
      <c r="CX381" t="s">
        <v>82</v>
      </c>
      <c r="CY381">
        <v>362.5</v>
      </c>
      <c r="CZ381">
        <v>90.000127608994063</v>
      </c>
      <c r="DA381" s="82">
        <f t="shared" si="117"/>
        <v>-3.1192788351717127E-3</v>
      </c>
      <c r="DB381">
        <v>362.5</v>
      </c>
      <c r="DC381">
        <v>21677.030559844359</v>
      </c>
      <c r="DD381" t="s">
        <v>82</v>
      </c>
      <c r="DG381" s="82">
        <f t="shared" si="118"/>
        <v>0</v>
      </c>
      <c r="DM381" s="82">
        <f t="shared" si="119"/>
        <v>0</v>
      </c>
    </row>
    <row r="382" spans="1:117" x14ac:dyDescent="0.2">
      <c r="A382">
        <v>367.5</v>
      </c>
      <c r="B382">
        <v>89.984654399847642</v>
      </c>
      <c r="C382" s="82">
        <f t="shared" si="100"/>
        <v>-1.8787497106146134E-2</v>
      </c>
      <c r="D382">
        <v>367.5</v>
      </c>
      <c r="E382">
        <v>12195.258619383116</v>
      </c>
      <c r="F382" t="s">
        <v>82</v>
      </c>
      <c r="G382">
        <v>367.5</v>
      </c>
      <c r="H382">
        <v>89.984514003705016</v>
      </c>
      <c r="I382" s="82">
        <f t="shared" si="101"/>
        <v>-1.8809773632852966E-2</v>
      </c>
      <c r="J382">
        <v>367.5</v>
      </c>
      <c r="K382">
        <v>12498.921554762022</v>
      </c>
      <c r="L382" t="s">
        <v>82</v>
      </c>
      <c r="M382">
        <v>367.5</v>
      </c>
      <c r="N382">
        <v>89.984363332578198</v>
      </c>
      <c r="O382" s="82">
        <f t="shared" si="102"/>
        <v>-1.8833436696880312E-2</v>
      </c>
      <c r="P382">
        <v>367.5</v>
      </c>
      <c r="Q382">
        <v>12833.621350653693</v>
      </c>
      <c r="R382" t="s">
        <v>82</v>
      </c>
      <c r="S382">
        <v>367.5</v>
      </c>
      <c r="T382">
        <v>89.984203840332526</v>
      </c>
      <c r="U382" s="82">
        <f t="shared" si="103"/>
        <v>-1.885820810142036E-2</v>
      </c>
      <c r="V382">
        <v>367.5</v>
      </c>
      <c r="W382">
        <v>13197.530782389798</v>
      </c>
      <c r="X382" t="s">
        <v>82</v>
      </c>
      <c r="Y382">
        <v>367.5</v>
      </c>
      <c r="Z382">
        <v>89.984033862793211</v>
      </c>
      <c r="AA382" s="82">
        <f t="shared" si="104"/>
        <v>-1.8884291747099269E-2</v>
      </c>
      <c r="AB382">
        <v>367.5</v>
      </c>
      <c r="AC382">
        <v>13595.885288175061</v>
      </c>
      <c r="AD382" t="s">
        <v>82</v>
      </c>
      <c r="AE382">
        <v>367.5</v>
      </c>
      <c r="AF382">
        <v>89.983852929108977</v>
      </c>
      <c r="AG382" s="82">
        <f t="shared" si="105"/>
        <v>-1.891169449962149E-2</v>
      </c>
      <c r="AH382">
        <v>367.5</v>
      </c>
      <c r="AI382">
        <v>14031.444247400455</v>
      </c>
      <c r="AJ382" t="s">
        <v>82</v>
      </c>
      <c r="AK382">
        <v>367.5</v>
      </c>
      <c r="AL382">
        <v>89.98366040659873</v>
      </c>
      <c r="AM382" s="82">
        <f t="shared" si="106"/>
        <v>-1.8940437512355857E-2</v>
      </c>
      <c r="AN382">
        <v>367.5</v>
      </c>
      <c r="AO382">
        <v>14507.518260817937</v>
      </c>
      <c r="AP382" t="s">
        <v>82</v>
      </c>
      <c r="AQ382">
        <v>367.5</v>
      </c>
      <c r="AR382">
        <v>89.983455180418929</v>
      </c>
      <c r="AS382" s="82">
        <f t="shared" si="107"/>
        <v>-1.8970600596873055E-2</v>
      </c>
      <c r="AT382">
        <v>367.5</v>
      </c>
      <c r="AU382">
        <v>15028.857345862127</v>
      </c>
      <c r="AV382" t="s">
        <v>82</v>
      </c>
      <c r="AW382">
        <v>367.5</v>
      </c>
      <c r="AX382">
        <v>89.983236071279237</v>
      </c>
      <c r="AY382" s="82">
        <f t="shared" si="108"/>
        <v>-1.9002257966391767E-2</v>
      </c>
      <c r="AZ382">
        <v>367.5</v>
      </c>
      <c r="BA382">
        <v>15600.732009918655</v>
      </c>
      <c r="BB382" t="s">
        <v>82</v>
      </c>
      <c r="BC382">
        <v>367.5</v>
      </c>
      <c r="BD382">
        <v>89.983002563163907</v>
      </c>
      <c r="BE382" s="82">
        <f t="shared" si="109"/>
        <v>-1.9035381299588039E-2</v>
      </c>
      <c r="BF382">
        <v>367.5</v>
      </c>
      <c r="BG382">
        <v>16227.018575797792</v>
      </c>
      <c r="BH382" t="s">
        <v>82</v>
      </c>
      <c r="BI382">
        <v>367.5</v>
      </c>
      <c r="BJ382">
        <v>89.98275323354747</v>
      </c>
      <c r="BK382" s="82">
        <f t="shared" si="110"/>
        <v>-1.9070073929441378E-2</v>
      </c>
      <c r="BL382">
        <v>367.5</v>
      </c>
      <c r="BM382">
        <v>16914.408561982866</v>
      </c>
      <c r="BN382" t="s">
        <v>82</v>
      </c>
      <c r="BO382">
        <v>367.5</v>
      </c>
      <c r="BP382">
        <v>89.982486223196489</v>
      </c>
      <c r="BQ382" s="82">
        <f t="shared" si="111"/>
        <v>-1.9106468612122285E-2</v>
      </c>
      <c r="BR382">
        <v>367.5</v>
      </c>
      <c r="BS382">
        <v>17671.510627334723</v>
      </c>
      <c r="BT382" t="s">
        <v>82</v>
      </c>
      <c r="BU382">
        <v>367.5</v>
      </c>
      <c r="BV382">
        <v>89.982203694501706</v>
      </c>
      <c r="BW382" s="82">
        <f t="shared" si="112"/>
        <v>-1.9143951517420987E-2</v>
      </c>
      <c r="BX382">
        <v>367.5</v>
      </c>
      <c r="BY382">
        <v>18495.859630444698</v>
      </c>
      <c r="BZ382" t="s">
        <v>82</v>
      </c>
      <c r="CA382">
        <v>367.5</v>
      </c>
      <c r="CB382">
        <v>89.981915396353614</v>
      </c>
      <c r="CC382" s="82">
        <f t="shared" si="113"/>
        <v>-1.9180345052873804E-2</v>
      </c>
      <c r="CD382">
        <v>367.5</v>
      </c>
      <c r="CE382">
        <v>19360.617296317498</v>
      </c>
      <c r="CF382" t="s">
        <v>82</v>
      </c>
      <c r="CG382">
        <v>367.5</v>
      </c>
      <c r="CH382">
        <v>89.981620421000443</v>
      </c>
      <c r="CI382" s="82">
        <f t="shared" si="114"/>
        <v>-1.921439558876159E-2</v>
      </c>
      <c r="CJ382">
        <v>367.5</v>
      </c>
      <c r="CK382">
        <v>20266.265587484038</v>
      </c>
      <c r="CL382" t="s">
        <v>82</v>
      </c>
      <c r="CM382">
        <v>367.5</v>
      </c>
      <c r="CN382">
        <v>89.98131700640964</v>
      </c>
      <c r="CO382" s="82">
        <f t="shared" si="115"/>
        <v>-1.9248223850951263E-2</v>
      </c>
      <c r="CP382">
        <v>367.5</v>
      </c>
      <c r="CQ382">
        <v>21213.422463167459</v>
      </c>
      <c r="CR382" t="s">
        <v>82</v>
      </c>
      <c r="CS382">
        <v>367.5</v>
      </c>
      <c r="CT382">
        <v>89.981008818961271</v>
      </c>
      <c r="CU382" s="82">
        <f t="shared" si="116"/>
        <v>-1.9299119754350613E-2</v>
      </c>
      <c r="CV382">
        <v>367.5</v>
      </c>
      <c r="CW382">
        <v>22201.821867716037</v>
      </c>
      <c r="CX382" t="s">
        <v>82</v>
      </c>
      <c r="CY382">
        <v>367.5</v>
      </c>
      <c r="CZ382">
        <v>89.980719630296733</v>
      </c>
      <c r="DA382" s="82">
        <f t="shared" si="117"/>
        <v>-1.9407978697330464E-2</v>
      </c>
      <c r="DB382">
        <v>367.5</v>
      </c>
      <c r="DC382">
        <v>23253.335833905461</v>
      </c>
      <c r="DD382" t="s">
        <v>82</v>
      </c>
      <c r="DG382" s="82">
        <f t="shared" si="118"/>
        <v>0</v>
      </c>
      <c r="DM382" s="82">
        <f t="shared" si="119"/>
        <v>0</v>
      </c>
    </row>
    <row r="383" spans="1:117" x14ac:dyDescent="0.2">
      <c r="A383">
        <v>372.5</v>
      </c>
      <c r="B383">
        <v>89.924066390178496</v>
      </c>
      <c r="C383" s="82">
        <f t="shared" si="100"/>
        <v>-6.0588009669146459E-2</v>
      </c>
      <c r="D383">
        <v>372.5</v>
      </c>
      <c r="E383">
        <v>14315.734142845517</v>
      </c>
      <c r="F383" t="s">
        <v>82</v>
      </c>
      <c r="G383">
        <v>372.5</v>
      </c>
      <c r="H383">
        <v>89.924070360437256</v>
      </c>
      <c r="I383" s="82">
        <f t="shared" si="101"/>
        <v>-6.0443643267760194E-2</v>
      </c>
      <c r="J383">
        <v>372.5</v>
      </c>
      <c r="K383">
        <v>14640.966805878898</v>
      </c>
      <c r="L383" t="s">
        <v>82</v>
      </c>
      <c r="M383">
        <v>372.5</v>
      </c>
      <c r="N383">
        <v>89.924074918574846</v>
      </c>
      <c r="O383" s="82">
        <f t="shared" si="102"/>
        <v>-6.0288414003352386E-2</v>
      </c>
      <c r="P383">
        <v>372.5</v>
      </c>
      <c r="Q383">
        <v>14996.522107353907</v>
      </c>
      <c r="R383" t="s">
        <v>82</v>
      </c>
      <c r="S383">
        <v>372.5</v>
      </c>
      <c r="T383">
        <v>89.924080082344261</v>
      </c>
      <c r="U383" s="82">
        <f t="shared" si="103"/>
        <v>-6.012375798826497E-2</v>
      </c>
      <c r="V383">
        <v>372.5</v>
      </c>
      <c r="W383">
        <v>15380.106356694865</v>
      </c>
      <c r="X383" t="s">
        <v>82</v>
      </c>
      <c r="Y383">
        <v>372.5</v>
      </c>
      <c r="Z383">
        <v>89.92408597330099</v>
      </c>
      <c r="AA383" s="82">
        <f t="shared" si="104"/>
        <v>-5.9947889492221407E-2</v>
      </c>
      <c r="AB383">
        <v>372.5</v>
      </c>
      <c r="AC383">
        <v>15796.91848113042</v>
      </c>
      <c r="AD383" t="s">
        <v>82</v>
      </c>
      <c r="AE383">
        <v>372.5</v>
      </c>
      <c r="AF383">
        <v>89.924092688659769</v>
      </c>
      <c r="AG383" s="82">
        <f t="shared" si="105"/>
        <v>-5.9760240449207913E-2</v>
      </c>
      <c r="AH383">
        <v>372.5</v>
      </c>
      <c r="AI383">
        <v>16249.511078755915</v>
      </c>
      <c r="AJ383" t="s">
        <v>82</v>
      </c>
      <c r="AK383">
        <v>372.5</v>
      </c>
      <c r="AL383">
        <v>89.924100343884135</v>
      </c>
      <c r="AM383" s="82">
        <f t="shared" si="106"/>
        <v>-5.9560062714595574E-2</v>
      </c>
      <c r="AN383">
        <v>372.5</v>
      </c>
      <c r="AO383">
        <v>16741.007951157051</v>
      </c>
      <c r="AP383" t="s">
        <v>82</v>
      </c>
      <c r="AQ383">
        <v>372.5</v>
      </c>
      <c r="AR383">
        <v>89.924109090184245</v>
      </c>
      <c r="AS383" s="82">
        <f t="shared" si="107"/>
        <v>-5.9346090234683402E-2</v>
      </c>
      <c r="AT383">
        <v>372.5</v>
      </c>
      <c r="AU383">
        <v>17276.004459226155</v>
      </c>
      <c r="AV383" t="s">
        <v>82</v>
      </c>
      <c r="AW383">
        <v>372.5</v>
      </c>
      <c r="AX383">
        <v>89.924119103792975</v>
      </c>
      <c r="AY383" s="82">
        <f t="shared" si="108"/>
        <v>-5.9116967486261274E-2</v>
      </c>
      <c r="AZ383">
        <v>372.5</v>
      </c>
      <c r="BA383">
        <v>17859.602200372577</v>
      </c>
      <c r="BB383" t="s">
        <v>82</v>
      </c>
      <c r="BC383">
        <v>372.5</v>
      </c>
      <c r="BD383">
        <v>89.924130553656227</v>
      </c>
      <c r="BE383" s="82">
        <f t="shared" si="109"/>
        <v>-5.88720095076809E-2</v>
      </c>
      <c r="BF383">
        <v>372.5</v>
      </c>
      <c r="BG383">
        <v>18495.471421580423</v>
      </c>
      <c r="BH383" t="s">
        <v>82</v>
      </c>
      <c r="BI383">
        <v>372.5</v>
      </c>
      <c r="BJ383">
        <v>89.924143682728115</v>
      </c>
      <c r="BK383" s="82">
        <f t="shared" si="110"/>
        <v>-5.860955081935515E-2</v>
      </c>
      <c r="BL383">
        <v>372.5</v>
      </c>
      <c r="BM383">
        <v>19190.142245368836</v>
      </c>
      <c r="BN383" t="s">
        <v>82</v>
      </c>
      <c r="BO383">
        <v>372.5</v>
      </c>
      <c r="BP383">
        <v>89.924158815941198</v>
      </c>
      <c r="BQ383" s="82">
        <f t="shared" si="111"/>
        <v>-5.8327407255291064E-2</v>
      </c>
      <c r="BR383">
        <v>372.5</v>
      </c>
      <c r="BS383">
        <v>19959.841434854963</v>
      </c>
      <c r="BT383" t="s">
        <v>82</v>
      </c>
      <c r="BU383">
        <v>372.5</v>
      </c>
      <c r="BV383">
        <v>89.924176114020412</v>
      </c>
      <c r="BW383" s="82">
        <f t="shared" si="112"/>
        <v>-5.8027580481294194E-2</v>
      </c>
      <c r="BX383">
        <v>372.5</v>
      </c>
      <c r="BY383">
        <v>20816.353559944047</v>
      </c>
      <c r="BZ383" t="s">
        <v>82</v>
      </c>
      <c r="CA383">
        <v>372.5</v>
      </c>
      <c r="CB383">
        <v>89.924195174619896</v>
      </c>
      <c r="CC383" s="82">
        <f t="shared" si="113"/>
        <v>-5.7720221733717381E-2</v>
      </c>
      <c r="CD383">
        <v>372.5</v>
      </c>
      <c r="CE383">
        <v>21708.910899994687</v>
      </c>
      <c r="CF383" t="s">
        <v>82</v>
      </c>
      <c r="CG383">
        <v>372.5</v>
      </c>
      <c r="CH383">
        <v>89.924215816655064</v>
      </c>
      <c r="CI383" s="82">
        <f t="shared" si="114"/>
        <v>-5.7404604345379084E-2</v>
      </c>
      <c r="CJ383">
        <v>372.5</v>
      </c>
      <c r="CK383">
        <v>22638.265674018348</v>
      </c>
      <c r="CL383" t="s">
        <v>82</v>
      </c>
      <c r="CM383">
        <v>372.5</v>
      </c>
      <c r="CN383">
        <v>89.924236938046249</v>
      </c>
      <c r="CO383" s="82">
        <f t="shared" si="115"/>
        <v>-5.7080068363390524E-2</v>
      </c>
      <c r="CP383">
        <v>372.5</v>
      </c>
      <c r="CQ383">
        <v>23605.186234438635</v>
      </c>
      <c r="CR383" t="s">
        <v>82</v>
      </c>
      <c r="CS383">
        <v>372.5</v>
      </c>
      <c r="CT383">
        <v>89.924257100002677</v>
      </c>
      <c r="CU383" s="82">
        <f t="shared" si="116"/>
        <v>-5.6751718958594211E-2</v>
      </c>
      <c r="CV383">
        <v>372.5</v>
      </c>
      <c r="CW383">
        <v>24609.139681604363</v>
      </c>
      <c r="CX383" t="s">
        <v>82</v>
      </c>
      <c r="CY383">
        <v>372.5</v>
      </c>
      <c r="CZ383">
        <v>89.924283261937759</v>
      </c>
      <c r="DA383" s="82">
        <f t="shared" si="117"/>
        <v>-5.6436368358973255E-2</v>
      </c>
      <c r="DB383">
        <v>372.5</v>
      </c>
      <c r="DC383">
        <v>25671.642906360987</v>
      </c>
      <c r="DD383" t="s">
        <v>82</v>
      </c>
      <c r="DG383" s="82">
        <f t="shared" si="118"/>
        <v>0</v>
      </c>
      <c r="DM383" s="82">
        <f t="shared" si="119"/>
        <v>0</v>
      </c>
    </row>
    <row r="384" spans="1:117" x14ac:dyDescent="0.2">
      <c r="A384">
        <v>377.5</v>
      </c>
      <c r="B384">
        <v>89.821224474559003</v>
      </c>
      <c r="C384" s="82">
        <f t="shared" si="100"/>
        <v>-0.10284191561949285</v>
      </c>
      <c r="D384">
        <v>377.5</v>
      </c>
      <c r="E384">
        <v>12761.611681916858</v>
      </c>
      <c r="F384" t="s">
        <v>82</v>
      </c>
      <c r="G384">
        <v>377.5</v>
      </c>
      <c r="H384">
        <v>89.821525018066225</v>
      </c>
      <c r="I384" s="82">
        <f t="shared" si="101"/>
        <v>-0.1025453423710303</v>
      </c>
      <c r="J384">
        <v>377.5</v>
      </c>
      <c r="K384">
        <v>13070.466531658134</v>
      </c>
      <c r="L384" t="s">
        <v>82</v>
      </c>
      <c r="M384">
        <v>377.5</v>
      </c>
      <c r="N384">
        <v>89.82184832631296</v>
      </c>
      <c r="O384" s="82">
        <f t="shared" si="102"/>
        <v>-0.10222659226188568</v>
      </c>
      <c r="P384">
        <v>377.5</v>
      </c>
      <c r="Q384">
        <v>13409.881561718599</v>
      </c>
      <c r="R384" t="s">
        <v>82</v>
      </c>
      <c r="S384">
        <v>377.5</v>
      </c>
      <c r="T384">
        <v>89.822191439139203</v>
      </c>
      <c r="U384" s="82">
        <f t="shared" si="103"/>
        <v>-0.10188864320505786</v>
      </c>
      <c r="V384">
        <v>377.5</v>
      </c>
      <c r="W384">
        <v>13777.887954437681</v>
      </c>
      <c r="X384" t="s">
        <v>82</v>
      </c>
      <c r="Y384">
        <v>377.5</v>
      </c>
      <c r="Z384">
        <v>89.82255811138333</v>
      </c>
      <c r="AA384" s="82">
        <f t="shared" si="104"/>
        <v>-0.10152786191765983</v>
      </c>
      <c r="AB384">
        <v>377.5</v>
      </c>
      <c r="AC384">
        <v>14179.677552668898</v>
      </c>
      <c r="AD384" t="s">
        <v>82</v>
      </c>
      <c r="AE384">
        <v>377.5</v>
      </c>
      <c r="AF384">
        <v>89.822949567300768</v>
      </c>
      <c r="AG384" s="82">
        <f t="shared" si="105"/>
        <v>-0.1011431213590015</v>
      </c>
      <c r="AH384">
        <v>377.5</v>
      </c>
      <c r="AI384">
        <v>14617.928026880163</v>
      </c>
      <c r="AJ384" t="s">
        <v>82</v>
      </c>
      <c r="AK384">
        <v>377.5</v>
      </c>
      <c r="AL384">
        <v>89.823367412117008</v>
      </c>
      <c r="AM384" s="82">
        <f t="shared" si="106"/>
        <v>-0.10073293176712639</v>
      </c>
      <c r="AN384">
        <v>377.5</v>
      </c>
      <c r="AO384">
        <v>15095.873668595907</v>
      </c>
      <c r="AP384" t="s">
        <v>82</v>
      </c>
      <c r="AQ384">
        <v>377.5</v>
      </c>
      <c r="AR384">
        <v>89.823814339215289</v>
      </c>
      <c r="AS384" s="82">
        <f t="shared" si="107"/>
        <v>-0.10029475096895624</v>
      </c>
      <c r="AT384">
        <v>377.5</v>
      </c>
      <c r="AU384">
        <v>15618.19179607009</v>
      </c>
      <c r="AV384" t="s">
        <v>82</v>
      </c>
      <c r="AW384">
        <v>377.5</v>
      </c>
      <c r="AX384">
        <v>89.824293239680557</v>
      </c>
      <c r="AY384" s="82">
        <f t="shared" si="108"/>
        <v>-9.9825864112418117E-2</v>
      </c>
      <c r="AZ384">
        <v>377.5</v>
      </c>
      <c r="BA384">
        <v>16190.075075028642</v>
      </c>
      <c r="BB384" t="s">
        <v>82</v>
      </c>
      <c r="BC384">
        <v>377.5</v>
      </c>
      <c r="BD384">
        <v>89.824805620144105</v>
      </c>
      <c r="BE384" s="82">
        <f t="shared" si="109"/>
        <v>-9.9324933512122016E-2</v>
      </c>
      <c r="BF384">
        <v>377.5</v>
      </c>
      <c r="BG384">
        <v>16815.322423289952</v>
      </c>
      <c r="BH384" t="s">
        <v>82</v>
      </c>
      <c r="BI384">
        <v>377.5</v>
      </c>
      <c r="BJ384">
        <v>89.825355074156448</v>
      </c>
      <c r="BK384" s="82">
        <f t="shared" si="110"/>
        <v>-9.8788608571666714E-2</v>
      </c>
      <c r="BL384">
        <v>377.5</v>
      </c>
      <c r="BM384">
        <v>17500.547114243254</v>
      </c>
      <c r="BN384" t="s">
        <v>82</v>
      </c>
      <c r="BO384">
        <v>377.5</v>
      </c>
      <c r="BP384">
        <v>89.825946345581585</v>
      </c>
      <c r="BQ384" s="82">
        <f t="shared" si="111"/>
        <v>-9.821247035961278E-2</v>
      </c>
      <c r="BR384">
        <v>377.5</v>
      </c>
      <c r="BS384">
        <v>18254.268743666744</v>
      </c>
      <c r="BT384" t="s">
        <v>82</v>
      </c>
      <c r="BU384">
        <v>377.5</v>
      </c>
      <c r="BV384">
        <v>89.8265753987978</v>
      </c>
      <c r="BW384" s="82">
        <f t="shared" si="112"/>
        <v>-9.7600715222611711E-2</v>
      </c>
      <c r="BX384">
        <v>377.5</v>
      </c>
      <c r="BY384">
        <v>19074.003726303632</v>
      </c>
      <c r="BZ384" t="s">
        <v>82</v>
      </c>
      <c r="CA384">
        <v>377.5</v>
      </c>
      <c r="CB384">
        <v>89.827220612603526</v>
      </c>
      <c r="CC384" s="82">
        <f t="shared" si="113"/>
        <v>-9.6974562016370669E-2</v>
      </c>
      <c r="CD384">
        <v>377.5</v>
      </c>
      <c r="CE384">
        <v>19933.131203627734</v>
      </c>
      <c r="CF384" t="s">
        <v>82</v>
      </c>
      <c r="CG384">
        <v>377.5</v>
      </c>
      <c r="CH384">
        <v>89.827881908966091</v>
      </c>
      <c r="CI384" s="82">
        <f t="shared" si="114"/>
        <v>-9.6333907688972431E-2</v>
      </c>
      <c r="CJ384">
        <v>377.5</v>
      </c>
      <c r="CK384">
        <v>20832.264240574776</v>
      </c>
      <c r="CL384" t="s">
        <v>82</v>
      </c>
      <c r="CM384">
        <v>377.5</v>
      </c>
      <c r="CN384">
        <v>89.828558670460666</v>
      </c>
      <c r="CO384" s="82">
        <f t="shared" si="115"/>
        <v>-9.5678267585583399E-2</v>
      </c>
      <c r="CP384">
        <v>377.5</v>
      </c>
      <c r="CQ384">
        <v>21772.034632294555</v>
      </c>
      <c r="CR384" t="s">
        <v>82</v>
      </c>
      <c r="CS384">
        <v>377.5</v>
      </c>
      <c r="CT384">
        <v>89.829247850968144</v>
      </c>
      <c r="CU384" s="82">
        <f t="shared" si="116"/>
        <v>-9.5009249034532672E-2</v>
      </c>
      <c r="CV384">
        <v>377.5</v>
      </c>
      <c r="CW384">
        <v>22751.615716329823</v>
      </c>
      <c r="CX384" t="s">
        <v>82</v>
      </c>
      <c r="CY384">
        <v>377.5</v>
      </c>
      <c r="CZ384">
        <v>89.829960918756456</v>
      </c>
      <c r="DA384" s="82">
        <f t="shared" si="117"/>
        <v>-9.4322343181303836E-2</v>
      </c>
      <c r="DB384">
        <v>377.5</v>
      </c>
      <c r="DC384">
        <v>23791.096141540129</v>
      </c>
      <c r="DD384" t="s">
        <v>82</v>
      </c>
      <c r="DG384" s="82">
        <f t="shared" si="118"/>
        <v>0</v>
      </c>
      <c r="DM384" s="82">
        <f t="shared" si="119"/>
        <v>0</v>
      </c>
    </row>
    <row r="385" spans="1:117" x14ac:dyDescent="0.2">
      <c r="A385">
        <v>380</v>
      </c>
      <c r="B385">
        <v>89.821224474559003</v>
      </c>
      <c r="C385" s="82">
        <f t="shared" si="100"/>
        <v>0</v>
      </c>
      <c r="D385">
        <v>380</v>
      </c>
      <c r="E385">
        <v>10439.531018754369</v>
      </c>
      <c r="F385" t="s">
        <v>82</v>
      </c>
      <c r="G385">
        <v>380</v>
      </c>
      <c r="H385">
        <v>89.821525018066225</v>
      </c>
      <c r="I385" s="82">
        <f t="shared" si="101"/>
        <v>0</v>
      </c>
      <c r="J385">
        <v>380</v>
      </c>
      <c r="K385">
        <v>10698.987433427272</v>
      </c>
      <c r="L385" t="s">
        <v>82</v>
      </c>
      <c r="M385">
        <v>380</v>
      </c>
      <c r="N385">
        <v>89.82184832631296</v>
      </c>
      <c r="O385" s="82">
        <f t="shared" si="102"/>
        <v>0</v>
      </c>
      <c r="P385">
        <v>380</v>
      </c>
      <c r="Q385">
        <v>10989.739863038925</v>
      </c>
      <c r="R385" t="s">
        <v>82</v>
      </c>
      <c r="S385">
        <v>380</v>
      </c>
      <c r="T385">
        <v>89.822191439139203</v>
      </c>
      <c r="U385" s="82">
        <f t="shared" si="103"/>
        <v>0</v>
      </c>
      <c r="V385">
        <v>380</v>
      </c>
      <c r="W385">
        <v>11310.821869702404</v>
      </c>
      <c r="X385" t="s">
        <v>82</v>
      </c>
      <c r="Y385">
        <v>380</v>
      </c>
      <c r="Z385">
        <v>89.82255811138333</v>
      </c>
      <c r="AA385" s="82">
        <f t="shared" si="104"/>
        <v>0</v>
      </c>
      <c r="AB385">
        <v>380</v>
      </c>
      <c r="AC385">
        <v>11667.419846274377</v>
      </c>
      <c r="AD385" t="s">
        <v>82</v>
      </c>
      <c r="AE385">
        <v>380</v>
      </c>
      <c r="AF385">
        <v>89.822949567300768</v>
      </c>
      <c r="AG385" s="82">
        <f t="shared" si="105"/>
        <v>0</v>
      </c>
      <c r="AH385">
        <v>380</v>
      </c>
      <c r="AI385">
        <v>12062.59507448403</v>
      </c>
      <c r="AJ385" t="s">
        <v>82</v>
      </c>
      <c r="AK385">
        <v>380</v>
      </c>
      <c r="AL385">
        <v>89.823367412117008</v>
      </c>
      <c r="AM385" s="82">
        <f t="shared" si="106"/>
        <v>0</v>
      </c>
      <c r="AN385">
        <v>380</v>
      </c>
      <c r="AO385">
        <v>12499.90981885391</v>
      </c>
      <c r="AP385" t="s">
        <v>82</v>
      </c>
      <c r="AQ385">
        <v>380</v>
      </c>
      <c r="AR385">
        <v>89.823814339215289</v>
      </c>
      <c r="AS385" s="82">
        <f t="shared" si="107"/>
        <v>0</v>
      </c>
      <c r="AT385">
        <v>380</v>
      </c>
      <c r="AU385">
        <v>12984.270475767449</v>
      </c>
      <c r="AV385" t="s">
        <v>82</v>
      </c>
      <c r="AW385">
        <v>380</v>
      </c>
      <c r="AX385">
        <v>89.824293239680557</v>
      </c>
      <c r="AY385" s="82">
        <f t="shared" si="108"/>
        <v>0</v>
      </c>
      <c r="AZ385">
        <v>380</v>
      </c>
      <c r="BA385">
        <v>13521.111415109104</v>
      </c>
      <c r="BB385" t="s">
        <v>82</v>
      </c>
      <c r="BC385">
        <v>380</v>
      </c>
      <c r="BD385">
        <v>89.824805620144105</v>
      </c>
      <c r="BE385" s="82">
        <f t="shared" si="109"/>
        <v>0</v>
      </c>
      <c r="BF385">
        <v>380</v>
      </c>
      <c r="BG385">
        <v>14114.569949600018</v>
      </c>
      <c r="BH385" t="s">
        <v>82</v>
      </c>
      <c r="BI385">
        <v>380</v>
      </c>
      <c r="BJ385">
        <v>89.825355074156448</v>
      </c>
      <c r="BK385" s="82">
        <f t="shared" si="110"/>
        <v>0</v>
      </c>
      <c r="BL385">
        <v>380</v>
      </c>
      <c r="BM385">
        <v>14771.445818346421</v>
      </c>
      <c r="BN385" t="s">
        <v>82</v>
      </c>
      <c r="BO385">
        <v>380</v>
      </c>
      <c r="BP385">
        <v>89.825946345581585</v>
      </c>
      <c r="BQ385" s="82">
        <f t="shared" si="111"/>
        <v>0</v>
      </c>
      <c r="BR385">
        <v>380</v>
      </c>
      <c r="BS385">
        <v>15500.421111114749</v>
      </c>
      <c r="BT385" t="s">
        <v>82</v>
      </c>
      <c r="BU385">
        <v>380</v>
      </c>
      <c r="BV385">
        <v>89.8265753987978</v>
      </c>
      <c r="BW385" s="82">
        <f t="shared" si="112"/>
        <v>0</v>
      </c>
      <c r="BX385">
        <v>380</v>
      </c>
      <c r="BY385">
        <v>16299.468079664703</v>
      </c>
      <c r="BZ385" t="s">
        <v>82</v>
      </c>
      <c r="CA385">
        <v>380</v>
      </c>
      <c r="CB385">
        <v>89.827220612603526</v>
      </c>
      <c r="CC385" s="82">
        <f t="shared" si="113"/>
        <v>0</v>
      </c>
      <c r="CD385">
        <v>380</v>
      </c>
      <c r="CE385">
        <v>17142.53991086713</v>
      </c>
      <c r="CF385" t="s">
        <v>82</v>
      </c>
      <c r="CG385">
        <v>380</v>
      </c>
      <c r="CH385">
        <v>89.827881908966091</v>
      </c>
      <c r="CI385" s="82">
        <f t="shared" si="114"/>
        <v>0</v>
      </c>
      <c r="CJ385">
        <v>380</v>
      </c>
      <c r="CK385">
        <v>18029.844987000677</v>
      </c>
      <c r="CL385" t="s">
        <v>82</v>
      </c>
      <c r="CM385">
        <v>380</v>
      </c>
      <c r="CN385">
        <v>89.828558670460666</v>
      </c>
      <c r="CO385" s="82">
        <f t="shared" si="115"/>
        <v>0</v>
      </c>
      <c r="CP385">
        <v>380</v>
      </c>
      <c r="CQ385">
        <v>18961.650826885758</v>
      </c>
      <c r="CR385" t="s">
        <v>82</v>
      </c>
      <c r="CS385">
        <v>380</v>
      </c>
      <c r="CT385">
        <v>89.829247850968144</v>
      </c>
      <c r="CU385" s="82">
        <f t="shared" si="116"/>
        <v>0</v>
      </c>
      <c r="CV385">
        <v>380</v>
      </c>
      <c r="CW385">
        <v>19936.769736999617</v>
      </c>
      <c r="CX385" t="s">
        <v>82</v>
      </c>
      <c r="CY385">
        <v>380</v>
      </c>
      <c r="CZ385">
        <v>89.829960918756456</v>
      </c>
      <c r="DA385" s="82">
        <f t="shared" si="117"/>
        <v>0</v>
      </c>
      <c r="DB385">
        <v>380</v>
      </c>
      <c r="DC385">
        <v>20974.714911373172</v>
      </c>
      <c r="DD385" t="s">
        <v>82</v>
      </c>
      <c r="DG385" s="82">
        <f t="shared" si="118"/>
        <v>0</v>
      </c>
      <c r="DM385" s="82">
        <f t="shared" si="119"/>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Pre-processing</vt:lpstr>
      <vt:lpstr>General Post-processing</vt:lpstr>
      <vt:lpstr>Range Graphs Post-processing</vt:lpstr>
      <vt:lpstr>Final Results</vt:lpstr>
      <vt:lpstr>General Results</vt:lpstr>
      <vt:lpstr>Range Graph Results</vt:lpstr>
      <vt:lpstr>'Final Results'!Print_Area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OrcaFlex Spreadsheet</dc:title>
  <dc:creator>Duncan Roy</dc:creator>
  <cp:lastModifiedBy>Alan Ross</cp:lastModifiedBy>
  <cp:lastPrinted>2015-01-19T11:42:19Z</cp:lastPrinted>
  <dcterms:created xsi:type="dcterms:W3CDTF">1998-07-24T09:46:18Z</dcterms:created>
  <dcterms:modified xsi:type="dcterms:W3CDTF">2023-02-16T14:35:59Z</dcterms:modified>
</cp:coreProperties>
</file>